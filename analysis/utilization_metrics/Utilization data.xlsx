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083E6F-F6EC-4140-8B57-ABCE7482765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OI_Analysis" sheetId="1" r:id="rId1"/>
    <sheet name="Utilization_Analysis" sheetId="2" r:id="rId2"/>
    <sheet name="Sheet2" sheetId="3" r:id="rId3"/>
  </sheets>
  <calcPr calcId="191029" iterate="1" iterateCount="1000" iterateDelta="0.01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G27" i="2"/>
  <c r="H26" i="2"/>
  <c r="G26" i="2"/>
  <c r="H25" i="2"/>
  <c r="G25" i="2"/>
  <c r="H24" i="2"/>
  <c r="C38" i="2" s="1"/>
  <c r="G24" i="2"/>
  <c r="G10" i="2"/>
  <c r="E10" i="2"/>
  <c r="D10" i="2"/>
  <c r="F10" i="2" s="1"/>
  <c r="C10" i="2"/>
  <c r="F27" i="2" s="1"/>
  <c r="G9" i="2"/>
  <c r="E9" i="2"/>
  <c r="F9" i="2" s="1"/>
  <c r="D9" i="2"/>
  <c r="C9" i="2"/>
  <c r="F26" i="2" s="1"/>
  <c r="G8" i="2"/>
  <c r="E8" i="2"/>
  <c r="D8" i="2"/>
  <c r="F8" i="2" s="1"/>
  <c r="C8" i="2"/>
  <c r="G7" i="2"/>
  <c r="F7" i="2"/>
  <c r="E7" i="2"/>
  <c r="D7" i="2"/>
  <c r="C7" i="2"/>
  <c r="H7" i="2" s="1"/>
  <c r="D3037" i="1"/>
  <c r="D3036" i="1"/>
  <c r="D3035" i="1"/>
  <c r="D3034" i="1"/>
  <c r="E3029" i="1"/>
  <c r="D3029" i="1"/>
  <c r="C3029" i="1"/>
  <c r="E3028" i="1"/>
  <c r="D3028" i="1"/>
  <c r="C3028" i="1"/>
  <c r="I3027" i="1"/>
  <c r="H3027" i="1"/>
  <c r="E3027" i="1"/>
  <c r="D3027" i="1"/>
  <c r="C3027" i="1"/>
  <c r="I3026" i="1"/>
  <c r="H3026" i="1"/>
  <c r="E3026" i="1"/>
  <c r="D3026" i="1"/>
  <c r="C3026" i="1"/>
  <c r="C3017" i="1"/>
  <c r="C3016" i="1"/>
  <c r="C3015" i="1"/>
  <c r="K3011" i="1"/>
  <c r="J3011" i="1"/>
  <c r="J3010" i="1"/>
  <c r="K3010" i="1" s="1"/>
  <c r="K3009" i="1"/>
  <c r="J3009" i="1"/>
  <c r="J3008" i="1"/>
  <c r="K3008" i="1" s="1"/>
  <c r="J3007" i="1"/>
  <c r="K3007" i="1" s="1"/>
  <c r="J3006" i="1"/>
  <c r="K3006" i="1" s="1"/>
  <c r="J3005" i="1"/>
  <c r="K3005" i="1" s="1"/>
  <c r="J3004" i="1"/>
  <c r="K3004" i="1" s="1"/>
  <c r="K3003" i="1"/>
  <c r="J3003" i="1"/>
  <c r="J3002" i="1"/>
  <c r="K3002" i="1" s="1"/>
  <c r="K3001" i="1"/>
  <c r="J3001" i="1"/>
  <c r="K3000" i="1"/>
  <c r="J3000" i="1"/>
  <c r="J2999" i="1"/>
  <c r="K2999" i="1" s="1"/>
  <c r="J2998" i="1"/>
  <c r="K2998" i="1" s="1"/>
  <c r="K2997" i="1"/>
  <c r="J2997" i="1"/>
  <c r="J2996" i="1"/>
  <c r="K2996" i="1" s="1"/>
  <c r="J2995" i="1"/>
  <c r="K2995" i="1" s="1"/>
  <c r="J2994" i="1"/>
  <c r="K2994" i="1" s="1"/>
  <c r="J2993" i="1"/>
  <c r="K2993" i="1" s="1"/>
  <c r="K2992" i="1"/>
  <c r="J2992" i="1"/>
  <c r="K2991" i="1"/>
  <c r="J2991" i="1"/>
  <c r="J2990" i="1"/>
  <c r="K2990" i="1" s="1"/>
  <c r="K2989" i="1"/>
  <c r="J2989" i="1"/>
  <c r="K2988" i="1"/>
  <c r="J2988" i="1"/>
  <c r="J2987" i="1"/>
  <c r="K2987" i="1" s="1"/>
  <c r="J2986" i="1"/>
  <c r="K2986" i="1" s="1"/>
  <c r="J2985" i="1"/>
  <c r="K2985" i="1" s="1"/>
  <c r="J2984" i="1"/>
  <c r="K2984" i="1" s="1"/>
  <c r="K2983" i="1"/>
  <c r="J2983" i="1"/>
  <c r="J2982" i="1"/>
  <c r="K2982" i="1" s="1"/>
  <c r="J2981" i="1"/>
  <c r="K2981" i="1" s="1"/>
  <c r="K2980" i="1"/>
  <c r="J2980" i="1"/>
  <c r="J2979" i="1"/>
  <c r="K2979" i="1" s="1"/>
  <c r="J2978" i="1"/>
  <c r="K2978" i="1" s="1"/>
  <c r="K2977" i="1"/>
  <c r="J2977" i="1"/>
  <c r="J2976" i="1"/>
  <c r="K2976" i="1" s="1"/>
  <c r="J2975" i="1"/>
  <c r="K2975" i="1" s="1"/>
  <c r="J2974" i="1"/>
  <c r="K2974" i="1" s="1"/>
  <c r="J2973" i="1"/>
  <c r="K2973" i="1" s="1"/>
  <c r="J2972" i="1"/>
  <c r="K2972" i="1" s="1"/>
  <c r="K2971" i="1"/>
  <c r="J2971" i="1"/>
  <c r="J2970" i="1"/>
  <c r="K2970" i="1" s="1"/>
  <c r="K2969" i="1"/>
  <c r="J2969" i="1"/>
  <c r="K2968" i="1"/>
  <c r="J2968" i="1"/>
  <c r="J2967" i="1"/>
  <c r="K2967" i="1" s="1"/>
  <c r="J2966" i="1"/>
  <c r="K2966" i="1" s="1"/>
  <c r="J2965" i="1"/>
  <c r="K2965" i="1" s="1"/>
  <c r="J2964" i="1"/>
  <c r="K2964" i="1" s="1"/>
  <c r="J2963" i="1"/>
  <c r="K2963" i="1" s="1"/>
  <c r="J2962" i="1"/>
  <c r="K2962" i="1" s="1"/>
  <c r="J2961" i="1"/>
  <c r="K2961" i="1" s="1"/>
  <c r="K2960" i="1"/>
  <c r="J2960" i="1"/>
  <c r="K2959" i="1"/>
  <c r="J2959" i="1"/>
  <c r="J2958" i="1"/>
  <c r="K2958" i="1" s="1"/>
  <c r="K2957" i="1"/>
  <c r="J2957" i="1"/>
  <c r="J2956" i="1"/>
  <c r="K2956" i="1" s="1"/>
  <c r="J2955" i="1"/>
  <c r="K2955" i="1" s="1"/>
  <c r="J2954" i="1"/>
  <c r="K2954" i="1" s="1"/>
  <c r="J2953" i="1"/>
  <c r="K2953" i="1" s="1"/>
  <c r="J2952" i="1"/>
  <c r="K2952" i="1" s="1"/>
  <c r="K2951" i="1"/>
  <c r="J2951" i="1"/>
  <c r="J2950" i="1"/>
  <c r="K2950" i="1" s="1"/>
  <c r="J2949" i="1"/>
  <c r="K2949" i="1" s="1"/>
  <c r="K2948" i="1"/>
  <c r="J2948" i="1"/>
  <c r="K2947" i="1"/>
  <c r="J2947" i="1"/>
  <c r="J2946" i="1"/>
  <c r="K2946" i="1" s="1"/>
  <c r="K2945" i="1"/>
  <c r="J2945" i="1"/>
  <c r="J2944" i="1"/>
  <c r="K2944" i="1" s="1"/>
  <c r="J2943" i="1"/>
  <c r="K2943" i="1" s="1"/>
  <c r="J2942" i="1"/>
  <c r="K2942" i="1" s="1"/>
  <c r="J2941" i="1"/>
  <c r="K2941" i="1" s="1"/>
  <c r="J2940" i="1"/>
  <c r="K2940" i="1" s="1"/>
  <c r="K2939" i="1"/>
  <c r="J2939" i="1"/>
  <c r="J2938" i="1"/>
  <c r="K2938" i="1" s="1"/>
  <c r="K2937" i="1"/>
  <c r="J2937" i="1"/>
  <c r="K2936" i="1"/>
  <c r="J2936" i="1"/>
  <c r="J2935" i="1"/>
  <c r="K2935" i="1" s="1"/>
  <c r="J2934" i="1"/>
  <c r="K2934" i="1" s="1"/>
  <c r="K2933" i="1"/>
  <c r="J2933" i="1"/>
  <c r="J2932" i="1"/>
  <c r="K2932" i="1" s="1"/>
  <c r="J2931" i="1"/>
  <c r="K2931" i="1" s="1"/>
  <c r="J2930" i="1"/>
  <c r="K2930" i="1" s="1"/>
  <c r="J2929" i="1"/>
  <c r="K2929" i="1" s="1"/>
  <c r="K2928" i="1"/>
  <c r="J2928" i="1"/>
  <c r="K2927" i="1"/>
  <c r="J2927" i="1"/>
  <c r="J2926" i="1"/>
  <c r="K2926" i="1" s="1"/>
  <c r="K2925" i="1"/>
  <c r="J2925" i="1"/>
  <c r="K2924" i="1"/>
  <c r="J2924" i="1"/>
  <c r="J2923" i="1"/>
  <c r="K2923" i="1" s="1"/>
  <c r="J2922" i="1"/>
  <c r="K2922" i="1" s="1"/>
  <c r="J2921" i="1"/>
  <c r="K2921" i="1" s="1"/>
  <c r="J2920" i="1"/>
  <c r="K2920" i="1" s="1"/>
  <c r="K2919" i="1"/>
  <c r="J2919" i="1"/>
  <c r="J2918" i="1"/>
  <c r="K2918" i="1" s="1"/>
  <c r="J2917" i="1"/>
  <c r="K2917" i="1" s="1"/>
  <c r="K2916" i="1"/>
  <c r="J2916" i="1"/>
  <c r="J2915" i="1"/>
  <c r="K2915" i="1" s="1"/>
  <c r="J2914" i="1"/>
  <c r="K2914" i="1" s="1"/>
  <c r="K2913" i="1"/>
  <c r="J2913" i="1"/>
  <c r="J2912" i="1"/>
  <c r="K2912" i="1" s="1"/>
  <c r="J2911" i="1"/>
  <c r="K2911" i="1" s="1"/>
  <c r="J2910" i="1"/>
  <c r="K2910" i="1" s="1"/>
  <c r="J2909" i="1"/>
  <c r="K2909" i="1" s="1"/>
  <c r="J2908" i="1"/>
  <c r="K2908" i="1" s="1"/>
  <c r="K2907" i="1"/>
  <c r="J2907" i="1"/>
  <c r="J2906" i="1"/>
  <c r="K2906" i="1" s="1"/>
  <c r="K2905" i="1"/>
  <c r="J2905" i="1"/>
  <c r="K2904" i="1"/>
  <c r="J2904" i="1"/>
  <c r="J2903" i="1"/>
  <c r="K2903" i="1" s="1"/>
  <c r="J2902" i="1"/>
  <c r="K2902" i="1" s="1"/>
  <c r="J2901" i="1"/>
  <c r="K2901" i="1" s="1"/>
  <c r="J2900" i="1"/>
  <c r="K2900" i="1" s="1"/>
  <c r="J2899" i="1"/>
  <c r="K2899" i="1" s="1"/>
  <c r="J2898" i="1"/>
  <c r="K2898" i="1" s="1"/>
  <c r="J2897" i="1"/>
  <c r="K2897" i="1" s="1"/>
  <c r="K2896" i="1"/>
  <c r="J2896" i="1"/>
  <c r="K2895" i="1"/>
  <c r="J2895" i="1"/>
  <c r="J2894" i="1"/>
  <c r="K2894" i="1" s="1"/>
  <c r="K2893" i="1"/>
  <c r="J2893" i="1"/>
  <c r="J2892" i="1"/>
  <c r="K2892" i="1" s="1"/>
  <c r="J2891" i="1"/>
  <c r="K2891" i="1" s="1"/>
  <c r="J2890" i="1"/>
  <c r="K2890" i="1" s="1"/>
  <c r="J2889" i="1"/>
  <c r="K2889" i="1" s="1"/>
  <c r="J2888" i="1"/>
  <c r="K2888" i="1" s="1"/>
  <c r="K2887" i="1"/>
  <c r="J2887" i="1"/>
  <c r="J2886" i="1"/>
  <c r="K2886" i="1" s="1"/>
  <c r="J2885" i="1"/>
  <c r="K2885" i="1" s="1"/>
  <c r="K2884" i="1"/>
  <c r="J2884" i="1"/>
  <c r="K2883" i="1"/>
  <c r="J2883" i="1"/>
  <c r="J2882" i="1"/>
  <c r="K2882" i="1" s="1"/>
  <c r="K2881" i="1"/>
  <c r="J2881" i="1"/>
  <c r="J2880" i="1"/>
  <c r="K2880" i="1" s="1"/>
  <c r="J2879" i="1"/>
  <c r="K2879" i="1" s="1"/>
  <c r="J2878" i="1"/>
  <c r="K2878" i="1" s="1"/>
  <c r="J2877" i="1"/>
  <c r="K2877" i="1" s="1"/>
  <c r="J2876" i="1"/>
  <c r="K2876" i="1" s="1"/>
  <c r="K2875" i="1"/>
  <c r="J2875" i="1"/>
  <c r="J2874" i="1"/>
  <c r="K2874" i="1" s="1"/>
  <c r="K2873" i="1"/>
  <c r="J2873" i="1"/>
  <c r="K2872" i="1"/>
  <c r="J2872" i="1"/>
  <c r="J2871" i="1"/>
  <c r="K2871" i="1" s="1"/>
  <c r="J2870" i="1"/>
  <c r="K2870" i="1" s="1"/>
  <c r="K2869" i="1"/>
  <c r="J2869" i="1"/>
  <c r="J2868" i="1"/>
  <c r="K2868" i="1" s="1"/>
  <c r="J2867" i="1"/>
  <c r="K2867" i="1" s="1"/>
  <c r="J2866" i="1"/>
  <c r="K2866" i="1" s="1"/>
  <c r="J2865" i="1"/>
  <c r="K2865" i="1" s="1"/>
  <c r="K2864" i="1"/>
  <c r="J2864" i="1"/>
  <c r="K2863" i="1"/>
  <c r="J2863" i="1"/>
  <c r="J2862" i="1"/>
  <c r="K2862" i="1" s="1"/>
  <c r="K2861" i="1"/>
  <c r="J2861" i="1"/>
  <c r="K2860" i="1"/>
  <c r="J2860" i="1"/>
  <c r="J2859" i="1"/>
  <c r="K2859" i="1" s="1"/>
  <c r="J2858" i="1"/>
  <c r="K2858" i="1" s="1"/>
  <c r="J2857" i="1"/>
  <c r="K2857" i="1" s="1"/>
  <c r="J2856" i="1"/>
  <c r="K2856" i="1" s="1"/>
  <c r="K2855" i="1"/>
  <c r="J2855" i="1"/>
  <c r="J2854" i="1"/>
  <c r="K2854" i="1" s="1"/>
  <c r="J2853" i="1"/>
  <c r="K2853" i="1" s="1"/>
  <c r="K2852" i="1"/>
  <c r="J2852" i="1"/>
  <c r="J2851" i="1"/>
  <c r="K2851" i="1" s="1"/>
  <c r="J2850" i="1"/>
  <c r="K2850" i="1" s="1"/>
  <c r="K2849" i="1"/>
  <c r="J2849" i="1"/>
  <c r="J2848" i="1"/>
  <c r="K2848" i="1" s="1"/>
  <c r="J2847" i="1"/>
  <c r="K2847" i="1" s="1"/>
  <c r="J2846" i="1"/>
  <c r="K2846" i="1" s="1"/>
  <c r="J2845" i="1"/>
  <c r="K2845" i="1" s="1"/>
  <c r="J2844" i="1"/>
  <c r="K2844" i="1" s="1"/>
  <c r="K2843" i="1"/>
  <c r="J2843" i="1"/>
  <c r="J2842" i="1"/>
  <c r="K2842" i="1" s="1"/>
  <c r="K2841" i="1"/>
  <c r="J2841" i="1"/>
  <c r="K2840" i="1"/>
  <c r="J2840" i="1"/>
  <c r="J2839" i="1"/>
  <c r="K2839" i="1" s="1"/>
  <c r="J2838" i="1"/>
  <c r="K2838" i="1" s="1"/>
  <c r="J2837" i="1"/>
  <c r="K2837" i="1" s="1"/>
  <c r="J2836" i="1"/>
  <c r="K2836" i="1" s="1"/>
  <c r="J2835" i="1"/>
  <c r="K2835" i="1" s="1"/>
  <c r="J2834" i="1"/>
  <c r="K2834" i="1" s="1"/>
  <c r="J2833" i="1"/>
  <c r="K2833" i="1" s="1"/>
  <c r="K2832" i="1"/>
  <c r="J2832" i="1"/>
  <c r="K2831" i="1"/>
  <c r="J2831" i="1"/>
  <c r="J2830" i="1"/>
  <c r="K2830" i="1" s="1"/>
  <c r="K2829" i="1"/>
  <c r="J2829" i="1"/>
  <c r="J2828" i="1"/>
  <c r="K2828" i="1" s="1"/>
  <c r="J2827" i="1"/>
  <c r="K2827" i="1" s="1"/>
  <c r="J2826" i="1"/>
  <c r="K2826" i="1" s="1"/>
  <c r="J2825" i="1"/>
  <c r="K2825" i="1" s="1"/>
  <c r="J2824" i="1"/>
  <c r="K2824" i="1" s="1"/>
  <c r="K2823" i="1"/>
  <c r="J2823" i="1"/>
  <c r="J2822" i="1"/>
  <c r="K2822" i="1" s="1"/>
  <c r="J2821" i="1"/>
  <c r="K2821" i="1" s="1"/>
  <c r="K2820" i="1"/>
  <c r="J2820" i="1"/>
  <c r="K2819" i="1"/>
  <c r="J2819" i="1"/>
  <c r="J2818" i="1"/>
  <c r="K2818" i="1" s="1"/>
  <c r="K2817" i="1"/>
  <c r="J2817" i="1"/>
  <c r="J2816" i="1"/>
  <c r="K2816" i="1" s="1"/>
  <c r="J2815" i="1"/>
  <c r="K2815" i="1" s="1"/>
  <c r="J2814" i="1"/>
  <c r="K2814" i="1" s="1"/>
  <c r="J2813" i="1"/>
  <c r="K2813" i="1" s="1"/>
  <c r="J2812" i="1"/>
  <c r="K2812" i="1" s="1"/>
  <c r="K2811" i="1"/>
  <c r="J2811" i="1"/>
  <c r="J2810" i="1"/>
  <c r="K2810" i="1" s="1"/>
  <c r="K2809" i="1"/>
  <c r="J2809" i="1"/>
  <c r="K2808" i="1"/>
  <c r="J2808" i="1"/>
  <c r="J2807" i="1"/>
  <c r="K2807" i="1" s="1"/>
  <c r="J2806" i="1"/>
  <c r="K2806" i="1" s="1"/>
  <c r="K2805" i="1"/>
  <c r="J2805" i="1"/>
  <c r="J2804" i="1"/>
  <c r="K2804" i="1" s="1"/>
  <c r="J2803" i="1"/>
  <c r="K2803" i="1" s="1"/>
  <c r="J2802" i="1"/>
  <c r="K2802" i="1" s="1"/>
  <c r="J2801" i="1"/>
  <c r="K2801" i="1" s="1"/>
  <c r="K2800" i="1"/>
  <c r="J2800" i="1"/>
  <c r="K2799" i="1"/>
  <c r="J2799" i="1"/>
  <c r="J2798" i="1"/>
  <c r="K2798" i="1" s="1"/>
  <c r="K2797" i="1"/>
  <c r="J2797" i="1"/>
  <c r="K2796" i="1"/>
  <c r="J2796" i="1"/>
  <c r="J2795" i="1"/>
  <c r="K2795" i="1" s="1"/>
  <c r="J2794" i="1"/>
  <c r="K2794" i="1" s="1"/>
  <c r="J2793" i="1"/>
  <c r="K2793" i="1" s="1"/>
  <c r="J2792" i="1"/>
  <c r="K2792" i="1" s="1"/>
  <c r="K2791" i="1"/>
  <c r="J2791" i="1"/>
  <c r="J2790" i="1"/>
  <c r="K2790" i="1" s="1"/>
  <c r="J2789" i="1"/>
  <c r="K2789" i="1" s="1"/>
  <c r="K2788" i="1"/>
  <c r="J2788" i="1"/>
  <c r="J2787" i="1"/>
  <c r="K2787" i="1" s="1"/>
  <c r="J2786" i="1"/>
  <c r="K2786" i="1" s="1"/>
  <c r="K2785" i="1"/>
  <c r="J2785" i="1"/>
  <c r="J2784" i="1"/>
  <c r="K2784" i="1" s="1"/>
  <c r="J2783" i="1"/>
  <c r="K2783" i="1" s="1"/>
  <c r="J2782" i="1"/>
  <c r="K2782" i="1" s="1"/>
  <c r="J2781" i="1"/>
  <c r="K2781" i="1" s="1"/>
  <c r="J2780" i="1"/>
  <c r="K2780" i="1" s="1"/>
  <c r="K2779" i="1"/>
  <c r="J2779" i="1"/>
  <c r="J2778" i="1"/>
  <c r="K2778" i="1" s="1"/>
  <c r="K2777" i="1"/>
  <c r="J2777" i="1"/>
  <c r="K2776" i="1"/>
  <c r="J2776" i="1"/>
  <c r="J2775" i="1"/>
  <c r="K2775" i="1" s="1"/>
  <c r="J2774" i="1"/>
  <c r="K2774" i="1" s="1"/>
  <c r="J2773" i="1"/>
  <c r="K2773" i="1" s="1"/>
  <c r="J2772" i="1"/>
  <c r="K2772" i="1" s="1"/>
  <c r="J2771" i="1"/>
  <c r="K2771" i="1" s="1"/>
  <c r="J2770" i="1"/>
  <c r="K2770" i="1" s="1"/>
  <c r="J2769" i="1"/>
  <c r="K2769" i="1" s="1"/>
  <c r="K2768" i="1"/>
  <c r="J2768" i="1"/>
  <c r="K2767" i="1"/>
  <c r="J2767" i="1"/>
  <c r="J2766" i="1"/>
  <c r="K2766" i="1" s="1"/>
  <c r="K2765" i="1"/>
  <c r="J2765" i="1"/>
  <c r="J2764" i="1"/>
  <c r="K2764" i="1" s="1"/>
  <c r="J2763" i="1"/>
  <c r="K2763" i="1" s="1"/>
  <c r="J2762" i="1"/>
  <c r="K2762" i="1" s="1"/>
  <c r="K2761" i="1"/>
  <c r="J2761" i="1"/>
  <c r="J2760" i="1"/>
  <c r="K2760" i="1" s="1"/>
  <c r="K2759" i="1"/>
  <c r="J2759" i="1"/>
  <c r="J2758" i="1"/>
  <c r="K2758" i="1" s="1"/>
  <c r="J2757" i="1"/>
  <c r="K2757" i="1" s="1"/>
  <c r="K2756" i="1"/>
  <c r="J2756" i="1"/>
  <c r="J2755" i="1"/>
  <c r="K2755" i="1" s="1"/>
  <c r="J2754" i="1"/>
  <c r="K2754" i="1" s="1"/>
  <c r="K2753" i="1"/>
  <c r="J2753" i="1"/>
  <c r="K2752" i="1"/>
  <c r="J2752" i="1"/>
  <c r="J2751" i="1"/>
  <c r="K2751" i="1" s="1"/>
  <c r="J2750" i="1"/>
  <c r="K2750" i="1" s="1"/>
  <c r="J2749" i="1"/>
  <c r="K2749" i="1" s="1"/>
  <c r="J2748" i="1"/>
  <c r="K2748" i="1" s="1"/>
  <c r="K2747" i="1"/>
  <c r="J2747" i="1"/>
  <c r="J2746" i="1"/>
  <c r="K2746" i="1" s="1"/>
  <c r="K2745" i="1"/>
  <c r="J2745" i="1"/>
  <c r="K2744" i="1"/>
  <c r="J2744" i="1"/>
  <c r="J2743" i="1"/>
  <c r="K2743" i="1" s="1"/>
  <c r="J2742" i="1"/>
  <c r="K2742" i="1" s="1"/>
  <c r="K2741" i="1"/>
  <c r="J2741" i="1"/>
  <c r="J2740" i="1"/>
  <c r="K2740" i="1" s="1"/>
  <c r="J2739" i="1"/>
  <c r="K2739" i="1" s="1"/>
  <c r="J2738" i="1"/>
  <c r="K2738" i="1" s="1"/>
  <c r="J2737" i="1"/>
  <c r="K2737" i="1" s="1"/>
  <c r="K2736" i="1"/>
  <c r="J2736" i="1"/>
  <c r="K2735" i="1"/>
  <c r="J2735" i="1"/>
  <c r="J2734" i="1"/>
  <c r="K2734" i="1" s="1"/>
  <c r="K2733" i="1"/>
  <c r="J2733" i="1"/>
  <c r="J2732" i="1"/>
  <c r="K2732" i="1" s="1"/>
  <c r="J2731" i="1"/>
  <c r="K2731" i="1" s="1"/>
  <c r="J2730" i="1"/>
  <c r="K2730" i="1" s="1"/>
  <c r="J2729" i="1"/>
  <c r="K2729" i="1" s="1"/>
  <c r="J2728" i="1"/>
  <c r="K2728" i="1" s="1"/>
  <c r="K2727" i="1"/>
  <c r="J2727" i="1"/>
  <c r="J2726" i="1"/>
  <c r="K2726" i="1" s="1"/>
  <c r="J2725" i="1"/>
  <c r="K2725" i="1" s="1"/>
  <c r="K2724" i="1"/>
  <c r="J2724" i="1"/>
  <c r="K2723" i="1"/>
  <c r="J2723" i="1"/>
  <c r="J2722" i="1"/>
  <c r="K2722" i="1" s="1"/>
  <c r="K2721" i="1"/>
  <c r="J2721" i="1"/>
  <c r="K2720" i="1"/>
  <c r="J2720" i="1"/>
  <c r="J2719" i="1"/>
  <c r="K2719" i="1" s="1"/>
  <c r="J2718" i="1"/>
  <c r="K2718" i="1" s="1"/>
  <c r="J2717" i="1"/>
  <c r="K2717" i="1" s="1"/>
  <c r="J2716" i="1"/>
  <c r="K2716" i="1" s="1"/>
  <c r="K2715" i="1"/>
  <c r="J2715" i="1"/>
  <c r="J2714" i="1"/>
  <c r="K2714" i="1" s="1"/>
  <c r="K2713" i="1"/>
  <c r="J2713" i="1"/>
  <c r="K2712" i="1"/>
  <c r="J2712" i="1"/>
  <c r="J2711" i="1"/>
  <c r="K2711" i="1" s="1"/>
  <c r="J2710" i="1"/>
  <c r="K2710" i="1" s="1"/>
  <c r="K2709" i="1"/>
  <c r="J2709" i="1"/>
  <c r="J2708" i="1"/>
  <c r="K2708" i="1" s="1"/>
  <c r="J2707" i="1"/>
  <c r="K2707" i="1" s="1"/>
  <c r="J2706" i="1"/>
  <c r="K2706" i="1" s="1"/>
  <c r="J2705" i="1"/>
  <c r="K2705" i="1" s="1"/>
  <c r="K2704" i="1"/>
  <c r="J2704" i="1"/>
  <c r="K2703" i="1"/>
  <c r="J2703" i="1"/>
  <c r="J2702" i="1"/>
  <c r="K2702" i="1" s="1"/>
  <c r="J2701" i="1"/>
  <c r="K2701" i="1" s="1"/>
  <c r="K2700" i="1"/>
  <c r="J2700" i="1"/>
  <c r="K2699" i="1"/>
  <c r="J2699" i="1"/>
  <c r="K2698" i="1"/>
  <c r="J2698" i="1"/>
  <c r="J2697" i="1"/>
  <c r="K2697" i="1" s="1"/>
  <c r="K2696" i="1"/>
  <c r="J2696" i="1"/>
  <c r="K2695" i="1"/>
  <c r="J2695" i="1"/>
  <c r="K2694" i="1"/>
  <c r="J2694" i="1"/>
  <c r="J2693" i="1"/>
  <c r="K2693" i="1" s="1"/>
  <c r="K2692" i="1"/>
  <c r="J2692" i="1"/>
  <c r="K2691" i="1"/>
  <c r="J2691" i="1"/>
  <c r="K2690" i="1"/>
  <c r="J2690" i="1"/>
  <c r="J2689" i="1"/>
  <c r="K2689" i="1" s="1"/>
  <c r="K2688" i="1"/>
  <c r="J2688" i="1"/>
  <c r="K2687" i="1"/>
  <c r="J2687" i="1"/>
  <c r="J2686" i="1"/>
  <c r="K2686" i="1" s="1"/>
  <c r="J2685" i="1"/>
  <c r="K2685" i="1" s="1"/>
  <c r="K2684" i="1"/>
  <c r="J2684" i="1"/>
  <c r="K2683" i="1"/>
  <c r="J2683" i="1"/>
  <c r="J2682" i="1"/>
  <c r="K2682" i="1" s="1"/>
  <c r="J2681" i="1"/>
  <c r="K2681" i="1" s="1"/>
  <c r="K2680" i="1"/>
  <c r="J2680" i="1"/>
  <c r="K2679" i="1"/>
  <c r="J2679" i="1"/>
  <c r="J2678" i="1"/>
  <c r="K2678" i="1" s="1"/>
  <c r="J2677" i="1"/>
  <c r="K2677" i="1" s="1"/>
  <c r="K2676" i="1"/>
  <c r="J2676" i="1"/>
  <c r="K2675" i="1"/>
  <c r="J2675" i="1"/>
  <c r="K2674" i="1"/>
  <c r="J2674" i="1"/>
  <c r="J2673" i="1"/>
  <c r="K2673" i="1" s="1"/>
  <c r="K2672" i="1"/>
  <c r="J2672" i="1"/>
  <c r="K2671" i="1"/>
  <c r="J2671" i="1"/>
  <c r="J2670" i="1"/>
  <c r="K2670" i="1" s="1"/>
  <c r="J2669" i="1"/>
  <c r="K2669" i="1" s="1"/>
  <c r="K2668" i="1"/>
  <c r="J2668" i="1"/>
  <c r="K2667" i="1"/>
  <c r="J2667" i="1"/>
  <c r="K2666" i="1"/>
  <c r="J2666" i="1"/>
  <c r="J2665" i="1"/>
  <c r="K2665" i="1" s="1"/>
  <c r="K2664" i="1"/>
  <c r="J2664" i="1"/>
  <c r="K2663" i="1"/>
  <c r="J2663" i="1"/>
  <c r="K2662" i="1"/>
  <c r="J2662" i="1"/>
  <c r="J2661" i="1"/>
  <c r="K2661" i="1" s="1"/>
  <c r="K2660" i="1"/>
  <c r="J2660" i="1"/>
  <c r="K2659" i="1"/>
  <c r="J2659" i="1"/>
  <c r="J2658" i="1"/>
  <c r="K2658" i="1" s="1"/>
  <c r="J2657" i="1"/>
  <c r="K2657" i="1" s="1"/>
  <c r="K2656" i="1"/>
  <c r="J2656" i="1"/>
  <c r="K2655" i="1"/>
  <c r="J2655" i="1"/>
  <c r="J2654" i="1"/>
  <c r="K2654" i="1" s="1"/>
  <c r="J2653" i="1"/>
  <c r="K2653" i="1" s="1"/>
  <c r="K2652" i="1"/>
  <c r="J2652" i="1"/>
  <c r="K2651" i="1"/>
  <c r="J2651" i="1"/>
  <c r="J2650" i="1"/>
  <c r="K2650" i="1" s="1"/>
  <c r="J2649" i="1"/>
  <c r="K2649" i="1" s="1"/>
  <c r="K2648" i="1"/>
  <c r="J2648" i="1"/>
  <c r="K2647" i="1"/>
  <c r="J2647" i="1"/>
  <c r="J2646" i="1"/>
  <c r="K2646" i="1" s="1"/>
  <c r="J2645" i="1"/>
  <c r="K2645" i="1" s="1"/>
  <c r="K2644" i="1"/>
  <c r="J2644" i="1"/>
  <c r="K2643" i="1"/>
  <c r="J2643" i="1"/>
  <c r="K2642" i="1"/>
  <c r="J2642" i="1"/>
  <c r="J2641" i="1"/>
  <c r="K2641" i="1" s="1"/>
  <c r="K2640" i="1"/>
  <c r="J2640" i="1"/>
  <c r="K2639" i="1"/>
  <c r="J2639" i="1"/>
  <c r="J2638" i="1"/>
  <c r="K2638" i="1" s="1"/>
  <c r="J2637" i="1"/>
  <c r="K2637" i="1" s="1"/>
  <c r="K2636" i="1"/>
  <c r="J2636" i="1"/>
  <c r="K2635" i="1"/>
  <c r="J2635" i="1"/>
  <c r="K2634" i="1"/>
  <c r="J2634" i="1"/>
  <c r="J2633" i="1"/>
  <c r="K2633" i="1" s="1"/>
  <c r="K2632" i="1"/>
  <c r="J2632" i="1"/>
  <c r="K2631" i="1"/>
  <c r="J2631" i="1"/>
  <c r="K2630" i="1"/>
  <c r="J2630" i="1"/>
  <c r="J2629" i="1"/>
  <c r="K2629" i="1" s="1"/>
  <c r="K2628" i="1"/>
  <c r="J2628" i="1"/>
  <c r="K2627" i="1"/>
  <c r="J2627" i="1"/>
  <c r="J2626" i="1"/>
  <c r="K2626" i="1" s="1"/>
  <c r="J2625" i="1"/>
  <c r="K2625" i="1" s="1"/>
  <c r="K2624" i="1"/>
  <c r="J2624" i="1"/>
  <c r="K2623" i="1"/>
  <c r="J2623" i="1"/>
  <c r="J2622" i="1"/>
  <c r="K2622" i="1" s="1"/>
  <c r="J2621" i="1"/>
  <c r="K2621" i="1" s="1"/>
  <c r="K2620" i="1"/>
  <c r="J2620" i="1"/>
  <c r="K2619" i="1"/>
  <c r="J2619" i="1"/>
  <c r="J2618" i="1"/>
  <c r="K2618" i="1" s="1"/>
  <c r="J2617" i="1"/>
  <c r="K2617" i="1" s="1"/>
  <c r="K2616" i="1"/>
  <c r="J2616" i="1"/>
  <c r="K2615" i="1"/>
  <c r="J2615" i="1"/>
  <c r="J2614" i="1"/>
  <c r="K2614" i="1" s="1"/>
  <c r="J2613" i="1"/>
  <c r="K2613" i="1" s="1"/>
  <c r="K2612" i="1"/>
  <c r="J2612" i="1"/>
  <c r="K2611" i="1"/>
  <c r="J2611" i="1"/>
  <c r="K2610" i="1"/>
  <c r="J2610" i="1"/>
  <c r="J2609" i="1"/>
  <c r="K2609" i="1" s="1"/>
  <c r="K2608" i="1"/>
  <c r="J2608" i="1"/>
  <c r="K2607" i="1"/>
  <c r="J2607" i="1"/>
  <c r="J2606" i="1"/>
  <c r="K2606" i="1" s="1"/>
  <c r="J2605" i="1"/>
  <c r="K2605" i="1" s="1"/>
  <c r="K2604" i="1"/>
  <c r="J2604" i="1"/>
  <c r="K2603" i="1"/>
  <c r="J2603" i="1"/>
  <c r="K2602" i="1"/>
  <c r="J2602" i="1"/>
  <c r="J2601" i="1"/>
  <c r="K2601" i="1" s="1"/>
  <c r="K2600" i="1"/>
  <c r="J2600" i="1"/>
  <c r="K2599" i="1"/>
  <c r="J2599" i="1"/>
  <c r="K2598" i="1"/>
  <c r="J2598" i="1"/>
  <c r="J2597" i="1"/>
  <c r="K2597" i="1" s="1"/>
  <c r="K2596" i="1"/>
  <c r="J2596" i="1"/>
  <c r="K2595" i="1"/>
  <c r="J2595" i="1"/>
  <c r="J2594" i="1"/>
  <c r="K2594" i="1" s="1"/>
  <c r="J2593" i="1"/>
  <c r="K2593" i="1" s="1"/>
  <c r="K2592" i="1"/>
  <c r="J2592" i="1"/>
  <c r="K2591" i="1"/>
  <c r="J2591" i="1"/>
  <c r="K2590" i="1"/>
  <c r="J2590" i="1"/>
  <c r="J2589" i="1"/>
  <c r="K2589" i="1" s="1"/>
  <c r="K2588" i="1"/>
  <c r="J2588" i="1"/>
  <c r="K2587" i="1"/>
  <c r="J2587" i="1"/>
  <c r="J2586" i="1"/>
  <c r="K2586" i="1" s="1"/>
  <c r="J2585" i="1"/>
  <c r="K2585" i="1" s="1"/>
  <c r="K2584" i="1"/>
  <c r="J2584" i="1"/>
  <c r="K2583" i="1"/>
  <c r="J2583" i="1"/>
  <c r="J2582" i="1"/>
  <c r="K2582" i="1" s="1"/>
  <c r="J2581" i="1"/>
  <c r="K2581" i="1" s="1"/>
  <c r="K2580" i="1"/>
  <c r="J2580" i="1"/>
  <c r="K2579" i="1"/>
  <c r="J2579" i="1"/>
  <c r="K2578" i="1"/>
  <c r="J2578" i="1"/>
  <c r="J2577" i="1"/>
  <c r="K2577" i="1" s="1"/>
  <c r="K2576" i="1"/>
  <c r="J2576" i="1"/>
  <c r="K2575" i="1"/>
  <c r="J2575" i="1"/>
  <c r="J2574" i="1"/>
  <c r="K2574" i="1" s="1"/>
  <c r="J2573" i="1"/>
  <c r="K2573" i="1" s="1"/>
  <c r="K2572" i="1"/>
  <c r="J2572" i="1"/>
  <c r="K2571" i="1"/>
  <c r="J2571" i="1"/>
  <c r="K2570" i="1"/>
  <c r="J2570" i="1"/>
  <c r="J2569" i="1"/>
  <c r="K2569" i="1" s="1"/>
  <c r="K2568" i="1"/>
  <c r="J2568" i="1"/>
  <c r="K2567" i="1"/>
  <c r="J2567" i="1"/>
  <c r="J2566" i="1"/>
  <c r="K2566" i="1" s="1"/>
  <c r="J2565" i="1"/>
  <c r="K2565" i="1" s="1"/>
  <c r="K2564" i="1"/>
  <c r="J2564" i="1"/>
  <c r="K2563" i="1"/>
  <c r="J2563" i="1"/>
  <c r="J2562" i="1"/>
  <c r="K2562" i="1" s="1"/>
  <c r="J2561" i="1"/>
  <c r="K2561" i="1" s="1"/>
  <c r="K2560" i="1"/>
  <c r="J2560" i="1"/>
  <c r="K2559" i="1"/>
  <c r="J2559" i="1"/>
  <c r="K2558" i="1"/>
  <c r="J2558" i="1"/>
  <c r="J2557" i="1"/>
  <c r="K2557" i="1" s="1"/>
  <c r="K2556" i="1"/>
  <c r="J2556" i="1"/>
  <c r="K2555" i="1"/>
  <c r="J2555" i="1"/>
  <c r="J2554" i="1"/>
  <c r="K2554" i="1" s="1"/>
  <c r="J2553" i="1"/>
  <c r="K2553" i="1" s="1"/>
  <c r="K2552" i="1"/>
  <c r="J2552" i="1"/>
  <c r="K2551" i="1"/>
  <c r="J2551" i="1"/>
  <c r="J2550" i="1"/>
  <c r="K2550" i="1" s="1"/>
  <c r="J2549" i="1"/>
  <c r="K2549" i="1" s="1"/>
  <c r="K2548" i="1"/>
  <c r="J2548" i="1"/>
  <c r="K2547" i="1"/>
  <c r="J2547" i="1"/>
  <c r="K2546" i="1"/>
  <c r="J2546" i="1"/>
  <c r="J2545" i="1"/>
  <c r="K2545" i="1" s="1"/>
  <c r="K2544" i="1"/>
  <c r="J2544" i="1"/>
  <c r="K2543" i="1"/>
  <c r="J2543" i="1"/>
  <c r="J2542" i="1"/>
  <c r="K2542" i="1" s="1"/>
  <c r="J2541" i="1"/>
  <c r="K2541" i="1" s="1"/>
  <c r="K2540" i="1"/>
  <c r="J2540" i="1"/>
  <c r="K2539" i="1"/>
  <c r="J2539" i="1"/>
  <c r="J2538" i="1"/>
  <c r="K2538" i="1" s="1"/>
  <c r="J2537" i="1"/>
  <c r="K2537" i="1" s="1"/>
  <c r="K2536" i="1"/>
  <c r="J2536" i="1"/>
  <c r="K2535" i="1"/>
  <c r="J2535" i="1"/>
  <c r="K2534" i="1"/>
  <c r="J2534" i="1"/>
  <c r="J2533" i="1"/>
  <c r="K2533" i="1" s="1"/>
  <c r="K2532" i="1"/>
  <c r="J2532" i="1"/>
  <c r="K2531" i="1"/>
  <c r="J2531" i="1"/>
  <c r="J2530" i="1"/>
  <c r="K2530" i="1" s="1"/>
  <c r="J2529" i="1"/>
  <c r="K2529" i="1" s="1"/>
  <c r="K2528" i="1"/>
  <c r="J2528" i="1"/>
  <c r="K2527" i="1"/>
  <c r="J2527" i="1"/>
  <c r="K2526" i="1"/>
  <c r="J2526" i="1"/>
  <c r="J2525" i="1"/>
  <c r="K2525" i="1" s="1"/>
  <c r="K2524" i="1"/>
  <c r="J2524" i="1"/>
  <c r="K2523" i="1"/>
  <c r="J2523" i="1"/>
  <c r="J2522" i="1"/>
  <c r="K2522" i="1" s="1"/>
  <c r="J2521" i="1"/>
  <c r="K2521" i="1" s="1"/>
  <c r="K2520" i="1"/>
  <c r="J2520" i="1"/>
  <c r="K2519" i="1"/>
  <c r="J2519" i="1"/>
  <c r="J2518" i="1"/>
  <c r="K2518" i="1" s="1"/>
  <c r="J2517" i="1"/>
  <c r="K2517" i="1" s="1"/>
  <c r="K2516" i="1"/>
  <c r="J2516" i="1"/>
  <c r="K2515" i="1"/>
  <c r="J2515" i="1"/>
  <c r="K2514" i="1"/>
  <c r="J2514" i="1"/>
  <c r="J2513" i="1"/>
  <c r="K2513" i="1" s="1"/>
  <c r="K2512" i="1"/>
  <c r="J2512" i="1"/>
  <c r="K2511" i="1"/>
  <c r="J2511" i="1"/>
  <c r="K2510" i="1"/>
  <c r="J2510" i="1"/>
  <c r="J2509" i="1"/>
  <c r="K2509" i="1" s="1"/>
  <c r="K2508" i="1"/>
  <c r="J2508" i="1"/>
  <c r="K2507" i="1"/>
  <c r="J2507" i="1"/>
  <c r="J2506" i="1"/>
  <c r="K2506" i="1" s="1"/>
  <c r="J2505" i="1"/>
  <c r="K2505" i="1" s="1"/>
  <c r="K2504" i="1"/>
  <c r="J2504" i="1"/>
  <c r="K2503" i="1"/>
  <c r="J2503" i="1"/>
  <c r="K2502" i="1"/>
  <c r="J2502" i="1"/>
  <c r="J2501" i="1"/>
  <c r="K2501" i="1" s="1"/>
  <c r="K2500" i="1"/>
  <c r="J2500" i="1"/>
  <c r="K2499" i="1"/>
  <c r="J2499" i="1"/>
  <c r="K2498" i="1"/>
  <c r="J2498" i="1"/>
  <c r="J2497" i="1"/>
  <c r="K2497" i="1" s="1"/>
  <c r="K2496" i="1"/>
  <c r="J2496" i="1"/>
  <c r="K2495" i="1"/>
  <c r="J2495" i="1"/>
  <c r="J2494" i="1"/>
  <c r="K2494" i="1" s="1"/>
  <c r="J2493" i="1"/>
  <c r="K2493" i="1" s="1"/>
  <c r="K2492" i="1"/>
  <c r="J2492" i="1"/>
  <c r="K2491" i="1"/>
  <c r="J2491" i="1"/>
  <c r="J2490" i="1"/>
  <c r="K2490" i="1" s="1"/>
  <c r="J2489" i="1"/>
  <c r="K2489" i="1" s="1"/>
  <c r="K2488" i="1"/>
  <c r="J2488" i="1"/>
  <c r="K2487" i="1"/>
  <c r="J2487" i="1"/>
  <c r="J2486" i="1"/>
  <c r="K2486" i="1" s="1"/>
  <c r="J2485" i="1"/>
  <c r="K2485" i="1" s="1"/>
  <c r="K2484" i="1"/>
  <c r="J2484" i="1"/>
  <c r="K2483" i="1"/>
  <c r="J2483" i="1"/>
  <c r="K2482" i="1"/>
  <c r="J2482" i="1"/>
  <c r="J2481" i="1"/>
  <c r="K2481" i="1" s="1"/>
  <c r="K2480" i="1"/>
  <c r="J2480" i="1"/>
  <c r="K2479" i="1"/>
  <c r="J2479" i="1"/>
  <c r="K2478" i="1"/>
  <c r="J2478" i="1"/>
  <c r="J2477" i="1"/>
  <c r="K2477" i="1" s="1"/>
  <c r="K2476" i="1"/>
  <c r="J2476" i="1"/>
  <c r="K2475" i="1"/>
  <c r="J2475" i="1"/>
  <c r="K2474" i="1"/>
  <c r="J2474" i="1"/>
  <c r="J2473" i="1"/>
  <c r="K2473" i="1" s="1"/>
  <c r="K2472" i="1"/>
  <c r="J2472" i="1"/>
  <c r="K2471" i="1"/>
  <c r="J2471" i="1"/>
  <c r="J2470" i="1"/>
  <c r="K2470" i="1" s="1"/>
  <c r="J2469" i="1"/>
  <c r="K2469" i="1" s="1"/>
  <c r="K2468" i="1"/>
  <c r="J2468" i="1"/>
  <c r="K2467" i="1"/>
  <c r="J2467" i="1"/>
  <c r="K2466" i="1"/>
  <c r="J2466" i="1"/>
  <c r="J2465" i="1"/>
  <c r="K2465" i="1" s="1"/>
  <c r="K2464" i="1"/>
  <c r="J2464" i="1"/>
  <c r="K2463" i="1"/>
  <c r="J2463" i="1"/>
  <c r="J2462" i="1"/>
  <c r="K2462" i="1" s="1"/>
  <c r="J2461" i="1"/>
  <c r="K2461" i="1" s="1"/>
  <c r="K2460" i="1"/>
  <c r="J2460" i="1"/>
  <c r="K2459" i="1"/>
  <c r="J2459" i="1"/>
  <c r="K2458" i="1"/>
  <c r="J2458" i="1"/>
  <c r="J2457" i="1"/>
  <c r="K2457" i="1" s="1"/>
  <c r="K2456" i="1"/>
  <c r="J2456" i="1"/>
  <c r="K2455" i="1"/>
  <c r="J2455" i="1"/>
  <c r="K2454" i="1"/>
  <c r="J2454" i="1"/>
  <c r="J2453" i="1"/>
  <c r="K2453" i="1" s="1"/>
  <c r="K2452" i="1"/>
  <c r="J2452" i="1"/>
  <c r="K2451" i="1"/>
  <c r="J2451" i="1"/>
  <c r="J2450" i="1"/>
  <c r="K2450" i="1" s="1"/>
  <c r="J2449" i="1"/>
  <c r="K2449" i="1" s="1"/>
  <c r="K2448" i="1"/>
  <c r="J2448" i="1"/>
  <c r="K2447" i="1"/>
  <c r="J2447" i="1"/>
  <c r="K2446" i="1"/>
  <c r="J2446" i="1"/>
  <c r="J2445" i="1"/>
  <c r="K2445" i="1" s="1"/>
  <c r="K2444" i="1"/>
  <c r="J2444" i="1"/>
  <c r="K2443" i="1"/>
  <c r="J2443" i="1"/>
  <c r="K2442" i="1"/>
  <c r="J2442" i="1"/>
  <c r="J2441" i="1"/>
  <c r="K2441" i="1" s="1"/>
  <c r="K2440" i="1"/>
  <c r="J2440" i="1"/>
  <c r="K2439" i="1"/>
  <c r="J2439" i="1"/>
  <c r="J2438" i="1"/>
  <c r="K2438" i="1" s="1"/>
  <c r="J2437" i="1"/>
  <c r="K2437" i="1" s="1"/>
  <c r="K2436" i="1"/>
  <c r="J2436" i="1"/>
  <c r="K2435" i="1"/>
  <c r="J2435" i="1"/>
  <c r="K2434" i="1"/>
  <c r="J2434" i="1"/>
  <c r="J2433" i="1"/>
  <c r="K2433" i="1" s="1"/>
  <c r="K2432" i="1"/>
  <c r="J2432" i="1"/>
  <c r="K2431" i="1"/>
  <c r="J2431" i="1"/>
  <c r="J2430" i="1"/>
  <c r="K2430" i="1" s="1"/>
  <c r="J2429" i="1"/>
  <c r="K2429" i="1" s="1"/>
  <c r="K2428" i="1"/>
  <c r="J2428" i="1"/>
  <c r="K2427" i="1"/>
  <c r="J2427" i="1"/>
  <c r="K2426" i="1"/>
  <c r="J2426" i="1"/>
  <c r="J2425" i="1"/>
  <c r="K2425" i="1" s="1"/>
  <c r="K2424" i="1"/>
  <c r="J2424" i="1"/>
  <c r="K2423" i="1"/>
  <c r="J2423" i="1"/>
  <c r="K2422" i="1"/>
  <c r="J2422" i="1"/>
  <c r="J2421" i="1"/>
  <c r="K2421" i="1" s="1"/>
  <c r="K2420" i="1"/>
  <c r="J2420" i="1"/>
  <c r="K2419" i="1"/>
  <c r="J2419" i="1"/>
  <c r="J2418" i="1"/>
  <c r="K2418" i="1" s="1"/>
  <c r="J2417" i="1"/>
  <c r="K2417" i="1" s="1"/>
  <c r="K2416" i="1"/>
  <c r="J2416" i="1"/>
  <c r="K2415" i="1"/>
  <c r="J2415" i="1"/>
  <c r="K2414" i="1"/>
  <c r="J2414" i="1"/>
  <c r="J2413" i="1"/>
  <c r="K2413" i="1" s="1"/>
  <c r="K2412" i="1"/>
  <c r="J2412" i="1"/>
  <c r="K2411" i="1"/>
  <c r="J2411" i="1"/>
  <c r="K2410" i="1"/>
  <c r="J2410" i="1"/>
  <c r="J2409" i="1"/>
  <c r="K2409" i="1" s="1"/>
  <c r="K2408" i="1"/>
  <c r="J2408" i="1"/>
  <c r="K2407" i="1"/>
  <c r="J2407" i="1"/>
  <c r="J2406" i="1"/>
  <c r="K2406" i="1" s="1"/>
  <c r="J2405" i="1"/>
  <c r="K2405" i="1" s="1"/>
  <c r="K2404" i="1"/>
  <c r="J2404" i="1"/>
  <c r="K2403" i="1"/>
  <c r="J2403" i="1"/>
  <c r="K2402" i="1"/>
  <c r="J2402" i="1"/>
  <c r="J2401" i="1"/>
  <c r="K2401" i="1" s="1"/>
  <c r="K2400" i="1"/>
  <c r="J2400" i="1"/>
  <c r="K2399" i="1"/>
  <c r="J2399" i="1"/>
  <c r="J2398" i="1"/>
  <c r="K2398" i="1" s="1"/>
  <c r="J2397" i="1"/>
  <c r="K2397" i="1" s="1"/>
  <c r="K2396" i="1"/>
  <c r="J2396" i="1"/>
  <c r="K2395" i="1"/>
  <c r="J2395" i="1"/>
  <c r="K2394" i="1"/>
  <c r="J2394" i="1"/>
  <c r="J2393" i="1"/>
  <c r="K2393" i="1" s="1"/>
  <c r="K2392" i="1"/>
  <c r="J2392" i="1"/>
  <c r="K2391" i="1"/>
  <c r="J2391" i="1"/>
  <c r="K2390" i="1"/>
  <c r="J2390" i="1"/>
  <c r="J2389" i="1"/>
  <c r="K2389" i="1" s="1"/>
  <c r="K2388" i="1"/>
  <c r="J2388" i="1"/>
  <c r="K2387" i="1"/>
  <c r="J2387" i="1"/>
  <c r="J2386" i="1"/>
  <c r="K2386" i="1" s="1"/>
  <c r="J2385" i="1"/>
  <c r="K2385" i="1" s="1"/>
  <c r="K2384" i="1"/>
  <c r="J2384" i="1"/>
  <c r="K2383" i="1"/>
  <c r="J2383" i="1"/>
  <c r="K2382" i="1"/>
  <c r="J2382" i="1"/>
  <c r="J2381" i="1"/>
  <c r="K2381" i="1" s="1"/>
  <c r="K2380" i="1"/>
  <c r="J2380" i="1"/>
  <c r="K2379" i="1"/>
  <c r="J2379" i="1"/>
  <c r="K2378" i="1"/>
  <c r="J2378" i="1"/>
  <c r="J2377" i="1"/>
  <c r="K2377" i="1" s="1"/>
  <c r="K2376" i="1"/>
  <c r="J2376" i="1"/>
  <c r="K2375" i="1"/>
  <c r="J2375" i="1"/>
  <c r="J2374" i="1"/>
  <c r="K2374" i="1" s="1"/>
  <c r="J2373" i="1"/>
  <c r="K2373" i="1" s="1"/>
  <c r="K2372" i="1"/>
  <c r="J2372" i="1"/>
  <c r="K2371" i="1"/>
  <c r="J2371" i="1"/>
  <c r="K2370" i="1"/>
  <c r="J2370" i="1"/>
  <c r="J2369" i="1"/>
  <c r="K2369" i="1" s="1"/>
  <c r="K2368" i="1"/>
  <c r="J2368" i="1"/>
  <c r="K2367" i="1"/>
  <c r="J2367" i="1"/>
  <c r="J2366" i="1"/>
  <c r="K2366" i="1" s="1"/>
  <c r="J2365" i="1"/>
  <c r="K2365" i="1" s="1"/>
  <c r="K2364" i="1"/>
  <c r="J2364" i="1"/>
  <c r="K2363" i="1"/>
  <c r="J2363" i="1"/>
  <c r="K2362" i="1"/>
  <c r="J2362" i="1"/>
  <c r="J2361" i="1"/>
  <c r="K2361" i="1" s="1"/>
  <c r="K2360" i="1"/>
  <c r="J2360" i="1"/>
  <c r="K2359" i="1"/>
  <c r="J2359" i="1"/>
  <c r="K2358" i="1"/>
  <c r="J2358" i="1"/>
  <c r="J2357" i="1"/>
  <c r="K2357" i="1" s="1"/>
  <c r="K2356" i="1"/>
  <c r="J2356" i="1"/>
  <c r="K2355" i="1"/>
  <c r="J2355" i="1"/>
  <c r="J2354" i="1"/>
  <c r="K2354" i="1" s="1"/>
  <c r="J2353" i="1"/>
  <c r="K2353" i="1" s="1"/>
  <c r="K2352" i="1"/>
  <c r="J2352" i="1"/>
  <c r="K2351" i="1"/>
  <c r="J2351" i="1"/>
  <c r="K2350" i="1"/>
  <c r="J2350" i="1"/>
  <c r="J2349" i="1"/>
  <c r="K2349" i="1" s="1"/>
  <c r="K2348" i="1"/>
  <c r="J2348" i="1"/>
  <c r="K2347" i="1"/>
  <c r="J2347" i="1"/>
  <c r="K2346" i="1"/>
  <c r="J2346" i="1"/>
  <c r="J2345" i="1"/>
  <c r="K2345" i="1" s="1"/>
  <c r="K2344" i="1"/>
  <c r="J2344" i="1"/>
  <c r="K2343" i="1"/>
  <c r="J2343" i="1"/>
  <c r="J2342" i="1"/>
  <c r="K2342" i="1" s="1"/>
  <c r="J2341" i="1"/>
  <c r="K2341" i="1" s="1"/>
  <c r="K2340" i="1"/>
  <c r="J2340" i="1"/>
  <c r="K2339" i="1"/>
  <c r="J2339" i="1"/>
  <c r="K2338" i="1"/>
  <c r="J2338" i="1"/>
  <c r="J2337" i="1"/>
  <c r="K2337" i="1" s="1"/>
  <c r="K2336" i="1"/>
  <c r="J2336" i="1"/>
  <c r="K2335" i="1"/>
  <c r="J2335" i="1"/>
  <c r="J2334" i="1"/>
  <c r="K2334" i="1" s="1"/>
  <c r="J2333" i="1"/>
  <c r="K2333" i="1" s="1"/>
  <c r="K2332" i="1"/>
  <c r="J2332" i="1"/>
  <c r="K2331" i="1"/>
  <c r="J2331" i="1"/>
  <c r="K2330" i="1"/>
  <c r="J2330" i="1"/>
  <c r="J2329" i="1"/>
  <c r="K2329" i="1" s="1"/>
  <c r="K2328" i="1"/>
  <c r="J2328" i="1"/>
  <c r="K2327" i="1"/>
  <c r="J2327" i="1"/>
  <c r="K2326" i="1"/>
  <c r="J2326" i="1"/>
  <c r="J2325" i="1"/>
  <c r="K2325" i="1" s="1"/>
  <c r="K2324" i="1"/>
  <c r="J2324" i="1"/>
  <c r="K2323" i="1"/>
  <c r="J2323" i="1"/>
  <c r="J2322" i="1"/>
  <c r="K2322" i="1" s="1"/>
  <c r="J2321" i="1"/>
  <c r="K2321" i="1" s="1"/>
  <c r="K2320" i="1"/>
  <c r="J2320" i="1"/>
  <c r="K2319" i="1"/>
  <c r="J2319" i="1"/>
  <c r="K2318" i="1"/>
  <c r="J2318" i="1"/>
  <c r="J2317" i="1"/>
  <c r="K2317" i="1" s="1"/>
  <c r="K2316" i="1"/>
  <c r="J2316" i="1"/>
  <c r="K2315" i="1"/>
  <c r="J2315" i="1"/>
  <c r="K2314" i="1"/>
  <c r="J2314" i="1"/>
  <c r="J2313" i="1"/>
  <c r="K2313" i="1" s="1"/>
  <c r="K2312" i="1"/>
  <c r="J2312" i="1"/>
  <c r="K2311" i="1"/>
  <c r="J2311" i="1"/>
  <c r="J2310" i="1"/>
  <c r="K2310" i="1" s="1"/>
  <c r="J2309" i="1"/>
  <c r="K2309" i="1" s="1"/>
  <c r="K2308" i="1"/>
  <c r="J2308" i="1"/>
  <c r="K2307" i="1"/>
  <c r="J2307" i="1"/>
  <c r="K2306" i="1"/>
  <c r="J2306" i="1"/>
  <c r="J2305" i="1"/>
  <c r="K2305" i="1" s="1"/>
  <c r="K2304" i="1"/>
  <c r="J2304" i="1"/>
  <c r="K2303" i="1"/>
  <c r="J2303" i="1"/>
  <c r="J2302" i="1"/>
  <c r="K2302" i="1" s="1"/>
  <c r="J2301" i="1"/>
  <c r="K2301" i="1" s="1"/>
  <c r="K2300" i="1"/>
  <c r="J2300" i="1"/>
  <c r="K2299" i="1"/>
  <c r="J2299" i="1"/>
  <c r="K2298" i="1"/>
  <c r="J2298" i="1"/>
  <c r="J2297" i="1"/>
  <c r="K2297" i="1" s="1"/>
  <c r="K2296" i="1"/>
  <c r="J2296" i="1"/>
  <c r="K2295" i="1"/>
  <c r="J2295" i="1"/>
  <c r="K2294" i="1"/>
  <c r="J2294" i="1"/>
  <c r="J2293" i="1"/>
  <c r="K2293" i="1" s="1"/>
  <c r="K2292" i="1"/>
  <c r="J2292" i="1"/>
  <c r="K2291" i="1"/>
  <c r="J2291" i="1"/>
  <c r="J2290" i="1"/>
  <c r="K2290" i="1" s="1"/>
  <c r="J2289" i="1"/>
  <c r="K2289" i="1" s="1"/>
  <c r="K2288" i="1"/>
  <c r="J2288" i="1"/>
  <c r="K2287" i="1"/>
  <c r="J2287" i="1"/>
  <c r="K2286" i="1"/>
  <c r="J2286" i="1"/>
  <c r="J2285" i="1"/>
  <c r="K2285" i="1" s="1"/>
  <c r="K2284" i="1"/>
  <c r="J2284" i="1"/>
  <c r="K2283" i="1"/>
  <c r="J2283" i="1"/>
  <c r="K2282" i="1"/>
  <c r="J2282" i="1"/>
  <c r="J2281" i="1"/>
  <c r="K2281" i="1" s="1"/>
  <c r="K2280" i="1"/>
  <c r="J2280" i="1"/>
  <c r="K2279" i="1"/>
  <c r="J2279" i="1"/>
  <c r="J2278" i="1"/>
  <c r="K2278" i="1" s="1"/>
  <c r="J2277" i="1"/>
  <c r="K2277" i="1" s="1"/>
  <c r="K2276" i="1"/>
  <c r="J2276" i="1"/>
  <c r="K2275" i="1"/>
  <c r="J2275" i="1"/>
  <c r="K2274" i="1"/>
  <c r="J2274" i="1"/>
  <c r="J2273" i="1"/>
  <c r="K2273" i="1" s="1"/>
  <c r="K2272" i="1"/>
  <c r="J2272" i="1"/>
  <c r="K2271" i="1"/>
  <c r="J2271" i="1"/>
  <c r="J2270" i="1"/>
  <c r="K2270" i="1" s="1"/>
  <c r="J2269" i="1"/>
  <c r="K2269" i="1" s="1"/>
  <c r="K2268" i="1"/>
  <c r="J2268" i="1"/>
  <c r="K2267" i="1"/>
  <c r="J2267" i="1"/>
  <c r="K2266" i="1"/>
  <c r="J2266" i="1"/>
  <c r="J2265" i="1"/>
  <c r="K2265" i="1" s="1"/>
  <c r="K2264" i="1"/>
  <c r="J2264" i="1"/>
  <c r="K2263" i="1"/>
  <c r="J2263" i="1"/>
  <c r="K2262" i="1"/>
  <c r="J2262" i="1"/>
  <c r="J2261" i="1"/>
  <c r="K2261" i="1" s="1"/>
  <c r="K2260" i="1"/>
  <c r="J2260" i="1"/>
  <c r="K2259" i="1"/>
  <c r="J2259" i="1"/>
  <c r="J2258" i="1"/>
  <c r="K2258" i="1" s="1"/>
  <c r="J2257" i="1"/>
  <c r="K2257" i="1" s="1"/>
  <c r="K2256" i="1"/>
  <c r="J2256" i="1"/>
  <c r="K2255" i="1"/>
  <c r="J2255" i="1"/>
  <c r="K2254" i="1"/>
  <c r="J2254" i="1"/>
  <c r="J2253" i="1"/>
  <c r="K2253" i="1" s="1"/>
  <c r="K2252" i="1"/>
  <c r="J2252" i="1"/>
  <c r="K2251" i="1"/>
  <c r="J2251" i="1"/>
  <c r="K2250" i="1"/>
  <c r="J2250" i="1"/>
  <c r="J2249" i="1"/>
  <c r="K2249" i="1" s="1"/>
  <c r="K2248" i="1"/>
  <c r="J2248" i="1"/>
  <c r="K2247" i="1"/>
  <c r="J2247" i="1"/>
  <c r="J2246" i="1"/>
  <c r="K2246" i="1" s="1"/>
  <c r="J2245" i="1"/>
  <c r="K2245" i="1" s="1"/>
  <c r="K2244" i="1"/>
  <c r="J2244" i="1"/>
  <c r="K2243" i="1"/>
  <c r="J2243" i="1"/>
  <c r="K2242" i="1"/>
  <c r="J2242" i="1"/>
  <c r="J2241" i="1"/>
  <c r="K2241" i="1" s="1"/>
  <c r="K2240" i="1"/>
  <c r="J2240" i="1"/>
  <c r="K2239" i="1"/>
  <c r="J2239" i="1"/>
  <c r="J2238" i="1"/>
  <c r="K2238" i="1" s="1"/>
  <c r="J2237" i="1"/>
  <c r="K2237" i="1" s="1"/>
  <c r="K2236" i="1"/>
  <c r="J2236" i="1"/>
  <c r="K2235" i="1"/>
  <c r="J2235" i="1"/>
  <c r="K2234" i="1"/>
  <c r="J2234" i="1"/>
  <c r="J2233" i="1"/>
  <c r="K2233" i="1" s="1"/>
  <c r="K2232" i="1"/>
  <c r="J2232" i="1"/>
  <c r="K2231" i="1"/>
  <c r="J2231" i="1"/>
  <c r="K2230" i="1"/>
  <c r="J2230" i="1"/>
  <c r="J2229" i="1"/>
  <c r="K2229" i="1" s="1"/>
  <c r="K2228" i="1"/>
  <c r="J2228" i="1"/>
  <c r="K2227" i="1"/>
  <c r="J2227" i="1"/>
  <c r="J2226" i="1"/>
  <c r="K2226" i="1" s="1"/>
  <c r="J2225" i="1"/>
  <c r="K2225" i="1" s="1"/>
  <c r="K2224" i="1"/>
  <c r="J2224" i="1"/>
  <c r="K2223" i="1"/>
  <c r="J2223" i="1"/>
  <c r="K2222" i="1"/>
  <c r="J2222" i="1"/>
  <c r="J2221" i="1"/>
  <c r="K2221" i="1" s="1"/>
  <c r="K2220" i="1"/>
  <c r="J2220" i="1"/>
  <c r="K2219" i="1"/>
  <c r="J2219" i="1"/>
  <c r="K2218" i="1"/>
  <c r="J2218" i="1"/>
  <c r="J2217" i="1"/>
  <c r="K2217" i="1" s="1"/>
  <c r="K2216" i="1"/>
  <c r="J2216" i="1"/>
  <c r="K2215" i="1"/>
  <c r="J2215" i="1"/>
  <c r="J2214" i="1"/>
  <c r="K2214" i="1" s="1"/>
  <c r="J2213" i="1"/>
  <c r="K2213" i="1" s="1"/>
  <c r="K2212" i="1"/>
  <c r="J2212" i="1"/>
  <c r="K2211" i="1"/>
  <c r="J2211" i="1"/>
  <c r="K2210" i="1"/>
  <c r="J2210" i="1"/>
  <c r="J2209" i="1"/>
  <c r="K2209" i="1" s="1"/>
  <c r="K2208" i="1"/>
  <c r="J2208" i="1"/>
  <c r="K2207" i="1"/>
  <c r="J2207" i="1"/>
  <c r="J2206" i="1"/>
  <c r="K2206" i="1" s="1"/>
  <c r="J2205" i="1"/>
  <c r="K2205" i="1" s="1"/>
  <c r="K2204" i="1"/>
  <c r="J2204" i="1"/>
  <c r="K2203" i="1"/>
  <c r="J2203" i="1"/>
  <c r="K2202" i="1"/>
  <c r="J2202" i="1"/>
  <c r="J2201" i="1"/>
  <c r="K2201" i="1" s="1"/>
  <c r="K2200" i="1"/>
  <c r="J2200" i="1"/>
  <c r="K2199" i="1"/>
  <c r="J2199" i="1"/>
  <c r="K2198" i="1"/>
  <c r="J2198" i="1"/>
  <c r="J2197" i="1"/>
  <c r="K2197" i="1" s="1"/>
  <c r="K2196" i="1"/>
  <c r="J2196" i="1"/>
  <c r="K2195" i="1"/>
  <c r="J2195" i="1"/>
  <c r="J2194" i="1"/>
  <c r="K2194" i="1" s="1"/>
  <c r="J2193" i="1"/>
  <c r="K2193" i="1" s="1"/>
  <c r="K2192" i="1"/>
  <c r="J2192" i="1"/>
  <c r="K2191" i="1"/>
  <c r="J2191" i="1"/>
  <c r="K2190" i="1"/>
  <c r="J2190" i="1"/>
  <c r="J2189" i="1"/>
  <c r="K2189" i="1" s="1"/>
  <c r="K2188" i="1"/>
  <c r="J2188" i="1"/>
  <c r="K2187" i="1"/>
  <c r="J2187" i="1"/>
  <c r="K2186" i="1"/>
  <c r="J2186" i="1"/>
  <c r="J2185" i="1"/>
  <c r="K2185" i="1" s="1"/>
  <c r="K2184" i="1"/>
  <c r="J2184" i="1"/>
  <c r="K2183" i="1"/>
  <c r="J2183" i="1"/>
  <c r="J2182" i="1"/>
  <c r="K2182" i="1" s="1"/>
  <c r="J2181" i="1"/>
  <c r="K2181" i="1" s="1"/>
  <c r="K2180" i="1"/>
  <c r="J2180" i="1"/>
  <c r="K2179" i="1"/>
  <c r="J2179" i="1"/>
  <c r="K2178" i="1"/>
  <c r="J2178" i="1"/>
  <c r="J2177" i="1"/>
  <c r="K2177" i="1" s="1"/>
  <c r="K2176" i="1"/>
  <c r="J2176" i="1"/>
  <c r="K2175" i="1"/>
  <c r="J2175" i="1"/>
  <c r="J2174" i="1"/>
  <c r="K2174" i="1" s="1"/>
  <c r="J2173" i="1"/>
  <c r="K2173" i="1" s="1"/>
  <c r="K2172" i="1"/>
  <c r="J2172" i="1"/>
  <c r="K2171" i="1"/>
  <c r="J2171" i="1"/>
  <c r="K2170" i="1"/>
  <c r="J2170" i="1"/>
  <c r="J2169" i="1"/>
  <c r="K2169" i="1" s="1"/>
  <c r="K2168" i="1"/>
  <c r="J2168" i="1"/>
  <c r="K2167" i="1"/>
  <c r="J2167" i="1"/>
  <c r="K2166" i="1"/>
  <c r="J2166" i="1"/>
  <c r="J2165" i="1"/>
  <c r="K2165" i="1" s="1"/>
  <c r="K2164" i="1"/>
  <c r="J2164" i="1"/>
  <c r="K2163" i="1"/>
  <c r="J2163" i="1"/>
  <c r="J2162" i="1"/>
  <c r="K2162" i="1" s="1"/>
  <c r="J2161" i="1"/>
  <c r="K2161" i="1" s="1"/>
  <c r="K2160" i="1"/>
  <c r="J2160" i="1"/>
  <c r="K2159" i="1"/>
  <c r="J2159" i="1"/>
  <c r="K2158" i="1"/>
  <c r="J2158" i="1"/>
  <c r="J2157" i="1"/>
  <c r="K2157" i="1" s="1"/>
  <c r="K2156" i="1"/>
  <c r="J2156" i="1"/>
  <c r="K2155" i="1"/>
  <c r="J2155" i="1"/>
  <c r="K2154" i="1"/>
  <c r="J2154" i="1"/>
  <c r="J2153" i="1"/>
  <c r="K2153" i="1" s="1"/>
  <c r="K2152" i="1"/>
  <c r="J2152" i="1"/>
  <c r="K2151" i="1"/>
  <c r="J2151" i="1"/>
  <c r="J2150" i="1"/>
  <c r="K2150" i="1" s="1"/>
  <c r="J2149" i="1"/>
  <c r="K2149" i="1" s="1"/>
  <c r="K2148" i="1"/>
  <c r="J2148" i="1"/>
  <c r="K2147" i="1"/>
  <c r="J2147" i="1"/>
  <c r="K2146" i="1"/>
  <c r="J2146" i="1"/>
  <c r="J2145" i="1"/>
  <c r="K2145" i="1" s="1"/>
  <c r="K2144" i="1"/>
  <c r="J2144" i="1"/>
  <c r="K2143" i="1"/>
  <c r="J2143" i="1"/>
  <c r="J2142" i="1"/>
  <c r="K2142" i="1" s="1"/>
  <c r="J2141" i="1"/>
  <c r="K2141" i="1" s="1"/>
  <c r="K2140" i="1"/>
  <c r="J2140" i="1"/>
  <c r="K2139" i="1"/>
  <c r="J2139" i="1"/>
  <c r="K2138" i="1"/>
  <c r="J2138" i="1"/>
  <c r="J2137" i="1"/>
  <c r="K2137" i="1" s="1"/>
  <c r="K2136" i="1"/>
  <c r="J2136" i="1"/>
  <c r="K2135" i="1"/>
  <c r="J2135" i="1"/>
  <c r="K2134" i="1"/>
  <c r="J2134" i="1"/>
  <c r="J2133" i="1"/>
  <c r="K2133" i="1" s="1"/>
  <c r="K2132" i="1"/>
  <c r="J2132" i="1"/>
  <c r="K2131" i="1"/>
  <c r="J2131" i="1"/>
  <c r="J2130" i="1"/>
  <c r="K2130" i="1" s="1"/>
  <c r="J2129" i="1"/>
  <c r="K2129" i="1" s="1"/>
  <c r="K2128" i="1"/>
  <c r="J2128" i="1"/>
  <c r="K2127" i="1"/>
  <c r="J2127" i="1"/>
  <c r="K2126" i="1"/>
  <c r="J2126" i="1"/>
  <c r="J2125" i="1"/>
  <c r="K2125" i="1" s="1"/>
  <c r="K2124" i="1"/>
  <c r="J2124" i="1"/>
  <c r="K2123" i="1"/>
  <c r="J2123" i="1"/>
  <c r="K2122" i="1"/>
  <c r="J2122" i="1"/>
  <c r="J2121" i="1"/>
  <c r="K2121" i="1" s="1"/>
  <c r="K2120" i="1"/>
  <c r="J2120" i="1"/>
  <c r="K2119" i="1"/>
  <c r="J2119" i="1"/>
  <c r="J2118" i="1"/>
  <c r="K2118" i="1" s="1"/>
  <c r="J2117" i="1"/>
  <c r="K2117" i="1" s="1"/>
  <c r="K2116" i="1"/>
  <c r="J2116" i="1"/>
  <c r="K2115" i="1"/>
  <c r="J2115" i="1"/>
  <c r="K2114" i="1"/>
  <c r="J2114" i="1"/>
  <c r="J2113" i="1"/>
  <c r="K2113" i="1" s="1"/>
  <c r="K2112" i="1"/>
  <c r="J2112" i="1"/>
  <c r="K2111" i="1"/>
  <c r="J2111" i="1"/>
  <c r="J2110" i="1"/>
  <c r="K2110" i="1" s="1"/>
  <c r="J2109" i="1"/>
  <c r="K2109" i="1" s="1"/>
  <c r="K2108" i="1"/>
  <c r="J2108" i="1"/>
  <c r="K2107" i="1"/>
  <c r="J2107" i="1"/>
  <c r="K2106" i="1"/>
  <c r="J2106" i="1"/>
  <c r="J2105" i="1"/>
  <c r="K2105" i="1" s="1"/>
  <c r="K2104" i="1"/>
  <c r="J2104" i="1"/>
  <c r="K2103" i="1"/>
  <c r="J2103" i="1"/>
  <c r="K2102" i="1"/>
  <c r="J2102" i="1"/>
  <c r="J2101" i="1"/>
  <c r="K2101" i="1" s="1"/>
  <c r="K2100" i="1"/>
  <c r="J2100" i="1"/>
  <c r="K2099" i="1"/>
  <c r="J2099" i="1"/>
  <c r="J2098" i="1"/>
  <c r="K2098" i="1" s="1"/>
  <c r="J2097" i="1"/>
  <c r="K2097" i="1" s="1"/>
  <c r="K2096" i="1"/>
  <c r="J2096" i="1"/>
  <c r="K2095" i="1"/>
  <c r="J2095" i="1"/>
  <c r="K2094" i="1"/>
  <c r="J2094" i="1"/>
  <c r="J2093" i="1"/>
  <c r="K2093" i="1" s="1"/>
  <c r="K2092" i="1"/>
  <c r="J2092" i="1"/>
  <c r="K2091" i="1"/>
  <c r="J2091" i="1"/>
  <c r="K2090" i="1"/>
  <c r="J2090" i="1"/>
  <c r="J2089" i="1"/>
  <c r="K2089" i="1" s="1"/>
  <c r="K2088" i="1"/>
  <c r="J2088" i="1"/>
  <c r="K2087" i="1"/>
  <c r="J2087" i="1"/>
  <c r="J2086" i="1"/>
  <c r="K2086" i="1" s="1"/>
  <c r="J2085" i="1"/>
  <c r="K2085" i="1" s="1"/>
  <c r="K2084" i="1"/>
  <c r="J2084" i="1"/>
  <c r="K2083" i="1"/>
  <c r="J2083" i="1"/>
  <c r="K2082" i="1"/>
  <c r="J2082" i="1"/>
  <c r="J2081" i="1"/>
  <c r="K2081" i="1" s="1"/>
  <c r="K2080" i="1"/>
  <c r="J2080" i="1"/>
  <c r="K2079" i="1"/>
  <c r="J2079" i="1"/>
  <c r="J2078" i="1"/>
  <c r="K2078" i="1" s="1"/>
  <c r="J2077" i="1"/>
  <c r="K2077" i="1" s="1"/>
  <c r="K2076" i="1"/>
  <c r="J2076" i="1"/>
  <c r="K2075" i="1"/>
  <c r="J2075" i="1"/>
  <c r="K2074" i="1"/>
  <c r="J2074" i="1"/>
  <c r="J2073" i="1"/>
  <c r="K2073" i="1" s="1"/>
  <c r="K2072" i="1"/>
  <c r="J2072" i="1"/>
  <c r="K2071" i="1"/>
  <c r="J2071" i="1"/>
  <c r="J2070" i="1"/>
  <c r="K2070" i="1" s="1"/>
  <c r="J2069" i="1"/>
  <c r="K2069" i="1" s="1"/>
  <c r="K2068" i="1"/>
  <c r="J2068" i="1"/>
  <c r="K2067" i="1"/>
  <c r="J2067" i="1"/>
  <c r="J2066" i="1"/>
  <c r="K2066" i="1" s="1"/>
  <c r="J2065" i="1"/>
  <c r="K2065" i="1" s="1"/>
  <c r="K2064" i="1"/>
  <c r="J2064" i="1"/>
  <c r="K2063" i="1"/>
  <c r="J2063" i="1"/>
  <c r="K2062" i="1"/>
  <c r="J2062" i="1"/>
  <c r="J2061" i="1"/>
  <c r="K2061" i="1" s="1"/>
  <c r="K2060" i="1"/>
  <c r="J2060" i="1"/>
  <c r="K2059" i="1"/>
  <c r="J2059" i="1"/>
  <c r="K2058" i="1"/>
  <c r="J2058" i="1"/>
  <c r="J2057" i="1"/>
  <c r="K2057" i="1" s="1"/>
  <c r="K2056" i="1"/>
  <c r="J2056" i="1"/>
  <c r="K2055" i="1"/>
  <c r="J2055" i="1"/>
  <c r="J2054" i="1"/>
  <c r="K2054" i="1" s="1"/>
  <c r="J2053" i="1"/>
  <c r="K2053" i="1" s="1"/>
  <c r="K2052" i="1"/>
  <c r="J2052" i="1"/>
  <c r="K2051" i="1"/>
  <c r="J2051" i="1"/>
  <c r="K2050" i="1"/>
  <c r="J2050" i="1"/>
  <c r="J2049" i="1"/>
  <c r="K2049" i="1" s="1"/>
  <c r="K2048" i="1"/>
  <c r="J2048" i="1"/>
  <c r="K2047" i="1"/>
  <c r="J2047" i="1"/>
  <c r="J2046" i="1"/>
  <c r="K2046" i="1" s="1"/>
  <c r="J2045" i="1"/>
  <c r="K2045" i="1" s="1"/>
  <c r="K2044" i="1"/>
  <c r="J2044" i="1"/>
  <c r="K2043" i="1"/>
  <c r="J2043" i="1"/>
  <c r="K2042" i="1"/>
  <c r="J2042" i="1"/>
  <c r="J2041" i="1"/>
  <c r="K2041" i="1" s="1"/>
  <c r="K2040" i="1"/>
  <c r="J2040" i="1"/>
  <c r="K2039" i="1"/>
  <c r="J2039" i="1"/>
  <c r="J2038" i="1"/>
  <c r="K2038" i="1" s="1"/>
  <c r="J2037" i="1"/>
  <c r="K2037" i="1" s="1"/>
  <c r="K2036" i="1"/>
  <c r="J2036" i="1"/>
  <c r="K2035" i="1"/>
  <c r="J2035" i="1"/>
  <c r="J2034" i="1"/>
  <c r="K2034" i="1" s="1"/>
  <c r="J2033" i="1"/>
  <c r="K2033" i="1" s="1"/>
  <c r="K2032" i="1"/>
  <c r="J2032" i="1"/>
  <c r="K2031" i="1"/>
  <c r="J2031" i="1"/>
  <c r="K2030" i="1"/>
  <c r="J2030" i="1"/>
  <c r="J2029" i="1"/>
  <c r="K2029" i="1" s="1"/>
  <c r="K2028" i="1"/>
  <c r="J2028" i="1"/>
  <c r="K2027" i="1"/>
  <c r="J2027" i="1"/>
  <c r="K2026" i="1"/>
  <c r="J2026" i="1"/>
  <c r="J2025" i="1"/>
  <c r="K2025" i="1" s="1"/>
  <c r="K2024" i="1"/>
  <c r="J2024" i="1"/>
  <c r="K2023" i="1"/>
  <c r="J2023" i="1"/>
  <c r="J2022" i="1"/>
  <c r="K2022" i="1" s="1"/>
  <c r="J2021" i="1"/>
  <c r="K2021" i="1" s="1"/>
  <c r="K2020" i="1"/>
  <c r="J2020" i="1"/>
  <c r="K2019" i="1"/>
  <c r="J2019" i="1"/>
  <c r="K2018" i="1"/>
  <c r="J2018" i="1"/>
  <c r="J2017" i="1"/>
  <c r="K2017" i="1" s="1"/>
  <c r="K2016" i="1"/>
  <c r="J2016" i="1"/>
  <c r="K2015" i="1"/>
  <c r="J2015" i="1"/>
  <c r="J2014" i="1"/>
  <c r="K2014" i="1" s="1"/>
  <c r="J2013" i="1"/>
  <c r="K2013" i="1" s="1"/>
  <c r="K2012" i="1"/>
  <c r="J2012" i="1"/>
  <c r="K2011" i="1"/>
  <c r="J2011" i="1"/>
  <c r="K2010" i="1"/>
  <c r="J2010" i="1"/>
  <c r="J2009" i="1"/>
  <c r="K2009" i="1" s="1"/>
  <c r="K2008" i="1"/>
  <c r="J2008" i="1"/>
  <c r="K2007" i="1"/>
  <c r="J2007" i="1"/>
  <c r="J2006" i="1"/>
  <c r="K2006" i="1" s="1"/>
  <c r="J2005" i="1"/>
  <c r="K2005" i="1" s="1"/>
  <c r="K2004" i="1"/>
  <c r="J2004" i="1"/>
  <c r="K2003" i="1"/>
  <c r="J2003" i="1"/>
  <c r="J2002" i="1"/>
  <c r="K2002" i="1" s="1"/>
  <c r="J2001" i="1"/>
  <c r="K2001" i="1" s="1"/>
  <c r="K2000" i="1"/>
  <c r="J2000" i="1"/>
  <c r="K1999" i="1"/>
  <c r="J1999" i="1"/>
  <c r="K1998" i="1"/>
  <c r="J1998" i="1"/>
  <c r="J1997" i="1"/>
  <c r="K1997" i="1" s="1"/>
  <c r="K1996" i="1"/>
  <c r="J1996" i="1"/>
  <c r="K1995" i="1"/>
  <c r="J1995" i="1"/>
  <c r="K1994" i="1"/>
  <c r="J1994" i="1"/>
  <c r="J1993" i="1"/>
  <c r="K1993" i="1" s="1"/>
  <c r="K1992" i="1"/>
  <c r="J1992" i="1"/>
  <c r="K1991" i="1"/>
  <c r="J1991" i="1"/>
  <c r="J1990" i="1"/>
  <c r="K1990" i="1" s="1"/>
  <c r="J1989" i="1"/>
  <c r="K1989" i="1" s="1"/>
  <c r="K1988" i="1"/>
  <c r="J1988" i="1"/>
  <c r="K1987" i="1"/>
  <c r="J1987" i="1"/>
  <c r="K1986" i="1"/>
  <c r="J1986" i="1"/>
  <c r="J1985" i="1"/>
  <c r="K1985" i="1" s="1"/>
  <c r="K1984" i="1"/>
  <c r="J1984" i="1"/>
  <c r="K1983" i="1"/>
  <c r="J1983" i="1"/>
  <c r="J1982" i="1"/>
  <c r="K1982" i="1" s="1"/>
  <c r="J1981" i="1"/>
  <c r="K1981" i="1" s="1"/>
  <c r="K1980" i="1"/>
  <c r="J1980" i="1"/>
  <c r="K1979" i="1"/>
  <c r="J1979" i="1"/>
  <c r="K1978" i="1"/>
  <c r="J1978" i="1"/>
  <c r="J1977" i="1"/>
  <c r="K1977" i="1" s="1"/>
  <c r="K1976" i="1"/>
  <c r="J1976" i="1"/>
  <c r="K1975" i="1"/>
  <c r="J1975" i="1"/>
  <c r="J1974" i="1"/>
  <c r="K1974" i="1" s="1"/>
  <c r="J1973" i="1"/>
  <c r="K1973" i="1" s="1"/>
  <c r="K1972" i="1"/>
  <c r="J1972" i="1"/>
  <c r="K1971" i="1"/>
  <c r="J1971" i="1"/>
  <c r="J1970" i="1"/>
  <c r="K1970" i="1" s="1"/>
  <c r="J1969" i="1"/>
  <c r="K1969" i="1" s="1"/>
  <c r="K1968" i="1"/>
  <c r="J1968" i="1"/>
  <c r="K1967" i="1"/>
  <c r="J1967" i="1"/>
  <c r="K1966" i="1"/>
  <c r="J1966" i="1"/>
  <c r="J1965" i="1"/>
  <c r="K1965" i="1" s="1"/>
  <c r="K1964" i="1"/>
  <c r="J1964" i="1"/>
  <c r="K1963" i="1"/>
  <c r="J1963" i="1"/>
  <c r="K1962" i="1"/>
  <c r="J1962" i="1"/>
  <c r="J1961" i="1"/>
  <c r="K1961" i="1" s="1"/>
  <c r="K1960" i="1"/>
  <c r="J1960" i="1"/>
  <c r="K1959" i="1"/>
  <c r="J1959" i="1"/>
  <c r="J1958" i="1"/>
  <c r="K1958" i="1" s="1"/>
  <c r="J1957" i="1"/>
  <c r="K1957" i="1" s="1"/>
  <c r="K1956" i="1"/>
  <c r="J1956" i="1"/>
  <c r="K1955" i="1"/>
  <c r="J1955" i="1"/>
  <c r="K1954" i="1"/>
  <c r="J1954" i="1"/>
  <c r="J1953" i="1"/>
  <c r="K1953" i="1" s="1"/>
  <c r="K1952" i="1"/>
  <c r="J1952" i="1"/>
  <c r="K1951" i="1"/>
  <c r="J1951" i="1"/>
  <c r="K1950" i="1"/>
  <c r="J1950" i="1"/>
  <c r="J1949" i="1"/>
  <c r="K1949" i="1" s="1"/>
  <c r="K1948" i="1"/>
  <c r="J1948" i="1"/>
  <c r="K1947" i="1"/>
  <c r="J1947" i="1"/>
  <c r="K1946" i="1"/>
  <c r="J1946" i="1"/>
  <c r="J1945" i="1"/>
  <c r="K1945" i="1" s="1"/>
  <c r="K1944" i="1"/>
  <c r="J1944" i="1"/>
  <c r="K1943" i="1"/>
  <c r="J1943" i="1"/>
  <c r="J1942" i="1"/>
  <c r="K1942" i="1" s="1"/>
  <c r="J1941" i="1"/>
  <c r="K1941" i="1" s="1"/>
  <c r="K1940" i="1"/>
  <c r="J1940" i="1"/>
  <c r="K1939" i="1"/>
  <c r="J1939" i="1"/>
  <c r="J1938" i="1"/>
  <c r="K1938" i="1" s="1"/>
  <c r="J1937" i="1"/>
  <c r="K1937" i="1" s="1"/>
  <c r="K1936" i="1"/>
  <c r="J1936" i="1"/>
  <c r="K1935" i="1"/>
  <c r="J1935" i="1"/>
  <c r="K1934" i="1"/>
  <c r="J1934" i="1"/>
  <c r="J1933" i="1"/>
  <c r="K1933" i="1" s="1"/>
  <c r="K1932" i="1"/>
  <c r="J1932" i="1"/>
  <c r="K1931" i="1"/>
  <c r="J1931" i="1"/>
  <c r="K1930" i="1"/>
  <c r="J1930" i="1"/>
  <c r="J1929" i="1"/>
  <c r="K1929" i="1" s="1"/>
  <c r="K1928" i="1"/>
  <c r="J1928" i="1"/>
  <c r="K1927" i="1"/>
  <c r="J1927" i="1"/>
  <c r="J1926" i="1"/>
  <c r="K1926" i="1" s="1"/>
  <c r="J1925" i="1"/>
  <c r="K1925" i="1" s="1"/>
  <c r="K1924" i="1"/>
  <c r="J1924" i="1"/>
  <c r="K1923" i="1"/>
  <c r="J1923" i="1"/>
  <c r="K1922" i="1"/>
  <c r="J1922" i="1"/>
  <c r="J1921" i="1"/>
  <c r="K1921" i="1" s="1"/>
  <c r="K1920" i="1"/>
  <c r="J1920" i="1"/>
  <c r="K1919" i="1"/>
  <c r="J1919" i="1"/>
  <c r="K1918" i="1"/>
  <c r="J1918" i="1"/>
  <c r="J1917" i="1"/>
  <c r="K1917" i="1" s="1"/>
  <c r="K1916" i="1"/>
  <c r="J1916" i="1"/>
  <c r="K1915" i="1"/>
  <c r="J1915" i="1"/>
  <c r="K1914" i="1"/>
  <c r="J1914" i="1"/>
  <c r="J1913" i="1"/>
  <c r="K1913" i="1" s="1"/>
  <c r="K1912" i="1"/>
  <c r="J1912" i="1"/>
  <c r="K1911" i="1"/>
  <c r="J1911" i="1"/>
  <c r="J1910" i="1"/>
  <c r="K1910" i="1" s="1"/>
  <c r="J1909" i="1"/>
  <c r="K1909" i="1" s="1"/>
  <c r="K1908" i="1"/>
  <c r="J1908" i="1"/>
  <c r="K1907" i="1"/>
  <c r="J1907" i="1"/>
  <c r="J1906" i="1"/>
  <c r="K1906" i="1" s="1"/>
  <c r="J1905" i="1"/>
  <c r="K1905" i="1" s="1"/>
  <c r="K1904" i="1"/>
  <c r="J1904" i="1"/>
  <c r="K1903" i="1"/>
  <c r="J1903" i="1"/>
  <c r="K1902" i="1"/>
  <c r="J1902" i="1"/>
  <c r="J1901" i="1"/>
  <c r="K1901" i="1" s="1"/>
  <c r="K1900" i="1"/>
  <c r="J1900" i="1"/>
  <c r="K1899" i="1"/>
  <c r="J1899" i="1"/>
  <c r="K1898" i="1"/>
  <c r="J1898" i="1"/>
  <c r="J1897" i="1"/>
  <c r="K1897" i="1" s="1"/>
  <c r="K1896" i="1"/>
  <c r="J1896" i="1"/>
  <c r="K1895" i="1"/>
  <c r="J1895" i="1"/>
  <c r="J1894" i="1"/>
  <c r="K1894" i="1" s="1"/>
  <c r="J1893" i="1"/>
  <c r="K1893" i="1" s="1"/>
  <c r="K1892" i="1"/>
  <c r="J1892" i="1"/>
  <c r="K1891" i="1"/>
  <c r="J1891" i="1"/>
  <c r="K1890" i="1"/>
  <c r="J1890" i="1"/>
  <c r="J1889" i="1"/>
  <c r="K1889" i="1" s="1"/>
  <c r="K1888" i="1"/>
  <c r="J1888" i="1"/>
  <c r="K1887" i="1"/>
  <c r="J1887" i="1"/>
  <c r="K1886" i="1"/>
  <c r="J1886" i="1"/>
  <c r="J1885" i="1"/>
  <c r="K1885" i="1" s="1"/>
  <c r="K1884" i="1"/>
  <c r="J1884" i="1"/>
  <c r="K1883" i="1"/>
  <c r="J1883" i="1"/>
  <c r="J1882" i="1"/>
  <c r="K1882" i="1" s="1"/>
  <c r="J1881" i="1"/>
  <c r="K1881" i="1" s="1"/>
  <c r="K1880" i="1"/>
  <c r="J1880" i="1"/>
  <c r="K1879" i="1"/>
  <c r="J1879" i="1"/>
  <c r="J1878" i="1"/>
  <c r="K1878" i="1" s="1"/>
  <c r="J1877" i="1"/>
  <c r="K1877" i="1" s="1"/>
  <c r="K1876" i="1"/>
  <c r="J1876" i="1"/>
  <c r="K1875" i="1"/>
  <c r="J1875" i="1"/>
  <c r="J1874" i="1"/>
  <c r="K1874" i="1" s="1"/>
  <c r="J1873" i="1"/>
  <c r="K1873" i="1" s="1"/>
  <c r="K1872" i="1"/>
  <c r="J1872" i="1"/>
  <c r="K1871" i="1"/>
  <c r="J1871" i="1"/>
  <c r="K1870" i="1"/>
  <c r="J1870" i="1"/>
  <c r="J1869" i="1"/>
  <c r="K1869" i="1" s="1"/>
  <c r="K1868" i="1"/>
  <c r="J1868" i="1"/>
  <c r="K1867" i="1"/>
  <c r="J1867" i="1"/>
  <c r="K1866" i="1"/>
  <c r="J1866" i="1"/>
  <c r="J1865" i="1"/>
  <c r="K1865" i="1" s="1"/>
  <c r="K1864" i="1"/>
  <c r="J1864" i="1"/>
  <c r="K1863" i="1"/>
  <c r="J1863" i="1"/>
  <c r="J1862" i="1"/>
  <c r="K1862" i="1" s="1"/>
  <c r="J1861" i="1"/>
  <c r="K1861" i="1" s="1"/>
  <c r="K1860" i="1"/>
  <c r="J1860" i="1"/>
  <c r="K1859" i="1"/>
  <c r="J1859" i="1"/>
  <c r="K1858" i="1"/>
  <c r="J1858" i="1"/>
  <c r="J1857" i="1"/>
  <c r="K1857" i="1" s="1"/>
  <c r="K1856" i="1"/>
  <c r="J1856" i="1"/>
  <c r="K1855" i="1"/>
  <c r="J1855" i="1"/>
  <c r="K1854" i="1"/>
  <c r="J1854" i="1"/>
  <c r="J1853" i="1"/>
  <c r="K1853" i="1" s="1"/>
  <c r="K1852" i="1"/>
  <c r="J1852" i="1"/>
  <c r="K1851" i="1"/>
  <c r="J1851" i="1"/>
  <c r="J1850" i="1"/>
  <c r="K1850" i="1" s="1"/>
  <c r="J1849" i="1"/>
  <c r="K1849" i="1" s="1"/>
  <c r="K1848" i="1"/>
  <c r="J1848" i="1"/>
  <c r="K1847" i="1"/>
  <c r="J1847" i="1"/>
  <c r="J1846" i="1"/>
  <c r="K1846" i="1" s="1"/>
  <c r="J1845" i="1"/>
  <c r="K1845" i="1" s="1"/>
  <c r="K1844" i="1"/>
  <c r="J1844" i="1"/>
  <c r="K1843" i="1"/>
  <c r="J1843" i="1"/>
  <c r="J1842" i="1"/>
  <c r="K1842" i="1" s="1"/>
  <c r="J1841" i="1"/>
  <c r="K1841" i="1" s="1"/>
  <c r="K1840" i="1"/>
  <c r="J1840" i="1"/>
  <c r="K1839" i="1"/>
  <c r="J1839" i="1"/>
  <c r="K1838" i="1"/>
  <c r="J1838" i="1"/>
  <c r="J1837" i="1"/>
  <c r="K1837" i="1" s="1"/>
  <c r="K1836" i="1"/>
  <c r="J1836" i="1"/>
  <c r="K1835" i="1"/>
  <c r="J1835" i="1"/>
  <c r="K1834" i="1"/>
  <c r="J1834" i="1"/>
  <c r="J1833" i="1"/>
  <c r="K1833" i="1" s="1"/>
  <c r="K1832" i="1"/>
  <c r="J1832" i="1"/>
  <c r="K1831" i="1"/>
  <c r="J1831" i="1"/>
  <c r="J1830" i="1"/>
  <c r="K1830" i="1" s="1"/>
  <c r="K1829" i="1"/>
  <c r="J1829" i="1"/>
  <c r="K1828" i="1"/>
  <c r="J1828" i="1"/>
  <c r="K1827" i="1"/>
  <c r="J1827" i="1"/>
  <c r="J1826" i="1"/>
  <c r="K1826" i="1" s="1"/>
  <c r="K1825" i="1"/>
  <c r="J1825" i="1"/>
  <c r="K1824" i="1"/>
  <c r="J1824" i="1"/>
  <c r="K1823" i="1"/>
  <c r="J1823" i="1"/>
  <c r="J1822" i="1"/>
  <c r="K1822" i="1" s="1"/>
  <c r="K1821" i="1"/>
  <c r="J1821" i="1"/>
  <c r="K1820" i="1"/>
  <c r="J1820" i="1"/>
  <c r="K1819" i="1"/>
  <c r="J1819" i="1"/>
  <c r="J1818" i="1"/>
  <c r="K1818" i="1" s="1"/>
  <c r="K1817" i="1"/>
  <c r="J1817" i="1"/>
  <c r="K1816" i="1"/>
  <c r="J1816" i="1"/>
  <c r="K1815" i="1"/>
  <c r="J1815" i="1"/>
  <c r="J1814" i="1"/>
  <c r="K1814" i="1" s="1"/>
  <c r="K1813" i="1"/>
  <c r="J1813" i="1"/>
  <c r="K1812" i="1"/>
  <c r="J1812" i="1"/>
  <c r="K1811" i="1"/>
  <c r="J1811" i="1"/>
  <c r="J1810" i="1"/>
  <c r="K1810" i="1" s="1"/>
  <c r="K1809" i="1"/>
  <c r="J1809" i="1"/>
  <c r="K1808" i="1"/>
  <c r="J1808" i="1"/>
  <c r="K1807" i="1"/>
  <c r="J1807" i="1"/>
  <c r="J1806" i="1"/>
  <c r="K1806" i="1" s="1"/>
  <c r="K1805" i="1"/>
  <c r="J1805" i="1"/>
  <c r="K1804" i="1"/>
  <c r="J1804" i="1"/>
  <c r="K1803" i="1"/>
  <c r="J1803" i="1"/>
  <c r="J1802" i="1"/>
  <c r="K1802" i="1" s="1"/>
  <c r="K1801" i="1"/>
  <c r="J1801" i="1"/>
  <c r="K1800" i="1"/>
  <c r="J1800" i="1"/>
  <c r="K1799" i="1"/>
  <c r="J1799" i="1"/>
  <c r="J1798" i="1"/>
  <c r="K1798" i="1" s="1"/>
  <c r="K1797" i="1"/>
  <c r="J1797" i="1"/>
  <c r="K1796" i="1"/>
  <c r="J1796" i="1"/>
  <c r="K1795" i="1"/>
  <c r="J1795" i="1"/>
  <c r="J1794" i="1"/>
  <c r="K1794" i="1" s="1"/>
  <c r="K1793" i="1"/>
  <c r="J1793" i="1"/>
  <c r="K1792" i="1"/>
  <c r="J1792" i="1"/>
  <c r="K1791" i="1"/>
  <c r="J1791" i="1"/>
  <c r="J1790" i="1"/>
  <c r="K1790" i="1" s="1"/>
  <c r="K1789" i="1"/>
  <c r="J1789" i="1"/>
  <c r="K1788" i="1"/>
  <c r="J1788" i="1"/>
  <c r="K1787" i="1"/>
  <c r="J1787" i="1"/>
  <c r="J1786" i="1"/>
  <c r="K1786" i="1" s="1"/>
  <c r="K1785" i="1"/>
  <c r="J1785" i="1"/>
  <c r="K1784" i="1"/>
  <c r="J1784" i="1"/>
  <c r="K1783" i="1"/>
  <c r="J1783" i="1"/>
  <c r="J1782" i="1"/>
  <c r="K1782" i="1" s="1"/>
  <c r="K1781" i="1"/>
  <c r="J1781" i="1"/>
  <c r="K1780" i="1"/>
  <c r="J1780" i="1"/>
  <c r="K1779" i="1"/>
  <c r="J1779" i="1"/>
  <c r="J1778" i="1"/>
  <c r="K1778" i="1" s="1"/>
  <c r="K1777" i="1"/>
  <c r="J1777" i="1"/>
  <c r="K1776" i="1"/>
  <c r="J1776" i="1"/>
  <c r="K1775" i="1"/>
  <c r="J1775" i="1"/>
  <c r="J1774" i="1"/>
  <c r="K1774" i="1" s="1"/>
  <c r="K1773" i="1"/>
  <c r="J1773" i="1"/>
  <c r="K1772" i="1"/>
  <c r="J1772" i="1"/>
  <c r="K1771" i="1"/>
  <c r="J1771" i="1"/>
  <c r="J1770" i="1"/>
  <c r="K1770" i="1" s="1"/>
  <c r="K1769" i="1"/>
  <c r="J1769" i="1"/>
  <c r="K1768" i="1"/>
  <c r="J1768" i="1"/>
  <c r="K1767" i="1"/>
  <c r="J1767" i="1"/>
  <c r="J1766" i="1"/>
  <c r="K1766" i="1" s="1"/>
  <c r="K1765" i="1"/>
  <c r="J1765" i="1"/>
  <c r="K1764" i="1"/>
  <c r="J1764" i="1"/>
  <c r="K1763" i="1"/>
  <c r="J1763" i="1"/>
  <c r="J1762" i="1"/>
  <c r="K1762" i="1" s="1"/>
  <c r="K1761" i="1"/>
  <c r="J1761" i="1"/>
  <c r="K1760" i="1"/>
  <c r="J1760" i="1"/>
  <c r="K1759" i="1"/>
  <c r="J1759" i="1"/>
  <c r="J1758" i="1"/>
  <c r="K1758" i="1" s="1"/>
  <c r="K1757" i="1"/>
  <c r="J1757" i="1"/>
  <c r="K1756" i="1"/>
  <c r="J1756" i="1"/>
  <c r="K1755" i="1"/>
  <c r="J1755" i="1"/>
  <c r="J1754" i="1"/>
  <c r="K1754" i="1" s="1"/>
  <c r="K1753" i="1"/>
  <c r="J1753" i="1"/>
  <c r="K1752" i="1"/>
  <c r="J1752" i="1"/>
  <c r="K1751" i="1"/>
  <c r="J1751" i="1"/>
  <c r="J1750" i="1"/>
  <c r="K1750" i="1" s="1"/>
  <c r="K1749" i="1"/>
  <c r="J1749" i="1"/>
  <c r="K1748" i="1"/>
  <c r="J1748" i="1"/>
  <c r="K1747" i="1"/>
  <c r="J1747" i="1"/>
  <c r="J1746" i="1"/>
  <c r="K1746" i="1" s="1"/>
  <c r="K1745" i="1"/>
  <c r="J1745" i="1"/>
  <c r="K1744" i="1"/>
  <c r="J1744" i="1"/>
  <c r="K1743" i="1"/>
  <c r="J1743" i="1"/>
  <c r="J1742" i="1"/>
  <c r="K1742" i="1" s="1"/>
  <c r="K1741" i="1"/>
  <c r="J1741" i="1"/>
  <c r="K1740" i="1"/>
  <c r="J1740" i="1"/>
  <c r="K1739" i="1"/>
  <c r="J1739" i="1"/>
  <c r="J1738" i="1"/>
  <c r="K1738" i="1" s="1"/>
  <c r="K1737" i="1"/>
  <c r="J1737" i="1"/>
  <c r="K1736" i="1"/>
  <c r="J1736" i="1"/>
  <c r="K1735" i="1"/>
  <c r="J1735" i="1"/>
  <c r="J1734" i="1"/>
  <c r="K1734" i="1" s="1"/>
  <c r="K1733" i="1"/>
  <c r="J1733" i="1"/>
  <c r="K1732" i="1"/>
  <c r="J1732" i="1"/>
  <c r="K1731" i="1"/>
  <c r="J1731" i="1"/>
  <c r="J1730" i="1"/>
  <c r="K1730" i="1" s="1"/>
  <c r="K1729" i="1"/>
  <c r="J1729" i="1"/>
  <c r="K1728" i="1"/>
  <c r="J1728" i="1"/>
  <c r="K1727" i="1"/>
  <c r="J1727" i="1"/>
  <c r="J1726" i="1"/>
  <c r="K1726" i="1" s="1"/>
  <c r="K1725" i="1"/>
  <c r="J1725" i="1"/>
  <c r="K1724" i="1"/>
  <c r="J1724" i="1"/>
  <c r="K1723" i="1"/>
  <c r="J1723" i="1"/>
  <c r="J1722" i="1"/>
  <c r="K1722" i="1" s="1"/>
  <c r="K1721" i="1"/>
  <c r="J1721" i="1"/>
  <c r="K1720" i="1"/>
  <c r="J1720" i="1"/>
  <c r="K1719" i="1"/>
  <c r="J1719" i="1"/>
  <c r="J1718" i="1"/>
  <c r="K1718" i="1" s="1"/>
  <c r="K1717" i="1"/>
  <c r="J1717" i="1"/>
  <c r="K1716" i="1"/>
  <c r="J1716" i="1"/>
  <c r="K1715" i="1"/>
  <c r="J1715" i="1"/>
  <c r="J1714" i="1"/>
  <c r="K1714" i="1" s="1"/>
  <c r="K1713" i="1"/>
  <c r="J1713" i="1"/>
  <c r="K1712" i="1"/>
  <c r="J1712" i="1"/>
  <c r="K1711" i="1"/>
  <c r="J1711" i="1"/>
  <c r="J1710" i="1"/>
  <c r="K1710" i="1" s="1"/>
  <c r="K1709" i="1"/>
  <c r="J1709" i="1"/>
  <c r="K1708" i="1"/>
  <c r="J1708" i="1"/>
  <c r="K1707" i="1"/>
  <c r="J1707" i="1"/>
  <c r="J1706" i="1"/>
  <c r="K1706" i="1" s="1"/>
  <c r="K1705" i="1"/>
  <c r="J1705" i="1"/>
  <c r="K1704" i="1"/>
  <c r="J1704" i="1"/>
  <c r="K1703" i="1"/>
  <c r="J1703" i="1"/>
  <c r="J1702" i="1"/>
  <c r="K1702" i="1" s="1"/>
  <c r="K1701" i="1"/>
  <c r="J1701" i="1"/>
  <c r="K1700" i="1"/>
  <c r="J1700" i="1"/>
  <c r="K1699" i="1"/>
  <c r="J1699" i="1"/>
  <c r="J1698" i="1"/>
  <c r="K1698" i="1" s="1"/>
  <c r="K1697" i="1"/>
  <c r="J1697" i="1"/>
  <c r="K1696" i="1"/>
  <c r="J1696" i="1"/>
  <c r="K1695" i="1"/>
  <c r="J1695" i="1"/>
  <c r="J1694" i="1"/>
  <c r="K1694" i="1" s="1"/>
  <c r="K1693" i="1"/>
  <c r="J1693" i="1"/>
  <c r="K1692" i="1"/>
  <c r="J1692" i="1"/>
  <c r="K1691" i="1"/>
  <c r="J1691" i="1"/>
  <c r="J1690" i="1"/>
  <c r="K1690" i="1" s="1"/>
  <c r="K1689" i="1"/>
  <c r="J1689" i="1"/>
  <c r="K1688" i="1"/>
  <c r="J1688" i="1"/>
  <c r="K1687" i="1"/>
  <c r="J1687" i="1"/>
  <c r="J1686" i="1"/>
  <c r="K1686" i="1" s="1"/>
  <c r="K1685" i="1"/>
  <c r="J1685" i="1"/>
  <c r="K1684" i="1"/>
  <c r="J1684" i="1"/>
  <c r="K1683" i="1"/>
  <c r="J1683" i="1"/>
  <c r="J1682" i="1"/>
  <c r="K1682" i="1" s="1"/>
  <c r="K1681" i="1"/>
  <c r="J1681" i="1"/>
  <c r="K1680" i="1"/>
  <c r="J1680" i="1"/>
  <c r="K1679" i="1"/>
  <c r="J1679" i="1"/>
  <c r="J1678" i="1"/>
  <c r="K1678" i="1" s="1"/>
  <c r="K1677" i="1"/>
  <c r="J1677" i="1"/>
  <c r="K1676" i="1"/>
  <c r="J1676" i="1"/>
  <c r="K1675" i="1"/>
  <c r="J1675" i="1"/>
  <c r="J1674" i="1"/>
  <c r="K1674" i="1" s="1"/>
  <c r="K1673" i="1"/>
  <c r="J1673" i="1"/>
  <c r="K1672" i="1"/>
  <c r="J1672" i="1"/>
  <c r="K1671" i="1"/>
  <c r="J1671" i="1"/>
  <c r="J1670" i="1"/>
  <c r="K1670" i="1" s="1"/>
  <c r="K1669" i="1"/>
  <c r="J1669" i="1"/>
  <c r="K1668" i="1"/>
  <c r="J1668" i="1"/>
  <c r="K1667" i="1"/>
  <c r="J1667" i="1"/>
  <c r="J1666" i="1"/>
  <c r="K1666" i="1" s="1"/>
  <c r="K1665" i="1"/>
  <c r="J1665" i="1"/>
  <c r="K1664" i="1"/>
  <c r="J1664" i="1"/>
  <c r="K1663" i="1"/>
  <c r="J1663" i="1"/>
  <c r="J1662" i="1"/>
  <c r="K1662" i="1" s="1"/>
  <c r="K1661" i="1"/>
  <c r="J1661" i="1"/>
  <c r="K1660" i="1"/>
  <c r="J1660" i="1"/>
  <c r="K1659" i="1"/>
  <c r="J1659" i="1"/>
  <c r="J1658" i="1"/>
  <c r="K1658" i="1" s="1"/>
  <c r="K1657" i="1"/>
  <c r="J1657" i="1"/>
  <c r="K1656" i="1"/>
  <c r="J1656" i="1"/>
  <c r="K1655" i="1"/>
  <c r="J1655" i="1"/>
  <c r="J1654" i="1"/>
  <c r="K1654" i="1" s="1"/>
  <c r="K1653" i="1"/>
  <c r="J1653" i="1"/>
  <c r="K1652" i="1"/>
  <c r="J1652" i="1"/>
  <c r="K1651" i="1"/>
  <c r="J1651" i="1"/>
  <c r="J1650" i="1"/>
  <c r="K1650" i="1" s="1"/>
  <c r="K1649" i="1"/>
  <c r="J1649" i="1"/>
  <c r="K1648" i="1"/>
  <c r="J1648" i="1"/>
  <c r="K1647" i="1"/>
  <c r="J1647" i="1"/>
  <c r="J1646" i="1"/>
  <c r="K1646" i="1" s="1"/>
  <c r="K1645" i="1"/>
  <c r="J1645" i="1"/>
  <c r="K1644" i="1"/>
  <c r="J1644" i="1"/>
  <c r="K1643" i="1"/>
  <c r="J1643" i="1"/>
  <c r="J1642" i="1"/>
  <c r="K1642" i="1" s="1"/>
  <c r="K1641" i="1"/>
  <c r="J1641" i="1"/>
  <c r="K1640" i="1"/>
  <c r="J1640" i="1"/>
  <c r="K1639" i="1"/>
  <c r="J1639" i="1"/>
  <c r="J1638" i="1"/>
  <c r="K1638" i="1" s="1"/>
  <c r="K1637" i="1"/>
  <c r="J1637" i="1"/>
  <c r="K1636" i="1"/>
  <c r="J1636" i="1"/>
  <c r="K1635" i="1"/>
  <c r="J1635" i="1"/>
  <c r="J1634" i="1"/>
  <c r="K1634" i="1" s="1"/>
  <c r="K1633" i="1"/>
  <c r="J1633" i="1"/>
  <c r="K1632" i="1"/>
  <c r="J1632" i="1"/>
  <c r="K1631" i="1"/>
  <c r="J1631" i="1"/>
  <c r="J1630" i="1"/>
  <c r="K1630" i="1" s="1"/>
  <c r="K1629" i="1"/>
  <c r="J1629" i="1"/>
  <c r="K1628" i="1"/>
  <c r="J1628" i="1"/>
  <c r="K1627" i="1"/>
  <c r="J1627" i="1"/>
  <c r="J1626" i="1"/>
  <c r="K1626" i="1" s="1"/>
  <c r="K1625" i="1"/>
  <c r="J1625" i="1"/>
  <c r="K1624" i="1"/>
  <c r="J1624" i="1"/>
  <c r="K1623" i="1"/>
  <c r="J1623" i="1"/>
  <c r="J1622" i="1"/>
  <c r="K1622" i="1" s="1"/>
  <c r="K1621" i="1"/>
  <c r="J1621" i="1"/>
  <c r="K1620" i="1"/>
  <c r="J1620" i="1"/>
  <c r="K1619" i="1"/>
  <c r="J1619" i="1"/>
  <c r="J1618" i="1"/>
  <c r="K1618" i="1" s="1"/>
  <c r="K1617" i="1"/>
  <c r="J1617" i="1"/>
  <c r="K1616" i="1"/>
  <c r="J1616" i="1"/>
  <c r="K1615" i="1"/>
  <c r="J1615" i="1"/>
  <c r="J1614" i="1"/>
  <c r="K1614" i="1" s="1"/>
  <c r="K1613" i="1"/>
  <c r="J1613" i="1"/>
  <c r="K1612" i="1"/>
  <c r="J1612" i="1"/>
  <c r="K1611" i="1"/>
  <c r="J1611" i="1"/>
  <c r="J1610" i="1"/>
  <c r="K1610" i="1" s="1"/>
  <c r="K1609" i="1"/>
  <c r="J1609" i="1"/>
  <c r="K1608" i="1"/>
  <c r="J1608" i="1"/>
  <c r="K1607" i="1"/>
  <c r="J1607" i="1"/>
  <c r="J1606" i="1"/>
  <c r="K1606" i="1" s="1"/>
  <c r="K1605" i="1"/>
  <c r="J1605" i="1"/>
  <c r="K1604" i="1"/>
  <c r="J1604" i="1"/>
  <c r="K1603" i="1"/>
  <c r="J1603" i="1"/>
  <c r="J1602" i="1"/>
  <c r="K1602" i="1" s="1"/>
  <c r="K1601" i="1"/>
  <c r="J1601" i="1"/>
  <c r="K1600" i="1"/>
  <c r="J1600" i="1"/>
  <c r="K1599" i="1"/>
  <c r="J1599" i="1"/>
  <c r="J1598" i="1"/>
  <c r="K1598" i="1" s="1"/>
  <c r="K1597" i="1"/>
  <c r="J1597" i="1"/>
  <c r="K1596" i="1"/>
  <c r="J1596" i="1"/>
  <c r="K1595" i="1"/>
  <c r="J1595" i="1"/>
  <c r="J1594" i="1"/>
  <c r="K1594" i="1" s="1"/>
  <c r="K1593" i="1"/>
  <c r="J1593" i="1"/>
  <c r="K1592" i="1"/>
  <c r="J1592" i="1"/>
  <c r="K1591" i="1"/>
  <c r="J1591" i="1"/>
  <c r="J1590" i="1"/>
  <c r="K1590" i="1" s="1"/>
  <c r="K1589" i="1"/>
  <c r="J1589" i="1"/>
  <c r="K1588" i="1"/>
  <c r="J1588" i="1"/>
  <c r="K1587" i="1"/>
  <c r="J1587" i="1"/>
  <c r="J1586" i="1"/>
  <c r="K1586" i="1" s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C3037" i="1" s="1"/>
  <c r="K25" i="1"/>
  <c r="J25" i="1"/>
  <c r="K24" i="1"/>
  <c r="J24" i="1"/>
  <c r="K23" i="1"/>
  <c r="J23" i="1"/>
  <c r="J22" i="1"/>
  <c r="K22" i="1" s="1"/>
  <c r="K21" i="1"/>
  <c r="J21" i="1"/>
  <c r="K20" i="1"/>
  <c r="J20" i="1"/>
  <c r="K19" i="1"/>
  <c r="J19" i="1"/>
  <c r="J18" i="1"/>
  <c r="K18" i="1" s="1"/>
  <c r="K17" i="1"/>
  <c r="J17" i="1"/>
  <c r="K16" i="1"/>
  <c r="J16" i="1"/>
  <c r="K15" i="1"/>
  <c r="J15" i="1"/>
  <c r="J14" i="1"/>
  <c r="C3035" i="1" s="1"/>
  <c r="K13" i="1"/>
  <c r="J13" i="1"/>
  <c r="C3036" i="1" s="1"/>
  <c r="K12" i="1"/>
  <c r="J12" i="1"/>
  <c r="L3028" i="1" l="1"/>
  <c r="C3020" i="1"/>
  <c r="L3027" i="1"/>
  <c r="C3019" i="1"/>
  <c r="L3026" i="1"/>
  <c r="K14" i="1"/>
  <c r="C3034" i="1"/>
  <c r="C3018" i="1"/>
  <c r="F25" i="2"/>
  <c r="E25" i="2"/>
  <c r="D17" i="2"/>
  <c r="E17" i="2" s="1"/>
  <c r="H8" i="2"/>
  <c r="H10" i="2"/>
  <c r="D16" i="2"/>
  <c r="E16" i="2" s="1"/>
  <c r="D18" i="2"/>
  <c r="E18" i="2" s="1"/>
  <c r="E24" i="2"/>
  <c r="E26" i="2"/>
  <c r="C33" i="2"/>
  <c r="H9" i="2"/>
  <c r="F24" i="2"/>
  <c r="C34" i="2"/>
  <c r="C35" i="2"/>
  <c r="D19" i="2"/>
  <c r="E19" i="2" s="1"/>
  <c r="E27" i="2"/>
  <c r="G19" i="2" l="1"/>
  <c r="F19" i="2"/>
  <c r="G18" i="2"/>
  <c r="F18" i="2"/>
  <c r="G17" i="2"/>
  <c r="F17" i="2"/>
  <c r="G16" i="2"/>
  <c r="C37" i="2" s="1"/>
  <c r="F16" i="2"/>
  <c r="C36" i="2" s="1"/>
</calcChain>
</file>

<file path=xl/sharedStrings.xml><?xml version="1.0" encoding="utf-8"?>
<sst xmlns="http://schemas.openxmlformats.org/spreadsheetml/2006/main" count="12176" uniqueCount="3481">
  <si>
    <t>MEDICAL EQUIPMENT ROI ANALYSIS - 2023</t>
  </si>
  <si>
    <t>📋 ABOUT THIS ANALYSIS</t>
  </si>
  <si>
    <t>ASSUMPTIONS &amp; INPUTS</t>
  </si>
  <si>
    <t>Medical Equipment Utilization Data</t>
  </si>
  <si>
    <t>36 daily records from 2023</t>
  </si>
  <si>
    <t>Discount Rate (%)</t>
  </si>
  <si>
    <t>Target ROI (%)</t>
  </si>
  <si>
    <t>Key Metrics:</t>
  </si>
  <si>
    <t>• Daily Operating Cost</t>
  </si>
  <si>
    <t>PROJECT DATA</t>
  </si>
  <si>
    <t>PIVOT: ROI BY EQUIPMENT TYPE</t>
  </si>
  <si>
    <t>• Procedure Revenue</t>
  </si>
  <si>
    <t>• Net Profit (Daily)</t>
  </si>
  <si>
    <t>Date</t>
  </si>
  <si>
    <t>Equipment ID</t>
  </si>
  <si>
    <t>Equipment Type</t>
  </si>
  <si>
    <t>Department</t>
  </si>
  <si>
    <t>Daily Operating Cost</t>
  </si>
  <si>
    <t>Procedure Revenue</t>
  </si>
  <si>
    <t>Net Profit (Daily)</t>
  </si>
  <si>
    <t>Utilization Rate</t>
  </si>
  <si>
    <t>ROI %</t>
  </si>
  <si>
    <t>ROI Status</t>
  </si>
  <si>
    <t>• Utilization Rate</t>
  </si>
  <si>
    <t>12/22/2023</t>
  </si>
  <si>
    <t>MRI_0001</t>
  </si>
  <si>
    <t>MRI Scanner</t>
  </si>
  <si>
    <t>Radiology</t>
  </si>
  <si>
    <t>Exceeds Target</t>
  </si>
  <si>
    <t>• ROI % (Profit/Operating Cost)</t>
  </si>
  <si>
    <t>1/24/2023</t>
  </si>
  <si>
    <t>XRAY_0002</t>
  </si>
  <si>
    <t>X-Ray Machine</t>
  </si>
  <si>
    <t>12/19/2023</t>
  </si>
  <si>
    <t>CT_0003</t>
  </si>
  <si>
    <t>CT Scanner</t>
  </si>
  <si>
    <t>Equipment Types:</t>
  </si>
  <si>
    <t>12/12/2023</t>
  </si>
  <si>
    <t>CT_0004</t>
  </si>
  <si>
    <t>• MRI Scanner</t>
  </si>
  <si>
    <t>12/31/2023</t>
  </si>
  <si>
    <t>XRAY_0005</t>
  </si>
  <si>
    <t>• CT Scanner</t>
  </si>
  <si>
    <t>1/19/2023</t>
  </si>
  <si>
    <t>MRI_0006</t>
  </si>
  <si>
    <t>• X-Ray Machine</t>
  </si>
  <si>
    <t>8/16/2023</t>
  </si>
  <si>
    <t>MRI_0007</t>
  </si>
  <si>
    <t>• Mammography Unit</t>
  </si>
  <si>
    <t>2/20/2023</t>
  </si>
  <si>
    <t>CT_0008</t>
  </si>
  <si>
    <t>10/20/2023</t>
  </si>
  <si>
    <t>MRI_0009</t>
  </si>
  <si>
    <t>Departments:</t>
  </si>
  <si>
    <t>4/26/2023</t>
  </si>
  <si>
    <t>MRI_0010</t>
  </si>
  <si>
    <t>PIVOT: ROI BY DEPARTMENT</t>
  </si>
  <si>
    <t>• Radiology</t>
  </si>
  <si>
    <t>5/6/2023</t>
  </si>
  <si>
    <t>CT_0011</t>
  </si>
  <si>
    <t>• Women's Health</t>
  </si>
  <si>
    <t>6/2/2023</t>
  </si>
  <si>
    <t>MRI_0012</t>
  </si>
  <si>
    <t>8/13/2023</t>
  </si>
  <si>
    <t>MRI_0013</t>
  </si>
  <si>
    <t>3/12/2023</t>
  </si>
  <si>
    <t>CT_0014</t>
  </si>
  <si>
    <t>5/27/2023</t>
  </si>
  <si>
    <t>MAMMO_0015</t>
  </si>
  <si>
    <t>Mammography Unit</t>
  </si>
  <si>
    <t>Women's Health</t>
  </si>
  <si>
    <t>MAMMO_0016</t>
  </si>
  <si>
    <t>2/16/2023</t>
  </si>
  <si>
    <t>CT_0017</t>
  </si>
  <si>
    <t>11/2/2023</t>
  </si>
  <si>
    <t>CT_0018</t>
  </si>
  <si>
    <t>5/24/2023</t>
  </si>
  <si>
    <t>MAMMO_0019</t>
  </si>
  <si>
    <t>4/5/2023</t>
  </si>
  <si>
    <t>US_0020</t>
  </si>
  <si>
    <t>Ultrasound</t>
  </si>
  <si>
    <t>9/29/2023</t>
  </si>
  <si>
    <t>US_0021</t>
  </si>
  <si>
    <t>8/1/2023</t>
  </si>
  <si>
    <t>MAMMO_0022</t>
  </si>
  <si>
    <t>6/16/2023</t>
  </si>
  <si>
    <t>MRI_0023</t>
  </si>
  <si>
    <t>12/29/2023</t>
  </si>
  <si>
    <t>MAMMO_0024</t>
  </si>
  <si>
    <t>10/2/2023</t>
  </si>
  <si>
    <t>MAMMO_0025</t>
  </si>
  <si>
    <t>5/4/2023</t>
  </si>
  <si>
    <t>MAMMO_0026</t>
  </si>
  <si>
    <t>8/8/2023</t>
  </si>
  <si>
    <t>US_0027</t>
  </si>
  <si>
    <t>8/27/2023</t>
  </si>
  <si>
    <t>MAMMO_0028</t>
  </si>
  <si>
    <t>3/3/2023</t>
  </si>
  <si>
    <t>US_0029</t>
  </si>
  <si>
    <t>12/6/2023</t>
  </si>
  <si>
    <t>CT_0030</t>
  </si>
  <si>
    <t>1/11/2023</t>
  </si>
  <si>
    <t>MRI_0031</t>
  </si>
  <si>
    <t>12/11/2023</t>
  </si>
  <si>
    <t>MAMMO_0032</t>
  </si>
  <si>
    <t>10/27/2023</t>
  </si>
  <si>
    <t>CT_0033</t>
  </si>
  <si>
    <t>11/25/2023</t>
  </si>
  <si>
    <t>MAMMO_0034</t>
  </si>
  <si>
    <t>8/2/2023</t>
  </si>
  <si>
    <t>CT_0035</t>
  </si>
  <si>
    <t>5/3/2023</t>
  </si>
  <si>
    <t>MRI_0036</t>
  </si>
  <si>
    <t>11/28/2023</t>
  </si>
  <si>
    <t>CT_0037</t>
  </si>
  <si>
    <t>9/13/2023</t>
  </si>
  <si>
    <t>XRAY_0038</t>
  </si>
  <si>
    <t>10/23/2023</t>
  </si>
  <si>
    <t>XRAY_0039</t>
  </si>
  <si>
    <t>8/11/2023</t>
  </si>
  <si>
    <t>MRI_0040</t>
  </si>
  <si>
    <t>9/23/2023</t>
  </si>
  <si>
    <t>US_0041</t>
  </si>
  <si>
    <t>6/20/2023</t>
  </si>
  <si>
    <t>MAMMO_0042</t>
  </si>
  <si>
    <t>10/13/2023</t>
  </si>
  <si>
    <t>MAMMO_0043</t>
  </si>
  <si>
    <t>6/29/2023</t>
  </si>
  <si>
    <t>XRAY_0044</t>
  </si>
  <si>
    <t>2/7/2023</t>
  </si>
  <si>
    <t>MAMMO_0045</t>
  </si>
  <si>
    <t>1/22/2023</t>
  </si>
  <si>
    <t>CT_0046</t>
  </si>
  <si>
    <t>6/4/2023</t>
  </si>
  <si>
    <t>CT_0047</t>
  </si>
  <si>
    <t>6/25/2023</t>
  </si>
  <si>
    <t>XRAY_0048</t>
  </si>
  <si>
    <t>10/3/2023</t>
  </si>
  <si>
    <t>MRI_0049</t>
  </si>
  <si>
    <t>12/15/2023</t>
  </si>
  <si>
    <t>XRAY_0050</t>
  </si>
  <si>
    <t>1/7/2023</t>
  </si>
  <si>
    <t>MAMMO_0051</t>
  </si>
  <si>
    <t>6/28/2023</t>
  </si>
  <si>
    <t>US_0052</t>
  </si>
  <si>
    <t>MRI_0053</t>
  </si>
  <si>
    <t>MAMMO_0054</t>
  </si>
  <si>
    <t>CT_0055</t>
  </si>
  <si>
    <t>MRI_0056</t>
  </si>
  <si>
    <t>MRI_0057</t>
  </si>
  <si>
    <t>8/17/2023</t>
  </si>
  <si>
    <t>US_0058</t>
  </si>
  <si>
    <t>MRI_0059</t>
  </si>
  <si>
    <t>10/19/2023</t>
  </si>
  <si>
    <t>US_0060</t>
  </si>
  <si>
    <t>5/18/2023</t>
  </si>
  <si>
    <t>XRAY_0061</t>
  </si>
  <si>
    <t>9/25/2023</t>
  </si>
  <si>
    <t>XRAY_0062</t>
  </si>
  <si>
    <t>2/12/2023</t>
  </si>
  <si>
    <t>US_0063</t>
  </si>
  <si>
    <t>11/23/2023</t>
  </si>
  <si>
    <t>XRAY_0064</t>
  </si>
  <si>
    <t>4/24/2023</t>
  </si>
  <si>
    <t>CT_0065</t>
  </si>
  <si>
    <t>12/26/2023</t>
  </si>
  <si>
    <t>CT_0066</t>
  </si>
  <si>
    <t>6/27/2023</t>
  </si>
  <si>
    <t>CT_0067</t>
  </si>
  <si>
    <t>2/6/2023</t>
  </si>
  <si>
    <t>XRAY_0068</t>
  </si>
  <si>
    <t>7/10/2023</t>
  </si>
  <si>
    <t>MAMMO_0069</t>
  </si>
  <si>
    <t>12/16/2023</t>
  </si>
  <si>
    <t>US_0070</t>
  </si>
  <si>
    <t>11/15/2023</t>
  </si>
  <si>
    <t>XRAY_0071</t>
  </si>
  <si>
    <t>MAMMO_0072</t>
  </si>
  <si>
    <t>11/1/2023</t>
  </si>
  <si>
    <t>CT_0073</t>
  </si>
  <si>
    <t>6/5/2023</t>
  </si>
  <si>
    <t>CT_0074</t>
  </si>
  <si>
    <t>CT_0075</t>
  </si>
  <si>
    <t>2/5/2023</t>
  </si>
  <si>
    <t>MAMMO_0076</t>
  </si>
  <si>
    <t>11/20/2023</t>
  </si>
  <si>
    <t>MAMMO_0077</t>
  </si>
  <si>
    <t>MAMMO_0078</t>
  </si>
  <si>
    <t>12/28/2023</t>
  </si>
  <si>
    <t>US_0079</t>
  </si>
  <si>
    <t>11/19/2023</t>
  </si>
  <si>
    <t>US_0080</t>
  </si>
  <si>
    <t>9/24/2023</t>
  </si>
  <si>
    <t>US_0081</t>
  </si>
  <si>
    <t>CT_0082</t>
  </si>
  <si>
    <t>10/24/2023</t>
  </si>
  <si>
    <t>MRI_0083</t>
  </si>
  <si>
    <t>10/26/2023</t>
  </si>
  <si>
    <t>MAMMO_0084</t>
  </si>
  <si>
    <t>3/23/2023</t>
  </si>
  <si>
    <t>CT_0085</t>
  </si>
  <si>
    <t>4/18/2023</t>
  </si>
  <si>
    <t>MAMMO_0086</t>
  </si>
  <si>
    <t>1/21/2023</t>
  </si>
  <si>
    <t>CT_0087</t>
  </si>
  <si>
    <t>6/24/2023</t>
  </si>
  <si>
    <t>MAMMO_0088</t>
  </si>
  <si>
    <t>7/21/2023</t>
  </si>
  <si>
    <t>US_0089</t>
  </si>
  <si>
    <t>11/22/2023</t>
  </si>
  <si>
    <t>MAMMO_0090</t>
  </si>
  <si>
    <t>MRI_0091</t>
  </si>
  <si>
    <t>3/6/2023</t>
  </si>
  <si>
    <t>US_0092</t>
  </si>
  <si>
    <t>2/22/2023</t>
  </si>
  <si>
    <t>MAMMO_0093</t>
  </si>
  <si>
    <t>6/23/2023</t>
  </si>
  <si>
    <t>MAMMO_0094</t>
  </si>
  <si>
    <t>8/12/2023</t>
  </si>
  <si>
    <t>XRAY_0095</t>
  </si>
  <si>
    <t>12/4/2023</t>
  </si>
  <si>
    <t>CT_0096</t>
  </si>
  <si>
    <t>MAMMO_0097</t>
  </si>
  <si>
    <t>8/19/2023</t>
  </si>
  <si>
    <t>XRAY_0098</t>
  </si>
  <si>
    <t>4/7/2023</t>
  </si>
  <si>
    <t>XRAY_0099</t>
  </si>
  <si>
    <t>12/1/2023</t>
  </si>
  <si>
    <t>US_0100</t>
  </si>
  <si>
    <t>7/11/2023</t>
  </si>
  <si>
    <t>MAMMO_0101</t>
  </si>
  <si>
    <t>8/9/2023</t>
  </si>
  <si>
    <t>US_0102</t>
  </si>
  <si>
    <t>XRAY_0103</t>
  </si>
  <si>
    <t>3/27/2023</t>
  </si>
  <si>
    <t>MRI_0104</t>
  </si>
  <si>
    <t>11/7/2023</t>
  </si>
  <si>
    <t>MAMMO_0105</t>
  </si>
  <si>
    <t>3/17/2023</t>
  </si>
  <si>
    <t>US_0106</t>
  </si>
  <si>
    <t>7/14/2023</t>
  </si>
  <si>
    <t>US_0107</t>
  </si>
  <si>
    <t>8/14/2023</t>
  </si>
  <si>
    <t>MRI_0108</t>
  </si>
  <si>
    <t>3/7/2023</t>
  </si>
  <si>
    <t>CT_0109</t>
  </si>
  <si>
    <t>CT_0110</t>
  </si>
  <si>
    <t>7/7/2023</t>
  </si>
  <si>
    <t>MRI_0111</t>
  </si>
  <si>
    <t>10/18/2023</t>
  </si>
  <si>
    <t>MRI_0112</t>
  </si>
  <si>
    <t>XRAY_0113</t>
  </si>
  <si>
    <t>4/1/2023</t>
  </si>
  <si>
    <t>XRAY_0114</t>
  </si>
  <si>
    <t>XRAY_0115</t>
  </si>
  <si>
    <t>2/10/2023</t>
  </si>
  <si>
    <t>MAMMO_0116</t>
  </si>
  <si>
    <t>5/16/2023</t>
  </si>
  <si>
    <t>MAMMO_0117</t>
  </si>
  <si>
    <t>8/10/2023</t>
  </si>
  <si>
    <t>XRAY_0118</t>
  </si>
  <si>
    <t>7/20/2023</t>
  </si>
  <si>
    <t>CT_0119</t>
  </si>
  <si>
    <t>12/14/2023</t>
  </si>
  <si>
    <t>MRI_0120</t>
  </si>
  <si>
    <t>7/15/2023</t>
  </si>
  <si>
    <t>MAMMO_0121</t>
  </si>
  <si>
    <t>5/23/2023</t>
  </si>
  <si>
    <t>XRAY_0122</t>
  </si>
  <si>
    <t>MRI_0123</t>
  </si>
  <si>
    <t>8/4/2023</t>
  </si>
  <si>
    <t>MAMMO_0124</t>
  </si>
  <si>
    <t>1/28/2023</t>
  </si>
  <si>
    <t>MAMMO_0125</t>
  </si>
  <si>
    <t>1/26/2023</t>
  </si>
  <si>
    <t>XRAY_0126</t>
  </si>
  <si>
    <t>XRAY_0127</t>
  </si>
  <si>
    <t>7/3/2023</t>
  </si>
  <si>
    <t>CT_0128</t>
  </si>
  <si>
    <t>3/20/2023</t>
  </si>
  <si>
    <t>CT_0129</t>
  </si>
  <si>
    <t>US_0130</t>
  </si>
  <si>
    <t>MAMMO_0131</t>
  </si>
  <si>
    <t>MAMMO_0132</t>
  </si>
  <si>
    <t>US_0133</t>
  </si>
  <si>
    <t>9/8/2023</t>
  </si>
  <si>
    <t>XRAY_0134</t>
  </si>
  <si>
    <t>4/4/2023</t>
  </si>
  <si>
    <t>CT_0135</t>
  </si>
  <si>
    <t>10/29/2023</t>
  </si>
  <si>
    <t>CT_0136</t>
  </si>
  <si>
    <t>6/10/2023</t>
  </si>
  <si>
    <t>XRAY_0137</t>
  </si>
  <si>
    <t>5/5/2023</t>
  </si>
  <si>
    <t>XRAY_0138</t>
  </si>
  <si>
    <t>MRI_0139</t>
  </si>
  <si>
    <t>10/21/2023</t>
  </si>
  <si>
    <t>US_0140</t>
  </si>
  <si>
    <t>MRI_0141</t>
  </si>
  <si>
    <t>MRI_0142</t>
  </si>
  <si>
    <t>CT_0143</t>
  </si>
  <si>
    <t>MAMMO_0144</t>
  </si>
  <si>
    <t>MRI_0145</t>
  </si>
  <si>
    <t>2/14/2023</t>
  </si>
  <si>
    <t>CT_0146</t>
  </si>
  <si>
    <t>2/21/2023</t>
  </si>
  <si>
    <t>MAMMO_0147</t>
  </si>
  <si>
    <t>4/14/2023</t>
  </si>
  <si>
    <t>US_0148</t>
  </si>
  <si>
    <t>2/15/2023</t>
  </si>
  <si>
    <t>MRI_0149</t>
  </si>
  <si>
    <t>9/14/2023</t>
  </si>
  <si>
    <t>XRAY_0150</t>
  </si>
  <si>
    <t>10/14/2023</t>
  </si>
  <si>
    <t>MAMMO_0151</t>
  </si>
  <si>
    <t>8/5/2023</t>
  </si>
  <si>
    <t>MRI_0152</t>
  </si>
  <si>
    <t>3/14/2023</t>
  </si>
  <si>
    <t>MRI_0153</t>
  </si>
  <si>
    <t>8/20/2023</t>
  </si>
  <si>
    <t>MRI_0154</t>
  </si>
  <si>
    <t>3/31/2023</t>
  </si>
  <si>
    <t>US_0155</t>
  </si>
  <si>
    <t>2/13/2023</t>
  </si>
  <si>
    <t>CT_0156</t>
  </si>
  <si>
    <t>5/21/2023</t>
  </si>
  <si>
    <t>MRI_0157</t>
  </si>
  <si>
    <t>11/8/2023</t>
  </si>
  <si>
    <t>XRAY_0158</t>
  </si>
  <si>
    <t>4/27/2023</t>
  </si>
  <si>
    <t>US_0159</t>
  </si>
  <si>
    <t>US_0160</t>
  </si>
  <si>
    <t>XRAY_0161</t>
  </si>
  <si>
    <t>MRI_0162</t>
  </si>
  <si>
    <t>XRAY_0163</t>
  </si>
  <si>
    <t>5/31/2023</t>
  </si>
  <si>
    <t>CT_0164</t>
  </si>
  <si>
    <t>5/22/2023</t>
  </si>
  <si>
    <t>CT_0165</t>
  </si>
  <si>
    <t>MAMMO_0166</t>
  </si>
  <si>
    <t>8/29/2023</t>
  </si>
  <si>
    <t>US_0167</t>
  </si>
  <si>
    <t>MAMMO_0168</t>
  </si>
  <si>
    <t>4/30/2023</t>
  </si>
  <si>
    <t>CT_0169</t>
  </si>
  <si>
    <t>12/20/2023</t>
  </si>
  <si>
    <t>MRI_0170</t>
  </si>
  <si>
    <t>1/9/2023</t>
  </si>
  <si>
    <t>CT_0171</t>
  </si>
  <si>
    <t>XRAY_0172</t>
  </si>
  <si>
    <t>11/6/2023</t>
  </si>
  <si>
    <t>MRI_0173</t>
  </si>
  <si>
    <t>1/12/2023</t>
  </si>
  <si>
    <t>XRAY_0174</t>
  </si>
  <si>
    <t>US_0175</t>
  </si>
  <si>
    <t>CT_0176</t>
  </si>
  <si>
    <t>7/19/2023</t>
  </si>
  <si>
    <t>XRAY_0177</t>
  </si>
  <si>
    <t>MRI_0178</t>
  </si>
  <si>
    <t>9/21/2023</t>
  </si>
  <si>
    <t>US_0179</t>
  </si>
  <si>
    <t>CT_0180</t>
  </si>
  <si>
    <t>XRAY_0181</t>
  </si>
  <si>
    <t>US_0182</t>
  </si>
  <si>
    <t>4/28/2023</t>
  </si>
  <si>
    <t>CT_0183</t>
  </si>
  <si>
    <t>12/8/2023</t>
  </si>
  <si>
    <t>CT_0184</t>
  </si>
  <si>
    <t>5/8/2023</t>
  </si>
  <si>
    <t>MAMMO_0185</t>
  </si>
  <si>
    <t>11/9/2023</t>
  </si>
  <si>
    <t>MAMMO_0186</t>
  </si>
  <si>
    <t>MRI_0187</t>
  </si>
  <si>
    <t>XRAY_0188</t>
  </si>
  <si>
    <t>5/30/2023</t>
  </si>
  <si>
    <t>MRI_0189</t>
  </si>
  <si>
    <t>3/15/2023</t>
  </si>
  <si>
    <t>MAMMO_0190</t>
  </si>
  <si>
    <t>6/7/2023</t>
  </si>
  <si>
    <t>CT_0191</t>
  </si>
  <si>
    <t>MAMMO_0192</t>
  </si>
  <si>
    <t>MAMMO_0193</t>
  </si>
  <si>
    <t>6/9/2023</t>
  </si>
  <si>
    <t>MRI_0194</t>
  </si>
  <si>
    <t>1/27/2023</t>
  </si>
  <si>
    <t>US_0195</t>
  </si>
  <si>
    <t>11/26/2023</t>
  </si>
  <si>
    <t>CT_0196</t>
  </si>
  <si>
    <t>XRAY_0197</t>
  </si>
  <si>
    <t>US_0198</t>
  </si>
  <si>
    <t>11/10/2023</t>
  </si>
  <si>
    <t>CT_0199</t>
  </si>
  <si>
    <t>7/16/2023</t>
  </si>
  <si>
    <t>XRAY_0200</t>
  </si>
  <si>
    <t>3/2/2023</t>
  </si>
  <si>
    <t>MAMMO_0201</t>
  </si>
  <si>
    <t>CT_0202</t>
  </si>
  <si>
    <t>2/28/2023</t>
  </si>
  <si>
    <t>US_0203</t>
  </si>
  <si>
    <t>5/25/2023</t>
  </si>
  <si>
    <t>MRI_0204</t>
  </si>
  <si>
    <t>7/26/2023</t>
  </si>
  <si>
    <t>CT_0205</t>
  </si>
  <si>
    <t>12/5/2023</t>
  </si>
  <si>
    <t>US_0206</t>
  </si>
  <si>
    <t>XRAY_0207</t>
  </si>
  <si>
    <t>XRAY_0208</t>
  </si>
  <si>
    <t>MAMMO_0209</t>
  </si>
  <si>
    <t>4/6/2023</t>
  </si>
  <si>
    <t>XRAY_0210</t>
  </si>
  <si>
    <t>CT_0211</t>
  </si>
  <si>
    <t>1/25/2023</t>
  </si>
  <si>
    <t>MRI_0212</t>
  </si>
  <si>
    <t>5/17/2023</t>
  </si>
  <si>
    <t>US_0213</t>
  </si>
  <si>
    <t>MRI_0214</t>
  </si>
  <si>
    <t>3/13/2023</t>
  </si>
  <si>
    <t>MRI_0215</t>
  </si>
  <si>
    <t>10/10/2023</t>
  </si>
  <si>
    <t>MAMMO_0216</t>
  </si>
  <si>
    <t>12/24/2023</t>
  </si>
  <si>
    <t>MAMMO_0217</t>
  </si>
  <si>
    <t>4/9/2023</t>
  </si>
  <si>
    <t>MAMMO_0218</t>
  </si>
  <si>
    <t>7/27/2023</t>
  </si>
  <si>
    <t>XRAY_0219</t>
  </si>
  <si>
    <t>5/13/2023</t>
  </si>
  <si>
    <t>MAMMO_0220</t>
  </si>
  <si>
    <t>1/14/2023</t>
  </si>
  <si>
    <t>CT_0221</t>
  </si>
  <si>
    <t>3/26/2023</t>
  </si>
  <si>
    <t>XRAY_0222</t>
  </si>
  <si>
    <t>3/22/2023</t>
  </si>
  <si>
    <t>MRI_0223</t>
  </si>
  <si>
    <t>1/1/2023</t>
  </si>
  <si>
    <t>MRI_0224</t>
  </si>
  <si>
    <t>XRAY_0225</t>
  </si>
  <si>
    <t>MAMMO_0226</t>
  </si>
  <si>
    <t>US_0227</t>
  </si>
  <si>
    <t>7/25/2023</t>
  </si>
  <si>
    <t>XRAY_0228</t>
  </si>
  <si>
    <t>3/16/2023</t>
  </si>
  <si>
    <t>MRI_0229</t>
  </si>
  <si>
    <t>7/29/2023</t>
  </si>
  <si>
    <t>MRI_0230</t>
  </si>
  <si>
    <t>XRAY_0231</t>
  </si>
  <si>
    <t>5/29/2023</t>
  </si>
  <si>
    <t>MAMMO_0232</t>
  </si>
  <si>
    <t>6/18/2023</t>
  </si>
  <si>
    <t>CT_0233</t>
  </si>
  <si>
    <t>1/5/2023</t>
  </si>
  <si>
    <t>MAMMO_0234</t>
  </si>
  <si>
    <t>8/22/2023</t>
  </si>
  <si>
    <t>US_0235</t>
  </si>
  <si>
    <t>2/18/2023</t>
  </si>
  <si>
    <t>US_0236</t>
  </si>
  <si>
    <t>CT_0237</t>
  </si>
  <si>
    <t>7/4/2023</t>
  </si>
  <si>
    <t>MAMMO_0238</t>
  </si>
  <si>
    <t>9/5/2023</t>
  </si>
  <si>
    <t>MAMMO_0239</t>
  </si>
  <si>
    <t>CT_0240</t>
  </si>
  <si>
    <t>6/13/2023</t>
  </si>
  <si>
    <t>MAMMO_0241</t>
  </si>
  <si>
    <t>XRAY_0242</t>
  </si>
  <si>
    <t>6/17/2023</t>
  </si>
  <si>
    <t>XRAY_0243</t>
  </si>
  <si>
    <t>1/17/2023</t>
  </si>
  <si>
    <t>XRAY_0244</t>
  </si>
  <si>
    <t>CT_0245</t>
  </si>
  <si>
    <t>MAMMO_0246</t>
  </si>
  <si>
    <t>7/5/2023</t>
  </si>
  <si>
    <t>CT_0247</t>
  </si>
  <si>
    <t>MRI_0248</t>
  </si>
  <si>
    <t>MRI_0249</t>
  </si>
  <si>
    <t>9/30/2023</t>
  </si>
  <si>
    <t>MAMMO_0250</t>
  </si>
  <si>
    <t>2/23/2023</t>
  </si>
  <si>
    <t>MRI_0251</t>
  </si>
  <si>
    <t>CT_0252</t>
  </si>
  <si>
    <t>MRI_0253</t>
  </si>
  <si>
    <t>MAMMO_0254</t>
  </si>
  <si>
    <t>CT_0255</t>
  </si>
  <si>
    <t>XRAY_0256</t>
  </si>
  <si>
    <t>4/3/2023</t>
  </si>
  <si>
    <t>CT_0257</t>
  </si>
  <si>
    <t>MAMMO_0258</t>
  </si>
  <si>
    <t>5/9/2023</t>
  </si>
  <si>
    <t>MAMMO_0259</t>
  </si>
  <si>
    <t>5/1/2023</t>
  </si>
  <si>
    <t>MRI_0260</t>
  </si>
  <si>
    <t>3/19/2023</t>
  </si>
  <si>
    <t>US_0261</t>
  </si>
  <si>
    <t>XRAY_0262</t>
  </si>
  <si>
    <t>1/18/2023</t>
  </si>
  <si>
    <t>MRI_0263</t>
  </si>
  <si>
    <t>10/6/2023</t>
  </si>
  <si>
    <t>CT_0264</t>
  </si>
  <si>
    <t>US_0265</t>
  </si>
  <si>
    <t>MRI_0266</t>
  </si>
  <si>
    <t>1/4/2023</t>
  </si>
  <si>
    <t>MAMMO_0267</t>
  </si>
  <si>
    <t>7/30/2023</t>
  </si>
  <si>
    <t>XRAY_0268</t>
  </si>
  <si>
    <t>US_0269</t>
  </si>
  <si>
    <t>8/18/2023</t>
  </si>
  <si>
    <t>US_0270</t>
  </si>
  <si>
    <t>6/22/2023</t>
  </si>
  <si>
    <t>XRAY_0271</t>
  </si>
  <si>
    <t>8/30/2023</t>
  </si>
  <si>
    <t>XRAY_0272</t>
  </si>
  <si>
    <t>XRAY_0273</t>
  </si>
  <si>
    <t>7/13/2023</t>
  </si>
  <si>
    <t>MRI_0274</t>
  </si>
  <si>
    <t>8/24/2023</t>
  </si>
  <si>
    <t>MRI_0275</t>
  </si>
  <si>
    <t>MAMMO_0276</t>
  </si>
  <si>
    <t>1/10/2023</t>
  </si>
  <si>
    <t>XRAY_0277</t>
  </si>
  <si>
    <t>US_0278</t>
  </si>
  <si>
    <t>MRI_0279</t>
  </si>
  <si>
    <t>MAMMO_0280</t>
  </si>
  <si>
    <t>2/17/2023</t>
  </si>
  <si>
    <t>US_0281</t>
  </si>
  <si>
    <t>MAMMO_0282</t>
  </si>
  <si>
    <t>MAMMO_0283</t>
  </si>
  <si>
    <t>MRI_0284</t>
  </si>
  <si>
    <t>MAMMO_0285</t>
  </si>
  <si>
    <t>MAMMO_0286</t>
  </si>
  <si>
    <t>2/24/2023</t>
  </si>
  <si>
    <t>XRAY_0287</t>
  </si>
  <si>
    <t>5/14/2023</t>
  </si>
  <si>
    <t>MAMMO_0288</t>
  </si>
  <si>
    <t>12/17/2023</t>
  </si>
  <si>
    <t>MRI_0289</t>
  </si>
  <si>
    <t>11/24/2023</t>
  </si>
  <si>
    <t>MRI_0290</t>
  </si>
  <si>
    <t>MRI_0291</t>
  </si>
  <si>
    <t>10/25/2023</t>
  </si>
  <si>
    <t>US_0292</t>
  </si>
  <si>
    <t>11/21/2023</t>
  </si>
  <si>
    <t>US_0293</t>
  </si>
  <si>
    <t>11/11/2023</t>
  </si>
  <si>
    <t>XRAY_0294</t>
  </si>
  <si>
    <t>US_0295</t>
  </si>
  <si>
    <t>XRAY_0296</t>
  </si>
  <si>
    <t>XRAY_0297</t>
  </si>
  <si>
    <t>US_0298</t>
  </si>
  <si>
    <t>5/20/2023</t>
  </si>
  <si>
    <t>MAMMO_0299</t>
  </si>
  <si>
    <t>MAMMO_0300</t>
  </si>
  <si>
    <t>9/20/2023</t>
  </si>
  <si>
    <t>MAMMO_0301</t>
  </si>
  <si>
    <t>4/10/2023</t>
  </si>
  <si>
    <t>MAMMO_0302</t>
  </si>
  <si>
    <t>4/21/2023</t>
  </si>
  <si>
    <t>XRAY_0303</t>
  </si>
  <si>
    <t>9/2/2023</t>
  </si>
  <si>
    <t>US_0304</t>
  </si>
  <si>
    <t>3/25/2023</t>
  </si>
  <si>
    <t>MAMMO_0305</t>
  </si>
  <si>
    <t>11/17/2023</t>
  </si>
  <si>
    <t>CT_0306</t>
  </si>
  <si>
    <t>3/11/2023</t>
  </si>
  <si>
    <t>MRI_0307</t>
  </si>
  <si>
    <t>CT_0308</t>
  </si>
  <si>
    <t>2/1/2023</t>
  </si>
  <si>
    <t>CT_0309</t>
  </si>
  <si>
    <t>3/5/2023</t>
  </si>
  <si>
    <t>MRI_0310</t>
  </si>
  <si>
    <t>MAMMO_0311</t>
  </si>
  <si>
    <t>2/25/2023</t>
  </si>
  <si>
    <t>MAMMO_0312</t>
  </si>
  <si>
    <t>MAMMO_0313</t>
  </si>
  <si>
    <t>12/21/2023</t>
  </si>
  <si>
    <t>MAMMO_0314</t>
  </si>
  <si>
    <t>MAMMO_0315</t>
  </si>
  <si>
    <t>5/10/2023</t>
  </si>
  <si>
    <t>MAMMO_0316</t>
  </si>
  <si>
    <t>US_0317</t>
  </si>
  <si>
    <t>3/10/2023</t>
  </si>
  <si>
    <t>XRAY_0318</t>
  </si>
  <si>
    <t>9/11/2023</t>
  </si>
  <si>
    <t>MAMMO_0319</t>
  </si>
  <si>
    <t>XRAY_0320</t>
  </si>
  <si>
    <t>9/18/2023</t>
  </si>
  <si>
    <t>MAMMO_0321</t>
  </si>
  <si>
    <t>XRAY_0322</t>
  </si>
  <si>
    <t>US_0323</t>
  </si>
  <si>
    <t>MRI_0324</t>
  </si>
  <si>
    <t>CT_0325</t>
  </si>
  <si>
    <t>XRAY_0326</t>
  </si>
  <si>
    <t>MRI_0327</t>
  </si>
  <si>
    <t>11/12/2023</t>
  </si>
  <si>
    <t>MAMMO_0328</t>
  </si>
  <si>
    <t>XRAY_0329</t>
  </si>
  <si>
    <t>6/8/2023</t>
  </si>
  <si>
    <t>XRAY_0330</t>
  </si>
  <si>
    <t>2/3/2023</t>
  </si>
  <si>
    <t>US_0331</t>
  </si>
  <si>
    <t>MRI_0332</t>
  </si>
  <si>
    <t>4/13/2023</t>
  </si>
  <si>
    <t>MRI_0333</t>
  </si>
  <si>
    <t>MAMMO_0334</t>
  </si>
  <si>
    <t>9/1/2023</t>
  </si>
  <si>
    <t>MRI_0335</t>
  </si>
  <si>
    <t>MRI_0336</t>
  </si>
  <si>
    <t>MAMMO_0337</t>
  </si>
  <si>
    <t>6/1/2023</t>
  </si>
  <si>
    <t>MRI_0338</t>
  </si>
  <si>
    <t>4/2/2023</t>
  </si>
  <si>
    <t>MAMMO_0339</t>
  </si>
  <si>
    <t>XRAY_0340</t>
  </si>
  <si>
    <t>7/18/2023</t>
  </si>
  <si>
    <t>US_0341</t>
  </si>
  <si>
    <t>1/15/2023</t>
  </si>
  <si>
    <t>CT_0342</t>
  </si>
  <si>
    <t>XRAY_0343</t>
  </si>
  <si>
    <t>1/2/2023</t>
  </si>
  <si>
    <t>MRI_0344</t>
  </si>
  <si>
    <t>US_0345</t>
  </si>
  <si>
    <t>MRI_0346</t>
  </si>
  <si>
    <t>MAMMO_0347</t>
  </si>
  <si>
    <t>6/12/2023</t>
  </si>
  <si>
    <t>CT_0348</t>
  </si>
  <si>
    <t>7/23/2023</t>
  </si>
  <si>
    <t>MAMMO_0349</t>
  </si>
  <si>
    <t>US_0350</t>
  </si>
  <si>
    <t>6/30/2023</t>
  </si>
  <si>
    <t>MAMMO_0351</t>
  </si>
  <si>
    <t>XRAY_0352</t>
  </si>
  <si>
    <t>XRAY_0353</t>
  </si>
  <si>
    <t>CT_0354</t>
  </si>
  <si>
    <t>MAMMO_0355</t>
  </si>
  <si>
    <t>MRI_0356</t>
  </si>
  <si>
    <t>CT_0357</t>
  </si>
  <si>
    <t>CT_0358</t>
  </si>
  <si>
    <t>XRAY_0359</t>
  </si>
  <si>
    <t>MAMMO_0360</t>
  </si>
  <si>
    <t>1/16/2023</t>
  </si>
  <si>
    <t>CT_0361</t>
  </si>
  <si>
    <t>MRI_0362</t>
  </si>
  <si>
    <t>4/22/2023</t>
  </si>
  <si>
    <t>MAMMO_0363</t>
  </si>
  <si>
    <t>12/23/2023</t>
  </si>
  <si>
    <t>XRAY_0364</t>
  </si>
  <si>
    <t>11/4/2023</t>
  </si>
  <si>
    <t>XRAY_0365</t>
  </si>
  <si>
    <t>2/4/2023</t>
  </si>
  <si>
    <t>MAMMO_0366</t>
  </si>
  <si>
    <t>MRI_0367</t>
  </si>
  <si>
    <t>US_0368</t>
  </si>
  <si>
    <t>MRI_0369</t>
  </si>
  <si>
    <t>US_0370</t>
  </si>
  <si>
    <t>XRAY_0371</t>
  </si>
  <si>
    <t>CT_0372</t>
  </si>
  <si>
    <t>CT_0373</t>
  </si>
  <si>
    <t>5/26/2023</t>
  </si>
  <si>
    <t>US_0374</t>
  </si>
  <si>
    <t>6/19/2023</t>
  </si>
  <si>
    <t>CT_0375</t>
  </si>
  <si>
    <t>9/9/2023</t>
  </si>
  <si>
    <t>MRI_0376</t>
  </si>
  <si>
    <t>MAMMO_0377</t>
  </si>
  <si>
    <t>6/26/2023</t>
  </si>
  <si>
    <t>US_0378</t>
  </si>
  <si>
    <t>US_0379</t>
  </si>
  <si>
    <t>MRI_0380</t>
  </si>
  <si>
    <t>US_0381</t>
  </si>
  <si>
    <t>XRAY_0382</t>
  </si>
  <si>
    <t>9/10/2023</t>
  </si>
  <si>
    <t>MRI_0383</t>
  </si>
  <si>
    <t>US_0384</t>
  </si>
  <si>
    <t>3/9/2023</t>
  </si>
  <si>
    <t>XRAY_0385</t>
  </si>
  <si>
    <t>MAMMO_0386</t>
  </si>
  <si>
    <t>MRI_0387</t>
  </si>
  <si>
    <t>1/30/2023</t>
  </si>
  <si>
    <t>XRAY_0388</t>
  </si>
  <si>
    <t>6/3/2023</t>
  </si>
  <si>
    <t>US_0389</t>
  </si>
  <si>
    <t>US_0390</t>
  </si>
  <si>
    <t>4/19/2023</t>
  </si>
  <si>
    <t>XRAY_0391</t>
  </si>
  <si>
    <t>XRAY_0392</t>
  </si>
  <si>
    <t>8/31/2023</t>
  </si>
  <si>
    <t>MRI_0393</t>
  </si>
  <si>
    <t>1/8/2023</t>
  </si>
  <si>
    <t>MAMMO_0394</t>
  </si>
  <si>
    <t>MAMMO_0395</t>
  </si>
  <si>
    <t>XRAY_0396</t>
  </si>
  <si>
    <t>MAMMO_0397</t>
  </si>
  <si>
    <t>CT_0398</t>
  </si>
  <si>
    <t>XRAY_0399</t>
  </si>
  <si>
    <t>8/15/2023</t>
  </si>
  <si>
    <t>XRAY_0400</t>
  </si>
  <si>
    <t>CT_0401</t>
  </si>
  <si>
    <t>MAMMO_0402</t>
  </si>
  <si>
    <t>MRI_0403</t>
  </si>
  <si>
    <t>MAMMO_0404</t>
  </si>
  <si>
    <t>MAMMO_0405</t>
  </si>
  <si>
    <t>9/26/2023</t>
  </si>
  <si>
    <t>CT_0406</t>
  </si>
  <si>
    <t>MAMMO_0407</t>
  </si>
  <si>
    <t>MRI_0408</t>
  </si>
  <si>
    <t>MAMMO_0409</t>
  </si>
  <si>
    <t>MRI_0410</t>
  </si>
  <si>
    <t>10/30/2023</t>
  </si>
  <si>
    <t>MAMMO_0411</t>
  </si>
  <si>
    <t>XRAY_0412</t>
  </si>
  <si>
    <t>CT_0413</t>
  </si>
  <si>
    <t>MRI_0414</t>
  </si>
  <si>
    <t>CT_0415</t>
  </si>
  <si>
    <t>10/28/2023</t>
  </si>
  <si>
    <t>MAMMO_0416</t>
  </si>
  <si>
    <t>XRAY_0417</t>
  </si>
  <si>
    <t>XRAY_0418</t>
  </si>
  <si>
    <t>US_0419</t>
  </si>
  <si>
    <t>MRI_0420</t>
  </si>
  <si>
    <t>CT_0421</t>
  </si>
  <si>
    <t>CT_0422</t>
  </si>
  <si>
    <t>MRI_0423</t>
  </si>
  <si>
    <t>MRI_0424</t>
  </si>
  <si>
    <t>CT_0425</t>
  </si>
  <si>
    <t>CT_0426</t>
  </si>
  <si>
    <t>MAMMO_0427</t>
  </si>
  <si>
    <t>MRI_0428</t>
  </si>
  <si>
    <t>MAMMO_0429</t>
  </si>
  <si>
    <t>MRI_0430</t>
  </si>
  <si>
    <t>CT_0431</t>
  </si>
  <si>
    <t>12/7/2023</t>
  </si>
  <si>
    <t>MRI_0432</t>
  </si>
  <si>
    <t>MAMMO_0433</t>
  </si>
  <si>
    <t>US_0434</t>
  </si>
  <si>
    <t>10/16/2023</t>
  </si>
  <si>
    <t>MRI_0435</t>
  </si>
  <si>
    <t>2/19/2023</t>
  </si>
  <si>
    <t>XRAY_0436</t>
  </si>
  <si>
    <t>MAMMO_0437</t>
  </si>
  <si>
    <t>MAMMO_0438</t>
  </si>
  <si>
    <t>CT_0439</t>
  </si>
  <si>
    <t>MAMMO_0440</t>
  </si>
  <si>
    <t>XRAY_0441</t>
  </si>
  <si>
    <t>7/28/2023</t>
  </si>
  <si>
    <t>XRAY_0442</t>
  </si>
  <si>
    <t>MRI_0443</t>
  </si>
  <si>
    <t>8/23/2023</t>
  </si>
  <si>
    <t>XRAY_0444</t>
  </si>
  <si>
    <t>XRAY_0445</t>
  </si>
  <si>
    <t>US_0446</t>
  </si>
  <si>
    <t>XRAY_0447</t>
  </si>
  <si>
    <t>CT_0448</t>
  </si>
  <si>
    <t>MRI_0449</t>
  </si>
  <si>
    <t>MRI_0450</t>
  </si>
  <si>
    <t>12/27/2023</t>
  </si>
  <si>
    <t>XRAY_0451</t>
  </si>
  <si>
    <t>XRAY_0452</t>
  </si>
  <si>
    <t>XRAY_0453</t>
  </si>
  <si>
    <t>CT_0454</t>
  </si>
  <si>
    <t>US_0455</t>
  </si>
  <si>
    <t>6/14/2023</t>
  </si>
  <si>
    <t>CT_0456</t>
  </si>
  <si>
    <t>7/24/2023</t>
  </si>
  <si>
    <t>MAMMO_0457</t>
  </si>
  <si>
    <t>CT_0458</t>
  </si>
  <si>
    <t>9/7/2023</t>
  </si>
  <si>
    <t>US_0459</t>
  </si>
  <si>
    <t>US_0460</t>
  </si>
  <si>
    <t>MRI_0461</t>
  </si>
  <si>
    <t>3/1/2023</t>
  </si>
  <si>
    <t>CT_0462</t>
  </si>
  <si>
    <t>US_0463</t>
  </si>
  <si>
    <t>9/28/2023</t>
  </si>
  <si>
    <t>CT_0464</t>
  </si>
  <si>
    <t>US_0465</t>
  </si>
  <si>
    <t>MRI_0466</t>
  </si>
  <si>
    <t>7/8/2023</t>
  </si>
  <si>
    <t>XRAY_0467</t>
  </si>
  <si>
    <t>US_0468</t>
  </si>
  <si>
    <t>XRAY_0469</t>
  </si>
  <si>
    <t>MRI_0470</t>
  </si>
  <si>
    <t>XRAY_0471</t>
  </si>
  <si>
    <t>9/22/2023</t>
  </si>
  <si>
    <t>XRAY_0472</t>
  </si>
  <si>
    <t>MAMMO_0473</t>
  </si>
  <si>
    <t>US_0474</t>
  </si>
  <si>
    <t>MRI_0475</t>
  </si>
  <si>
    <t>9/4/2023</t>
  </si>
  <si>
    <t>MAMMO_0476</t>
  </si>
  <si>
    <t>XRAY_0477</t>
  </si>
  <si>
    <t>US_0478</t>
  </si>
  <si>
    <t>XRAY_0479</t>
  </si>
  <si>
    <t>8/28/2023</t>
  </si>
  <si>
    <t>CT_0480</t>
  </si>
  <si>
    <t>11/13/2023</t>
  </si>
  <si>
    <t>MRI_0481</t>
  </si>
  <si>
    <t>MAMMO_0482</t>
  </si>
  <si>
    <t>MAMMO_0483</t>
  </si>
  <si>
    <t>MRI_0484</t>
  </si>
  <si>
    <t>US_0485</t>
  </si>
  <si>
    <t>XRAY_0486</t>
  </si>
  <si>
    <t>CT_0487</t>
  </si>
  <si>
    <t>MAMMO_0488</t>
  </si>
  <si>
    <t>CT_0489</t>
  </si>
  <si>
    <t>5/11/2023</t>
  </si>
  <si>
    <t>US_0490</t>
  </si>
  <si>
    <t>MAMMO_0491</t>
  </si>
  <si>
    <t>CT_0492</t>
  </si>
  <si>
    <t>XRAY_0493</t>
  </si>
  <si>
    <t>US_0494</t>
  </si>
  <si>
    <t>4/11/2023</t>
  </si>
  <si>
    <t>CT_0495</t>
  </si>
  <si>
    <t>MAMMO_0496</t>
  </si>
  <si>
    <t>XRAY_0497</t>
  </si>
  <si>
    <t>US_0498</t>
  </si>
  <si>
    <t>3/4/2023</t>
  </si>
  <si>
    <t>MAMMO_0499</t>
  </si>
  <si>
    <t>MAMMO_0500</t>
  </si>
  <si>
    <t>2/2/2023</t>
  </si>
  <si>
    <t>XRAY_0501</t>
  </si>
  <si>
    <t>US_0502</t>
  </si>
  <si>
    <t>US_0503</t>
  </si>
  <si>
    <t>CT_0504</t>
  </si>
  <si>
    <t>MAMMO_0505</t>
  </si>
  <si>
    <t>10/5/2023</t>
  </si>
  <si>
    <t>CT_0506</t>
  </si>
  <si>
    <t>US_0507</t>
  </si>
  <si>
    <t>XRAY_0508</t>
  </si>
  <si>
    <t>2/27/2023</t>
  </si>
  <si>
    <t>CT_0509</t>
  </si>
  <si>
    <t>CT_0510</t>
  </si>
  <si>
    <t>US_0511</t>
  </si>
  <si>
    <t>11/16/2023</t>
  </si>
  <si>
    <t>CT_0512</t>
  </si>
  <si>
    <t>CT_0513</t>
  </si>
  <si>
    <t>MAMMO_0514</t>
  </si>
  <si>
    <t>MRI_0515</t>
  </si>
  <si>
    <t>6/11/2023</t>
  </si>
  <si>
    <t>MRI_0516</t>
  </si>
  <si>
    <t>XRAY_0517</t>
  </si>
  <si>
    <t>XRAY_0518</t>
  </si>
  <si>
    <t>9/27/2023</t>
  </si>
  <si>
    <t>XRAY_0519</t>
  </si>
  <si>
    <t>MAMMO_0520</t>
  </si>
  <si>
    <t>CT_0521</t>
  </si>
  <si>
    <t>10/9/2023</t>
  </si>
  <si>
    <t>MRI_0522</t>
  </si>
  <si>
    <t>MAMMO_0523</t>
  </si>
  <si>
    <t>CT_0524</t>
  </si>
  <si>
    <t>MAMMO_0525</t>
  </si>
  <si>
    <t>9/15/2023</t>
  </si>
  <si>
    <t>CT_0526</t>
  </si>
  <si>
    <t>MAMMO_0527</t>
  </si>
  <si>
    <t>XRAY_0528</t>
  </si>
  <si>
    <t>8/6/2023</t>
  </si>
  <si>
    <t>CT_0529</t>
  </si>
  <si>
    <t>CT_0530</t>
  </si>
  <si>
    <t>2/11/2023</t>
  </si>
  <si>
    <t>MRI_0531</t>
  </si>
  <si>
    <t>CT_0532</t>
  </si>
  <si>
    <t>6/6/2023</t>
  </si>
  <si>
    <t>MRI_0533</t>
  </si>
  <si>
    <t>US_0534</t>
  </si>
  <si>
    <t>MRI_0535</t>
  </si>
  <si>
    <t>CT_0536</t>
  </si>
  <si>
    <t>US_0537</t>
  </si>
  <si>
    <t>CT_0538</t>
  </si>
  <si>
    <t>MRI_0539</t>
  </si>
  <si>
    <t>US_0540</t>
  </si>
  <si>
    <t>MRI_0541</t>
  </si>
  <si>
    <t>MRI_0542</t>
  </si>
  <si>
    <t>US_0543</t>
  </si>
  <si>
    <t>XRAY_0544</t>
  </si>
  <si>
    <t>XRAY_0545</t>
  </si>
  <si>
    <t>MAMMO_0546</t>
  </si>
  <si>
    <t>CT_0547</t>
  </si>
  <si>
    <t>CT_0548</t>
  </si>
  <si>
    <t>XRAY_0549</t>
  </si>
  <si>
    <t>CT_0550</t>
  </si>
  <si>
    <t>US_0551</t>
  </si>
  <si>
    <t>3/24/2023</t>
  </si>
  <si>
    <t>XRAY_0552</t>
  </si>
  <si>
    <t>12/10/2023</t>
  </si>
  <si>
    <t>MAMMO_0553</t>
  </si>
  <si>
    <t>XRAY_0554</t>
  </si>
  <si>
    <t>XRAY_0555</t>
  </si>
  <si>
    <t>10/7/2023</t>
  </si>
  <si>
    <t>MAMMO_0556</t>
  </si>
  <si>
    <t>US_0557</t>
  </si>
  <si>
    <t>MAMMO_0558</t>
  </si>
  <si>
    <t>5/2/2023</t>
  </si>
  <si>
    <t>US_0559</t>
  </si>
  <si>
    <t>5/19/2023</t>
  </si>
  <si>
    <t>US_0560</t>
  </si>
  <si>
    <t>CT_0561</t>
  </si>
  <si>
    <t>CT_0562</t>
  </si>
  <si>
    <t>MRI_0563</t>
  </si>
  <si>
    <t>CT_0564</t>
  </si>
  <si>
    <t>XRAY_0565</t>
  </si>
  <si>
    <t>1/31/2023</t>
  </si>
  <si>
    <t>MAMMO_0566</t>
  </si>
  <si>
    <t>US_0567</t>
  </si>
  <si>
    <t>US_0568</t>
  </si>
  <si>
    <t>US_0569</t>
  </si>
  <si>
    <t>MRI_0570</t>
  </si>
  <si>
    <t>XRAY_0571</t>
  </si>
  <si>
    <t>US_0572</t>
  </si>
  <si>
    <t>10/17/2023</t>
  </si>
  <si>
    <t>XRAY_0573</t>
  </si>
  <si>
    <t>MAMMO_0574</t>
  </si>
  <si>
    <t>US_0575</t>
  </si>
  <si>
    <t>MAMMO_0576</t>
  </si>
  <si>
    <t>8/25/2023</t>
  </si>
  <si>
    <t>CT_0577</t>
  </si>
  <si>
    <t>XRAY_0578</t>
  </si>
  <si>
    <t>CT_0579</t>
  </si>
  <si>
    <t>6/15/2023</t>
  </si>
  <si>
    <t>MAMMO_0580</t>
  </si>
  <si>
    <t>MRI_0581</t>
  </si>
  <si>
    <t>CT_0582</t>
  </si>
  <si>
    <t>MRI_0583</t>
  </si>
  <si>
    <t>XRAY_0584</t>
  </si>
  <si>
    <t>CT_0585</t>
  </si>
  <si>
    <t>4/29/2023</t>
  </si>
  <si>
    <t>XRAY_0586</t>
  </si>
  <si>
    <t>US_0587</t>
  </si>
  <si>
    <t>MRI_0588</t>
  </si>
  <si>
    <t>XRAY_0589</t>
  </si>
  <si>
    <t>MRI_0590</t>
  </si>
  <si>
    <t>10/31/2023</t>
  </si>
  <si>
    <t>MAMMO_0591</t>
  </si>
  <si>
    <t>MAMMO_0592</t>
  </si>
  <si>
    <t>7/31/2023</t>
  </si>
  <si>
    <t>MRI_0593</t>
  </si>
  <si>
    <t>US_0594</t>
  </si>
  <si>
    <t>CT_0595</t>
  </si>
  <si>
    <t>US_0596</t>
  </si>
  <si>
    <t>XRAY_0597</t>
  </si>
  <si>
    <t>CT_0598</t>
  </si>
  <si>
    <t>10/12/2023</t>
  </si>
  <si>
    <t>MAMMO_0599</t>
  </si>
  <si>
    <t>MRI_0600</t>
  </si>
  <si>
    <t>XRAY_0601</t>
  </si>
  <si>
    <t>MRI_0602</t>
  </si>
  <si>
    <t>US_0603</t>
  </si>
  <si>
    <t>MAMMO_0604</t>
  </si>
  <si>
    <t>CT_0605</t>
  </si>
  <si>
    <t>XRAY_0606</t>
  </si>
  <si>
    <t>XRAY_0607</t>
  </si>
  <si>
    <t>US_0608</t>
  </si>
  <si>
    <t>CT_0609</t>
  </si>
  <si>
    <t>XRAY_0610</t>
  </si>
  <si>
    <t>US_0611</t>
  </si>
  <si>
    <t>US_0612</t>
  </si>
  <si>
    <t>MRI_0613</t>
  </si>
  <si>
    <t>US_0614</t>
  </si>
  <si>
    <t>3/21/2023</t>
  </si>
  <si>
    <t>MRI_0615</t>
  </si>
  <si>
    <t>1/23/2023</t>
  </si>
  <si>
    <t>US_0616</t>
  </si>
  <si>
    <t>CT_0617</t>
  </si>
  <si>
    <t>MAMMO_0618</t>
  </si>
  <si>
    <t>MAMMO_0619</t>
  </si>
  <si>
    <t>CT_0620</t>
  </si>
  <si>
    <t>9/6/2023</t>
  </si>
  <si>
    <t>MAMMO_0621</t>
  </si>
  <si>
    <t>XRAY_0622</t>
  </si>
  <si>
    <t>MAMMO_0623</t>
  </si>
  <si>
    <t>MAMMO_0624</t>
  </si>
  <si>
    <t>US_0625</t>
  </si>
  <si>
    <t>US_0626</t>
  </si>
  <si>
    <t>7/6/2023</t>
  </si>
  <si>
    <t>MAMMO_0627</t>
  </si>
  <si>
    <t>7/9/2023</t>
  </si>
  <si>
    <t>MRI_0628</t>
  </si>
  <si>
    <t>MRI_0629</t>
  </si>
  <si>
    <t>MRI_0630</t>
  </si>
  <si>
    <t>MAMMO_0631</t>
  </si>
  <si>
    <t>US_0632</t>
  </si>
  <si>
    <t>XRAY_0633</t>
  </si>
  <si>
    <t>US_0634</t>
  </si>
  <si>
    <t>MAMMO_0635</t>
  </si>
  <si>
    <t>3/18/2023</t>
  </si>
  <si>
    <t>XRAY_0636</t>
  </si>
  <si>
    <t>MRI_0637</t>
  </si>
  <si>
    <t>US_0638</t>
  </si>
  <si>
    <t>MAMMO_0639</t>
  </si>
  <si>
    <t>XRAY_0640</t>
  </si>
  <si>
    <t>MAMMO_0641</t>
  </si>
  <si>
    <t>XRAY_0642</t>
  </si>
  <si>
    <t>CT_0643</t>
  </si>
  <si>
    <t>3/30/2023</t>
  </si>
  <si>
    <t>MRI_0644</t>
  </si>
  <si>
    <t>11/18/2023</t>
  </si>
  <si>
    <t>MRI_0645</t>
  </si>
  <si>
    <t>MRI_0646</t>
  </si>
  <si>
    <t>CT_0647</t>
  </si>
  <si>
    <t>MAMMO_0648</t>
  </si>
  <si>
    <t>MRI_0649</t>
  </si>
  <si>
    <t>11/27/2023</t>
  </si>
  <si>
    <t>US_0650</t>
  </si>
  <si>
    <t>CT_0651</t>
  </si>
  <si>
    <t>US_0652</t>
  </si>
  <si>
    <t>XRAY_0653</t>
  </si>
  <si>
    <t>CT_0654</t>
  </si>
  <si>
    <t>US_0655</t>
  </si>
  <si>
    <t>XRAY_0656</t>
  </si>
  <si>
    <t>6/21/2023</t>
  </si>
  <si>
    <t>MRI_0657</t>
  </si>
  <si>
    <t>XRAY_0658</t>
  </si>
  <si>
    <t>MRI_0659</t>
  </si>
  <si>
    <t>MAMMO_0660</t>
  </si>
  <si>
    <t>MAMMO_0661</t>
  </si>
  <si>
    <t>4/8/2023</t>
  </si>
  <si>
    <t>US_0662</t>
  </si>
  <si>
    <t>US_0663</t>
  </si>
  <si>
    <t>10/22/2023</t>
  </si>
  <si>
    <t>XRAY_0664</t>
  </si>
  <si>
    <t>2/8/2023</t>
  </si>
  <si>
    <t>MRI_0665</t>
  </si>
  <si>
    <t>MRI_0666</t>
  </si>
  <si>
    <t>MAMMO_0667</t>
  </si>
  <si>
    <t>MRI_0668</t>
  </si>
  <si>
    <t>XRAY_0669</t>
  </si>
  <si>
    <t>CT_0670</t>
  </si>
  <si>
    <t>MRI_0671</t>
  </si>
  <si>
    <t>CT_0672</t>
  </si>
  <si>
    <t>CT_0673</t>
  </si>
  <si>
    <t>MAMMO_0674</t>
  </si>
  <si>
    <t>10/11/2023</t>
  </si>
  <si>
    <t>XRAY_0675</t>
  </si>
  <si>
    <t>MAMMO_0676</t>
  </si>
  <si>
    <t>MAMMO_0677</t>
  </si>
  <si>
    <t>CT_0678</t>
  </si>
  <si>
    <t>5/15/2023</t>
  </si>
  <si>
    <t>MAMMO_0679</t>
  </si>
  <si>
    <t>12/3/2023</t>
  </si>
  <si>
    <t>CT_0680</t>
  </si>
  <si>
    <t>CT_0681</t>
  </si>
  <si>
    <t>US_0682</t>
  </si>
  <si>
    <t>MRI_0683</t>
  </si>
  <si>
    <t>CT_0684</t>
  </si>
  <si>
    <t>CT_0685</t>
  </si>
  <si>
    <t>MRI_0686</t>
  </si>
  <si>
    <t>MRI_0687</t>
  </si>
  <si>
    <t>MAMMO_0688</t>
  </si>
  <si>
    <t>XRAY_0689</t>
  </si>
  <si>
    <t>MRI_0690</t>
  </si>
  <si>
    <t>MAMMO_0691</t>
  </si>
  <si>
    <t>MRI_0692</t>
  </si>
  <si>
    <t>MRI_0693</t>
  </si>
  <si>
    <t>MRI_0694</t>
  </si>
  <si>
    <t>MRI_0695</t>
  </si>
  <si>
    <t>11/30/2023</t>
  </si>
  <si>
    <t>CT_0696</t>
  </si>
  <si>
    <t>2/9/2023</t>
  </si>
  <si>
    <t>XRAY_0697</t>
  </si>
  <si>
    <t>MRI_0698</t>
  </si>
  <si>
    <t>CT_0699</t>
  </si>
  <si>
    <t>1/3/2023</t>
  </si>
  <si>
    <t>US_0700</t>
  </si>
  <si>
    <t>MAMMO_0701</t>
  </si>
  <si>
    <t>MRI_0702</t>
  </si>
  <si>
    <t>9/3/2023</t>
  </si>
  <si>
    <t>MAMMO_0703</t>
  </si>
  <si>
    <t>12/2/2023</t>
  </si>
  <si>
    <t>MRI_0704</t>
  </si>
  <si>
    <t>US_0705</t>
  </si>
  <si>
    <t>XRAY_0706</t>
  </si>
  <si>
    <t>XRAY_0707</t>
  </si>
  <si>
    <t>MAMMO_0708</t>
  </si>
  <si>
    <t>MRI_0709</t>
  </si>
  <si>
    <t>XRAY_0710</t>
  </si>
  <si>
    <t>XRAY_0711</t>
  </si>
  <si>
    <t>CT_0712</t>
  </si>
  <si>
    <t>MRI_0713</t>
  </si>
  <si>
    <t>MRI_0714</t>
  </si>
  <si>
    <t>CT_0715</t>
  </si>
  <si>
    <t>CT_0716</t>
  </si>
  <si>
    <t>MAMMO_0717</t>
  </si>
  <si>
    <t>XRAY_0718</t>
  </si>
  <si>
    <t>XRAY_0719</t>
  </si>
  <si>
    <t>CT_0720</t>
  </si>
  <si>
    <t>11/14/2023</t>
  </si>
  <si>
    <t>XRAY_0721</t>
  </si>
  <si>
    <t>MRI_0722</t>
  </si>
  <si>
    <t>MAMMO_0723</t>
  </si>
  <si>
    <t>MAMMO_0724</t>
  </si>
  <si>
    <t>US_0725</t>
  </si>
  <si>
    <t>XRAY_0726</t>
  </si>
  <si>
    <t>MRI_0727</t>
  </si>
  <si>
    <t>MRI_0728</t>
  </si>
  <si>
    <t>CT_0729</t>
  </si>
  <si>
    <t>MRI_0730</t>
  </si>
  <si>
    <t>XRAY_0731</t>
  </si>
  <si>
    <t>US_0732</t>
  </si>
  <si>
    <t>XRAY_0733</t>
  </si>
  <si>
    <t>MAMMO_0734</t>
  </si>
  <si>
    <t>XRAY_0735</t>
  </si>
  <si>
    <t>CT_0736</t>
  </si>
  <si>
    <t>CT_0737</t>
  </si>
  <si>
    <t>XRAY_0738</t>
  </si>
  <si>
    <t>MAMMO_0739</t>
  </si>
  <si>
    <t>XRAY_0740</t>
  </si>
  <si>
    <t>CT_0741</t>
  </si>
  <si>
    <t>MRI_0742</t>
  </si>
  <si>
    <t>MRI_0743</t>
  </si>
  <si>
    <t>XRAY_0744</t>
  </si>
  <si>
    <t>XRAY_0745</t>
  </si>
  <si>
    <t>XRAY_0746</t>
  </si>
  <si>
    <t>XRAY_0747</t>
  </si>
  <si>
    <t>US_0748</t>
  </si>
  <si>
    <t>MRI_0749</t>
  </si>
  <si>
    <t>5/28/2023</t>
  </si>
  <si>
    <t>XRAY_0750</t>
  </si>
  <si>
    <t>8/26/2023</t>
  </si>
  <si>
    <t>XRAY_0751</t>
  </si>
  <si>
    <t>US_0752</t>
  </si>
  <si>
    <t>XRAY_0753</t>
  </si>
  <si>
    <t>MAMMO_0754</t>
  </si>
  <si>
    <t>US_0755</t>
  </si>
  <si>
    <t>MAMMO_0756</t>
  </si>
  <si>
    <t>1/20/2023</t>
  </si>
  <si>
    <t>CT_0757</t>
  </si>
  <si>
    <t>CT_0758</t>
  </si>
  <si>
    <t>MAMMO_0759</t>
  </si>
  <si>
    <t>1/13/2023</t>
  </si>
  <si>
    <t>MAMMO_0760</t>
  </si>
  <si>
    <t>XRAY_0761</t>
  </si>
  <si>
    <t>US_0762</t>
  </si>
  <si>
    <t>XRAY_0763</t>
  </si>
  <si>
    <t>CT_0764</t>
  </si>
  <si>
    <t>MRI_0765</t>
  </si>
  <si>
    <t>MAMMO_0766</t>
  </si>
  <si>
    <t>12/18/2023</t>
  </si>
  <si>
    <t>MAMMO_0767</t>
  </si>
  <si>
    <t>MAMMO_0768</t>
  </si>
  <si>
    <t>CT_0769</t>
  </si>
  <si>
    <t>XRAY_0770</t>
  </si>
  <si>
    <t>XRAY_0771</t>
  </si>
  <si>
    <t>MAMMO_0772</t>
  </si>
  <si>
    <t>MAMMO_0773</t>
  </si>
  <si>
    <t>MAMMO_0774</t>
  </si>
  <si>
    <t>8/7/2023</t>
  </si>
  <si>
    <t>US_0775</t>
  </si>
  <si>
    <t>MRI_0776</t>
  </si>
  <si>
    <t>MRI_0777</t>
  </si>
  <si>
    <t>XRAY_0778</t>
  </si>
  <si>
    <t>MRI_0779</t>
  </si>
  <si>
    <t>MAMMO_0780</t>
  </si>
  <si>
    <t>MAMMO_0781</t>
  </si>
  <si>
    <t>MAMMO_0782</t>
  </si>
  <si>
    <t>MRI_0783</t>
  </si>
  <si>
    <t>MRI_0784</t>
  </si>
  <si>
    <t>MAMMO_0785</t>
  </si>
  <si>
    <t>MRI_0786</t>
  </si>
  <si>
    <t>XRAY_0787</t>
  </si>
  <si>
    <t>10/8/2023</t>
  </si>
  <si>
    <t>MRI_0788</t>
  </si>
  <si>
    <t>US_0789</t>
  </si>
  <si>
    <t>US_0790</t>
  </si>
  <si>
    <t>CT_0791</t>
  </si>
  <si>
    <t>CT_0792</t>
  </si>
  <si>
    <t>MAMMO_0793</t>
  </si>
  <si>
    <t>US_0794</t>
  </si>
  <si>
    <t>US_0795</t>
  </si>
  <si>
    <t>MRI_0796</t>
  </si>
  <si>
    <t>XRAY_0797</t>
  </si>
  <si>
    <t>XRAY_0798</t>
  </si>
  <si>
    <t>MRI_0799</t>
  </si>
  <si>
    <t>4/25/2023</t>
  </si>
  <si>
    <t>XRAY_0800</t>
  </si>
  <si>
    <t>US_0801</t>
  </si>
  <si>
    <t>US_0802</t>
  </si>
  <si>
    <t>MAMMO_0803</t>
  </si>
  <si>
    <t>CT_0804</t>
  </si>
  <si>
    <t>4/17/2023</t>
  </si>
  <si>
    <t>XRAY_0805</t>
  </si>
  <si>
    <t>CT_0806</t>
  </si>
  <si>
    <t>MAMMO_0807</t>
  </si>
  <si>
    <t>MAMMO_0808</t>
  </si>
  <si>
    <t>XRAY_0809</t>
  </si>
  <si>
    <t>MRI_0810</t>
  </si>
  <si>
    <t>MAMMO_0811</t>
  </si>
  <si>
    <t>7/22/2023</t>
  </si>
  <si>
    <t>MRI_0812</t>
  </si>
  <si>
    <t>XRAY_0813</t>
  </si>
  <si>
    <t>MRI_0814</t>
  </si>
  <si>
    <t>CT_0815</t>
  </si>
  <si>
    <t>MAMMO_0816</t>
  </si>
  <si>
    <t>MAMMO_0817</t>
  </si>
  <si>
    <t>MAMMO_0818</t>
  </si>
  <si>
    <t>MRI_0819</t>
  </si>
  <si>
    <t>MAMMO_0820</t>
  </si>
  <si>
    <t>5/7/2023</t>
  </si>
  <si>
    <t>MRI_0821</t>
  </si>
  <si>
    <t>MRI_0822</t>
  </si>
  <si>
    <t>MAMMO_0823</t>
  </si>
  <si>
    <t>MAMMO_0824</t>
  </si>
  <si>
    <t>MRI_0825</t>
  </si>
  <si>
    <t>MRI_0826</t>
  </si>
  <si>
    <t>MAMMO_0827</t>
  </si>
  <si>
    <t>XRAY_0828</t>
  </si>
  <si>
    <t>US_0829</t>
  </si>
  <si>
    <t>MAMMO_0830</t>
  </si>
  <si>
    <t>MAMMO_0831</t>
  </si>
  <si>
    <t>XRAY_0832</t>
  </si>
  <si>
    <t>XRAY_0833</t>
  </si>
  <si>
    <t>MRI_0834</t>
  </si>
  <si>
    <t>CT_0835</t>
  </si>
  <si>
    <t>3/8/2023</t>
  </si>
  <si>
    <t>MRI_0836</t>
  </si>
  <si>
    <t>MAMMO_0837</t>
  </si>
  <si>
    <t>XRAY_0838</t>
  </si>
  <si>
    <t>CT_0839</t>
  </si>
  <si>
    <t>XRAY_0840</t>
  </si>
  <si>
    <t>9/12/2023</t>
  </si>
  <si>
    <t>US_0841</t>
  </si>
  <si>
    <t>US_0842</t>
  </si>
  <si>
    <t>XRAY_0843</t>
  </si>
  <si>
    <t>US_0844</t>
  </si>
  <si>
    <t>US_0845</t>
  </si>
  <si>
    <t>11/5/2023</t>
  </si>
  <si>
    <t>MAMMO_0846</t>
  </si>
  <si>
    <t>MRI_0847</t>
  </si>
  <si>
    <t>MRI_0848</t>
  </si>
  <si>
    <t>US_0849</t>
  </si>
  <si>
    <t>CT_0850</t>
  </si>
  <si>
    <t>XRAY_0851</t>
  </si>
  <si>
    <t>CT_0852</t>
  </si>
  <si>
    <t>CT_0853</t>
  </si>
  <si>
    <t>MRI_0854</t>
  </si>
  <si>
    <t>XRAY_0855</t>
  </si>
  <si>
    <t>XRAY_0856</t>
  </si>
  <si>
    <t>XRAY_0857</t>
  </si>
  <si>
    <t>MRI_0858</t>
  </si>
  <si>
    <t>CT_0859</t>
  </si>
  <si>
    <t>MAMMO_0860</t>
  </si>
  <si>
    <t>MRI_0861</t>
  </si>
  <si>
    <t>3/28/2023</t>
  </si>
  <si>
    <t>US_0862</t>
  </si>
  <si>
    <t>9/17/2023</t>
  </si>
  <si>
    <t>MAMMO_0863</t>
  </si>
  <si>
    <t>MAMMO_0864</t>
  </si>
  <si>
    <t>US_0865</t>
  </si>
  <si>
    <t>MAMMO_0866</t>
  </si>
  <si>
    <t>MAMMO_0867</t>
  </si>
  <si>
    <t>8/21/2023</t>
  </si>
  <si>
    <t>MRI_0868</t>
  </si>
  <si>
    <t>MAMMO_0869</t>
  </si>
  <si>
    <t>CT_0870</t>
  </si>
  <si>
    <t>CT_0871</t>
  </si>
  <si>
    <t>CT_0872</t>
  </si>
  <si>
    <t>CT_0873</t>
  </si>
  <si>
    <t>MAMMO_0874</t>
  </si>
  <si>
    <t>CT_0875</t>
  </si>
  <si>
    <t>MAMMO_0876</t>
  </si>
  <si>
    <t>XRAY_0877</t>
  </si>
  <si>
    <t>XRAY_0878</t>
  </si>
  <si>
    <t>MAMMO_0879</t>
  </si>
  <si>
    <t>7/1/2023</t>
  </si>
  <si>
    <t>XRAY_0880</t>
  </si>
  <si>
    <t>CT_0881</t>
  </si>
  <si>
    <t>US_0882</t>
  </si>
  <si>
    <t>MRI_0883</t>
  </si>
  <si>
    <t>US_0884</t>
  </si>
  <si>
    <t>MRI_0885</t>
  </si>
  <si>
    <t>MRI_0886</t>
  </si>
  <si>
    <t>US_0887</t>
  </si>
  <si>
    <t>MAMMO_0888</t>
  </si>
  <si>
    <t>US_0889</t>
  </si>
  <si>
    <t>MAMMO_0890</t>
  </si>
  <si>
    <t>XRAY_0891</t>
  </si>
  <si>
    <t>US_0892</t>
  </si>
  <si>
    <t>MAMMO_0893</t>
  </si>
  <si>
    <t>US_0894</t>
  </si>
  <si>
    <t>CT_0895</t>
  </si>
  <si>
    <t>CT_0896</t>
  </si>
  <si>
    <t>MAMMO_0897</t>
  </si>
  <si>
    <t>XRAY_0898</t>
  </si>
  <si>
    <t>MRI_0899</t>
  </si>
  <si>
    <t>MRI_0900</t>
  </si>
  <si>
    <t>4/16/2023</t>
  </si>
  <si>
    <t>MAMMO_0901</t>
  </si>
  <si>
    <t>CT_0902</t>
  </si>
  <si>
    <t>4/20/2023</t>
  </si>
  <si>
    <t>US_0903</t>
  </si>
  <si>
    <t>MRI_0904</t>
  </si>
  <si>
    <t>MRI_0905</t>
  </si>
  <si>
    <t>XRAY_0906</t>
  </si>
  <si>
    <t>MRI_0907</t>
  </si>
  <si>
    <t>US_0908</t>
  </si>
  <si>
    <t>MRI_0909</t>
  </si>
  <si>
    <t>US_0910</t>
  </si>
  <si>
    <t>CT_0911</t>
  </si>
  <si>
    <t>US_0912</t>
  </si>
  <si>
    <t>MAMMO_0913</t>
  </si>
  <si>
    <t>XRAY_0914</t>
  </si>
  <si>
    <t>US_0915</t>
  </si>
  <si>
    <t>US_0916</t>
  </si>
  <si>
    <t>MAMMO_0917</t>
  </si>
  <si>
    <t>MRI_0918</t>
  </si>
  <si>
    <t>MRI_0919</t>
  </si>
  <si>
    <t>XRAY_0920</t>
  </si>
  <si>
    <t>MAMMO_0921</t>
  </si>
  <si>
    <t>12/9/2023</t>
  </si>
  <si>
    <t>XRAY_0922</t>
  </si>
  <si>
    <t>XRAY_0923</t>
  </si>
  <si>
    <t>CT_0924</t>
  </si>
  <si>
    <t>7/17/2023</t>
  </si>
  <si>
    <t>CT_0925</t>
  </si>
  <si>
    <t>MRI_0926</t>
  </si>
  <si>
    <t>US_0927</t>
  </si>
  <si>
    <t>CT_0928</t>
  </si>
  <si>
    <t>MAMMO_0929</t>
  </si>
  <si>
    <t>CT_0930</t>
  </si>
  <si>
    <t>US_0931</t>
  </si>
  <si>
    <t>MRI_0932</t>
  </si>
  <si>
    <t>CT_0933</t>
  </si>
  <si>
    <t>CT_0934</t>
  </si>
  <si>
    <t>12/25/2023</t>
  </si>
  <si>
    <t>XRAY_0935</t>
  </si>
  <si>
    <t>XRAY_0936</t>
  </si>
  <si>
    <t>12/30/2023</t>
  </si>
  <si>
    <t>CT_0937</t>
  </si>
  <si>
    <t>XRAY_0938</t>
  </si>
  <si>
    <t>US_0939</t>
  </si>
  <si>
    <t>XRAY_0940</t>
  </si>
  <si>
    <t>CT_0941</t>
  </si>
  <si>
    <t>CT_0942</t>
  </si>
  <si>
    <t>CT_0943</t>
  </si>
  <si>
    <t>MAMMO_0944</t>
  </si>
  <si>
    <t>US_0945</t>
  </si>
  <si>
    <t>XRAY_0946</t>
  </si>
  <si>
    <t>MAMMO_0947</t>
  </si>
  <si>
    <t>CT_0948</t>
  </si>
  <si>
    <t>MAMMO_0949</t>
  </si>
  <si>
    <t>1/6/2023</t>
  </si>
  <si>
    <t>XRAY_0950</t>
  </si>
  <si>
    <t>CT_0951</t>
  </si>
  <si>
    <t>CT_0952</t>
  </si>
  <si>
    <t>US_0953</t>
  </si>
  <si>
    <t>XRAY_0954</t>
  </si>
  <si>
    <t>CT_0955</t>
  </si>
  <si>
    <t>XRAY_0956</t>
  </si>
  <si>
    <t>US_0957</t>
  </si>
  <si>
    <t>10/15/2023</t>
  </si>
  <si>
    <t>MAMMO_0958</t>
  </si>
  <si>
    <t>US_0959</t>
  </si>
  <si>
    <t>3/29/2023</t>
  </si>
  <si>
    <t>XRAY_0960</t>
  </si>
  <si>
    <t>CT_0961</t>
  </si>
  <si>
    <t>XRAY_0962</t>
  </si>
  <si>
    <t>XRAY_0963</t>
  </si>
  <si>
    <t>MAMMO_0964</t>
  </si>
  <si>
    <t>MRI_0965</t>
  </si>
  <si>
    <t>XRAY_0966</t>
  </si>
  <si>
    <t>CT_0967</t>
  </si>
  <si>
    <t>5/12/2023</t>
  </si>
  <si>
    <t>MAMMO_0968</t>
  </si>
  <si>
    <t>CT_0969</t>
  </si>
  <si>
    <t>MRI_0970</t>
  </si>
  <si>
    <t>CT_0971</t>
  </si>
  <si>
    <t>CT_0972</t>
  </si>
  <si>
    <t>MAMMO_0973</t>
  </si>
  <si>
    <t>MAMMO_0974</t>
  </si>
  <si>
    <t>US_0975</t>
  </si>
  <si>
    <t>CT_0976</t>
  </si>
  <si>
    <t>XRAY_0977</t>
  </si>
  <si>
    <t>US_0978</t>
  </si>
  <si>
    <t>XRAY_0979</t>
  </si>
  <si>
    <t>US_0980</t>
  </si>
  <si>
    <t>MRI_0981</t>
  </si>
  <si>
    <t>MRI_0982</t>
  </si>
  <si>
    <t>MRI_0983</t>
  </si>
  <si>
    <t>MRI_0984</t>
  </si>
  <si>
    <t>CT_0985</t>
  </si>
  <si>
    <t>US_0986</t>
  </si>
  <si>
    <t>US_0987</t>
  </si>
  <si>
    <t>MRI_0988</t>
  </si>
  <si>
    <t>MRI_0989</t>
  </si>
  <si>
    <t>US_0990</t>
  </si>
  <si>
    <t>XRAY_0991</t>
  </si>
  <si>
    <t>XRAY_0992</t>
  </si>
  <si>
    <t>MAMMO_0993</t>
  </si>
  <si>
    <t>US_0994</t>
  </si>
  <si>
    <t>XRAY_0995</t>
  </si>
  <si>
    <t>CT_0996</t>
  </si>
  <si>
    <t>US_0997</t>
  </si>
  <si>
    <t>XRAY_0998</t>
  </si>
  <si>
    <t>MAMMO_0999</t>
  </si>
  <si>
    <t>CT_1000</t>
  </si>
  <si>
    <t>CT_1001</t>
  </si>
  <si>
    <t>CT_1002</t>
  </si>
  <si>
    <t>US_1003</t>
  </si>
  <si>
    <t>MRI_1004</t>
  </si>
  <si>
    <t>CT_1005</t>
  </si>
  <si>
    <t>MRI_1006</t>
  </si>
  <si>
    <t>MRI_1007</t>
  </si>
  <si>
    <t>MAMMO_1008</t>
  </si>
  <si>
    <t>CT_1009</t>
  </si>
  <si>
    <t>XRAY_1010</t>
  </si>
  <si>
    <t>MRI_1011</t>
  </si>
  <si>
    <t>MAMMO_1012</t>
  </si>
  <si>
    <t>CT_1013</t>
  </si>
  <si>
    <t>CT_1014</t>
  </si>
  <si>
    <t>CT_1015</t>
  </si>
  <si>
    <t>MRI_1016</t>
  </si>
  <si>
    <t>MAMMO_1017</t>
  </si>
  <si>
    <t>XRAY_1018</t>
  </si>
  <si>
    <t>MRI_1019</t>
  </si>
  <si>
    <t>MAMMO_1020</t>
  </si>
  <si>
    <t>US_1021</t>
  </si>
  <si>
    <t>CT_1022</t>
  </si>
  <si>
    <t>US_1023</t>
  </si>
  <si>
    <t>MAMMO_1024</t>
  </si>
  <si>
    <t>MAMMO_1025</t>
  </si>
  <si>
    <t>XRAY_1026</t>
  </si>
  <si>
    <t>MRI_1027</t>
  </si>
  <si>
    <t>CT_1028</t>
  </si>
  <si>
    <t>CT_1029</t>
  </si>
  <si>
    <t>XRAY_1030</t>
  </si>
  <si>
    <t>MAMMO_1031</t>
  </si>
  <si>
    <t>MRI_1032</t>
  </si>
  <si>
    <t>XRAY_1033</t>
  </si>
  <si>
    <t>US_1034</t>
  </si>
  <si>
    <t>MAMMO_1035</t>
  </si>
  <si>
    <t>MRI_1036</t>
  </si>
  <si>
    <t>US_1037</t>
  </si>
  <si>
    <t>MRI_1038</t>
  </si>
  <si>
    <t>US_1039</t>
  </si>
  <si>
    <t>US_1040</t>
  </si>
  <si>
    <t>US_1041</t>
  </si>
  <si>
    <t>XRAY_1042</t>
  </si>
  <si>
    <t>MAMMO_1043</t>
  </si>
  <si>
    <t>CT_1044</t>
  </si>
  <si>
    <t>XRAY_1045</t>
  </si>
  <si>
    <t>US_1046</t>
  </si>
  <si>
    <t>US_1047</t>
  </si>
  <si>
    <t>US_1048</t>
  </si>
  <si>
    <t>MAMMO_1049</t>
  </si>
  <si>
    <t>MRI_1050</t>
  </si>
  <si>
    <t>MAMMO_1051</t>
  </si>
  <si>
    <t>XRAY_1052</t>
  </si>
  <si>
    <t>CT_1053</t>
  </si>
  <si>
    <t>MAMMO_1054</t>
  </si>
  <si>
    <t>XRAY_1055</t>
  </si>
  <si>
    <t>MAMMO_1056</t>
  </si>
  <si>
    <t>MAMMO_1057</t>
  </si>
  <si>
    <t>MAMMO_1058</t>
  </si>
  <si>
    <t>MAMMO_1059</t>
  </si>
  <si>
    <t>CT_1060</t>
  </si>
  <si>
    <t>US_1061</t>
  </si>
  <si>
    <t>MAMMO_1062</t>
  </si>
  <si>
    <t>MRI_1063</t>
  </si>
  <si>
    <t>US_1064</t>
  </si>
  <si>
    <t>XRAY_1065</t>
  </si>
  <si>
    <t>CT_1066</t>
  </si>
  <si>
    <t>CT_1067</t>
  </si>
  <si>
    <t>US_1068</t>
  </si>
  <si>
    <t>CT_1069</t>
  </si>
  <si>
    <t>MAMMO_1070</t>
  </si>
  <si>
    <t>7/2/2023</t>
  </si>
  <si>
    <t>XRAY_1071</t>
  </si>
  <si>
    <t>US_1072</t>
  </si>
  <si>
    <t>US_1073</t>
  </si>
  <si>
    <t>CT_1074</t>
  </si>
  <si>
    <t>XRAY_1075</t>
  </si>
  <si>
    <t>MAMMO_1076</t>
  </si>
  <si>
    <t>US_1077</t>
  </si>
  <si>
    <t>MRI_1078</t>
  </si>
  <si>
    <t>MAMMO_1079</t>
  </si>
  <si>
    <t>MRI_1080</t>
  </si>
  <si>
    <t>XRAY_1081</t>
  </si>
  <si>
    <t>CT_1082</t>
  </si>
  <si>
    <t>US_1083</t>
  </si>
  <si>
    <t>MRI_1084</t>
  </si>
  <si>
    <t>4/15/2023</t>
  </si>
  <si>
    <t>MRI_1085</t>
  </si>
  <si>
    <t>MAMMO_1086</t>
  </si>
  <si>
    <t>MAMMO_1087</t>
  </si>
  <si>
    <t>XRAY_1088</t>
  </si>
  <si>
    <t>CT_1089</t>
  </si>
  <si>
    <t>CT_1090</t>
  </si>
  <si>
    <t>CT_1091</t>
  </si>
  <si>
    <t>MAMMO_1092</t>
  </si>
  <si>
    <t>MAMMO_1093</t>
  </si>
  <si>
    <t>MRI_1094</t>
  </si>
  <si>
    <t>XRAY_1095</t>
  </si>
  <si>
    <t>CT_1096</t>
  </si>
  <si>
    <t>XRAY_1097</t>
  </si>
  <si>
    <t>MAMMO_1098</t>
  </si>
  <si>
    <t>XRAY_1099</t>
  </si>
  <si>
    <t>US_1100</t>
  </si>
  <si>
    <t>MAMMO_1101</t>
  </si>
  <si>
    <t>US_1102</t>
  </si>
  <si>
    <t>MAMMO_1103</t>
  </si>
  <si>
    <t>XRAY_1104</t>
  </si>
  <si>
    <t>CT_1105</t>
  </si>
  <si>
    <t>US_1106</t>
  </si>
  <si>
    <t>XRAY_1107</t>
  </si>
  <si>
    <t>CT_1108</t>
  </si>
  <si>
    <t>MAMMO_1109</t>
  </si>
  <si>
    <t>MRI_1110</t>
  </si>
  <si>
    <t>MRI_1111</t>
  </si>
  <si>
    <t>CT_1112</t>
  </si>
  <si>
    <t>XRAY_1113</t>
  </si>
  <si>
    <t>XRAY_1114</t>
  </si>
  <si>
    <t>US_1115</t>
  </si>
  <si>
    <t>XRAY_1116</t>
  </si>
  <si>
    <t>4/12/2023</t>
  </si>
  <si>
    <t>MRI_1117</t>
  </si>
  <si>
    <t>XRAY_1118</t>
  </si>
  <si>
    <t>US_1119</t>
  </si>
  <si>
    <t>US_1120</t>
  </si>
  <si>
    <t>MAMMO_1121</t>
  </si>
  <si>
    <t>8/3/2023</t>
  </si>
  <si>
    <t>XRAY_1122</t>
  </si>
  <si>
    <t>XRAY_1123</t>
  </si>
  <si>
    <t>XRAY_1124</t>
  </si>
  <si>
    <t>XRAY_1125</t>
  </si>
  <si>
    <t>US_1126</t>
  </si>
  <si>
    <t>CT_1127</t>
  </si>
  <si>
    <t>CT_1128</t>
  </si>
  <si>
    <t>US_1129</t>
  </si>
  <si>
    <t>XRAY_1130</t>
  </si>
  <si>
    <t>MAMMO_1131</t>
  </si>
  <si>
    <t>US_1132</t>
  </si>
  <si>
    <t>MRI_1133</t>
  </si>
  <si>
    <t>CT_1134</t>
  </si>
  <si>
    <t>XRAY_1135</t>
  </si>
  <si>
    <t>MAMMO_1136</t>
  </si>
  <si>
    <t>XRAY_1137</t>
  </si>
  <si>
    <t>CT_1138</t>
  </si>
  <si>
    <t>MRI_1139</t>
  </si>
  <si>
    <t>MAMMO_1140</t>
  </si>
  <si>
    <t>12/13/2023</t>
  </si>
  <si>
    <t>CT_1141</t>
  </si>
  <si>
    <t>MAMMO_1142</t>
  </si>
  <si>
    <t>US_1143</t>
  </si>
  <si>
    <t>MRI_1144</t>
  </si>
  <si>
    <t>CT_1145</t>
  </si>
  <si>
    <t>MAMMO_1146</t>
  </si>
  <si>
    <t>MRI_1147</t>
  </si>
  <si>
    <t>CT_1148</t>
  </si>
  <si>
    <t>CT_1149</t>
  </si>
  <si>
    <t>US_1150</t>
  </si>
  <si>
    <t>MAMMO_1151</t>
  </si>
  <si>
    <t>MRI_1152</t>
  </si>
  <si>
    <t>MAMMO_1153</t>
  </si>
  <si>
    <t>CT_1154</t>
  </si>
  <si>
    <t>MAMMO_1155</t>
  </si>
  <si>
    <t>MRI_1156</t>
  </si>
  <si>
    <t>CT_1157</t>
  </si>
  <si>
    <t>CT_1158</t>
  </si>
  <si>
    <t>CT_1159</t>
  </si>
  <si>
    <t>US_1160</t>
  </si>
  <si>
    <t>XRAY_1161</t>
  </si>
  <si>
    <t>XRAY_1162</t>
  </si>
  <si>
    <t>US_1163</t>
  </si>
  <si>
    <t>MRI_1164</t>
  </si>
  <si>
    <t>XRAY_1165</t>
  </si>
  <si>
    <t>US_1166</t>
  </si>
  <si>
    <t>MRI_1167</t>
  </si>
  <si>
    <t>CT_1168</t>
  </si>
  <si>
    <t>XRAY_1169</t>
  </si>
  <si>
    <t>CT_1170</t>
  </si>
  <si>
    <t>CT_1171</t>
  </si>
  <si>
    <t>US_1172</t>
  </si>
  <si>
    <t>MAMMO_1173</t>
  </si>
  <si>
    <t>US_1174</t>
  </si>
  <si>
    <t>MAMMO_1175</t>
  </si>
  <si>
    <t>MRI_1176</t>
  </si>
  <si>
    <t>XRAY_1177</t>
  </si>
  <si>
    <t>US_1178</t>
  </si>
  <si>
    <t>MAMMO_1179</t>
  </si>
  <si>
    <t>CT_1180</t>
  </si>
  <si>
    <t>US_1181</t>
  </si>
  <si>
    <t>MRI_1182</t>
  </si>
  <si>
    <t>XRAY_1183</t>
  </si>
  <si>
    <t>MRI_1184</t>
  </si>
  <si>
    <t>CT_1185</t>
  </si>
  <si>
    <t>XRAY_1186</t>
  </si>
  <si>
    <t>CT_1187</t>
  </si>
  <si>
    <t>MRI_1188</t>
  </si>
  <si>
    <t>MAMMO_1189</t>
  </si>
  <si>
    <t>XRAY_1190</t>
  </si>
  <si>
    <t>MAMMO_1191</t>
  </si>
  <si>
    <t>XRAY_1192</t>
  </si>
  <si>
    <t>MAMMO_1193</t>
  </si>
  <si>
    <t>XRAY_1194</t>
  </si>
  <si>
    <t>MRI_1195</t>
  </si>
  <si>
    <t>CT_1196</t>
  </si>
  <si>
    <t>CT_1197</t>
  </si>
  <si>
    <t>MRI_1198</t>
  </si>
  <si>
    <t>XRAY_1199</t>
  </si>
  <si>
    <t>XRAY_1200</t>
  </si>
  <si>
    <t>US_1201</t>
  </si>
  <si>
    <t>MAMMO_1202</t>
  </si>
  <si>
    <t>MRI_1203</t>
  </si>
  <si>
    <t>MAMMO_1204</t>
  </si>
  <si>
    <t>CT_1205</t>
  </si>
  <si>
    <t>CT_1206</t>
  </si>
  <si>
    <t>MAMMO_1207</t>
  </si>
  <si>
    <t>11/3/2023</t>
  </si>
  <si>
    <t>XRAY_1208</t>
  </si>
  <si>
    <t>MRI_1209</t>
  </si>
  <si>
    <t>MRI_1210</t>
  </si>
  <si>
    <t>MAMMO_1211</t>
  </si>
  <si>
    <t>CT_1212</t>
  </si>
  <si>
    <t>US_1213</t>
  </si>
  <si>
    <t>XRAY_1214</t>
  </si>
  <si>
    <t>MAMMO_1215</t>
  </si>
  <si>
    <t>XRAY_1216</t>
  </si>
  <si>
    <t>1/29/2023</t>
  </si>
  <si>
    <t>CT_1217</t>
  </si>
  <si>
    <t>XRAY_1218</t>
  </si>
  <si>
    <t>CT_1219</t>
  </si>
  <si>
    <t>MAMMO_1220</t>
  </si>
  <si>
    <t>MAMMO_1221</t>
  </si>
  <si>
    <t>CT_1222</t>
  </si>
  <si>
    <t>2/26/2023</t>
  </si>
  <si>
    <t>US_1223</t>
  </si>
  <si>
    <t>MRI_1224</t>
  </si>
  <si>
    <t>XRAY_1225</t>
  </si>
  <si>
    <t>US_1226</t>
  </si>
  <si>
    <t>XRAY_1227</t>
  </si>
  <si>
    <t>MRI_1228</t>
  </si>
  <si>
    <t>XRAY_1229</t>
  </si>
  <si>
    <t>XRAY_1230</t>
  </si>
  <si>
    <t>CT_1231</t>
  </si>
  <si>
    <t>US_1232</t>
  </si>
  <si>
    <t>MRI_1233</t>
  </si>
  <si>
    <t>XRAY_1234</t>
  </si>
  <si>
    <t>CT_1235</t>
  </si>
  <si>
    <t>XRAY_1236</t>
  </si>
  <si>
    <t>MAMMO_1237</t>
  </si>
  <si>
    <t>MAMMO_1238</t>
  </si>
  <si>
    <t>CT_1239</t>
  </si>
  <si>
    <t>US_1240</t>
  </si>
  <si>
    <t>MAMMO_1241</t>
  </si>
  <si>
    <t>XRAY_1242</t>
  </si>
  <si>
    <t>MAMMO_1243</t>
  </si>
  <si>
    <t>US_1244</t>
  </si>
  <si>
    <t>4/23/2023</t>
  </si>
  <si>
    <t>MRI_1245</t>
  </si>
  <si>
    <t>XRAY_1246</t>
  </si>
  <si>
    <t>MRI_1247</t>
  </si>
  <si>
    <t>MRI_1248</t>
  </si>
  <si>
    <t>XRAY_1249</t>
  </si>
  <si>
    <t>US_1250</t>
  </si>
  <si>
    <t>US_1251</t>
  </si>
  <si>
    <t>US_1252</t>
  </si>
  <si>
    <t>US_1253</t>
  </si>
  <si>
    <t>MRI_1254</t>
  </si>
  <si>
    <t>XRAY_1255</t>
  </si>
  <si>
    <t>MAMMO_1256</t>
  </si>
  <si>
    <t>MRI_1257</t>
  </si>
  <si>
    <t>MAMMO_1258</t>
  </si>
  <si>
    <t>MAMMO_1259</t>
  </si>
  <si>
    <t>US_1260</t>
  </si>
  <si>
    <t>XRAY_1261</t>
  </si>
  <si>
    <t>XRAY_1262</t>
  </si>
  <si>
    <t>XRAY_1263</t>
  </si>
  <si>
    <t>MRI_1264</t>
  </si>
  <si>
    <t>MRI_1265</t>
  </si>
  <si>
    <t>US_1266</t>
  </si>
  <si>
    <t>XRAY_1267</t>
  </si>
  <si>
    <t>MRI_1268</t>
  </si>
  <si>
    <t>MRI_1269</t>
  </si>
  <si>
    <t>US_1270</t>
  </si>
  <si>
    <t>MAMMO_1271</t>
  </si>
  <si>
    <t>CT_1272</t>
  </si>
  <si>
    <t>XRAY_1273</t>
  </si>
  <si>
    <t>US_1274</t>
  </si>
  <si>
    <t>US_1275</t>
  </si>
  <si>
    <t>XRAY_1276</t>
  </si>
  <si>
    <t>MRI_1277</t>
  </si>
  <si>
    <t>MRI_1278</t>
  </si>
  <si>
    <t>XRAY_1279</t>
  </si>
  <si>
    <t>CT_1280</t>
  </si>
  <si>
    <t>CT_1281</t>
  </si>
  <si>
    <t>XRAY_1282</t>
  </si>
  <si>
    <t>XRAY_1283</t>
  </si>
  <si>
    <t>US_1284</t>
  </si>
  <si>
    <t>CT_1285</t>
  </si>
  <si>
    <t>MAMMO_1286</t>
  </si>
  <si>
    <t>XRAY_1287</t>
  </si>
  <si>
    <t>CT_1288</t>
  </si>
  <si>
    <t>US_1289</t>
  </si>
  <si>
    <t>US_1290</t>
  </si>
  <si>
    <t>US_1291</t>
  </si>
  <si>
    <t>MRI_1292</t>
  </si>
  <si>
    <t>XRAY_1293</t>
  </si>
  <si>
    <t>MRI_1294</t>
  </si>
  <si>
    <t>MAMMO_1295</t>
  </si>
  <si>
    <t>XRAY_1296</t>
  </si>
  <si>
    <t>MRI_1297</t>
  </si>
  <si>
    <t>MRI_1298</t>
  </si>
  <si>
    <t>MAMMO_1299</t>
  </si>
  <si>
    <t>US_1300</t>
  </si>
  <si>
    <t>XRAY_1301</t>
  </si>
  <si>
    <t>XRAY_1302</t>
  </si>
  <si>
    <t>MRI_1303</t>
  </si>
  <si>
    <t>MAMMO_1304</t>
  </si>
  <si>
    <t>MAMMO_1305</t>
  </si>
  <si>
    <t>XRAY_1306</t>
  </si>
  <si>
    <t>US_1307</t>
  </si>
  <si>
    <t>MRI_1308</t>
  </si>
  <si>
    <t>MRI_1309</t>
  </si>
  <si>
    <t>MAMMO_1310</t>
  </si>
  <si>
    <t>CT_1311</t>
  </si>
  <si>
    <t>CT_1312</t>
  </si>
  <si>
    <t>MAMMO_1313</t>
  </si>
  <si>
    <t>XRAY_1314</t>
  </si>
  <si>
    <t>MRI_1315</t>
  </si>
  <si>
    <t>MAMMO_1316</t>
  </si>
  <si>
    <t>MAMMO_1317</t>
  </si>
  <si>
    <t>MAMMO_1318</t>
  </si>
  <si>
    <t>US_1319</t>
  </si>
  <si>
    <t>XRAY_1320</t>
  </si>
  <si>
    <t>US_1321</t>
  </si>
  <si>
    <t>MAMMO_1322</t>
  </si>
  <si>
    <t>MRI_1323</t>
  </si>
  <si>
    <t>US_1324</t>
  </si>
  <si>
    <t>US_1325</t>
  </si>
  <si>
    <t>MAMMO_1326</t>
  </si>
  <si>
    <t>XRAY_1327</t>
  </si>
  <si>
    <t>US_1328</t>
  </si>
  <si>
    <t>XRAY_1329</t>
  </si>
  <si>
    <t>MAMMO_1330</t>
  </si>
  <si>
    <t>MAMMO_1331</t>
  </si>
  <si>
    <t>MAMMO_1332</t>
  </si>
  <si>
    <t>US_1333</t>
  </si>
  <si>
    <t>MAMMO_1334</t>
  </si>
  <si>
    <t>CT_1335</t>
  </si>
  <si>
    <t>US_1336</t>
  </si>
  <si>
    <t>MAMMO_1337</t>
  </si>
  <si>
    <t>MAMMO_1338</t>
  </si>
  <si>
    <t>CT_1339</t>
  </si>
  <si>
    <t>MAMMO_1340</t>
  </si>
  <si>
    <t>US_1341</t>
  </si>
  <si>
    <t>MAMMO_1342</t>
  </si>
  <si>
    <t>MAMMO_1343</t>
  </si>
  <si>
    <t>CT_1344</t>
  </si>
  <si>
    <t>XRAY_1345</t>
  </si>
  <si>
    <t>MAMMO_1346</t>
  </si>
  <si>
    <t>CT_1347</t>
  </si>
  <si>
    <t>MRI_1348</t>
  </si>
  <si>
    <t>US_1349</t>
  </si>
  <si>
    <t>XRAY_1350</t>
  </si>
  <si>
    <t>MAMMO_1351</t>
  </si>
  <si>
    <t>MAMMO_1352</t>
  </si>
  <si>
    <t>MAMMO_1353</t>
  </si>
  <si>
    <t>MRI_1354</t>
  </si>
  <si>
    <t>CT_1355</t>
  </si>
  <si>
    <t>MAMMO_1356</t>
  </si>
  <si>
    <t>XRAY_1357</t>
  </si>
  <si>
    <t>MRI_1358</t>
  </si>
  <si>
    <t>MAMMO_1359</t>
  </si>
  <si>
    <t>CT_1360</t>
  </si>
  <si>
    <t>MRI_1361</t>
  </si>
  <si>
    <t>MRI_1362</t>
  </si>
  <si>
    <t>CT_1363</t>
  </si>
  <si>
    <t>MRI_1364</t>
  </si>
  <si>
    <t>XRAY_1365</t>
  </si>
  <si>
    <t>CT_1366</t>
  </si>
  <si>
    <t>XRAY_1367</t>
  </si>
  <si>
    <t>MRI_1368</t>
  </si>
  <si>
    <t>CT_1369</t>
  </si>
  <si>
    <t>MRI_1370</t>
  </si>
  <si>
    <t>CT_1371</t>
  </si>
  <si>
    <t>US_1372</t>
  </si>
  <si>
    <t>US_1373</t>
  </si>
  <si>
    <t>US_1374</t>
  </si>
  <si>
    <t>CT_1375</t>
  </si>
  <si>
    <t>US_1376</t>
  </si>
  <si>
    <t>XRAY_1377</t>
  </si>
  <si>
    <t>CT_1378</t>
  </si>
  <si>
    <t>MRI_1379</t>
  </si>
  <si>
    <t>MAMMO_1380</t>
  </si>
  <si>
    <t>XRAY_1381</t>
  </si>
  <si>
    <t>CT_1382</t>
  </si>
  <si>
    <t>XRAY_1383</t>
  </si>
  <si>
    <t>US_1384</t>
  </si>
  <si>
    <t>MAMMO_1385</t>
  </si>
  <si>
    <t>CT_1386</t>
  </si>
  <si>
    <t>US_1387</t>
  </si>
  <si>
    <t>XRAY_1388</t>
  </si>
  <si>
    <t>US_1389</t>
  </si>
  <si>
    <t>XRAY_1390</t>
  </si>
  <si>
    <t>MRI_1391</t>
  </si>
  <si>
    <t>MAMMO_1392</t>
  </si>
  <si>
    <t>CT_1393</t>
  </si>
  <si>
    <t>XRAY_1394</t>
  </si>
  <si>
    <t>MAMMO_1395</t>
  </si>
  <si>
    <t>MAMMO_1396</t>
  </si>
  <si>
    <t>MRI_1397</t>
  </si>
  <si>
    <t>XRAY_1398</t>
  </si>
  <si>
    <t>US_1399</t>
  </si>
  <si>
    <t>MAMMO_1400</t>
  </si>
  <si>
    <t>US_1401</t>
  </si>
  <si>
    <t>MRI_1402</t>
  </si>
  <si>
    <t>CT_1403</t>
  </si>
  <si>
    <t>XRAY_1404</t>
  </si>
  <si>
    <t>XRAY_1405</t>
  </si>
  <si>
    <t>XRAY_1406</t>
  </si>
  <si>
    <t>MAMMO_1407</t>
  </si>
  <si>
    <t>US_1408</t>
  </si>
  <si>
    <t>XRAY_1409</t>
  </si>
  <si>
    <t>MRI_1410</t>
  </si>
  <si>
    <t>MAMMO_1411</t>
  </si>
  <si>
    <t>MRI_1412</t>
  </si>
  <si>
    <t>US_1413</t>
  </si>
  <si>
    <t>US_1414</t>
  </si>
  <si>
    <t>US_1415</t>
  </si>
  <si>
    <t>XRAY_1416</t>
  </si>
  <si>
    <t>MAMMO_1417</t>
  </si>
  <si>
    <t>CT_1418</t>
  </si>
  <si>
    <t>XRAY_1419</t>
  </si>
  <si>
    <t>MRI_1420</t>
  </si>
  <si>
    <t>CT_1421</t>
  </si>
  <si>
    <t>US_1422</t>
  </si>
  <si>
    <t>US_1423</t>
  </si>
  <si>
    <t>XRAY_1424</t>
  </si>
  <si>
    <t>US_1425</t>
  </si>
  <si>
    <t>US_1426</t>
  </si>
  <si>
    <t>CT_1427</t>
  </si>
  <si>
    <t>US_1428</t>
  </si>
  <si>
    <t>MRI_1429</t>
  </si>
  <si>
    <t>XRAY_1430</t>
  </si>
  <si>
    <t>US_1431</t>
  </si>
  <si>
    <t>MRI_1432</t>
  </si>
  <si>
    <t>US_1433</t>
  </si>
  <si>
    <t>CT_1434</t>
  </si>
  <si>
    <t>MAMMO_1435</t>
  </si>
  <si>
    <t>MRI_1436</t>
  </si>
  <si>
    <t>XRAY_1437</t>
  </si>
  <si>
    <t>CT_1438</t>
  </si>
  <si>
    <t>MAMMO_1439</t>
  </si>
  <si>
    <t>MAMMO_1440</t>
  </si>
  <si>
    <t>9/16/2023</t>
  </si>
  <si>
    <t>XRAY_1441</t>
  </si>
  <si>
    <t>MAMMO_1442</t>
  </si>
  <si>
    <t>MAMMO_1443</t>
  </si>
  <si>
    <t>XRAY_1444</t>
  </si>
  <si>
    <t>US_1445</t>
  </si>
  <si>
    <t>XRAY_1446</t>
  </si>
  <si>
    <t>CT_1447</t>
  </si>
  <si>
    <t>XRAY_1448</t>
  </si>
  <si>
    <t>US_1449</t>
  </si>
  <si>
    <t>MRI_1450</t>
  </si>
  <si>
    <t>MAMMO_1451</t>
  </si>
  <si>
    <t>MAMMO_1452</t>
  </si>
  <si>
    <t>MRI_1453</t>
  </si>
  <si>
    <t>MAMMO_1454</t>
  </si>
  <si>
    <t>US_1455</t>
  </si>
  <si>
    <t>XRAY_1456</t>
  </si>
  <si>
    <t>CT_1457</t>
  </si>
  <si>
    <t>MRI_1458</t>
  </si>
  <si>
    <t>CT_1459</t>
  </si>
  <si>
    <t>US_1460</t>
  </si>
  <si>
    <t>XRAY_1461</t>
  </si>
  <si>
    <t>CT_1462</t>
  </si>
  <si>
    <t>MRI_1463</t>
  </si>
  <si>
    <t>XRAY_1464</t>
  </si>
  <si>
    <t>CT_1465</t>
  </si>
  <si>
    <t>CT_1466</t>
  </si>
  <si>
    <t>MRI_1467</t>
  </si>
  <si>
    <t>US_1468</t>
  </si>
  <si>
    <t>MRI_1469</t>
  </si>
  <si>
    <t>MAMMO_1470</t>
  </si>
  <si>
    <t>MAMMO_1471</t>
  </si>
  <si>
    <t>CT_1472</t>
  </si>
  <si>
    <t>MRI_1473</t>
  </si>
  <si>
    <t>MAMMO_1474</t>
  </si>
  <si>
    <t>XRAY_1475</t>
  </si>
  <si>
    <t>MAMMO_1476</t>
  </si>
  <si>
    <t>US_1477</t>
  </si>
  <si>
    <t>MAMMO_1478</t>
  </si>
  <si>
    <t>MRI_1479</t>
  </si>
  <si>
    <t>XRAY_1480</t>
  </si>
  <si>
    <t>US_1481</t>
  </si>
  <si>
    <t>MAMMO_1482</t>
  </si>
  <si>
    <t>US_1483</t>
  </si>
  <si>
    <t>MAMMO_1484</t>
  </si>
  <si>
    <t>CT_1485</t>
  </si>
  <si>
    <t>XRAY_1486</t>
  </si>
  <si>
    <t>MRI_1487</t>
  </si>
  <si>
    <t>MRI_1488</t>
  </si>
  <si>
    <t>MRI_1489</t>
  </si>
  <si>
    <t>CT_1490</t>
  </si>
  <si>
    <t>MRI_1491</t>
  </si>
  <si>
    <t>CT_1492</t>
  </si>
  <si>
    <t>MRI_1493</t>
  </si>
  <si>
    <t>XRAY_1494</t>
  </si>
  <si>
    <t>MAMMO_1495</t>
  </si>
  <si>
    <t>XRAY_1496</t>
  </si>
  <si>
    <t>CT_1497</t>
  </si>
  <si>
    <t>CT_1498</t>
  </si>
  <si>
    <t>MAMMO_1499</t>
  </si>
  <si>
    <t>MRI_1500</t>
  </si>
  <si>
    <t>MRI_1501</t>
  </si>
  <si>
    <t>MAMMO_1502</t>
  </si>
  <si>
    <t>CT_1503</t>
  </si>
  <si>
    <t>XRAY_1504</t>
  </si>
  <si>
    <t>MAMMO_1505</t>
  </si>
  <si>
    <t>MRI_1506</t>
  </si>
  <si>
    <t>XRAY_1507</t>
  </si>
  <si>
    <t>MAMMO_1508</t>
  </si>
  <si>
    <t>US_1509</t>
  </si>
  <si>
    <t>CT_1510</t>
  </si>
  <si>
    <t>XRAY_1511</t>
  </si>
  <si>
    <t>MAMMO_1512</t>
  </si>
  <si>
    <t>MAMMO_1513</t>
  </si>
  <si>
    <t>MAMMO_1514</t>
  </si>
  <si>
    <t>MAMMO_1515</t>
  </si>
  <si>
    <t>MRI_1516</t>
  </si>
  <si>
    <t>XRAY_1517</t>
  </si>
  <si>
    <t>MAMMO_1518</t>
  </si>
  <si>
    <t>US_1519</t>
  </si>
  <si>
    <t>US_1520</t>
  </si>
  <si>
    <t>MAMMO_1521</t>
  </si>
  <si>
    <t>MAMMO_1522</t>
  </si>
  <si>
    <t>MAMMO_1523</t>
  </si>
  <si>
    <t>MAMMO_1524</t>
  </si>
  <si>
    <t>MAMMO_1525</t>
  </si>
  <si>
    <t>MRI_1526</t>
  </si>
  <si>
    <t>MRI_1527</t>
  </si>
  <si>
    <t>CT_1528</t>
  </si>
  <si>
    <t>XRAY_1529</t>
  </si>
  <si>
    <t>CT_1530</t>
  </si>
  <si>
    <t>MRI_1531</t>
  </si>
  <si>
    <t>XRAY_1532</t>
  </si>
  <si>
    <t>XRAY_1533</t>
  </si>
  <si>
    <t>US_1534</t>
  </si>
  <si>
    <t>XRAY_1535</t>
  </si>
  <si>
    <t>7/12/2023</t>
  </si>
  <si>
    <t>MRI_1536</t>
  </si>
  <si>
    <t>MRI_1537</t>
  </si>
  <si>
    <t>MAMMO_1538</t>
  </si>
  <si>
    <t>MAMMO_1539</t>
  </si>
  <si>
    <t>XRAY_1540</t>
  </si>
  <si>
    <t>MAMMO_1541</t>
  </si>
  <si>
    <t>CT_1542</t>
  </si>
  <si>
    <t>CT_1543</t>
  </si>
  <si>
    <t>US_1544</t>
  </si>
  <si>
    <t>MAMMO_1545</t>
  </si>
  <si>
    <t>US_1546</t>
  </si>
  <si>
    <t>MRI_1547</t>
  </si>
  <si>
    <t>XRAY_1548</t>
  </si>
  <si>
    <t>XRAY_1549</t>
  </si>
  <si>
    <t>XRAY_1550</t>
  </si>
  <si>
    <t>MAMMO_1551</t>
  </si>
  <si>
    <t>MAMMO_1552</t>
  </si>
  <si>
    <t>CT_1553</t>
  </si>
  <si>
    <t>US_1554</t>
  </si>
  <si>
    <t>CT_1555</t>
  </si>
  <si>
    <t>CT_1556</t>
  </si>
  <si>
    <t>MAMMO_1557</t>
  </si>
  <si>
    <t>CT_1558</t>
  </si>
  <si>
    <t>CT_1559</t>
  </si>
  <si>
    <t>MAMMO_1560</t>
  </si>
  <si>
    <t>MAMMO_1561</t>
  </si>
  <si>
    <t>US_1562</t>
  </si>
  <si>
    <t>MAMMO_1563</t>
  </si>
  <si>
    <t>US_1564</t>
  </si>
  <si>
    <t>MRI_1565</t>
  </si>
  <si>
    <t>MRI_1566</t>
  </si>
  <si>
    <t>US_1567</t>
  </si>
  <si>
    <t>MRI_1568</t>
  </si>
  <si>
    <t>XRAY_1569</t>
  </si>
  <si>
    <t>MRI_1570</t>
  </si>
  <si>
    <t>US_1571</t>
  </si>
  <si>
    <t>MAMMO_1572</t>
  </si>
  <si>
    <t>CT_1573</t>
  </si>
  <si>
    <t>XRAY_1574</t>
  </si>
  <si>
    <t>US_1575</t>
  </si>
  <si>
    <t>CT_1576</t>
  </si>
  <si>
    <t>MRI_1577</t>
  </si>
  <si>
    <t>MRI_1578</t>
  </si>
  <si>
    <t>MRI_1579</t>
  </si>
  <si>
    <t>MRI_1580</t>
  </si>
  <si>
    <t>MRI_1581</t>
  </si>
  <si>
    <t>XRAY_1582</t>
  </si>
  <si>
    <t>CT_1583</t>
  </si>
  <si>
    <t>MRI_1584</t>
  </si>
  <si>
    <t>XRAY_1585</t>
  </si>
  <si>
    <t>CT_1586</t>
  </si>
  <si>
    <t>XRAY_1587</t>
  </si>
  <si>
    <t>XRAY_1588</t>
  </si>
  <si>
    <t>MRI_1589</t>
  </si>
  <si>
    <t>MAMMO_1590</t>
  </si>
  <si>
    <t>US_1591</t>
  </si>
  <si>
    <t>MRI_1592</t>
  </si>
  <si>
    <t>CT_1593</t>
  </si>
  <si>
    <t>US_1594</t>
  </si>
  <si>
    <t>MRI_1595</t>
  </si>
  <si>
    <t>CT_1596</t>
  </si>
  <si>
    <t>CT_1597</t>
  </si>
  <si>
    <t>10/1/2023</t>
  </si>
  <si>
    <t>MRI_1598</t>
  </si>
  <si>
    <t>MRI_1599</t>
  </si>
  <si>
    <t>XRAY_1600</t>
  </si>
  <si>
    <t>MRI_1601</t>
  </si>
  <si>
    <t>US_1602</t>
  </si>
  <si>
    <t>MRI_1603</t>
  </si>
  <si>
    <t>MAMMO_1604</t>
  </si>
  <si>
    <t>XRAY_1605</t>
  </si>
  <si>
    <t>CT_1606</t>
  </si>
  <si>
    <t>XRAY_1607</t>
  </si>
  <si>
    <t>MRI_1608</t>
  </si>
  <si>
    <t>MRI_1609</t>
  </si>
  <si>
    <t>MAMMO_1610</t>
  </si>
  <si>
    <t>CT_1611</t>
  </si>
  <si>
    <t>MAMMO_1612</t>
  </si>
  <si>
    <t>XRAY_1613</t>
  </si>
  <si>
    <t>US_1614</t>
  </si>
  <si>
    <t>MRI_1615</t>
  </si>
  <si>
    <t>MRI_1616</t>
  </si>
  <si>
    <t>MAMMO_1617</t>
  </si>
  <si>
    <t>MRI_1618</t>
  </si>
  <si>
    <t>CT_1619</t>
  </si>
  <si>
    <t>US_1620</t>
  </si>
  <si>
    <t>US_1621</t>
  </si>
  <si>
    <t>MAMMO_1622</t>
  </si>
  <si>
    <t>CT_1623</t>
  </si>
  <si>
    <t>CT_1624</t>
  </si>
  <si>
    <t>US_1625</t>
  </si>
  <si>
    <t>CT_1626</t>
  </si>
  <si>
    <t>MAMMO_1627</t>
  </si>
  <si>
    <t>XRAY_1628</t>
  </si>
  <si>
    <t>MRI_1629</t>
  </si>
  <si>
    <t>MRI_1630</t>
  </si>
  <si>
    <t>MAMMO_1631</t>
  </si>
  <si>
    <t>CT_1632</t>
  </si>
  <si>
    <t>XRAY_1633</t>
  </si>
  <si>
    <t>US_1634</t>
  </si>
  <si>
    <t>MAMMO_1635</t>
  </si>
  <si>
    <t>US_1636</t>
  </si>
  <si>
    <t>MRI_1637</t>
  </si>
  <si>
    <t>US_1638</t>
  </si>
  <si>
    <t>XRAY_1639</t>
  </si>
  <si>
    <t>CT_1640</t>
  </si>
  <si>
    <t>US_1641</t>
  </si>
  <si>
    <t>MAMMO_1642</t>
  </si>
  <si>
    <t>MRI_1643</t>
  </si>
  <si>
    <t>XRAY_1644</t>
  </si>
  <si>
    <t>XRAY_1645</t>
  </si>
  <si>
    <t>CT_1646</t>
  </si>
  <si>
    <t>XRAY_1647</t>
  </si>
  <si>
    <t>XRAY_1648</t>
  </si>
  <si>
    <t>MAMMO_1649</t>
  </si>
  <si>
    <t>MAMMO_1650</t>
  </si>
  <si>
    <t>XRAY_1651</t>
  </si>
  <si>
    <t>MAMMO_1652</t>
  </si>
  <si>
    <t>MRI_1653</t>
  </si>
  <si>
    <t>MAMMO_1654</t>
  </si>
  <si>
    <t>MRI_1655</t>
  </si>
  <si>
    <t>US_1656</t>
  </si>
  <si>
    <t>MAMMO_1657</t>
  </si>
  <si>
    <t>US_1658</t>
  </si>
  <si>
    <t>XRAY_1659</t>
  </si>
  <si>
    <t>MRI_1660</t>
  </si>
  <si>
    <t>MRI_1661</t>
  </si>
  <si>
    <t>MRI_1662</t>
  </si>
  <si>
    <t>MRI_1663</t>
  </si>
  <si>
    <t>MAMMO_1664</t>
  </si>
  <si>
    <t>US_1665</t>
  </si>
  <si>
    <t>US_1666</t>
  </si>
  <si>
    <t>MAMMO_1667</t>
  </si>
  <si>
    <t>US_1668</t>
  </si>
  <si>
    <t>MAMMO_1669</t>
  </si>
  <si>
    <t>US_1670</t>
  </si>
  <si>
    <t>CT_1671</t>
  </si>
  <si>
    <t>XRAY_1672</t>
  </si>
  <si>
    <t>US_1673</t>
  </si>
  <si>
    <t>MRI_1674</t>
  </si>
  <si>
    <t>US_1675</t>
  </si>
  <si>
    <t>US_1676</t>
  </si>
  <si>
    <t>MRI_1677</t>
  </si>
  <si>
    <t>XRAY_1678</t>
  </si>
  <si>
    <t>CT_1679</t>
  </si>
  <si>
    <t>MAMMO_1680</t>
  </si>
  <si>
    <t>CT_1681</t>
  </si>
  <si>
    <t>MAMMO_1682</t>
  </si>
  <si>
    <t>US_1683</t>
  </si>
  <si>
    <t>US_1684</t>
  </si>
  <si>
    <t>US_1685</t>
  </si>
  <si>
    <t>CT_1686</t>
  </si>
  <si>
    <t>US_1687</t>
  </si>
  <si>
    <t>MAMMO_1688</t>
  </si>
  <si>
    <t>US_1689</t>
  </si>
  <si>
    <t>CT_1690</t>
  </si>
  <si>
    <t>XRAY_1691</t>
  </si>
  <si>
    <t>CT_1692</t>
  </si>
  <si>
    <t>MRI_1693</t>
  </si>
  <si>
    <t>MRI_1694</t>
  </si>
  <si>
    <t>US_1695</t>
  </si>
  <si>
    <t>MAMMO_1696</t>
  </si>
  <si>
    <t>XRAY_1697</t>
  </si>
  <si>
    <t>XRAY_1698</t>
  </si>
  <si>
    <t>MAMMO_1699</t>
  </si>
  <si>
    <t>MAMMO_1700</t>
  </si>
  <si>
    <t>US_1701</t>
  </si>
  <si>
    <t>MRI_1702</t>
  </si>
  <si>
    <t>US_1703</t>
  </si>
  <si>
    <t>US_1704</t>
  </si>
  <si>
    <t>MAMMO_1705</t>
  </si>
  <si>
    <t>XRAY_1706</t>
  </si>
  <si>
    <t>US_1707</t>
  </si>
  <si>
    <t>CT_1708</t>
  </si>
  <si>
    <t>US_1709</t>
  </si>
  <si>
    <t>CT_1710</t>
  </si>
  <si>
    <t>MRI_1711</t>
  </si>
  <si>
    <t>US_1712</t>
  </si>
  <si>
    <t>US_1713</t>
  </si>
  <si>
    <t>CT_1714</t>
  </si>
  <si>
    <t>MRI_1715</t>
  </si>
  <si>
    <t>US_1716</t>
  </si>
  <si>
    <t>US_1717</t>
  </si>
  <si>
    <t>MAMMO_1718</t>
  </si>
  <si>
    <t>XRAY_1719</t>
  </si>
  <si>
    <t>CT_1720</t>
  </si>
  <si>
    <t>MAMMO_1721</t>
  </si>
  <si>
    <t>CT_1722</t>
  </si>
  <si>
    <t>MRI_1723</t>
  </si>
  <si>
    <t>MRI_1724</t>
  </si>
  <si>
    <t>CT_1725</t>
  </si>
  <si>
    <t>XRAY_1726</t>
  </si>
  <si>
    <t>XRAY_1727</t>
  </si>
  <si>
    <t>MAMMO_1728</t>
  </si>
  <si>
    <t>MAMMO_1729</t>
  </si>
  <si>
    <t>MAMMO_1730</t>
  </si>
  <si>
    <t>XRAY_1731</t>
  </si>
  <si>
    <t>MAMMO_1732</t>
  </si>
  <si>
    <t>CT_1733</t>
  </si>
  <si>
    <t>US_1734</t>
  </si>
  <si>
    <t>MRI_1735</t>
  </si>
  <si>
    <t>US_1736</t>
  </si>
  <si>
    <t>CT_1737</t>
  </si>
  <si>
    <t>MAMMO_1738</t>
  </si>
  <si>
    <t>XRAY_1739</t>
  </si>
  <si>
    <t>US_1740</t>
  </si>
  <si>
    <t>XRAY_1741</t>
  </si>
  <si>
    <t>XRAY_1742</t>
  </si>
  <si>
    <t>XRAY_1743</t>
  </si>
  <si>
    <t>CT_1744</t>
  </si>
  <si>
    <t>MAMMO_1745</t>
  </si>
  <si>
    <t>MRI_1746</t>
  </si>
  <si>
    <t>MRI_1747</t>
  </si>
  <si>
    <t>MRI_1748</t>
  </si>
  <si>
    <t>MRI_1749</t>
  </si>
  <si>
    <t>CT_1750</t>
  </si>
  <si>
    <t>MAMMO_1751</t>
  </si>
  <si>
    <t>CT_1752</t>
  </si>
  <si>
    <t>XRAY_1753</t>
  </si>
  <si>
    <t>9/19/2023</t>
  </si>
  <si>
    <t>MRI_1754</t>
  </si>
  <si>
    <t>MRI_1755</t>
  </si>
  <si>
    <t>MRI_1756</t>
  </si>
  <si>
    <t>MAMMO_1757</t>
  </si>
  <si>
    <t>MAMMO_1758</t>
  </si>
  <si>
    <t>XRAY_1759</t>
  </si>
  <si>
    <t>MRI_1760</t>
  </si>
  <si>
    <t>MAMMO_1761</t>
  </si>
  <si>
    <t>CT_1762</t>
  </si>
  <si>
    <t>CT_1763</t>
  </si>
  <si>
    <t>US_1764</t>
  </si>
  <si>
    <t>MAMMO_1765</t>
  </si>
  <si>
    <t>CT_1766</t>
  </si>
  <si>
    <t>CT_1767</t>
  </si>
  <si>
    <t>US_1768</t>
  </si>
  <si>
    <t>MAMMO_1769</t>
  </si>
  <si>
    <t>MRI_1770</t>
  </si>
  <si>
    <t>XRAY_1771</t>
  </si>
  <si>
    <t>MRI_1772</t>
  </si>
  <si>
    <t>CT_1773</t>
  </si>
  <si>
    <t>XRAY_1774</t>
  </si>
  <si>
    <t>MAMMO_1775</t>
  </si>
  <si>
    <t>MRI_1776</t>
  </si>
  <si>
    <t>CT_1777</t>
  </si>
  <si>
    <t>XRAY_1778</t>
  </si>
  <si>
    <t>US_1779</t>
  </si>
  <si>
    <t>MRI_1780</t>
  </si>
  <si>
    <t>MAMMO_1781</t>
  </si>
  <si>
    <t>XRAY_1782</t>
  </si>
  <si>
    <t>US_1783</t>
  </si>
  <si>
    <t>XRAY_1784</t>
  </si>
  <si>
    <t>US_1785</t>
  </si>
  <si>
    <t>XRAY_1786</t>
  </si>
  <si>
    <t>CT_1787</t>
  </si>
  <si>
    <t>XRAY_1788</t>
  </si>
  <si>
    <t>US_1789</t>
  </si>
  <si>
    <t>US_1790</t>
  </si>
  <si>
    <t>MAMMO_1791</t>
  </si>
  <si>
    <t>CT_1792</t>
  </si>
  <si>
    <t>XRAY_1793</t>
  </si>
  <si>
    <t>XRAY_1794</t>
  </si>
  <si>
    <t>XRAY_1795</t>
  </si>
  <si>
    <t>CT_1796</t>
  </si>
  <si>
    <t>US_1797</t>
  </si>
  <si>
    <t>CT_1798</t>
  </si>
  <si>
    <t>CT_1799</t>
  </si>
  <si>
    <t>MRI_1800</t>
  </si>
  <si>
    <t>MAMMO_1801</t>
  </si>
  <si>
    <t>US_1802</t>
  </si>
  <si>
    <t>MAMMO_1803</t>
  </si>
  <si>
    <t>CT_1804</t>
  </si>
  <si>
    <t>MRI_1805</t>
  </si>
  <si>
    <t>CT_1806</t>
  </si>
  <si>
    <t>CT_1807</t>
  </si>
  <si>
    <t>MRI_1808</t>
  </si>
  <si>
    <t>US_1809</t>
  </si>
  <si>
    <t>CT_1810</t>
  </si>
  <si>
    <t>CT_1811</t>
  </si>
  <si>
    <t>XRAY_1812</t>
  </si>
  <si>
    <t>CT_1813</t>
  </si>
  <si>
    <t>MRI_1814</t>
  </si>
  <si>
    <t>CT_1815</t>
  </si>
  <si>
    <t>US_1816</t>
  </si>
  <si>
    <t>US_1817</t>
  </si>
  <si>
    <t>XRAY_1818</t>
  </si>
  <si>
    <t>US_1819</t>
  </si>
  <si>
    <t>MRI_1820</t>
  </si>
  <si>
    <t>MRI_1821</t>
  </si>
  <si>
    <t>US_1822</t>
  </si>
  <si>
    <t>US_1823</t>
  </si>
  <si>
    <t>XRAY_1824</t>
  </si>
  <si>
    <t>XRAY_1825</t>
  </si>
  <si>
    <t>US_1826</t>
  </si>
  <si>
    <t>XRAY_1827</t>
  </si>
  <si>
    <t>CT_1828</t>
  </si>
  <si>
    <t>XRAY_1829</t>
  </si>
  <si>
    <t>XRAY_1830</t>
  </si>
  <si>
    <t>CT_1831</t>
  </si>
  <si>
    <t>CT_1832</t>
  </si>
  <si>
    <t>MRI_1833</t>
  </si>
  <si>
    <t>MAMMO_1834</t>
  </si>
  <si>
    <t>US_1835</t>
  </si>
  <si>
    <t>MRI_1836</t>
  </si>
  <si>
    <t>XRAY_1837</t>
  </si>
  <si>
    <t>MRI_1838</t>
  </si>
  <si>
    <t>US_1839</t>
  </si>
  <si>
    <t>MAMMO_1840</t>
  </si>
  <si>
    <t>MAMMO_1841</t>
  </si>
  <si>
    <t>CT_1842</t>
  </si>
  <si>
    <t>CT_1843</t>
  </si>
  <si>
    <t>MRI_1844</t>
  </si>
  <si>
    <t>CT_1845</t>
  </si>
  <si>
    <t>MAMMO_1846</t>
  </si>
  <si>
    <t>XRAY_1847</t>
  </si>
  <si>
    <t>CT_1848</t>
  </si>
  <si>
    <t>CT_1849</t>
  </si>
  <si>
    <t>MAMMO_1850</t>
  </si>
  <si>
    <t>XRAY_1851</t>
  </si>
  <si>
    <t>MAMMO_1852</t>
  </si>
  <si>
    <t>MRI_1853</t>
  </si>
  <si>
    <t>US_1854</t>
  </si>
  <si>
    <t>MRI_1855</t>
  </si>
  <si>
    <t>US_1856</t>
  </si>
  <si>
    <t>CT_1857</t>
  </si>
  <si>
    <t>CT_1858</t>
  </si>
  <si>
    <t>CT_1859</t>
  </si>
  <si>
    <t>CT_1860</t>
  </si>
  <si>
    <t>US_1861</t>
  </si>
  <si>
    <t>CT_1862</t>
  </si>
  <si>
    <t>XRAY_1863</t>
  </si>
  <si>
    <t>MAMMO_1864</t>
  </si>
  <si>
    <t>US_1865</t>
  </si>
  <si>
    <t>XRAY_1866</t>
  </si>
  <si>
    <t>MRI_1867</t>
  </si>
  <si>
    <t>US_1868</t>
  </si>
  <si>
    <t>MRI_1869</t>
  </si>
  <si>
    <t>CT_1870</t>
  </si>
  <si>
    <t>CT_1871</t>
  </si>
  <si>
    <t>MAMMO_1872</t>
  </si>
  <si>
    <t>MRI_1873</t>
  </si>
  <si>
    <t>US_1874</t>
  </si>
  <si>
    <t>XRAY_1875</t>
  </si>
  <si>
    <t>CT_1876</t>
  </si>
  <si>
    <t>MAMMO_1877</t>
  </si>
  <si>
    <t>US_1878</t>
  </si>
  <si>
    <t>MAMMO_1879</t>
  </si>
  <si>
    <t>MAMMO_1880</t>
  </si>
  <si>
    <t>XRAY_1881</t>
  </si>
  <si>
    <t>CT_1882</t>
  </si>
  <si>
    <t>CT_1883</t>
  </si>
  <si>
    <t>XRAY_1884</t>
  </si>
  <si>
    <t>CT_1885</t>
  </si>
  <si>
    <t>XRAY_1886</t>
  </si>
  <si>
    <t>MAMMO_1887</t>
  </si>
  <si>
    <t>MAMMO_1888</t>
  </si>
  <si>
    <t>US_1889</t>
  </si>
  <si>
    <t>US_1890</t>
  </si>
  <si>
    <t>XRAY_1891</t>
  </si>
  <si>
    <t>MRI_1892</t>
  </si>
  <si>
    <t>XRAY_1893</t>
  </si>
  <si>
    <t>XRAY_1894</t>
  </si>
  <si>
    <t>US_1895</t>
  </si>
  <si>
    <t>CT_1896</t>
  </si>
  <si>
    <t>CT_1897</t>
  </si>
  <si>
    <t>MAMMO_1898</t>
  </si>
  <si>
    <t>US_1899</t>
  </si>
  <si>
    <t>MRI_1900</t>
  </si>
  <si>
    <t>US_1901</t>
  </si>
  <si>
    <t>MRI_1902</t>
  </si>
  <si>
    <t>US_1903</t>
  </si>
  <si>
    <t>US_1904</t>
  </si>
  <si>
    <t>XRAY_1905</t>
  </si>
  <si>
    <t>MAMMO_1906</t>
  </si>
  <si>
    <t>MRI_1907</t>
  </si>
  <si>
    <t>US_1908</t>
  </si>
  <si>
    <t>MRI_1909</t>
  </si>
  <si>
    <t>US_1910</t>
  </si>
  <si>
    <t>MAMMO_1911</t>
  </si>
  <si>
    <t>MAMMO_1912</t>
  </si>
  <si>
    <t>XRAY_1913</t>
  </si>
  <si>
    <t>US_1914</t>
  </si>
  <si>
    <t>XRAY_1915</t>
  </si>
  <si>
    <t>US_1916</t>
  </si>
  <si>
    <t>US_1917</t>
  </si>
  <si>
    <t>CT_1918</t>
  </si>
  <si>
    <t>MAMMO_1919</t>
  </si>
  <si>
    <t>XRAY_1920</t>
  </si>
  <si>
    <t>MRI_1921</t>
  </si>
  <si>
    <t>MRI_1922</t>
  </si>
  <si>
    <t>MRI_1923</t>
  </si>
  <si>
    <t>MRI_1924</t>
  </si>
  <si>
    <t>MRI_1925</t>
  </si>
  <si>
    <t>MAMMO_1926</t>
  </si>
  <si>
    <t>CT_1927</t>
  </si>
  <si>
    <t>MRI_1928</t>
  </si>
  <si>
    <t>MAMMO_1929</t>
  </si>
  <si>
    <t>US_1930</t>
  </si>
  <si>
    <t>US_1931</t>
  </si>
  <si>
    <t>XRAY_1932</t>
  </si>
  <si>
    <t>MRI_1933</t>
  </si>
  <si>
    <t>CT_1934</t>
  </si>
  <si>
    <t>MRI_1935</t>
  </si>
  <si>
    <t>US_1936</t>
  </si>
  <si>
    <t>XRAY_1937</t>
  </si>
  <si>
    <t>MRI_1938</t>
  </si>
  <si>
    <t>XRAY_1939</t>
  </si>
  <si>
    <t>US_1940</t>
  </si>
  <si>
    <t>MAMMO_1941</t>
  </si>
  <si>
    <t>CT_1942</t>
  </si>
  <si>
    <t>XRAY_1943</t>
  </si>
  <si>
    <t>US_1944</t>
  </si>
  <si>
    <t>XRAY_1945</t>
  </si>
  <si>
    <t>XRAY_1946</t>
  </si>
  <si>
    <t>US_1947</t>
  </si>
  <si>
    <t>XRAY_1948</t>
  </si>
  <si>
    <t>MAMMO_1949</t>
  </si>
  <si>
    <t>MRI_1950</t>
  </si>
  <si>
    <t>US_1951</t>
  </si>
  <si>
    <t>CT_1952</t>
  </si>
  <si>
    <t>US_1953</t>
  </si>
  <si>
    <t>MAMMO_1954</t>
  </si>
  <si>
    <t>CT_1955</t>
  </si>
  <si>
    <t>US_1956</t>
  </si>
  <si>
    <t>MAMMO_1957</t>
  </si>
  <si>
    <t>MAMMO_1958</t>
  </si>
  <si>
    <t>MAMMO_1959</t>
  </si>
  <si>
    <t>XRAY_1960</t>
  </si>
  <si>
    <t>CT_1961</t>
  </si>
  <si>
    <t>MRI_1962</t>
  </si>
  <si>
    <t>MAMMO_1963</t>
  </si>
  <si>
    <t>US_1964</t>
  </si>
  <si>
    <t>US_1965</t>
  </si>
  <si>
    <t>XRAY_1966</t>
  </si>
  <si>
    <t>MRI_1967</t>
  </si>
  <si>
    <t>CT_1968</t>
  </si>
  <si>
    <t>MAMMO_1969</t>
  </si>
  <si>
    <t>MRI_1970</t>
  </si>
  <si>
    <t>MRI_1971</t>
  </si>
  <si>
    <t>CT_1972</t>
  </si>
  <si>
    <t>US_1973</t>
  </si>
  <si>
    <t>US_1974</t>
  </si>
  <si>
    <t>US_1975</t>
  </si>
  <si>
    <t>CT_1976</t>
  </si>
  <si>
    <t>MRI_1977</t>
  </si>
  <si>
    <t>CT_1978</t>
  </si>
  <si>
    <t>MAMMO_1979</t>
  </si>
  <si>
    <t>MRI_1980</t>
  </si>
  <si>
    <t>US_1981</t>
  </si>
  <si>
    <t>US_1982</t>
  </si>
  <si>
    <t>US_1983</t>
  </si>
  <si>
    <t>XRAY_1984</t>
  </si>
  <si>
    <t>MRI_1985</t>
  </si>
  <si>
    <t>US_1986</t>
  </si>
  <si>
    <t>CT_1987</t>
  </si>
  <si>
    <t>US_1988</t>
  </si>
  <si>
    <t>MAMMO_1989</t>
  </si>
  <si>
    <t>MAMMO_1990</t>
  </si>
  <si>
    <t>MRI_1991</t>
  </si>
  <si>
    <t>US_1992</t>
  </si>
  <si>
    <t>US_1993</t>
  </si>
  <si>
    <t>XRAY_1994</t>
  </si>
  <si>
    <t>XRAY_1995</t>
  </si>
  <si>
    <t>US_1996</t>
  </si>
  <si>
    <t>CT_1997</t>
  </si>
  <si>
    <t>MRI_1998</t>
  </si>
  <si>
    <t>US_1999</t>
  </si>
  <si>
    <t>US_2000</t>
  </si>
  <si>
    <t>US_2001</t>
  </si>
  <si>
    <t>MRI_2002</t>
  </si>
  <si>
    <t>MAMMO_2003</t>
  </si>
  <si>
    <t>CT_2004</t>
  </si>
  <si>
    <t>US_2005</t>
  </si>
  <si>
    <t>MAMMO_2006</t>
  </si>
  <si>
    <t>US_2007</t>
  </si>
  <si>
    <t>MAMMO_2008</t>
  </si>
  <si>
    <t>XRAY_2009</t>
  </si>
  <si>
    <t>MAMMO_2010</t>
  </si>
  <si>
    <t>MAMMO_2011</t>
  </si>
  <si>
    <t>MAMMO_2012</t>
  </si>
  <si>
    <t>MRI_2013</t>
  </si>
  <si>
    <t>CT_2014</t>
  </si>
  <si>
    <t>CT_2015</t>
  </si>
  <si>
    <t>MRI_2016</t>
  </si>
  <si>
    <t>MAMMO_2017</t>
  </si>
  <si>
    <t>XRAY_2018</t>
  </si>
  <si>
    <t>MRI_2019</t>
  </si>
  <si>
    <t>CT_2020</t>
  </si>
  <si>
    <t>XRAY_2021</t>
  </si>
  <si>
    <t>US_2022</t>
  </si>
  <si>
    <t>MAMMO_2023</t>
  </si>
  <si>
    <t>CT_2024</t>
  </si>
  <si>
    <t>MAMMO_2025</t>
  </si>
  <si>
    <t>MAMMO_2026</t>
  </si>
  <si>
    <t>XRAY_2027</t>
  </si>
  <si>
    <t>MRI_2028</t>
  </si>
  <si>
    <t>US_2029</t>
  </si>
  <si>
    <t>US_2030</t>
  </si>
  <si>
    <t>US_2031</t>
  </si>
  <si>
    <t>MAMMO_2032</t>
  </si>
  <si>
    <t>MRI_2033</t>
  </si>
  <si>
    <t>MAMMO_2034</t>
  </si>
  <si>
    <t>MAMMO_2035</t>
  </si>
  <si>
    <t>MAMMO_2036</t>
  </si>
  <si>
    <t>MAMMO_2037</t>
  </si>
  <si>
    <t>MRI_2038</t>
  </si>
  <si>
    <t>XRAY_2039</t>
  </si>
  <si>
    <t>US_2040</t>
  </si>
  <si>
    <t>XRAY_2041</t>
  </si>
  <si>
    <t>MRI_2042</t>
  </si>
  <si>
    <t>MRI_2043</t>
  </si>
  <si>
    <t>US_2044</t>
  </si>
  <si>
    <t>US_2045</t>
  </si>
  <si>
    <t>XRAY_2046</t>
  </si>
  <si>
    <t>US_2047</t>
  </si>
  <si>
    <t>XRAY_2048</t>
  </si>
  <si>
    <t>CT_2049</t>
  </si>
  <si>
    <t>MRI_2050</t>
  </si>
  <si>
    <t>MAMMO_2051</t>
  </si>
  <si>
    <t>XRAY_2052</t>
  </si>
  <si>
    <t>CT_2053</t>
  </si>
  <si>
    <t>US_2054</t>
  </si>
  <si>
    <t>MRI_2055</t>
  </si>
  <si>
    <t>CT_2056</t>
  </si>
  <si>
    <t>US_2057</t>
  </si>
  <si>
    <t>MRI_2058</t>
  </si>
  <si>
    <t>MAMMO_2059</t>
  </si>
  <si>
    <t>US_2060</t>
  </si>
  <si>
    <t>US_2061</t>
  </si>
  <si>
    <t>MAMMO_2062</t>
  </si>
  <si>
    <t>MRI_2063</t>
  </si>
  <si>
    <t>XRAY_2064</t>
  </si>
  <si>
    <t>US_2065</t>
  </si>
  <si>
    <t>US_2066</t>
  </si>
  <si>
    <t>MAMMO_2067</t>
  </si>
  <si>
    <t>XRAY_2068</t>
  </si>
  <si>
    <t>MAMMO_2069</t>
  </si>
  <si>
    <t>MRI_2070</t>
  </si>
  <si>
    <t>US_2071</t>
  </si>
  <si>
    <t>XRAY_2072</t>
  </si>
  <si>
    <t>CT_2073</t>
  </si>
  <si>
    <t>CT_2074</t>
  </si>
  <si>
    <t>MAMMO_2075</t>
  </si>
  <si>
    <t>11/29/2023</t>
  </si>
  <si>
    <t>XRAY_2076</t>
  </si>
  <si>
    <t>US_2077</t>
  </si>
  <si>
    <t>XRAY_2078</t>
  </si>
  <si>
    <t>CT_2079</t>
  </si>
  <si>
    <t>MAMMO_2080</t>
  </si>
  <si>
    <t>XRAY_2081</t>
  </si>
  <si>
    <t>MRI_2082</t>
  </si>
  <si>
    <t>MRI_2083</t>
  </si>
  <si>
    <t>CT_2084</t>
  </si>
  <si>
    <t>MAMMO_2085</t>
  </si>
  <si>
    <t>US_2086</t>
  </si>
  <si>
    <t>CT_2087</t>
  </si>
  <si>
    <t>MAMMO_2088</t>
  </si>
  <si>
    <t>MAMMO_2089</t>
  </si>
  <si>
    <t>MRI_2090</t>
  </si>
  <si>
    <t>MRI_2091</t>
  </si>
  <si>
    <t>XRAY_2092</t>
  </si>
  <si>
    <t>CT_2093</t>
  </si>
  <si>
    <t>MAMMO_2094</t>
  </si>
  <si>
    <t>US_2095</t>
  </si>
  <si>
    <t>MRI_2096</t>
  </si>
  <si>
    <t>US_2097</t>
  </si>
  <si>
    <t>MAMMO_2098</t>
  </si>
  <si>
    <t>XRAY_2099</t>
  </si>
  <si>
    <t>US_2100</t>
  </si>
  <si>
    <t>MRI_2101</t>
  </si>
  <si>
    <t>CT_2102</t>
  </si>
  <si>
    <t>CT_2103</t>
  </si>
  <si>
    <t>XRAY_2104</t>
  </si>
  <si>
    <t>MRI_2105</t>
  </si>
  <si>
    <t>CT_2106</t>
  </si>
  <si>
    <t>XRAY_2107</t>
  </si>
  <si>
    <t>CT_2108</t>
  </si>
  <si>
    <t>US_2109</t>
  </si>
  <si>
    <t>US_2110</t>
  </si>
  <si>
    <t>MRI_2111</t>
  </si>
  <si>
    <t>MRI_2112</t>
  </si>
  <si>
    <t>MRI_2113</t>
  </si>
  <si>
    <t>US_2114</t>
  </si>
  <si>
    <t>US_2115</t>
  </si>
  <si>
    <t>MAMMO_2116</t>
  </si>
  <si>
    <t>US_2117</t>
  </si>
  <si>
    <t>CT_2118</t>
  </si>
  <si>
    <t>CT_2119</t>
  </si>
  <si>
    <t>MRI_2120</t>
  </si>
  <si>
    <t>XRAY_2121</t>
  </si>
  <si>
    <t>XRAY_2122</t>
  </si>
  <si>
    <t>XRAY_2123</t>
  </si>
  <si>
    <t>MAMMO_2124</t>
  </si>
  <si>
    <t>MAMMO_2125</t>
  </si>
  <si>
    <t>MAMMO_2126</t>
  </si>
  <si>
    <t>US_2127</t>
  </si>
  <si>
    <t>MAMMO_2128</t>
  </si>
  <si>
    <t>XRAY_2129</t>
  </si>
  <si>
    <t>US_2130</t>
  </si>
  <si>
    <t>US_2131</t>
  </si>
  <si>
    <t>XRAY_2132</t>
  </si>
  <si>
    <t>US_2133</t>
  </si>
  <si>
    <t>XRAY_2134</t>
  </si>
  <si>
    <t>MAMMO_2135</t>
  </si>
  <si>
    <t>MAMMO_2136</t>
  </si>
  <si>
    <t>MRI_2137</t>
  </si>
  <si>
    <t>CT_2138</t>
  </si>
  <si>
    <t>MAMMO_2139</t>
  </si>
  <si>
    <t>US_2140</t>
  </si>
  <si>
    <t>XRAY_2141</t>
  </si>
  <si>
    <t>MAMMO_2142</t>
  </si>
  <si>
    <t>CT_2143</t>
  </si>
  <si>
    <t>XRAY_2144</t>
  </si>
  <si>
    <t>MAMMO_2145</t>
  </si>
  <si>
    <t>US_2146</t>
  </si>
  <si>
    <t>US_2147</t>
  </si>
  <si>
    <t>MAMMO_2148</t>
  </si>
  <si>
    <t>MRI_2149</t>
  </si>
  <si>
    <t>MRI_2150</t>
  </si>
  <si>
    <t>MAMMO_2151</t>
  </si>
  <si>
    <t>MRI_2152</t>
  </si>
  <si>
    <t>MRI_2153</t>
  </si>
  <si>
    <t>MAMMO_2154</t>
  </si>
  <si>
    <t>CT_2155</t>
  </si>
  <si>
    <t>XRAY_2156</t>
  </si>
  <si>
    <t>MAMMO_2157</t>
  </si>
  <si>
    <t>CT_2158</t>
  </si>
  <si>
    <t>CT_2159</t>
  </si>
  <si>
    <t>XRAY_2160</t>
  </si>
  <si>
    <t>CT_2161</t>
  </si>
  <si>
    <t>CT_2162</t>
  </si>
  <si>
    <t>MRI_2163</t>
  </si>
  <si>
    <t>MAMMO_2164</t>
  </si>
  <si>
    <t>CT_2165</t>
  </si>
  <si>
    <t>US_2166</t>
  </si>
  <si>
    <t>MRI_2167</t>
  </si>
  <si>
    <t>MRI_2168</t>
  </si>
  <si>
    <t>MRI_2169</t>
  </si>
  <si>
    <t>MAMMO_2170</t>
  </si>
  <si>
    <t>US_2171</t>
  </si>
  <si>
    <t>XRAY_2172</t>
  </si>
  <si>
    <t>MRI_2173</t>
  </si>
  <si>
    <t>MRI_2174</t>
  </si>
  <si>
    <t>CT_2175</t>
  </si>
  <si>
    <t>XRAY_2176</t>
  </si>
  <si>
    <t>CT_2177</t>
  </si>
  <si>
    <t>MAMMO_2178</t>
  </si>
  <si>
    <t>MAMMO_2179</t>
  </si>
  <si>
    <t>XRAY_2180</t>
  </si>
  <si>
    <t>MAMMO_2181</t>
  </si>
  <si>
    <t>XRAY_2182</t>
  </si>
  <si>
    <t>US_2183</t>
  </si>
  <si>
    <t>MRI_2184</t>
  </si>
  <si>
    <t>US_2185</t>
  </si>
  <si>
    <t>XRAY_2186</t>
  </si>
  <si>
    <t>XRAY_2187</t>
  </si>
  <si>
    <t>XRAY_2188</t>
  </si>
  <si>
    <t>CT_2189</t>
  </si>
  <si>
    <t>US_2190</t>
  </si>
  <si>
    <t>XRAY_2191</t>
  </si>
  <si>
    <t>XRAY_2192</t>
  </si>
  <si>
    <t>XRAY_2193</t>
  </si>
  <si>
    <t>CT_2194</t>
  </si>
  <si>
    <t>MAMMO_2195</t>
  </si>
  <si>
    <t>CT_2196</t>
  </si>
  <si>
    <t>MAMMO_2197</t>
  </si>
  <si>
    <t>MAMMO_2198</t>
  </si>
  <si>
    <t>MAMMO_2199</t>
  </si>
  <si>
    <t>MAMMO_2200</t>
  </si>
  <si>
    <t>XRAY_2201</t>
  </si>
  <si>
    <t>MAMMO_2202</t>
  </si>
  <si>
    <t>US_2203</t>
  </si>
  <si>
    <t>XRAY_2204</t>
  </si>
  <si>
    <t>US_2205</t>
  </si>
  <si>
    <t>MAMMO_2206</t>
  </si>
  <si>
    <t>XRAY_2207</t>
  </si>
  <si>
    <t>US_2208</t>
  </si>
  <si>
    <t>US_2209</t>
  </si>
  <si>
    <t>MAMMO_2210</t>
  </si>
  <si>
    <t>US_2211</t>
  </si>
  <si>
    <t>MAMMO_2212</t>
  </si>
  <si>
    <t>XRAY_2213</t>
  </si>
  <si>
    <t>XRAY_2214</t>
  </si>
  <si>
    <t>XRAY_2215</t>
  </si>
  <si>
    <t>CT_2216</t>
  </si>
  <si>
    <t>MAMMO_2217</t>
  </si>
  <si>
    <t>MRI_2218</t>
  </si>
  <si>
    <t>US_2219</t>
  </si>
  <si>
    <t>MAMMO_2220</t>
  </si>
  <si>
    <t>MRI_2221</t>
  </si>
  <si>
    <t>CT_2222</t>
  </si>
  <si>
    <t>XRAY_2223</t>
  </si>
  <si>
    <t>MAMMO_2224</t>
  </si>
  <si>
    <t>US_2225</t>
  </si>
  <si>
    <t>XRAY_2226</t>
  </si>
  <si>
    <t>US_2227</t>
  </si>
  <si>
    <t>CT_2228</t>
  </si>
  <si>
    <t>US_2229</t>
  </si>
  <si>
    <t>MAMMO_2230</t>
  </si>
  <si>
    <t>CT_2231</t>
  </si>
  <si>
    <t>US_2232</t>
  </si>
  <si>
    <t>US_2233</t>
  </si>
  <si>
    <t>US_2234</t>
  </si>
  <si>
    <t>US_2235</t>
  </si>
  <si>
    <t>MRI_2236</t>
  </si>
  <si>
    <t>MAMMO_2237</t>
  </si>
  <si>
    <t>MRI_2238</t>
  </si>
  <si>
    <t>MAMMO_2239</t>
  </si>
  <si>
    <t>XRAY_2240</t>
  </si>
  <si>
    <t>US_2241</t>
  </si>
  <si>
    <t>MAMMO_2242</t>
  </si>
  <si>
    <t>CT_2243</t>
  </si>
  <si>
    <t>US_2244</t>
  </si>
  <si>
    <t>MAMMO_2245</t>
  </si>
  <si>
    <t>XRAY_2246</t>
  </si>
  <si>
    <t>XRAY_2247</t>
  </si>
  <si>
    <t>US_2248</t>
  </si>
  <si>
    <t>MAMMO_2249</t>
  </si>
  <si>
    <t>MAMMO_2250</t>
  </si>
  <si>
    <t>MRI_2251</t>
  </si>
  <si>
    <t>US_2252</t>
  </si>
  <si>
    <t>XRAY_2253</t>
  </si>
  <si>
    <t>US_2254</t>
  </si>
  <si>
    <t>MAMMO_2255</t>
  </si>
  <si>
    <t>XRAY_2256</t>
  </si>
  <si>
    <t>CT_2257</t>
  </si>
  <si>
    <t>MRI_2258</t>
  </si>
  <si>
    <t>US_2259</t>
  </si>
  <si>
    <t>XRAY_2260</t>
  </si>
  <si>
    <t>MAMMO_2261</t>
  </si>
  <si>
    <t>MRI_2262</t>
  </si>
  <si>
    <t>MRI_2263</t>
  </si>
  <si>
    <t>MAMMO_2264</t>
  </si>
  <si>
    <t>XRAY_2265</t>
  </si>
  <si>
    <t>MAMMO_2266</t>
  </si>
  <si>
    <t>CT_2267</t>
  </si>
  <si>
    <t>US_2268</t>
  </si>
  <si>
    <t>MRI_2269</t>
  </si>
  <si>
    <t>XRAY_2270</t>
  </si>
  <si>
    <t>MAMMO_2271</t>
  </si>
  <si>
    <t>CT_2272</t>
  </si>
  <si>
    <t>US_2273</t>
  </si>
  <si>
    <t>MRI_2274</t>
  </si>
  <si>
    <t>XRAY_2275</t>
  </si>
  <si>
    <t>MRI_2276</t>
  </si>
  <si>
    <t>CT_2277</t>
  </si>
  <si>
    <t>MAMMO_2278</t>
  </si>
  <si>
    <t>CT_2279</t>
  </si>
  <si>
    <t>MRI_2280</t>
  </si>
  <si>
    <t>MRI_2281</t>
  </si>
  <si>
    <t>MRI_2282</t>
  </si>
  <si>
    <t>XRAY_2283</t>
  </si>
  <si>
    <t>XRAY_2284</t>
  </si>
  <si>
    <t>MRI_2285</t>
  </si>
  <si>
    <t>MRI_2286</t>
  </si>
  <si>
    <t>XRAY_2287</t>
  </si>
  <si>
    <t>US_2288</t>
  </si>
  <si>
    <t>XRAY_2289</t>
  </si>
  <si>
    <t>CT_2290</t>
  </si>
  <si>
    <t>MRI_2291</t>
  </si>
  <si>
    <t>US_2292</t>
  </si>
  <si>
    <t>XRAY_2293</t>
  </si>
  <si>
    <t>MAMMO_2294</t>
  </si>
  <si>
    <t>XRAY_2295</t>
  </si>
  <si>
    <t>XRAY_2296</t>
  </si>
  <si>
    <t>MAMMO_2297</t>
  </si>
  <si>
    <t>MAMMO_2298</t>
  </si>
  <si>
    <t>CT_2299</t>
  </si>
  <si>
    <t>US_2300</t>
  </si>
  <si>
    <t>US_2301</t>
  </si>
  <si>
    <t>MAMMO_2302</t>
  </si>
  <si>
    <t>MAMMO_2303</t>
  </si>
  <si>
    <t>XRAY_2304</t>
  </si>
  <si>
    <t>MRI_2305</t>
  </si>
  <si>
    <t>XRAY_2306</t>
  </si>
  <si>
    <t>US_2307</t>
  </si>
  <si>
    <t>CT_2308</t>
  </si>
  <si>
    <t>XRAY_2309</t>
  </si>
  <si>
    <t>US_2310</t>
  </si>
  <si>
    <t>MRI_2311</t>
  </si>
  <si>
    <t>US_2312</t>
  </si>
  <si>
    <t>US_2313</t>
  </si>
  <si>
    <t>CT_2314</t>
  </si>
  <si>
    <t>XRAY_2315</t>
  </si>
  <si>
    <t>MRI_2316</t>
  </si>
  <si>
    <t>XRAY_2317</t>
  </si>
  <si>
    <t>CT_2318</t>
  </si>
  <si>
    <t>US_2319</t>
  </si>
  <si>
    <t>US_2320</t>
  </si>
  <si>
    <t>MAMMO_2321</t>
  </si>
  <si>
    <t>MAMMO_2322</t>
  </si>
  <si>
    <t>US_2323</t>
  </si>
  <si>
    <t>CT_2324</t>
  </si>
  <si>
    <t>CT_2325</t>
  </si>
  <si>
    <t>US_2326</t>
  </si>
  <si>
    <t>MAMMO_2327</t>
  </si>
  <si>
    <t>MAMMO_2328</t>
  </si>
  <si>
    <t>US_2329</t>
  </si>
  <si>
    <t>XRAY_2330</t>
  </si>
  <si>
    <t>CT_2331</t>
  </si>
  <si>
    <t>US_2332</t>
  </si>
  <si>
    <t>XRAY_2333</t>
  </si>
  <si>
    <t>CT_2334</t>
  </si>
  <si>
    <t>MRI_2335</t>
  </si>
  <si>
    <t>CT_2336</t>
  </si>
  <si>
    <t>XRAY_2337</t>
  </si>
  <si>
    <t>XRAY_2338</t>
  </si>
  <si>
    <t>MAMMO_2339</t>
  </si>
  <si>
    <t>CT_2340</t>
  </si>
  <si>
    <t>US_2341</t>
  </si>
  <si>
    <t>US_2342</t>
  </si>
  <si>
    <t>US_2343</t>
  </si>
  <si>
    <t>MAMMO_2344</t>
  </si>
  <si>
    <t>MRI_2345</t>
  </si>
  <si>
    <t>US_2346</t>
  </si>
  <si>
    <t>US_2347</t>
  </si>
  <si>
    <t>US_2348</t>
  </si>
  <si>
    <t>CT_2349</t>
  </si>
  <si>
    <t>US_2350</t>
  </si>
  <si>
    <t>MRI_2351</t>
  </si>
  <si>
    <t>MAMMO_2352</t>
  </si>
  <si>
    <t>CT_2353</t>
  </si>
  <si>
    <t>MAMMO_2354</t>
  </si>
  <si>
    <t>MAMMO_2355</t>
  </si>
  <si>
    <t>MRI_2356</t>
  </si>
  <si>
    <t>CT_2357</t>
  </si>
  <si>
    <t>MRI_2358</t>
  </si>
  <si>
    <t>XRAY_2359</t>
  </si>
  <si>
    <t>XRAY_2360</t>
  </si>
  <si>
    <t>MRI_2361</t>
  </si>
  <si>
    <t>CT_2362</t>
  </si>
  <si>
    <t>CT_2363</t>
  </si>
  <si>
    <t>XRAY_2364</t>
  </si>
  <si>
    <t>MRI_2365</t>
  </si>
  <si>
    <t>XRAY_2366</t>
  </si>
  <si>
    <t>MRI_2367</t>
  </si>
  <si>
    <t>MRI_2368</t>
  </si>
  <si>
    <t>XRAY_2369</t>
  </si>
  <si>
    <t>MRI_2370</t>
  </si>
  <si>
    <t>XRAY_2371</t>
  </si>
  <si>
    <t>XRAY_2372</t>
  </si>
  <si>
    <t>MAMMO_2373</t>
  </si>
  <si>
    <t>MAMMO_2374</t>
  </si>
  <si>
    <t>CT_2375</t>
  </si>
  <si>
    <t>US_2376</t>
  </si>
  <si>
    <t>XRAY_2377</t>
  </si>
  <si>
    <t>MAMMO_2378</t>
  </si>
  <si>
    <t>MRI_2379</t>
  </si>
  <si>
    <t>MRI_2380</t>
  </si>
  <si>
    <t>MRI_2381</t>
  </si>
  <si>
    <t>MRI_2382</t>
  </si>
  <si>
    <t>MAMMO_2383</t>
  </si>
  <si>
    <t>MAMMO_2384</t>
  </si>
  <si>
    <t>MRI_2385</t>
  </si>
  <si>
    <t>CT_2386</t>
  </si>
  <si>
    <t>XRAY_2387</t>
  </si>
  <si>
    <t>MRI_2388</t>
  </si>
  <si>
    <t>MAMMO_2389</t>
  </si>
  <si>
    <t>US_2390</t>
  </si>
  <si>
    <t>MRI_2391</t>
  </si>
  <si>
    <t>US_2392</t>
  </si>
  <si>
    <t>MAMMO_2393</t>
  </si>
  <si>
    <t>MAMMO_2394</t>
  </si>
  <si>
    <t>MRI_2395</t>
  </si>
  <si>
    <t>MAMMO_2396</t>
  </si>
  <si>
    <t>XRAY_2397</t>
  </si>
  <si>
    <t>CT_2398</t>
  </si>
  <si>
    <t>MRI_2399</t>
  </si>
  <si>
    <t>MRI_2400</t>
  </si>
  <si>
    <t>MAMMO_2401</t>
  </si>
  <si>
    <t>MAMMO_2402</t>
  </si>
  <si>
    <t>XRAY_2403</t>
  </si>
  <si>
    <t>US_2404</t>
  </si>
  <si>
    <t>MAMMO_2405</t>
  </si>
  <si>
    <t>XRAY_2406</t>
  </si>
  <si>
    <t>MAMMO_2407</t>
  </si>
  <si>
    <t>XRAY_2408</t>
  </si>
  <si>
    <t>MAMMO_2409</t>
  </si>
  <si>
    <t>XRAY_2410</t>
  </si>
  <si>
    <t>MAMMO_2411</t>
  </si>
  <si>
    <t>CT_2412</t>
  </si>
  <si>
    <t>US_2413</t>
  </si>
  <si>
    <t>MRI_2414</t>
  </si>
  <si>
    <t>US_2415</t>
  </si>
  <si>
    <t>CT_2416</t>
  </si>
  <si>
    <t>CT_2417</t>
  </si>
  <si>
    <t>MRI_2418</t>
  </si>
  <si>
    <t>US_2419</t>
  </si>
  <si>
    <t>US_2420</t>
  </si>
  <si>
    <t>XRAY_2421</t>
  </si>
  <si>
    <t>CT_2422</t>
  </si>
  <si>
    <t>MRI_2423</t>
  </si>
  <si>
    <t>MRI_2424</t>
  </si>
  <si>
    <t>MAMMO_2425</t>
  </si>
  <si>
    <t>XRAY_2426</t>
  </si>
  <si>
    <t>MAMMO_2427</t>
  </si>
  <si>
    <t>MRI_2428</t>
  </si>
  <si>
    <t>CT_2429</t>
  </si>
  <si>
    <t>MRI_2430</t>
  </si>
  <si>
    <t>US_2431</t>
  </si>
  <si>
    <t>MRI_2432</t>
  </si>
  <si>
    <t>XRAY_2433</t>
  </si>
  <si>
    <t>XRAY_2434</t>
  </si>
  <si>
    <t>CT_2435</t>
  </si>
  <si>
    <t>MAMMO_2436</t>
  </si>
  <si>
    <t>XRAY_2437</t>
  </si>
  <si>
    <t>MRI_2438</t>
  </si>
  <si>
    <t>MAMMO_2439</t>
  </si>
  <si>
    <t>XRAY_2440</t>
  </si>
  <si>
    <t>XRAY_2441</t>
  </si>
  <si>
    <t>CT_2442</t>
  </si>
  <si>
    <t>US_2443</t>
  </si>
  <si>
    <t>XRAY_2444</t>
  </si>
  <si>
    <t>US_2445</t>
  </si>
  <si>
    <t>MRI_2446</t>
  </si>
  <si>
    <t>XRAY_2447</t>
  </si>
  <si>
    <t>MRI_2448</t>
  </si>
  <si>
    <t>US_2449</t>
  </si>
  <si>
    <t>XRAY_2450</t>
  </si>
  <si>
    <t>US_2451</t>
  </si>
  <si>
    <t>XRAY_2452</t>
  </si>
  <si>
    <t>XRAY_2453</t>
  </si>
  <si>
    <t>MRI_2454</t>
  </si>
  <si>
    <t>XRAY_2455</t>
  </si>
  <si>
    <t>MRI_2456</t>
  </si>
  <si>
    <t>MAMMO_2457</t>
  </si>
  <si>
    <t>XRAY_2458</t>
  </si>
  <si>
    <t>US_2459</t>
  </si>
  <si>
    <t>US_2460</t>
  </si>
  <si>
    <t>CT_2461</t>
  </si>
  <si>
    <t>XRAY_2462</t>
  </si>
  <si>
    <t>XRAY_2463</t>
  </si>
  <si>
    <t>MRI_2464</t>
  </si>
  <si>
    <t>US_2465</t>
  </si>
  <si>
    <t>MRI_2466</t>
  </si>
  <si>
    <t>MRI_2467</t>
  </si>
  <si>
    <t>US_2468</t>
  </si>
  <si>
    <t>MAMMO_2469</t>
  </si>
  <si>
    <t>US_2470</t>
  </si>
  <si>
    <t>CT_2471</t>
  </si>
  <si>
    <t>US_2472</t>
  </si>
  <si>
    <t>MAMMO_2473</t>
  </si>
  <si>
    <t>CT_2474</t>
  </si>
  <si>
    <t>CT_2475</t>
  </si>
  <si>
    <t>US_2476</t>
  </si>
  <si>
    <t>CT_2477</t>
  </si>
  <si>
    <t>MRI_2478</t>
  </si>
  <si>
    <t>MAMMO_2479</t>
  </si>
  <si>
    <t>MRI_2480</t>
  </si>
  <si>
    <t>CT_2481</t>
  </si>
  <si>
    <t>XRAY_2482</t>
  </si>
  <si>
    <t>MAMMO_2483</t>
  </si>
  <si>
    <t>MAMMO_2484</t>
  </si>
  <si>
    <t>CT_2485</t>
  </si>
  <si>
    <t>CT_2486</t>
  </si>
  <si>
    <t>XRAY_2487</t>
  </si>
  <si>
    <t>US_2488</t>
  </si>
  <si>
    <t>CT_2489</t>
  </si>
  <si>
    <t>CT_2490</t>
  </si>
  <si>
    <t>XRAY_2491</t>
  </si>
  <si>
    <t>CT_2492</t>
  </si>
  <si>
    <t>MRI_2493</t>
  </si>
  <si>
    <t>MAMMO_2494</t>
  </si>
  <si>
    <t>MAMMO_2495</t>
  </si>
  <si>
    <t>CT_2496</t>
  </si>
  <si>
    <t>MAMMO_2497</t>
  </si>
  <si>
    <t>CT_2498</t>
  </si>
  <si>
    <t>CT_2499</t>
  </si>
  <si>
    <t>MRI_2500</t>
  </si>
  <si>
    <t>MAMMO_2501</t>
  </si>
  <si>
    <t>US_2502</t>
  </si>
  <si>
    <t>MAMMO_2503</t>
  </si>
  <si>
    <t>MAMMO_2504</t>
  </si>
  <si>
    <t>MAMMO_2505</t>
  </si>
  <si>
    <t>CT_2506</t>
  </si>
  <si>
    <t>MAMMO_2507</t>
  </si>
  <si>
    <t>XRAY_2508</t>
  </si>
  <si>
    <t>MAMMO_2509</t>
  </si>
  <si>
    <t>MRI_2510</t>
  </si>
  <si>
    <t>US_2511</t>
  </si>
  <si>
    <t>XRAY_2512</t>
  </si>
  <si>
    <t>XRAY_2513</t>
  </si>
  <si>
    <t>US_2514</t>
  </si>
  <si>
    <t>US_2515</t>
  </si>
  <si>
    <t>MAMMO_2516</t>
  </si>
  <si>
    <t>MAMMO_2517</t>
  </si>
  <si>
    <t>XRAY_2518</t>
  </si>
  <si>
    <t>XRAY_2519</t>
  </si>
  <si>
    <t>US_2520</t>
  </si>
  <si>
    <t>MRI_2521</t>
  </si>
  <si>
    <t>MRI_2522</t>
  </si>
  <si>
    <t>CT_2523</t>
  </si>
  <si>
    <t>MRI_2524</t>
  </si>
  <si>
    <t>US_2525</t>
  </si>
  <si>
    <t>XRAY_2526</t>
  </si>
  <si>
    <t>CT_2527</t>
  </si>
  <si>
    <t>US_2528</t>
  </si>
  <si>
    <t>XRAY_2529</t>
  </si>
  <si>
    <t>MRI_2530</t>
  </si>
  <si>
    <t>US_2531</t>
  </si>
  <si>
    <t>CT_2532</t>
  </si>
  <si>
    <t>XRAY_2533</t>
  </si>
  <si>
    <t>MAMMO_2534</t>
  </si>
  <si>
    <t>MAMMO_2535</t>
  </si>
  <si>
    <t>MRI_2536</t>
  </si>
  <si>
    <t>MAMMO_2537</t>
  </si>
  <si>
    <t>MRI_2538</t>
  </si>
  <si>
    <t>MRI_2539</t>
  </si>
  <si>
    <t>CT_2540</t>
  </si>
  <si>
    <t>MAMMO_2541</t>
  </si>
  <si>
    <t>XRAY_2542</t>
  </si>
  <si>
    <t>US_2543</t>
  </si>
  <si>
    <t>CT_2544</t>
  </si>
  <si>
    <t>US_2545</t>
  </si>
  <si>
    <t>MAMMO_2546</t>
  </si>
  <si>
    <t>MAMMO_2547</t>
  </si>
  <si>
    <t>MAMMO_2548</t>
  </si>
  <si>
    <t>MAMMO_2549</t>
  </si>
  <si>
    <t>MAMMO_2550</t>
  </si>
  <si>
    <t>MAMMO_2551</t>
  </si>
  <si>
    <t>US_2552</t>
  </si>
  <si>
    <t>MRI_2553</t>
  </si>
  <si>
    <t>MAMMO_2554</t>
  </si>
  <si>
    <t>CT_2555</t>
  </si>
  <si>
    <t>US_2556</t>
  </si>
  <si>
    <t>CT_2557</t>
  </si>
  <si>
    <t>US_2558</t>
  </si>
  <si>
    <t>XRAY_2559</t>
  </si>
  <si>
    <t>MAMMO_2560</t>
  </si>
  <si>
    <t>MRI_2561</t>
  </si>
  <si>
    <t>US_2562</t>
  </si>
  <si>
    <t>US_2563</t>
  </si>
  <si>
    <t>MAMMO_2564</t>
  </si>
  <si>
    <t>US_2565</t>
  </si>
  <si>
    <t>XRAY_2566</t>
  </si>
  <si>
    <t>CT_2567</t>
  </si>
  <si>
    <t>MRI_2568</t>
  </si>
  <si>
    <t>MAMMO_2569</t>
  </si>
  <si>
    <t>MRI_2570</t>
  </si>
  <si>
    <t>MRI_2571</t>
  </si>
  <si>
    <t>CT_2572</t>
  </si>
  <si>
    <t>US_2573</t>
  </si>
  <si>
    <t>CT_2574</t>
  </si>
  <si>
    <t>MAMMO_2575</t>
  </si>
  <si>
    <t>MRI_2576</t>
  </si>
  <si>
    <t>MRI_2577</t>
  </si>
  <si>
    <t>MAMMO_2578</t>
  </si>
  <si>
    <t>CT_2579</t>
  </si>
  <si>
    <t>10/4/2023</t>
  </si>
  <si>
    <t>XRAY_2580</t>
  </si>
  <si>
    <t>XRAY_2581</t>
  </si>
  <si>
    <t>CT_2582</t>
  </si>
  <si>
    <t>XRAY_2583</t>
  </si>
  <si>
    <t>XRAY_2584</t>
  </si>
  <si>
    <t>US_2585</t>
  </si>
  <si>
    <t>US_2586</t>
  </si>
  <si>
    <t>MAMMO_2587</t>
  </si>
  <si>
    <t>MRI_2588</t>
  </si>
  <si>
    <t>US_2589</t>
  </si>
  <si>
    <t>XRAY_2590</t>
  </si>
  <si>
    <t>MAMMO_2591</t>
  </si>
  <si>
    <t>MRI_2592</t>
  </si>
  <si>
    <t>US_2593</t>
  </si>
  <si>
    <t>XRAY_2594</t>
  </si>
  <si>
    <t>US_2595</t>
  </si>
  <si>
    <t>MRI_2596</t>
  </si>
  <si>
    <t>MAMMO_2597</t>
  </si>
  <si>
    <t>CT_2598</t>
  </si>
  <si>
    <t>XRAY_2599</t>
  </si>
  <si>
    <t>CT_2600</t>
  </si>
  <si>
    <t>XRAY_2601</t>
  </si>
  <si>
    <t>CT_2602</t>
  </si>
  <si>
    <t>CT_2603</t>
  </si>
  <si>
    <t>MRI_2604</t>
  </si>
  <si>
    <t>MAMMO_2605</t>
  </si>
  <si>
    <t>US_2606</t>
  </si>
  <si>
    <t>MAMMO_2607</t>
  </si>
  <si>
    <t>XRAY_2608</t>
  </si>
  <si>
    <t>US_2609</t>
  </si>
  <si>
    <t>US_2610</t>
  </si>
  <si>
    <t>CT_2611</t>
  </si>
  <si>
    <t>CT_2612</t>
  </si>
  <si>
    <t>XRAY_2613</t>
  </si>
  <si>
    <t>MRI_2614</t>
  </si>
  <si>
    <t>US_2615</t>
  </si>
  <si>
    <t>US_2616</t>
  </si>
  <si>
    <t>XRAY_2617</t>
  </si>
  <si>
    <t>MRI_2618</t>
  </si>
  <si>
    <t>MRI_2619</t>
  </si>
  <si>
    <t>MRI_2620</t>
  </si>
  <si>
    <t>MRI_2621</t>
  </si>
  <si>
    <t>US_2622</t>
  </si>
  <si>
    <t>CT_2623</t>
  </si>
  <si>
    <t>CT_2624</t>
  </si>
  <si>
    <t>MAMMO_2625</t>
  </si>
  <si>
    <t>XRAY_2626</t>
  </si>
  <si>
    <t>US_2627</t>
  </si>
  <si>
    <t>MAMMO_2628</t>
  </si>
  <si>
    <t>CT_2629</t>
  </si>
  <si>
    <t>US_2630</t>
  </si>
  <si>
    <t>US_2631</t>
  </si>
  <si>
    <t>US_2632</t>
  </si>
  <si>
    <t>US_2633</t>
  </si>
  <si>
    <t>MAMMO_2634</t>
  </si>
  <si>
    <t>US_2635</t>
  </si>
  <si>
    <t>MAMMO_2636</t>
  </si>
  <si>
    <t>US_2637</t>
  </si>
  <si>
    <t>XRAY_2638</t>
  </si>
  <si>
    <t>US_2639</t>
  </si>
  <si>
    <t>XRAY_2640</t>
  </si>
  <si>
    <t>MAMMO_2641</t>
  </si>
  <si>
    <t>XRAY_2642</t>
  </si>
  <si>
    <t>MRI_2643</t>
  </si>
  <si>
    <t>US_2644</t>
  </si>
  <si>
    <t>MAMMO_2645</t>
  </si>
  <si>
    <t>MAMMO_2646</t>
  </si>
  <si>
    <t>MRI_2647</t>
  </si>
  <si>
    <t>MAMMO_2648</t>
  </si>
  <si>
    <t>US_2649</t>
  </si>
  <si>
    <t>MRI_2650</t>
  </si>
  <si>
    <t>MRI_2651</t>
  </si>
  <si>
    <t>US_2652</t>
  </si>
  <si>
    <t>CT_2653</t>
  </si>
  <si>
    <t>US_2654</t>
  </si>
  <si>
    <t>US_2655</t>
  </si>
  <si>
    <t>US_2656</t>
  </si>
  <si>
    <t>US_2657</t>
  </si>
  <si>
    <t>MRI_2658</t>
  </si>
  <si>
    <t>US_2659</t>
  </si>
  <si>
    <t>US_2660</t>
  </si>
  <si>
    <t>MAMMO_2661</t>
  </si>
  <si>
    <t>XRAY_2662</t>
  </si>
  <si>
    <t>MRI_2663</t>
  </si>
  <si>
    <t>MAMMO_2664</t>
  </si>
  <si>
    <t>US_2665</t>
  </si>
  <si>
    <t>CT_2666</t>
  </si>
  <si>
    <t>MRI_2667</t>
  </si>
  <si>
    <t>XRAY_2668</t>
  </si>
  <si>
    <t>US_2669</t>
  </si>
  <si>
    <t>XRAY_2670</t>
  </si>
  <si>
    <t>MAMMO_2671</t>
  </si>
  <si>
    <t>MAMMO_2672</t>
  </si>
  <si>
    <t>MRI_2673</t>
  </si>
  <si>
    <t>MAMMO_2674</t>
  </si>
  <si>
    <t>MAMMO_2675</t>
  </si>
  <si>
    <t>MAMMO_2676</t>
  </si>
  <si>
    <t>MRI_2677</t>
  </si>
  <si>
    <t>XRAY_2678</t>
  </si>
  <si>
    <t>US_2679</t>
  </si>
  <si>
    <t>MAMMO_2680</t>
  </si>
  <si>
    <t>MRI_2681</t>
  </si>
  <si>
    <t>US_2682</t>
  </si>
  <si>
    <t>CT_2683</t>
  </si>
  <si>
    <t>US_2684</t>
  </si>
  <si>
    <t>MAMMO_2685</t>
  </si>
  <si>
    <t>MAMMO_2686</t>
  </si>
  <si>
    <t>US_2687</t>
  </si>
  <si>
    <t>XRAY_2688</t>
  </si>
  <si>
    <t>MAMMO_2689</t>
  </si>
  <si>
    <t>US_2690</t>
  </si>
  <si>
    <t>MRI_2691</t>
  </si>
  <si>
    <t>MAMMO_2692</t>
  </si>
  <si>
    <t>CT_2693</t>
  </si>
  <si>
    <t>MAMMO_2694</t>
  </si>
  <si>
    <t>CT_2695</t>
  </si>
  <si>
    <t>MRI_2696</t>
  </si>
  <si>
    <t>CT_2697</t>
  </si>
  <si>
    <t>US_2698</t>
  </si>
  <si>
    <t>US_2699</t>
  </si>
  <si>
    <t>XRAY_2700</t>
  </si>
  <si>
    <t>MAMMO_2701</t>
  </si>
  <si>
    <t>XRAY_2702</t>
  </si>
  <si>
    <t>MRI_2703</t>
  </si>
  <si>
    <t>XRAY_2704</t>
  </si>
  <si>
    <t>CT_2705</t>
  </si>
  <si>
    <t>US_2706</t>
  </si>
  <si>
    <t>CT_2707</t>
  </si>
  <si>
    <t>US_2708</t>
  </si>
  <si>
    <t>MRI_2709</t>
  </si>
  <si>
    <t>US_2710</t>
  </si>
  <si>
    <t>MRI_2711</t>
  </si>
  <si>
    <t>MRI_2712</t>
  </si>
  <si>
    <t>US_2713</t>
  </si>
  <si>
    <t>MAMMO_2714</t>
  </si>
  <si>
    <t>US_2715</t>
  </si>
  <si>
    <t>MAMMO_2716</t>
  </si>
  <si>
    <t>MRI_2717</t>
  </si>
  <si>
    <t>MRI_2718</t>
  </si>
  <si>
    <t>US_2719</t>
  </si>
  <si>
    <t>US_2720</t>
  </si>
  <si>
    <t>US_2721</t>
  </si>
  <si>
    <t>US_2722</t>
  </si>
  <si>
    <t>CT_2723</t>
  </si>
  <si>
    <t>XRAY_2724</t>
  </si>
  <si>
    <t>CT_2725</t>
  </si>
  <si>
    <t>XRAY_2726</t>
  </si>
  <si>
    <t>US_2727</t>
  </si>
  <si>
    <t>CT_2728</t>
  </si>
  <si>
    <t>MRI_2729</t>
  </si>
  <si>
    <t>US_2730</t>
  </si>
  <si>
    <t>MRI_2731</t>
  </si>
  <si>
    <t>MRI_2732</t>
  </si>
  <si>
    <t>MAMMO_2733</t>
  </si>
  <si>
    <t>MRI_2734</t>
  </si>
  <si>
    <t>US_2735</t>
  </si>
  <si>
    <t>XRAY_2736</t>
  </si>
  <si>
    <t>MAMMO_2737</t>
  </si>
  <si>
    <t>XRAY_2738</t>
  </si>
  <si>
    <t>US_2739</t>
  </si>
  <si>
    <t>MAMMO_2740</t>
  </si>
  <si>
    <t>MAMMO_2741</t>
  </si>
  <si>
    <t>XRAY_2742</t>
  </si>
  <si>
    <t>CT_2743</t>
  </si>
  <si>
    <t>US_2744</t>
  </si>
  <si>
    <t>XRAY_2745</t>
  </si>
  <si>
    <t>XRAY_2746</t>
  </si>
  <si>
    <t>US_2747</t>
  </si>
  <si>
    <t>MRI_2748</t>
  </si>
  <si>
    <t>US_2749</t>
  </si>
  <si>
    <t>US_2750</t>
  </si>
  <si>
    <t>MAMMO_2751</t>
  </si>
  <si>
    <t>MRI_2752</t>
  </si>
  <si>
    <t>US_2753</t>
  </si>
  <si>
    <t>US_2754</t>
  </si>
  <si>
    <t>CT_2755</t>
  </si>
  <si>
    <t>CT_2756</t>
  </si>
  <si>
    <t>MRI_2757</t>
  </si>
  <si>
    <t>US_2758</t>
  </si>
  <si>
    <t>XRAY_2759</t>
  </si>
  <si>
    <t>MRI_2760</t>
  </si>
  <si>
    <t>XRAY_2761</t>
  </si>
  <si>
    <t>MAMMO_2762</t>
  </si>
  <si>
    <t>XRAY_2763</t>
  </si>
  <si>
    <t>MRI_2764</t>
  </si>
  <si>
    <t>CT_2765</t>
  </si>
  <si>
    <t>CT_2766</t>
  </si>
  <si>
    <t>MRI_2767</t>
  </si>
  <si>
    <t>XRAY_2768</t>
  </si>
  <si>
    <t>CT_2769</t>
  </si>
  <si>
    <t>MRI_2770</t>
  </si>
  <si>
    <t>CT_2771</t>
  </si>
  <si>
    <t>CT_2772</t>
  </si>
  <si>
    <t>US_2773</t>
  </si>
  <si>
    <t>XRAY_2774</t>
  </si>
  <si>
    <t>MRI_2775</t>
  </si>
  <si>
    <t>MRI_2776</t>
  </si>
  <si>
    <t>MRI_2777</t>
  </si>
  <si>
    <t>CT_2778</t>
  </si>
  <si>
    <t>MAMMO_2779</t>
  </si>
  <si>
    <t>US_2780</t>
  </si>
  <si>
    <t>US_2781</t>
  </si>
  <si>
    <t>MRI_2782</t>
  </si>
  <si>
    <t>US_2783</t>
  </si>
  <si>
    <t>CT_2784</t>
  </si>
  <si>
    <t>XRAY_2785</t>
  </si>
  <si>
    <t>XRAY_2786</t>
  </si>
  <si>
    <t>MRI_2787</t>
  </si>
  <si>
    <t>MRI_2788</t>
  </si>
  <si>
    <t>MRI_2789</t>
  </si>
  <si>
    <t>MRI_2790</t>
  </si>
  <si>
    <t>US_2791</t>
  </si>
  <si>
    <t>CT_2792</t>
  </si>
  <si>
    <t>CT_2793</t>
  </si>
  <si>
    <t>MAMMO_2794</t>
  </si>
  <si>
    <t>CT_2795</t>
  </si>
  <si>
    <t>MRI_2796</t>
  </si>
  <si>
    <t>MAMMO_2797</t>
  </si>
  <si>
    <t>MRI_2798</t>
  </si>
  <si>
    <t>MRI_2799</t>
  </si>
  <si>
    <t>CT_2800</t>
  </si>
  <si>
    <t>MRI_2801</t>
  </si>
  <si>
    <t>CT_2802</t>
  </si>
  <si>
    <t>US_2803</t>
  </si>
  <si>
    <t>XRAY_2804</t>
  </si>
  <si>
    <t>XRAY_2805</t>
  </si>
  <si>
    <t>MAMMO_2806</t>
  </si>
  <si>
    <t>XRAY_2807</t>
  </si>
  <si>
    <t>MRI_2808</t>
  </si>
  <si>
    <t>MRI_2809</t>
  </si>
  <si>
    <t>CT_2810</t>
  </si>
  <si>
    <t>MAMMO_2811</t>
  </si>
  <si>
    <t>US_2812</t>
  </si>
  <si>
    <t>MAMMO_2813</t>
  </si>
  <si>
    <t>MAMMO_2814</t>
  </si>
  <si>
    <t>MAMMO_2815</t>
  </si>
  <si>
    <t>CT_2816</t>
  </si>
  <si>
    <t>MAMMO_2817</t>
  </si>
  <si>
    <t>US_2818</t>
  </si>
  <si>
    <t>US_2819</t>
  </si>
  <si>
    <t>CT_2820</t>
  </si>
  <si>
    <t>US_2821</t>
  </si>
  <si>
    <t>CT_2822</t>
  </si>
  <si>
    <t>XRAY_2823</t>
  </si>
  <si>
    <t>CT_2824</t>
  </si>
  <si>
    <t>MAMMO_2825</t>
  </si>
  <si>
    <t>MAMMO_2826</t>
  </si>
  <si>
    <t>US_2827</t>
  </si>
  <si>
    <t>US_2828</t>
  </si>
  <si>
    <t>MAMMO_2829</t>
  </si>
  <si>
    <t>US_2830</t>
  </si>
  <si>
    <t>XRAY_2831</t>
  </si>
  <si>
    <t>US_2832</t>
  </si>
  <si>
    <t>US_2833</t>
  </si>
  <si>
    <t>MAMMO_2834</t>
  </si>
  <si>
    <t>XRAY_2835</t>
  </si>
  <si>
    <t>US_2836</t>
  </si>
  <si>
    <t>MRI_2837</t>
  </si>
  <si>
    <t>MAMMO_2838</t>
  </si>
  <si>
    <t>XRAY_2839</t>
  </si>
  <si>
    <t>XRAY_2840</t>
  </si>
  <si>
    <t>XRAY_2841</t>
  </si>
  <si>
    <t>MAMMO_2842</t>
  </si>
  <si>
    <t>MAMMO_2843</t>
  </si>
  <si>
    <t>US_2844</t>
  </si>
  <si>
    <t>CT_2845</t>
  </si>
  <si>
    <t>MAMMO_2846</t>
  </si>
  <si>
    <t>MAMMO_2847</t>
  </si>
  <si>
    <t>US_2848</t>
  </si>
  <si>
    <t>XRAY_2849</t>
  </si>
  <si>
    <t>MRI_2850</t>
  </si>
  <si>
    <t>MAMMO_2851</t>
  </si>
  <si>
    <t>MAMMO_2852</t>
  </si>
  <si>
    <t>CT_2853</t>
  </si>
  <si>
    <t>MRI_2854</t>
  </si>
  <si>
    <t>MAMMO_2855</t>
  </si>
  <si>
    <t>MRI_2856</t>
  </si>
  <si>
    <t>US_2857</t>
  </si>
  <si>
    <t>MRI_2858</t>
  </si>
  <si>
    <t>CT_2859</t>
  </si>
  <si>
    <t>CT_2860</t>
  </si>
  <si>
    <t>US_2861</t>
  </si>
  <si>
    <t>MRI_2862</t>
  </si>
  <si>
    <t>MAMMO_2863</t>
  </si>
  <si>
    <t>MAMMO_2864</t>
  </si>
  <si>
    <t>MRI_2865</t>
  </si>
  <si>
    <t>CT_2866</t>
  </si>
  <si>
    <t>US_2867</t>
  </si>
  <si>
    <t>CT_2868</t>
  </si>
  <si>
    <t>MRI_2869</t>
  </si>
  <si>
    <t>MAMMO_2870</t>
  </si>
  <si>
    <t>XRAY_2871</t>
  </si>
  <si>
    <t>MRI_2872</t>
  </si>
  <si>
    <t>XRAY_2873</t>
  </si>
  <si>
    <t>XRAY_2874</t>
  </si>
  <si>
    <t>MRI_2875</t>
  </si>
  <si>
    <t>CT_2876</t>
  </si>
  <si>
    <t>MRI_2877</t>
  </si>
  <si>
    <t>US_2878</t>
  </si>
  <si>
    <t>CT_2879</t>
  </si>
  <si>
    <t>CT_2880</t>
  </si>
  <si>
    <t>XRAY_2881</t>
  </si>
  <si>
    <t>MRI_2882</t>
  </si>
  <si>
    <t>MAMMO_2883</t>
  </si>
  <si>
    <t>CT_2884</t>
  </si>
  <si>
    <t>CT_2885</t>
  </si>
  <si>
    <t>MAMMO_2886</t>
  </si>
  <si>
    <t>US_2887</t>
  </si>
  <si>
    <t>MRI_2888</t>
  </si>
  <si>
    <t>MRI_2889</t>
  </si>
  <si>
    <t>MAMMO_2890</t>
  </si>
  <si>
    <t>CT_2891</t>
  </si>
  <si>
    <t>MAMMO_2892</t>
  </si>
  <si>
    <t>CT_2893</t>
  </si>
  <si>
    <t>MRI_2894</t>
  </si>
  <si>
    <t>CT_2895</t>
  </si>
  <si>
    <t>MRI_2896</t>
  </si>
  <si>
    <t>CT_2897</t>
  </si>
  <si>
    <t>US_2898</t>
  </si>
  <si>
    <t>CT_2899</t>
  </si>
  <si>
    <t>CT_2900</t>
  </si>
  <si>
    <t>MRI_2901</t>
  </si>
  <si>
    <t>CT_2902</t>
  </si>
  <si>
    <t>US_2903</t>
  </si>
  <si>
    <t>US_2904</t>
  </si>
  <si>
    <t>XRAY_2905</t>
  </si>
  <si>
    <t>US_2906</t>
  </si>
  <si>
    <t>XRAY_2907</t>
  </si>
  <si>
    <t>US_2908</t>
  </si>
  <si>
    <t>CT_2909</t>
  </si>
  <si>
    <t>CT_2910</t>
  </si>
  <si>
    <t>XRAY_2911</t>
  </si>
  <si>
    <t>MRI_2912</t>
  </si>
  <si>
    <t>US_2913</t>
  </si>
  <si>
    <t>XRAY_2914</t>
  </si>
  <si>
    <t>XRAY_2915</t>
  </si>
  <si>
    <t>MAMMO_2916</t>
  </si>
  <si>
    <t>US_2917</t>
  </si>
  <si>
    <t>MRI_2918</t>
  </si>
  <si>
    <t>US_2919</t>
  </si>
  <si>
    <t>MRI_2920</t>
  </si>
  <si>
    <t>MRI_2921</t>
  </si>
  <si>
    <t>US_2922</t>
  </si>
  <si>
    <t>XRAY_2923</t>
  </si>
  <si>
    <t>XRAY_2924</t>
  </si>
  <si>
    <t>CT_2925</t>
  </si>
  <si>
    <t>MAMMO_2926</t>
  </si>
  <si>
    <t>CT_2927</t>
  </si>
  <si>
    <t>CT_2928</t>
  </si>
  <si>
    <t>MRI_2929</t>
  </si>
  <si>
    <t>CT_2930</t>
  </si>
  <si>
    <t>MAMMO_2931</t>
  </si>
  <si>
    <t>MAMMO_2932</t>
  </si>
  <si>
    <t>XRAY_2933</t>
  </si>
  <si>
    <t>CT_2934</t>
  </si>
  <si>
    <t>US_2935</t>
  </si>
  <si>
    <t>XRAY_2936</t>
  </si>
  <si>
    <t>XRAY_2937</t>
  </si>
  <si>
    <t>MAMMO_2938</t>
  </si>
  <si>
    <t>MAMMO_2939</t>
  </si>
  <si>
    <t>XRAY_2940</t>
  </si>
  <si>
    <t>XRAY_2941</t>
  </si>
  <si>
    <t>CT_2942</t>
  </si>
  <si>
    <t>CT_2943</t>
  </si>
  <si>
    <t>MRI_2944</t>
  </si>
  <si>
    <t>MRI_2945</t>
  </si>
  <si>
    <t>MAMMO_2946</t>
  </si>
  <si>
    <t>CT_2947</t>
  </si>
  <si>
    <t>CT_2948</t>
  </si>
  <si>
    <t>XRAY_2949</t>
  </si>
  <si>
    <t>XRAY_2950</t>
  </si>
  <si>
    <t>US_2951</t>
  </si>
  <si>
    <t>MRI_2952</t>
  </si>
  <si>
    <t>CT_2953</t>
  </si>
  <si>
    <t>MAMMO_2954</t>
  </si>
  <si>
    <t>MRI_2955</t>
  </si>
  <si>
    <t>MAMMO_2956</t>
  </si>
  <si>
    <t>US_2957</t>
  </si>
  <si>
    <t>MAMMO_2958</t>
  </si>
  <si>
    <t>CT_2959</t>
  </si>
  <si>
    <t>MAMMO_2960</t>
  </si>
  <si>
    <t>MRI_2961</t>
  </si>
  <si>
    <t>CT_2962</t>
  </si>
  <si>
    <t>MRI_2963</t>
  </si>
  <si>
    <t>MAMMO_2964</t>
  </si>
  <si>
    <t>CT_2965</t>
  </si>
  <si>
    <t>MAMMO_2966</t>
  </si>
  <si>
    <t>MAMMO_2967</t>
  </si>
  <si>
    <t>MRI_2968</t>
  </si>
  <si>
    <t>XRAY_2969</t>
  </si>
  <si>
    <t>XRAY_2970</t>
  </si>
  <si>
    <t>MRI_2971</t>
  </si>
  <si>
    <t>XRAY_2972</t>
  </si>
  <si>
    <t>MAMMO_2973</t>
  </si>
  <si>
    <t>CT_2974</t>
  </si>
  <si>
    <t>MAMMO_2975</t>
  </si>
  <si>
    <t>CT_2976</t>
  </si>
  <si>
    <t>MRI_2977</t>
  </si>
  <si>
    <t>MAMMO_2978</t>
  </si>
  <si>
    <t>US_2979</t>
  </si>
  <si>
    <t>MRI_2980</t>
  </si>
  <si>
    <t>MAMMO_2981</t>
  </si>
  <si>
    <t>CT_2982</t>
  </si>
  <si>
    <t>MRI_2983</t>
  </si>
  <si>
    <t>US_2984</t>
  </si>
  <si>
    <t>XRAY_2985</t>
  </si>
  <si>
    <t>MRI_2986</t>
  </si>
  <si>
    <t>MRI_2987</t>
  </si>
  <si>
    <t>US_2988</t>
  </si>
  <si>
    <t>CT_2989</t>
  </si>
  <si>
    <t>MRI_2990</t>
  </si>
  <si>
    <t>US_2991</t>
  </si>
  <si>
    <t>CT_2992</t>
  </si>
  <si>
    <t>MRI_2993</t>
  </si>
  <si>
    <t>MRI_2994</t>
  </si>
  <si>
    <t>CT_2995</t>
  </si>
  <si>
    <t>MRI_2996</t>
  </si>
  <si>
    <t>MRI_2997</t>
  </si>
  <si>
    <t>CT_2998</t>
  </si>
  <si>
    <t>CT_2999</t>
  </si>
  <si>
    <t>MAMMO_3000</t>
  </si>
  <si>
    <t>KEY METRICS SUMMARY</t>
  </si>
  <si>
    <t>Total Operating Costs</t>
  </si>
  <si>
    <t>Total Revenue</t>
  </si>
  <si>
    <t>Total Net Profit</t>
  </si>
  <si>
    <t>Average ROI</t>
  </si>
  <si>
    <t>Equipment Exceeding Target</t>
  </si>
  <si>
    <t>Total Positive ROI Records</t>
  </si>
  <si>
    <t>CHARTS &amp; VISUALIZATIONS</t>
  </si>
  <si>
    <t>Equipment Type Summary</t>
  </si>
  <si>
    <t>Department Performance</t>
  </si>
  <si>
    <t>Total Operating Cost</t>
  </si>
  <si>
    <t>Total Profit</t>
  </si>
  <si>
    <t>Avg Utilization</t>
  </si>
  <si>
    <t>Status</t>
  </si>
  <si>
    <t>Count</t>
  </si>
  <si>
    <t>Positive</t>
  </si>
  <si>
    <t>Negative</t>
  </si>
  <si>
    <t>Equipment Profitability</t>
  </si>
  <si>
    <t>Equipment</t>
  </si>
  <si>
    <t>Avg ROI %</t>
  </si>
  <si>
    <t>💡 ANALYSIS COMPLETE: This sheet contains 36 records of medical equipment performance with automated ROI calculations, 3 pivot tables, and 4 visualization charts.</t>
  </si>
  <si>
    <t>Grand Total</t>
  </si>
  <si>
    <t>CT Scanner Total</t>
  </si>
  <si>
    <t>Mammography Unit Total</t>
  </si>
  <si>
    <t>MRI Scanner Total</t>
  </si>
  <si>
    <t>Ultrasound Total</t>
  </si>
  <si>
    <t>X-Ray Machine Total</t>
  </si>
  <si>
    <t>EQUIPMENT UTILIZATION METRIC ANALYSIS - 2023</t>
  </si>
  <si>
    <t>UTILIZATION RATE CALCULATIONS</t>
  </si>
  <si>
    <t>Avg Utilization %</t>
  </si>
  <si>
    <t>Max Utilization %</t>
  </si>
  <si>
    <t>Min Utilization %</t>
  </si>
  <si>
    <t>Std Deviation</t>
  </si>
  <si>
    <t>Total Records</t>
  </si>
  <si>
    <t>Efficiency Score</t>
  </si>
  <si>
    <t>PERFORMANCE BENCHMARKING</t>
  </si>
  <si>
    <t>Industry Benchmarks</t>
  </si>
  <si>
    <t>Target Utilization</t>
  </si>
  <si>
    <t>Actual Utilization</t>
  </si>
  <si>
    <t>Variance</t>
  </si>
  <si>
    <t>Performance Status</t>
  </si>
  <si>
    <t>Gap Analysis</t>
  </si>
  <si>
    <t>EQUIPMENT EFFICIENCY ANALYSIS</t>
  </si>
  <si>
    <t>Avg Operating Hours/Day</t>
  </si>
  <si>
    <t>Avg Available Hours/Day</t>
  </si>
  <si>
    <t>Idle Time %</t>
  </si>
  <si>
    <t>Productivity Score</t>
  </si>
  <si>
    <t>Avg Procedures/Day</t>
  </si>
  <si>
    <t>Revenue per Hour</t>
  </si>
  <si>
    <t>N/A</t>
  </si>
  <si>
    <t>KEY INSIGHTS &amp; RECOMMENDATIONS</t>
  </si>
  <si>
    <t>Overall Fleet Metrics</t>
  </si>
  <si>
    <t>Metric</t>
  </si>
  <si>
    <t>Value</t>
  </si>
  <si>
    <t>Fleet Average Utilization</t>
  </si>
  <si>
    <t>Best Performing Equipment</t>
  </si>
  <si>
    <t>Lowest Performing Equipment</t>
  </si>
  <si>
    <t>Equipment Below Target</t>
  </si>
  <si>
    <t>Average Gap to Target</t>
  </si>
  <si>
    <t>Highest Revenue/Hour Equipment</t>
  </si>
  <si>
    <t>ACTIONABLE RECOMMENDATIONS</t>
  </si>
  <si>
    <t>1. MRI Scanner: Increase utilization by 46% to reach 65% target</t>
  </si>
  <si>
    <t xml:space="preserve">   - Consider extended operating hours</t>
  </si>
  <si>
    <t xml:space="preserve">   - Improve scheduling efficiency</t>
  </si>
  <si>
    <t xml:space="preserve">   - Marketing to increase patient volume</t>
  </si>
  <si>
    <t>2. CT Scanner: Close 9% gap to reach 70% target</t>
  </si>
  <si>
    <t xml:space="preserve">   - Optimize appointment scheduling</t>
  </si>
  <si>
    <t xml:space="preserve">   - Reduce idle time between procedures</t>
  </si>
  <si>
    <t>3. X-Ray Machine: Improve by 13% to reach 75% target</t>
  </si>
  <si>
    <t xml:space="preserve">   - Fastest turnaround equipment</t>
  </si>
  <si>
    <t xml:space="preserve">   - Streamline patient flow</t>
  </si>
  <si>
    <t>4. Mammography Unit: Close 8% gap to reach 70% target</t>
  </si>
  <si>
    <t xml:space="preserve">   - Best performing equipment type</t>
  </si>
  <si>
    <t xml:space="preserve">   - Maintain current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</si>
</sst>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$]* #,##0.00_);_([$$]* \(#,##0.00\);_([$$]* &quot;-&quot;??_);_(@_)" x16r2:formatCode16="_([$$-en-KE]* #,##0.00_);_([$$-en-KE]* \(#,##0.00\);_([$$-en-KE]* &quot;-&quot;??_);_(@_)"/>
    <numFmt numFmtId="165" formatCode="_([$$-409]* #,##0.00_);_([$$-409]* \(#,##0.00\);_([$$-409]* &quot;-&quot;??_);_(@_)"/>
  </numFmts>
  <fonts count="23">
    <font>
      <sz val="11"/>
      <color theme="1"/>
      <name val="Calibri"/>
      <scheme val="minor"/>
    </font>
    <font>
      <sz val="11"/>
      <color rgb="FFFFFFFF"/>
      <name val="Calibri 11"/>
    </font>
    <font>
      <sz val="11"/>
      <color rgb="FF1F4E78"/>
      <name val="Calibri 16"/>
    </font>
    <font>
      <sz val="11"/>
      <color rgb="FFFFFFFF"/>
      <name val="Calibri 12"/>
    </font>
    <font>
      <sz val="11"/>
      <name val="Calibri"/>
      <scheme val="minor"/>
    </font>
    <font>
      <sz val="11"/>
      <color rgb="FF000000"/>
      <name val="Calibri 9"/>
    </font>
    <font>
      <sz val="11"/>
      <color rgb="FF000000"/>
      <name val="Calibri"/>
      <scheme val="minor"/>
    </font>
    <font>
      <sz val="11"/>
      <color rgb="FF0000FF"/>
      <name val="Calibri"/>
      <scheme val="minor"/>
    </font>
    <font>
      <sz val="11"/>
      <color rgb="FFFFFFFF"/>
      <name val="Calibri 11"/>
    </font>
    <font>
      <sz val="11"/>
      <color rgb="FF000000"/>
      <name val="Calibri 11"/>
    </font>
    <font>
      <sz val="11"/>
      <color rgb="FF666666"/>
      <name val="Calibri 9"/>
    </font>
    <font>
      <sz val="11"/>
      <color rgb="FF0B5394"/>
      <name val="Calibri 10"/>
    </font>
    <font>
      <sz val="11"/>
      <color rgb="FF1F4E78"/>
      <name val="Calibri 16"/>
    </font>
    <font>
      <sz val="11"/>
      <color rgb="FFFFFFFF"/>
      <name val="Calibri 12"/>
    </font>
    <font>
      <sz val="11"/>
      <name val="Calibri"/>
      <scheme val="minor"/>
    </font>
    <font>
      <sz val="11"/>
      <color rgb="FFFFFFFF"/>
      <name val="Calibri 11"/>
    </font>
    <font>
      <sz val="11"/>
      <color rgb="FF666666"/>
      <name val="Calibri 11"/>
    </font>
    <font>
      <sz val="11"/>
      <color rgb="FFFFFFFF"/>
      <name val="Calibri 10"/>
    </font>
    <font>
      <sz val="11"/>
      <color rgb="FFFFFFFF"/>
      <name val="Calibri 12"/>
    </font>
    <font>
      <sz val="11"/>
      <color rgb="FFFFFFFF"/>
      <name val="Calibri 10"/>
    </font>
    <font>
      <sz val="11"/>
      <color rgb="FF666666"/>
      <name val="Calibri 11"/>
    </font>
    <font>
      <sz val="11"/>
      <color rgb="FFFFFFFF"/>
      <name val="Calibri 11"/>
    </font>
    <font>
      <sz val="11"/>
      <color rgb="FF000000"/>
      <name val="Calibri 9"/>
    </font>
  </fonts>
  <fills count="1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97132"/>
      </patternFill>
    </fill>
    <fill>
      <patternFill patternType="solid">
        <fgColor rgb="FFD9E1F2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C6591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3D3D3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D3D3D3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3D3D3"/>
      </bottom>
      <diagonal/>
    </border>
  </borders>
  <cellStyleXfs count="2">
    <xf numFmtId="0" fontId="0" fillId="0" borderId="1">
      <alignment vertical="top"/>
    </xf>
    <xf numFmtId="49" fontId="1" fillId="4" borderId="1">
      <alignment vertical="top"/>
    </xf>
  </cellStyleXfs>
  <cellXfs count="51">
    <xf numFmtId="0" fontId="0" fillId="0" borderId="1" xfId="0">
      <alignment vertical="top"/>
    </xf>
    <xf numFmtId="49" fontId="2" fillId="0" borderId="1" xfId="0" applyNumberFormat="1" applyFont="1" applyAlignment="1">
      <alignment vertical="center"/>
    </xf>
    <xf numFmtId="49" fontId="3" fillId="2" borderId="1" xfId="0" applyNumberFormat="1" applyFont="1" applyFill="1">
      <alignment vertical="top"/>
    </xf>
    <xf numFmtId="49" fontId="3" fillId="3" borderId="2" xfId="0" applyNumberFormat="1" applyFont="1" applyFill="1" applyBorder="1">
      <alignment vertical="top"/>
    </xf>
    <xf numFmtId="0" fontId="4" fillId="0" borderId="2" xfId="0" applyFont="1" applyBorder="1">
      <alignment vertical="top"/>
    </xf>
    <xf numFmtId="49" fontId="5" fillId="0" borderId="1" xfId="0" applyNumberFormat="1" applyFont="1">
      <alignment vertical="top"/>
    </xf>
    <xf numFmtId="49" fontId="6" fillId="0" borderId="2" xfId="0" applyNumberFormat="1" applyFont="1" applyBorder="1">
      <alignment vertical="top"/>
    </xf>
    <xf numFmtId="10" fontId="7" fillId="0" borderId="2" xfId="0" applyNumberFormat="1" applyFont="1" applyBorder="1" applyAlignment="1">
      <alignment horizontal="right" vertical="top"/>
    </xf>
    <xf numFmtId="49" fontId="3" fillId="3" borderId="1" xfId="0" applyNumberFormat="1" applyFont="1" applyFill="1">
      <alignment vertical="top"/>
    </xf>
    <xf numFmtId="49" fontId="8" fillId="4" borderId="1" xfId="0" applyNumberFormat="1" applyFont="1" applyFill="1">
      <alignment vertical="top"/>
    </xf>
    <xf numFmtId="49" fontId="8" fillId="5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>
      <alignment vertical="top"/>
    </xf>
    <xf numFmtId="164" fontId="7" fillId="0" borderId="5" xfId="0" applyNumberFormat="1" applyFont="1" applyBorder="1" applyAlignment="1">
      <alignment horizontal="right" vertical="top"/>
    </xf>
    <xf numFmtId="10" fontId="7" fillId="0" borderId="5" xfId="0" applyNumberFormat="1" applyFont="1" applyBorder="1" applyAlignment="1">
      <alignment horizontal="right" vertical="top"/>
    </xf>
    <xf numFmtId="10" fontId="6" fillId="0" borderId="5" xfId="0" applyNumberFormat="1" applyFont="1" applyBorder="1" applyAlignment="1">
      <alignment horizontal="right" vertical="top"/>
    </xf>
    <xf numFmtId="49" fontId="6" fillId="0" borderId="5" xfId="0" applyNumberFormat="1" applyFont="1" applyBorder="1" applyAlignment="1">
      <alignment horizontal="right" vertical="top"/>
    </xf>
    <xf numFmtId="49" fontId="8" fillId="4" borderId="1" xfId="1" applyFont="1">
      <alignment vertical="top"/>
    </xf>
    <xf numFmtId="164" fontId="4" fillId="0" borderId="1" xfId="0" applyNumberFormat="1" applyFont="1">
      <alignment vertical="top"/>
    </xf>
    <xf numFmtId="10" fontId="4" fillId="0" borderId="1" xfId="0" applyNumberFormat="1" applyFont="1">
      <alignment vertical="top"/>
    </xf>
    <xf numFmtId="49" fontId="9" fillId="0" borderId="2" xfId="0" applyNumberFormat="1" applyFont="1" applyBorder="1">
      <alignment vertical="top"/>
    </xf>
    <xf numFmtId="164" fontId="9" fillId="0" borderId="2" xfId="0" applyNumberFormat="1" applyFont="1" applyBorder="1" applyAlignment="1">
      <alignment horizontal="right" vertical="top"/>
    </xf>
    <xf numFmtId="10" fontId="9" fillId="0" borderId="2" xfId="0" applyNumberFormat="1" applyFont="1" applyBorder="1" applyAlignment="1">
      <alignment horizontal="right" vertical="top"/>
    </xf>
    <xf numFmtId="3" fontId="9" fillId="0" borderId="2" xfId="0" applyNumberFormat="1" applyFont="1" applyBorder="1" applyAlignment="1">
      <alignment horizontal="right" vertical="top"/>
    </xf>
    <xf numFmtId="49" fontId="3" fillId="6" borderId="1" xfId="0" applyNumberFormat="1" applyFont="1" applyFill="1">
      <alignment vertical="top"/>
    </xf>
    <xf numFmtId="49" fontId="10" fillId="0" borderId="1" xfId="0" applyNumberFormat="1" applyFont="1">
      <alignment vertical="top"/>
    </xf>
    <xf numFmtId="49" fontId="6" fillId="7" borderId="1" xfId="0" applyNumberFormat="1" applyFont="1" applyFill="1" applyAlignment="1">
      <alignment horizontal="center" vertical="top"/>
    </xf>
    <xf numFmtId="49" fontId="4" fillId="0" borderId="1" xfId="0" applyNumberFormat="1" applyFont="1">
      <alignment vertical="top"/>
    </xf>
    <xf numFmtId="3" fontId="4" fillId="0" borderId="1" xfId="0" applyNumberFormat="1" applyFont="1">
      <alignment vertical="top"/>
    </xf>
    <xf numFmtId="165" fontId="4" fillId="0" borderId="1" xfId="0" applyNumberFormat="1" applyFont="1">
      <alignment vertical="top"/>
    </xf>
    <xf numFmtId="49" fontId="11" fillId="8" borderId="1" xfId="0" applyNumberFormat="1" applyFont="1" applyFill="1">
      <alignment vertical="top"/>
    </xf>
    <xf numFmtId="49" fontId="12" fillId="0" borderId="0" xfId="0" applyNumberFormat="1" applyFont="1" applyBorder="1">
      <alignment vertical="top"/>
    </xf>
    <xf numFmtId="49" fontId="13" fillId="9" borderId="6" xfId="0" applyNumberFormat="1" applyFont="1" applyFill="1" applyBorder="1">
      <alignment vertical="top"/>
    </xf>
    <xf numFmtId="0" fontId="14" fillId="0" borderId="6" xfId="0" applyFont="1" applyBorder="1">
      <alignment vertical="top"/>
    </xf>
    <xf numFmtId="49" fontId="15" fillId="10" borderId="3" xfId="0" applyNumberFormat="1" applyFont="1" applyFill="1" applyBorder="1" applyAlignment="1">
      <alignment horizontal="center" vertical="top"/>
    </xf>
    <xf numFmtId="49" fontId="14" fillId="0" borderId="7" xfId="0" applyNumberFormat="1" applyFont="1" applyBorder="1">
      <alignment vertical="top"/>
    </xf>
    <xf numFmtId="10" fontId="14" fillId="0" borderId="7" xfId="0" applyNumberFormat="1" applyFont="1" applyBorder="1">
      <alignment vertical="top"/>
    </xf>
    <xf numFmtId="3" fontId="14" fillId="0" borderId="7" xfId="0" applyNumberFormat="1" applyFont="1" applyBorder="1">
      <alignment vertical="top"/>
    </xf>
    <xf numFmtId="49" fontId="13" fillId="11" borderId="6" xfId="0" applyNumberFormat="1" applyFont="1" applyFill="1" applyBorder="1">
      <alignment vertical="top"/>
    </xf>
    <xf numFmtId="49" fontId="16" fillId="0" borderId="6" xfId="0" applyNumberFormat="1" applyFont="1" applyBorder="1">
      <alignment vertical="top"/>
    </xf>
    <xf numFmtId="49" fontId="17" fillId="10" borderId="8" xfId="0" applyNumberFormat="1" applyFont="1" applyFill="1" applyBorder="1" applyAlignment="1">
      <alignment horizontal="center" vertical="top"/>
    </xf>
    <xf numFmtId="49" fontId="18" fillId="12" borderId="0" xfId="0" applyNumberFormat="1" applyFont="1" applyFill="1" applyBorder="1">
      <alignment vertical="top"/>
    </xf>
    <xf numFmtId="49" fontId="19" fillId="10" borderId="9" xfId="0" applyNumberFormat="1" applyFont="1" applyFill="1" applyBorder="1" applyAlignment="1">
      <alignment horizontal="center" vertical="top"/>
    </xf>
    <xf numFmtId="49" fontId="14" fillId="0" borderId="10" xfId="0" applyNumberFormat="1" applyFont="1" applyBorder="1">
      <alignment vertical="top"/>
    </xf>
    <xf numFmtId="10" fontId="14" fillId="0" borderId="10" xfId="0" applyNumberFormat="1" applyFont="1" applyBorder="1">
      <alignment vertical="top"/>
    </xf>
    <xf numFmtId="3" fontId="14" fillId="0" borderId="10" xfId="0" applyNumberFormat="1" applyFont="1" applyBorder="1">
      <alignment vertical="top"/>
    </xf>
    <xf numFmtId="165" fontId="14" fillId="0" borderId="10" xfId="0" applyNumberFormat="1" applyFont="1" applyBorder="1">
      <alignment vertical="top"/>
    </xf>
    <xf numFmtId="49" fontId="18" fillId="13" borderId="0" xfId="0" applyNumberFormat="1" applyFont="1" applyFill="1" applyBorder="1">
      <alignment vertical="top"/>
    </xf>
    <xf numFmtId="49" fontId="20" fillId="0" borderId="0" xfId="0" applyNumberFormat="1" applyFont="1" applyBorder="1">
      <alignment vertical="top"/>
    </xf>
    <xf numFmtId="49" fontId="19" fillId="10" borderId="0" xfId="0" applyNumberFormat="1" applyFont="1" applyFill="1" applyBorder="1" applyAlignment="1">
      <alignment horizontal="center" vertical="top"/>
    </xf>
    <xf numFmtId="49" fontId="21" fillId="13" borderId="0" xfId="0" applyNumberFormat="1" applyFont="1" applyFill="1" applyBorder="1">
      <alignment vertical="top"/>
    </xf>
    <xf numFmtId="49" fontId="22" fillId="0" borderId="0" xfId="0" applyNumberFormat="1" applyFont="1" applyBorder="1">
      <alignment vertical="top"/>
    </xf>
  </cellXfs>
  <cellStyles count="6">
    <cellStyle name="__builtInPivotTableStyle0__builtInPivotTableStyle0__builtInPivotTableStyle0__builtInPivotTableStyle0__builtInPivotTableStyle0__builtInStyle9" xfId="1" xr:uid="{00000000-0005-0000-0000-000005000000}"/>
    <cellStyle name="__builtInPivotTableStyle0__builtInPivotTableStyle0__builtInPivotTableStyle0__builtInPivotTableStyle0__builtInStyle9" xfId="1" xr:uid="{00000000-0005-0000-0000-000004000000}"/>
    <cellStyle name="__builtInPivotTableStyle0__builtInPivotTableStyle0__builtInPivotTableStyle0__builtInStyle9" xfId="1" xr:uid="{00000000-0005-0000-0000-000003000000}"/>
    <cellStyle name="__builtInPivotTableStyle0__builtInPivotTableStyle0__builtInStyle9" xfId="1" xr:uid="{00000000-0005-0000-0000-000002000000}"/>
    <cellStyle name="__builtInPivotTableStyle0__builtInStyle9" xfId="1" xr:uid="{00000000-0005-0000-0000-000001000000}"/>
    <cellStyle name="Normal" xfId="0" builtinId="0"/>
  </cellStyles>
  <dxfs count="33"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</dxfs>
  <tableStyles count="3" defaultTableStyle="TableStyleMedium2" defaultPivotStyle="PivotStyleLight16">
    <tableStyle name="CustomPivotTableStyle_ROI_By_Equipment_Full" table="0" count="11" xr9:uid="{00000000-0011-0000-FFFF-FFFF00000000}">
      <tableStyleElement type="wholeTable" dxfId="32"/>
      <tableStyleElement type="headerRow" dxfId="27"/>
      <tableStyleElement type="totalRow" dxfId="22"/>
      <tableStyleElement type="firstRowStripe" dxfId="28"/>
      <tableStyleElement type="firstColumnStripe" dxfId="29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31"/>
      <tableStyleElement type="pageFieldValues" dxfId="30"/>
    </tableStyle>
    <tableStyle name="CustomPivotTableStyle_ROI_By_Department_Full" table="0" count="11" xr9:uid="{00000000-0011-0000-FFFF-FFFF01000000}">
      <tableStyleElement type="wholeTable" dxfId="21"/>
      <tableStyleElement type="headerRow" dxfId="16"/>
      <tableStyleElement type="totalRow" dxfId="11"/>
      <tableStyleElement type="firstRowStripe" dxfId="17"/>
      <tableStyleElement type="firstColumnStripe" dxfId="18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20"/>
      <tableStyleElement type="pageFieldValues" dxfId="19"/>
    </tableStyle>
    <tableStyle name="CustomPivotTableStyle_ROI_By_Equipment_Dept_Full" table="0" count="11" xr9:uid="{00000000-0011-0000-FFFF-FFFF02000000}">
      <tableStyleElement type="wholeTable" dxfId="10"/>
      <tableStyleElement type="headerRow" dxfId="5"/>
      <tableStyleElement type="totalRow" dxfId="0"/>
      <tableStyleElement type="firstRowStripe" dxfId="6"/>
      <tableStyleElement type="firstColumnStripe" dxfId="7"/>
      <tableStyleElement type="firstSubtotalRow" dxfId="4"/>
      <tableStyleElement type="secondSubtotalRow" dxfId="3"/>
      <tableStyleElement type="firstRowSubheading" dxfId="2"/>
      <tableStyleElement type="secondRowSubheading" dxfId="1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sz="1050" b="0">
                <a:solidFill>
                  <a:srgbClr val="323233"/>
                </a:solidFill>
                <a:latin typeface="Arial"/>
              </a:rPr>
              <a:t>Operating Cost vs Revenue by Equipment Type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ROI_Analysis!$C$3026:$C$3029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3005000</c:v>
                </c:pt>
                <c:pt idx="1">
                  <c:v>1680000</c:v>
                </c:pt>
                <c:pt idx="2">
                  <c:v>892500</c:v>
                </c:pt>
                <c:pt idx="3">
                  <c:v>656000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Operating Cost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89C-4846-9455-05441E8BA968}"/>
            </c:ext>
          </c:extLst>
        </c:ser>
        <c:ser>
          <c:idx val="1"/>
          <c:order val="1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ROI_Analysis!$D$3026:$D$3029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54930000</c:v>
                </c:pt>
                <c:pt idx="1">
                  <c:v>101220000</c:v>
                </c:pt>
                <c:pt idx="2">
                  <c:v>22092000</c:v>
                </c:pt>
                <c:pt idx="3">
                  <c:v>58975000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Revenue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89C-4846-9455-05441E8BA968}"/>
            </c:ext>
          </c:extLst>
        </c:ser>
        <c:ser>
          <c:idx val="2"/>
          <c:order val="2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ROI_Analysis!$E$3026:$E$3029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51925000</c:v>
                </c:pt>
                <c:pt idx="1">
                  <c:v>99540000</c:v>
                </c:pt>
                <c:pt idx="2">
                  <c:v>21199500</c:v>
                </c:pt>
                <c:pt idx="3">
                  <c:v>58319000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Profit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89C-4846-9455-05441E8BA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43560785"/>
        <c:axId val="38998816"/>
      </c:barChart>
      <c:catAx>
        <c:axId val="43560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8998816"/>
        <c:crosses val="autoZero"/>
        <c:auto val="1"/>
        <c:lblAlgn val="ctr"/>
        <c:lblOffset val="0"/>
        <c:tickMarkSkip val="1"/>
        <c:noMultiLvlLbl val="1"/>
      </c:catAx>
      <c:valAx>
        <c:axId val="38998816"/>
        <c:scaling>
          <c:orientation val="minMax"/>
        </c:scaling>
        <c:delete val="0"/>
        <c:axPos val="l"/>
        <c:majorGridlines>
          <c:spPr>
            <a:ln w="9525">
              <a:solidFill>
                <a:srgbClr val="D8D8D9"/>
              </a:solidFill>
            </a:ln>
          </c:spPr>
        </c:majorGridlines>
        <c:numFmt formatCode="_([$$]* #,##0.00_);_([$$]* \(#,##0.00\);_([$$]* &quot;-&quot;??_);_(@_)" c16r2:formatcode2="_([$$-en-KE]* #,##0.00_);_([$$-en-KE]* \(#,##0.00\);_([$$-en-KE]* &quot;-&quot;??_);_(@_)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356078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sz="1050" b="0">
                <a:solidFill>
                  <a:srgbClr val="323233"/>
                </a:solidFill>
                <a:latin typeface="Arial"/>
              </a:rPr>
              <a:t>Department Performance: Utilization &amp; Profit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ROI_Analysis!$G$3026:$G$3027</c:f>
              <c:strCache>
                <c:ptCount val="2"/>
                <c:pt idx="0">
                  <c:v>Radiology</c:v>
                </c:pt>
                <c:pt idx="1">
                  <c:v>Women's Health</c:v>
                </c:pt>
              </c:strCache>
            </c:strRef>
          </c:cat>
          <c:val>
            <c:numRef>
              <c:f>ROI_Analysis!$H$3026:$H$3027</c:f>
              <c:numCache>
                <c:formatCode>0.00%</c:formatCode>
                <c:ptCount val="2"/>
                <c:pt idx="0">
                  <c:v>0.55358361774744202</c:v>
                </c:pt>
                <c:pt idx="1">
                  <c:v>0.62378048780487849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E4F-482A-98E9-5DA4713FC0DA}"/>
            </c:ext>
          </c:extLst>
        </c:ser>
        <c:ser>
          <c:idx val="1"/>
          <c:order val="1"/>
          <c:invertIfNegative val="0"/>
          <c:cat>
            <c:strRef>
              <c:f>ROI_Analysis!$G$3026:$G$3027</c:f>
              <c:strCache>
                <c:ptCount val="2"/>
                <c:pt idx="0">
                  <c:v>Radiology</c:v>
                </c:pt>
                <c:pt idx="1">
                  <c:v>Women's Health</c:v>
                </c:pt>
              </c:strCache>
            </c:strRef>
          </c:cat>
          <c:val>
            <c:numRef>
              <c:f>ROI_Analysis!$I$3026:$I$3027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2"/>
                <c:pt idx="0">
                  <c:v>219623500</c:v>
                </c:pt>
                <c:pt idx="1">
                  <c:v>58319000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Profit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E4F-482A-98E9-5DA4713FC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429132"/>
        <c:axId val="38508431"/>
      </c:barChart>
      <c:catAx>
        <c:axId val="494291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8508431"/>
        <c:crosses val="autoZero"/>
        <c:auto val="1"/>
        <c:lblAlgn val="ctr"/>
        <c:lblOffset val="0"/>
        <c:tickMarkSkip val="1"/>
        <c:noMultiLvlLbl val="1"/>
      </c:catAx>
      <c:valAx>
        <c:axId val="38508431"/>
        <c:scaling>
          <c:orientation val="minMax"/>
        </c:scaling>
        <c:delete val="0"/>
        <c:axPos val="b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942913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sz="1050" b="0">
                <a:solidFill>
                  <a:srgbClr val="323233"/>
                </a:solidFill>
                <a:latin typeface="Arial"/>
              </a:rPr>
              <a:t>ROI Performance Status Distribution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EFE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2F-40C2-BB24-E2AFB5FBC3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EF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2F-40C2-BB24-E2AFB5FBC3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EF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2F-40C2-BB24-E2AFB5FBC3C2}"/>
              </c:ext>
            </c:extLst>
          </c:dPt>
          <c:cat>
            <c:strRef>
              <c:f>ROI_Analysis!$K$3026:$K$3028</c:f>
              <c:strCache>
                <c:ptCount val="3"/>
                <c:pt idx="0">
                  <c:v>Exceeds Target</c:v>
                </c:pt>
                <c:pt idx="1">
                  <c:v>Positive</c:v>
                </c:pt>
                <c:pt idx="2">
                  <c:v>Negative</c:v>
                </c:pt>
              </c:strCache>
            </c:strRef>
          </c:cat>
          <c:val>
            <c:numRef>
              <c:f>ROI_Analysis!$L$3026:$L$3028</c:f>
              <c:numCache>
                <c:formatCode>#,##0</c:formatCode>
                <c:ptCount val="3"/>
                <c:pt idx="0">
                  <c:v>3000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Count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5E2F-40C2-BB24-E2AFB5FB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sz="1050" b="0">
                <a:solidFill>
                  <a:srgbClr val="323233"/>
                </a:solidFill>
                <a:latin typeface="Arial"/>
              </a:rPr>
              <a:t>Equipment ROI &amp; Utilization Comparison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strRef>
              <c:f>ROI_Analysis!$B$3034:$B$3037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ROI_Analysis!$C$3034:$C$3037</c:f>
              <c:numCache>
                <c:formatCode>0.00%</c:formatCode>
                <c:ptCount val="4"/>
                <c:pt idx="0">
                  <c:v>17.279534109816971</c:v>
                </c:pt>
                <c:pt idx="1">
                  <c:v>59.250000000000014</c:v>
                </c:pt>
                <c:pt idx="2">
                  <c:v>23.752941176470578</c:v>
                </c:pt>
                <c:pt idx="3">
                  <c:v>88.900914634146346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ROI %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E9-439D-BA08-FFB1F2000F3F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cat>
            <c:strRef>
              <c:f>ROI_Analysis!$B$3034:$B$3037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ROI_Analysis!$D$3034:$D$3037</c:f>
              <c:numCache>
                <c:formatCode>0.00%</c:formatCode>
                <c:ptCount val="4"/>
                <c:pt idx="0">
                  <c:v>0.19204658901830285</c:v>
                </c:pt>
                <c:pt idx="1">
                  <c:v>0.61048214285714231</c:v>
                </c:pt>
                <c:pt idx="2">
                  <c:v>0.61870588235294099</c:v>
                </c:pt>
                <c:pt idx="3">
                  <c:v>0.62378048780487849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6E9-439D-BA08-FFB1F2000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57025"/>
        <c:axId val="94808765"/>
      </c:lineChart>
      <c:catAx>
        <c:axId val="54057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4808765"/>
        <c:crosses val="autoZero"/>
        <c:auto val="1"/>
        <c:lblAlgn val="ctr"/>
        <c:lblOffset val="0"/>
        <c:tickMarkSkip val="1"/>
        <c:noMultiLvlLbl val="1"/>
      </c:catAx>
      <c:valAx>
        <c:axId val="94808765"/>
        <c:scaling>
          <c:orientation val="minMax"/>
        </c:scaling>
        <c:delete val="0"/>
        <c:axPos val="l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405702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Average Utilization Rate by Equipment Type</a:t>
            </a:r>
            <a:endParaRPr lang="en-US"/>
          </a:p>
        </c:rich>
      </c:tx>
      <c:layout>
        <c:manualLayout>
          <c:xMode val="edge"/>
          <c:yMode val="edge"/>
          <c:x val="0.22867959686857325"/>
          <c:y val="4.4622936189201247E-2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Utilization_Analysis!$B$7:$B$10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Utilization_Analysis!$C$7:$C$10</c:f>
              <c:numCache>
                <c:formatCode>0.00%</c:formatCode>
                <c:ptCount val="4"/>
                <c:pt idx="0">
                  <c:v>0.19204658901830285</c:v>
                </c:pt>
                <c:pt idx="1">
                  <c:v>0.61048214285714231</c:v>
                </c:pt>
                <c:pt idx="2">
                  <c:v>0.61870588235294099</c:v>
                </c:pt>
                <c:pt idx="3">
                  <c:v>0.62378048780487849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Utilization %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030-4EE0-878F-AD5108FA5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8683384"/>
        <c:axId val="10380034"/>
      </c:barChart>
      <c:catAx>
        <c:axId val="7868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0380034"/>
        <c:crosses val="autoZero"/>
        <c:auto val="1"/>
        <c:lblAlgn val="ctr"/>
        <c:lblOffset val="0"/>
        <c:tickMarkSkip val="1"/>
        <c:noMultiLvlLbl val="1"/>
      </c:catAx>
      <c:valAx>
        <c:axId val="10380034"/>
        <c:scaling>
          <c:orientation val="minMax"/>
        </c:scaling>
        <c:delete val="0"/>
        <c:axPos val="l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868338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Actual vs Target Utilization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Utilization_Analysis!$B$16:$B$19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Utilization_Analysis!$C$16:$C$19</c:f>
              <c:numCache>
                <c:formatCode>0.00%</c:formatCode>
                <c:ptCount val="4"/>
                <c:pt idx="0">
                  <c:v>0.65</c:v>
                </c:pt>
                <c:pt idx="1">
                  <c:v>0.7</c:v>
                </c:pt>
                <c:pt idx="2">
                  <c:v>0.75</c:v>
                </c:pt>
                <c:pt idx="3">
                  <c:v>0.7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Target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220-4CD1-94D7-DDDE48745393}"/>
            </c:ext>
          </c:extLst>
        </c:ser>
        <c:ser>
          <c:idx val="1"/>
          <c:order val="1"/>
          <c:invertIfNegative val="0"/>
          <c:cat>
            <c:strRef>
              <c:f>Utilization_Analysis!$B$16:$B$19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Utilization_Analysis!$D$16:$D$19</c:f>
              <c:numCache>
                <c:formatCode>0.00%</c:formatCode>
                <c:ptCount val="4"/>
                <c:pt idx="0">
                  <c:v>0.19204658901830285</c:v>
                </c:pt>
                <c:pt idx="1">
                  <c:v>0.61048214285714231</c:v>
                </c:pt>
                <c:pt idx="2">
                  <c:v>0.61870588235294099</c:v>
                </c:pt>
                <c:pt idx="3">
                  <c:v>0.62378048780487849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Actual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220-4CD1-94D7-DDDE4874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09797"/>
        <c:axId val="74006180"/>
      </c:barChart>
      <c:catAx>
        <c:axId val="877097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4006180"/>
        <c:crosses val="autoZero"/>
        <c:auto val="1"/>
        <c:lblAlgn val="ctr"/>
        <c:lblOffset val="0"/>
        <c:tickMarkSkip val="1"/>
        <c:noMultiLvlLbl val="1"/>
      </c:catAx>
      <c:valAx>
        <c:axId val="7400618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7709797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43</xdr:row>
      <xdr:rowOff>161925</xdr:rowOff>
    </xdr:from>
    <xdr:to>
      <xdr:col>14</xdr:col>
      <xdr:colOff>552450</xdr:colOff>
      <xdr:row>3022</xdr:row>
      <xdr:rowOff>142875</xdr:rowOff>
    </xdr:to>
    <xdr:graphicFrame macro="">
      <xdr:nvGraphicFramePr>
        <xdr:cNvPr id="6" name="Equipment_Comparison_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752475</xdr:colOff>
      <xdr:row>43</xdr:row>
      <xdr:rowOff>161925</xdr:rowOff>
    </xdr:from>
    <xdr:to>
      <xdr:col>19</xdr:col>
      <xdr:colOff>742950</xdr:colOff>
      <xdr:row>56</xdr:row>
      <xdr:rowOff>114300</xdr:rowOff>
    </xdr:to>
    <xdr:graphicFrame macro="">
      <xdr:nvGraphicFramePr>
        <xdr:cNvPr id="7" name="Department_Performance_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752475</xdr:colOff>
      <xdr:row>57</xdr:row>
      <xdr:rowOff>161925</xdr:rowOff>
    </xdr:from>
    <xdr:to>
      <xdr:col>19</xdr:col>
      <xdr:colOff>266700</xdr:colOff>
      <xdr:row>72</xdr:row>
      <xdr:rowOff>161925</xdr:rowOff>
    </xdr:to>
    <xdr:graphicFrame macro="">
      <xdr:nvGraphicFramePr>
        <xdr:cNvPr id="8" name="ROI_Status_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752475</xdr:colOff>
      <xdr:row>73</xdr:row>
      <xdr:rowOff>161925</xdr:rowOff>
    </xdr:from>
    <xdr:to>
      <xdr:col>19</xdr:col>
      <xdr:colOff>1219200</xdr:colOff>
      <xdr:row>88</xdr:row>
      <xdr:rowOff>161925</xdr:rowOff>
    </xdr:to>
    <xdr:graphicFrame macro="">
      <xdr:nvGraphicFramePr>
        <xdr:cNvPr id="9" name="Equipment_Profitability_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36</xdr:row>
      <xdr:rowOff>68580</xdr:rowOff>
    </xdr:from>
    <xdr:to>
      <xdr:col>15</xdr:col>
      <xdr:colOff>186690</xdr:colOff>
      <xdr:row>51</xdr:row>
      <xdr:rowOff>41910</xdr:rowOff>
    </xdr:to>
    <xdr:graphicFrame macro="">
      <xdr:nvGraphicFramePr>
        <xdr:cNvPr id="2" name="Utilization_Comparis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21</xdr:row>
      <xdr:rowOff>121920</xdr:rowOff>
    </xdr:from>
    <xdr:to>
      <xdr:col>15</xdr:col>
      <xdr:colOff>278130</xdr:colOff>
      <xdr:row>36</xdr:row>
      <xdr:rowOff>49530</xdr:rowOff>
    </xdr:to>
    <xdr:graphicFrame macro="">
      <xdr:nvGraphicFramePr>
        <xdr:cNvPr id="3" name="Performance_vs_Targe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0" xr:uid="{00000000-000A-0000-FFFF-FFFF03000000}">
  <cacheSource type="worksheet">
    <worksheetSource ref="B11:K3011" sheet="ROI_Analysis"/>
  </cacheSource>
  <cacheFields count="10">
    <cacheField name="Date">
      <sharedItems count="365">
        <s v="12/22/2023"/>
        <s v="1/24/2023"/>
        <s v="12/19/2023"/>
        <s v="12/12/2023"/>
        <s v="12/31/2023"/>
        <s v="1/19/2023"/>
        <s v="8/16/2023"/>
        <s v="2/20/2023"/>
        <s v="10/20/2023"/>
        <s v="4/26/2023"/>
        <s v="5/6/2023"/>
        <s v="6/2/2023"/>
        <s v="8/13/2023"/>
        <s v="3/12/2023"/>
        <s v="5/27/2023"/>
        <s v="2/16/2023"/>
        <s v="11/2/2023"/>
        <s v="5/24/2023"/>
        <s v="4/5/2023"/>
        <s v="9/29/2023"/>
        <s v="8/1/2023"/>
        <s v="6/16/2023"/>
        <s v="12/29/2023"/>
        <s v="10/2/2023"/>
        <s v="5/4/2023"/>
        <s v="8/8/2023"/>
        <s v="8/27/2023"/>
        <s v="3/3/2023"/>
        <s v="12/6/2023"/>
        <s v="1/11/2023"/>
        <s v="12/11/2023"/>
        <s v="10/27/2023"/>
        <s v="11/25/2023"/>
        <s v="8/2/2023"/>
        <s v="5/3/2023"/>
        <s v="11/28/2023"/>
        <s v="9/13/2023"/>
        <s v="10/23/2023"/>
        <s v="8/11/2023"/>
        <s v="9/23/2023"/>
        <s v="6/20/2023"/>
        <s v="10/13/2023"/>
        <s v="6/29/2023"/>
        <s v="2/7/2023"/>
        <s v="1/22/2023"/>
        <s v="6/4/2023"/>
        <s v="6/25/2023"/>
        <s v="10/3/2023"/>
        <s v="12/15/2023"/>
        <s v="1/7/2023"/>
        <s v="6/28/2023"/>
        <s v="8/17/2023"/>
        <s v="10/19/2023"/>
        <s v="5/18/2023"/>
        <s v="9/25/2023"/>
        <s v="2/12/2023"/>
        <s v="11/23/2023"/>
        <s v="4/24/2023"/>
        <s v="12/26/2023"/>
        <s v="6/27/2023"/>
        <s v="2/6/2023"/>
        <s v="7/10/2023"/>
        <s v="12/16/2023"/>
        <s v="11/15/2023"/>
        <s v="11/1/2023"/>
        <s v="6/5/2023"/>
        <s v="2/5/2023"/>
        <s v="11/20/2023"/>
        <s v="12/28/2023"/>
        <s v="11/19/2023"/>
        <s v="9/24/2023"/>
        <s v="10/24/2023"/>
        <s v="10/26/2023"/>
        <s v="3/23/2023"/>
        <s v="4/18/2023"/>
        <s v="1/21/2023"/>
        <s v="6/24/2023"/>
        <s v="7/21/2023"/>
        <s v="11/22/2023"/>
        <s v="3/6/2023"/>
        <s v="2/22/2023"/>
        <s v="6/23/2023"/>
        <s v="8/12/2023"/>
        <s v="12/4/2023"/>
        <s v="8/19/2023"/>
        <s v="4/7/2023"/>
        <s v="12/1/2023"/>
        <s v="7/11/2023"/>
        <s v="8/9/2023"/>
        <s v="3/27/2023"/>
        <s v="11/7/2023"/>
        <s v="3/17/2023"/>
        <s v="7/14/2023"/>
        <s v="8/14/2023"/>
        <s v="3/7/2023"/>
        <s v="7/7/2023"/>
        <s v="10/18/2023"/>
        <s v="4/1/2023"/>
        <s v="2/10/2023"/>
        <s v="5/16/2023"/>
        <s v="8/10/2023"/>
        <s v="7/20/2023"/>
        <s v="12/14/2023"/>
        <s v="7/15/2023"/>
        <s v="5/23/2023"/>
        <s v="8/4/2023"/>
        <s v="1/28/2023"/>
        <s v="1/26/2023"/>
        <s v="7/3/2023"/>
        <s v="3/20/2023"/>
        <s v="9/8/2023"/>
        <s v="4/4/2023"/>
        <s v="10/29/2023"/>
        <s v="6/10/2023"/>
        <s v="5/5/2023"/>
        <s v="10/21/2023"/>
        <s v="2/14/2023"/>
        <s v="2/21/2023"/>
        <s v="4/14/2023"/>
        <s v="2/15/2023"/>
        <s v="9/14/2023"/>
        <s v="10/14/2023"/>
        <s v="8/5/2023"/>
        <s v="3/14/2023"/>
        <s v="8/20/2023"/>
        <s v="3/31/2023"/>
        <s v="2/13/2023"/>
        <s v="5/21/2023"/>
        <s v="11/8/2023"/>
        <s v="4/27/2023"/>
        <s v="5/31/2023"/>
        <s v="5/22/2023"/>
        <s v="8/29/2023"/>
        <s v="4/30/2023"/>
        <s v="12/20/2023"/>
        <s v="1/9/2023"/>
        <s v="11/6/2023"/>
        <s v="1/12/2023"/>
        <s v="7/19/2023"/>
        <s v="9/21/2023"/>
        <s v="4/28/2023"/>
        <s v="12/8/2023"/>
        <s v="5/8/2023"/>
        <s v="11/9/2023"/>
        <s v="5/30/2023"/>
        <s v="3/15/2023"/>
        <s v="6/7/2023"/>
        <s v="6/9/2023"/>
        <s v="1/27/2023"/>
        <s v="11/26/2023"/>
        <s v="11/10/2023"/>
        <s v="7/16/2023"/>
        <s v="3/2/2023"/>
        <s v="2/28/2023"/>
        <s v="5/25/2023"/>
        <s v="7/26/2023"/>
        <s v="12/5/2023"/>
        <s v="4/6/2023"/>
        <s v="1/25/2023"/>
        <s v="5/17/2023"/>
        <s v="3/13/2023"/>
        <s v="10/10/2023"/>
        <s v="12/24/2023"/>
        <s v="4/9/2023"/>
        <s v="7/27/2023"/>
        <s v="5/13/2023"/>
        <s v="1/14/2023"/>
        <s v="3/26/2023"/>
        <s v="3/22/2023"/>
        <s v="1/1/2023"/>
        <s v="7/25/2023"/>
        <s v="3/16/2023"/>
        <s v="7/29/2023"/>
        <s v="5/29/2023"/>
        <s v="6/18/2023"/>
        <s v="1/5/2023"/>
        <s v="8/22/2023"/>
        <s v="2/18/2023"/>
        <s v="7/4/2023"/>
        <s v="9/5/2023"/>
        <s v="6/13/2023"/>
        <s v="6/17/2023"/>
        <s v="1/17/2023"/>
        <s v="7/5/2023"/>
        <s v="9/30/2023"/>
        <s v="2/23/2023"/>
        <s v="4/3/2023"/>
        <s v="5/9/2023"/>
        <s v="5/1/2023"/>
        <s v="3/19/2023"/>
        <s v="1/18/2023"/>
        <s v="10/6/2023"/>
        <s v="1/4/2023"/>
        <s v="7/30/2023"/>
        <s v="8/18/2023"/>
        <s v="6/22/2023"/>
        <s v="8/30/2023"/>
        <s v="7/13/2023"/>
        <s v="8/24/2023"/>
        <s v="1/10/2023"/>
        <s v="2/17/2023"/>
        <s v="2/24/2023"/>
        <s v="5/14/2023"/>
        <s v="12/17/2023"/>
        <s v="11/24/2023"/>
        <s v="10/25/2023"/>
        <s v="11/21/2023"/>
        <s v="11/11/2023"/>
        <s v="5/20/2023"/>
        <s v="9/20/2023"/>
        <s v="4/10/2023"/>
        <s v="4/21/2023"/>
        <s v="9/2/2023"/>
        <s v="3/25/2023"/>
        <s v="11/17/2023"/>
        <s v="3/11/2023"/>
        <s v="2/1/2023"/>
        <s v="3/5/2023"/>
        <s v="2/25/2023"/>
        <s v="12/21/2023"/>
        <s v="5/10/2023"/>
        <s v="3/10/2023"/>
        <s v="9/11/2023"/>
        <s v="9/18/2023"/>
        <s v="11/12/2023"/>
        <s v="6/8/2023"/>
        <s v="2/3/2023"/>
        <s v="4/13/2023"/>
        <s v="9/1/2023"/>
        <s v="6/1/2023"/>
        <s v="4/2/2023"/>
        <s v="7/18/2023"/>
        <s v="1/15/2023"/>
        <s v="1/2/2023"/>
        <s v="6/12/2023"/>
        <s v="7/23/2023"/>
        <s v="6/30/2023"/>
        <s v="1/16/2023"/>
        <s v="4/22/2023"/>
        <s v="12/23/2023"/>
        <s v="11/4/2023"/>
        <s v="2/4/2023"/>
        <s v="5/26/2023"/>
        <s v="6/19/2023"/>
        <s v="9/9/2023"/>
        <s v="6/26/2023"/>
        <s v="9/10/2023"/>
        <s v="3/9/2023"/>
        <s v="1/30/2023"/>
        <s v="6/3/2023"/>
        <s v="4/19/2023"/>
        <s v="8/31/2023"/>
        <s v="1/8/2023"/>
        <s v="8/15/2023"/>
        <s v="9/26/2023"/>
        <s v="10/30/2023"/>
        <s v="10/28/2023"/>
        <s v="12/7/2023"/>
        <s v="10/16/2023"/>
        <s v="2/19/2023"/>
        <s v="7/28/2023"/>
        <s v="8/23/2023"/>
        <s v="12/27/2023"/>
        <s v="6/14/2023"/>
        <s v="7/24/2023"/>
        <s v="9/7/2023"/>
        <s v="3/1/2023"/>
        <s v="9/28/2023"/>
        <s v="7/8/2023"/>
        <s v="9/22/2023"/>
        <s v="9/4/2023"/>
        <s v="8/28/2023"/>
        <s v="11/13/2023"/>
        <s v="5/11/2023"/>
        <s v="4/11/2023"/>
        <s v="3/4/2023"/>
        <s v="2/2/2023"/>
        <s v="10/5/2023"/>
        <s v="2/27/2023"/>
        <s v="11/16/2023"/>
        <s v="6/11/2023"/>
        <s v="9/27/2023"/>
        <s v="10/9/2023"/>
        <s v="9/15/2023"/>
        <s v="8/6/2023"/>
        <s v="2/11/2023"/>
        <s v="6/6/2023"/>
        <s v="3/24/2023"/>
        <s v="12/10/2023"/>
        <s v="10/7/2023"/>
        <s v="5/2/2023"/>
        <s v="5/19/2023"/>
        <s v="1/31/2023"/>
        <s v="10/17/2023"/>
        <s v="8/25/2023"/>
        <s v="6/15/2023"/>
        <s v="4/29/2023"/>
        <s v="10/31/2023"/>
        <s v="7/31/2023"/>
        <s v="10/12/2023"/>
        <s v="3/21/2023"/>
        <s v="1/23/2023"/>
        <s v="9/6/2023"/>
        <s v="7/6/2023"/>
        <s v="7/9/2023"/>
        <s v="3/18/2023"/>
        <s v="3/30/2023"/>
        <s v="11/18/2023"/>
        <s v="11/27/2023"/>
        <s v="6/21/2023"/>
        <s v="4/8/2023"/>
        <s v="10/22/2023"/>
        <s v="2/8/2023"/>
        <s v="10/11/2023"/>
        <s v="5/15/2023"/>
        <s v="12/3/2023"/>
        <s v="11/30/2023"/>
        <s v="2/9/2023"/>
        <s v="1/3/2023"/>
        <s v="9/3/2023"/>
        <s v="12/2/2023"/>
        <s v="11/14/2023"/>
        <s v="5/28/2023"/>
        <s v="8/26/2023"/>
        <s v="1/20/2023"/>
        <s v="1/13/2023"/>
        <s v="12/18/2023"/>
        <s v="8/7/2023"/>
        <s v="10/8/2023"/>
        <s v="4/25/2023"/>
        <s v="4/17/2023"/>
        <s v="7/22/2023"/>
        <s v="5/7/2023"/>
        <s v="3/8/2023"/>
        <s v="9/12/2023"/>
        <s v="11/5/2023"/>
        <s v="3/28/2023"/>
        <s v="9/17/2023"/>
        <s v="8/21/2023"/>
        <s v="7/1/2023"/>
        <s v="4/16/2023"/>
        <s v="4/20/2023"/>
        <s v="12/9/2023"/>
        <s v="7/17/2023"/>
        <s v="12/25/2023"/>
        <s v="12/30/2023"/>
        <s v="1/6/2023"/>
        <s v="10/15/2023"/>
        <s v="3/29/2023"/>
        <s v="5/12/2023"/>
        <s v="7/2/2023"/>
        <s v="4/15/2023"/>
        <s v="4/12/2023"/>
        <s v="8/3/2023"/>
        <s v="12/13/2023"/>
        <s v="11/3/2023"/>
        <s v="1/29/2023"/>
        <s v="2/26/2023"/>
        <s v="4/23/2023"/>
        <s v="9/16/2023"/>
        <s v="7/12/2023"/>
        <s v="10/1/2023"/>
        <s v="9/19/2023"/>
        <s v="11/29/2023"/>
        <s v="10/4/2023"/>
      </sharedItems>
    </cacheField>
    <cacheField name="Equipment ID">
      <sharedItems count="3000">
        <s v="MRI_0001"/>
        <s v="XRAY_0002"/>
        <s v="CT_0003"/>
        <s v="CT_0004"/>
        <s v="XRAY_0005"/>
        <s v="MRI_0006"/>
        <s v="MRI_0007"/>
        <s v="CT_0008"/>
        <s v="MRI_0009"/>
        <s v="MRI_0010"/>
        <s v="CT_0011"/>
        <s v="MRI_0012"/>
        <s v="MRI_0013"/>
        <s v="CT_0014"/>
        <s v="MAMMO_0015"/>
        <s v="MAMMO_0016"/>
        <s v="CT_0017"/>
        <s v="CT_0018"/>
        <s v="MAMMO_0019"/>
        <s v="US_0020"/>
        <s v="US_0021"/>
        <s v="MAMMO_0022"/>
        <s v="MRI_0023"/>
        <s v="MAMMO_0024"/>
        <s v="MAMMO_0025"/>
        <s v="MAMMO_0026"/>
        <s v="US_0027"/>
        <s v="MAMMO_0028"/>
        <s v="US_0029"/>
        <s v="CT_0030"/>
        <s v="MRI_0031"/>
        <s v="MAMMO_0032"/>
        <s v="CT_0033"/>
        <s v="MAMMO_0034"/>
        <s v="CT_0035"/>
        <s v="MRI_0036"/>
        <s v="CT_0037"/>
        <s v="XRAY_0038"/>
        <s v="XRAY_0039"/>
        <s v="MRI_0040"/>
        <s v="US_0041"/>
        <s v="MAMMO_0042"/>
        <s v="MAMMO_0043"/>
        <s v="XRAY_0044"/>
        <s v="MAMMO_0045"/>
        <s v="CT_0046"/>
        <s v="CT_0047"/>
        <s v="XRAY_0048"/>
        <s v="MRI_0049"/>
        <s v="XRAY_0050"/>
        <s v="MAMMO_0051"/>
        <s v="US_0052"/>
        <s v="MRI_0053"/>
        <s v="MAMMO_0054"/>
        <s v="CT_0055"/>
        <s v="MRI_0056"/>
        <s v="MRI_0057"/>
        <s v="US_0058"/>
        <s v="MRI_0059"/>
        <s v="US_0060"/>
        <s v="XRAY_0061"/>
        <s v="XRAY_0062"/>
        <s v="US_0063"/>
        <s v="XRAY_0064"/>
        <s v="CT_0065"/>
        <s v="CT_0066"/>
        <s v="CT_0067"/>
        <s v="XRAY_0068"/>
        <s v="MAMMO_0069"/>
        <s v="US_0070"/>
        <s v="XRAY_0071"/>
        <s v="MAMMO_0072"/>
        <s v="CT_0073"/>
        <s v="CT_0074"/>
        <s v="CT_0075"/>
        <s v="MAMMO_0076"/>
        <s v="MAMMO_0077"/>
        <s v="MAMMO_0078"/>
        <s v="US_0079"/>
        <s v="US_0080"/>
        <s v="US_0081"/>
        <s v="CT_0082"/>
        <s v="MRI_0083"/>
        <s v="MAMMO_0084"/>
        <s v="CT_0085"/>
        <s v="MAMMO_0086"/>
        <s v="CT_0087"/>
        <s v="MAMMO_0088"/>
        <s v="US_0089"/>
        <s v="MAMMO_0090"/>
        <s v="MRI_0091"/>
        <s v="US_0092"/>
        <s v="MAMMO_0093"/>
        <s v="MAMMO_0094"/>
        <s v="XRAY_0095"/>
        <s v="CT_0096"/>
        <s v="MAMMO_0097"/>
        <s v="XRAY_0098"/>
        <s v="XRAY_0099"/>
        <s v="US_0100"/>
        <s v="MAMMO_0101"/>
        <s v="US_0102"/>
        <s v="XRAY_0103"/>
        <s v="MRI_0104"/>
        <s v="MAMMO_0105"/>
        <s v="US_0106"/>
        <s v="US_0107"/>
        <s v="MRI_0108"/>
        <s v="CT_0109"/>
        <s v="CT_0110"/>
        <s v="MRI_0111"/>
        <s v="MRI_0112"/>
        <s v="XRAY_0113"/>
        <s v="XRAY_0114"/>
        <s v="XRAY_0115"/>
        <s v="MAMMO_0116"/>
        <s v="MAMMO_0117"/>
        <s v="XRAY_0118"/>
        <s v="CT_0119"/>
        <s v="MRI_0120"/>
        <s v="MAMMO_0121"/>
        <s v="XRAY_0122"/>
        <s v="MRI_0123"/>
        <s v="MAMMO_0124"/>
        <s v="MAMMO_0125"/>
        <s v="XRAY_0126"/>
        <s v="XRAY_0127"/>
        <s v="CT_0128"/>
        <s v="CT_0129"/>
        <s v="US_0130"/>
        <s v="MAMMO_0131"/>
        <s v="MAMMO_0132"/>
        <s v="US_0133"/>
        <s v="XRAY_0134"/>
        <s v="CT_0135"/>
        <s v="CT_0136"/>
        <s v="XRAY_0137"/>
        <s v="XRAY_0138"/>
        <s v="MRI_0139"/>
        <s v="US_0140"/>
        <s v="MRI_0141"/>
        <s v="MRI_0142"/>
        <s v="CT_0143"/>
        <s v="MAMMO_0144"/>
        <s v="MRI_0145"/>
        <s v="CT_0146"/>
        <s v="MAMMO_0147"/>
        <s v="US_0148"/>
        <s v="MRI_0149"/>
        <s v="XRAY_0150"/>
        <s v="MAMMO_0151"/>
        <s v="MRI_0152"/>
        <s v="MRI_0153"/>
        <s v="MRI_0154"/>
        <s v="US_0155"/>
        <s v="CT_0156"/>
        <s v="MRI_0157"/>
        <s v="XRAY_0158"/>
        <s v="US_0159"/>
        <s v="US_0160"/>
        <s v="XRAY_0161"/>
        <s v="MRI_0162"/>
        <s v="XRAY_0163"/>
        <s v="CT_0164"/>
        <s v="CT_0165"/>
        <s v="MAMMO_0166"/>
        <s v="US_0167"/>
        <s v="MAMMO_0168"/>
        <s v="CT_0169"/>
        <s v="MRI_0170"/>
        <s v="CT_0171"/>
        <s v="XRAY_0172"/>
        <s v="MRI_0173"/>
        <s v="XRAY_0174"/>
        <s v="US_0175"/>
        <s v="CT_0176"/>
        <s v="XRAY_0177"/>
        <s v="MRI_0178"/>
        <s v="US_0179"/>
        <s v="CT_0180"/>
        <s v="XRAY_0181"/>
        <s v="US_0182"/>
        <s v="CT_0183"/>
        <s v="CT_0184"/>
        <s v="MAMMO_0185"/>
        <s v="MAMMO_0186"/>
        <s v="MRI_0187"/>
        <s v="XRAY_0188"/>
        <s v="MRI_0189"/>
        <s v="MAMMO_0190"/>
        <s v="CT_0191"/>
        <s v="MAMMO_0192"/>
        <s v="MAMMO_0193"/>
        <s v="MRI_0194"/>
        <s v="US_0195"/>
        <s v="CT_0196"/>
        <s v="XRAY_0197"/>
        <s v="US_0198"/>
        <s v="CT_0199"/>
        <s v="XRAY_0200"/>
        <s v="MAMMO_0201"/>
        <s v="CT_0202"/>
        <s v="US_0203"/>
        <s v="MRI_0204"/>
        <s v="CT_0205"/>
        <s v="US_0206"/>
        <s v="XRAY_0207"/>
        <s v="XRAY_0208"/>
        <s v="MAMMO_0209"/>
        <s v="XRAY_0210"/>
        <s v="CT_0211"/>
        <s v="MRI_0212"/>
        <s v="US_0213"/>
        <s v="MRI_0214"/>
        <s v="MRI_0215"/>
        <s v="MAMMO_0216"/>
        <s v="MAMMO_0217"/>
        <s v="MAMMO_0218"/>
        <s v="XRAY_0219"/>
        <s v="MAMMO_0220"/>
        <s v="CT_0221"/>
        <s v="XRAY_0222"/>
        <s v="MRI_0223"/>
        <s v="MRI_0224"/>
        <s v="XRAY_0225"/>
        <s v="MAMMO_0226"/>
        <s v="US_0227"/>
        <s v="XRAY_0228"/>
        <s v="MRI_0229"/>
        <s v="MRI_0230"/>
        <s v="XRAY_0231"/>
        <s v="MAMMO_0232"/>
        <s v="CT_0233"/>
        <s v="MAMMO_0234"/>
        <s v="US_0235"/>
        <s v="US_0236"/>
        <s v="CT_0237"/>
        <s v="MAMMO_0238"/>
        <s v="MAMMO_0239"/>
        <s v="CT_0240"/>
        <s v="MAMMO_0241"/>
        <s v="XRAY_0242"/>
        <s v="XRAY_0243"/>
        <s v="XRAY_0244"/>
        <s v="CT_0245"/>
        <s v="MAMMO_0246"/>
        <s v="CT_0247"/>
        <s v="MRI_0248"/>
        <s v="MRI_0249"/>
        <s v="MAMMO_0250"/>
        <s v="MRI_0251"/>
        <s v="CT_0252"/>
        <s v="MRI_0253"/>
        <s v="MAMMO_0254"/>
        <s v="CT_0255"/>
        <s v="XRAY_0256"/>
        <s v="CT_0257"/>
        <s v="MAMMO_0258"/>
        <s v="MAMMO_0259"/>
        <s v="MRI_0260"/>
        <s v="US_0261"/>
        <s v="XRAY_0262"/>
        <s v="MRI_0263"/>
        <s v="CT_0264"/>
        <s v="US_0265"/>
        <s v="MRI_0266"/>
        <s v="MAMMO_0267"/>
        <s v="XRAY_0268"/>
        <s v="US_0269"/>
        <s v="US_0270"/>
        <s v="XRAY_0271"/>
        <s v="XRAY_0272"/>
        <s v="XRAY_0273"/>
        <s v="MRI_0274"/>
        <s v="MRI_0275"/>
        <s v="MAMMO_0276"/>
        <s v="XRAY_0277"/>
        <s v="US_0278"/>
        <s v="MRI_0279"/>
        <s v="MAMMO_0280"/>
        <s v="US_0281"/>
        <s v="MAMMO_0282"/>
        <s v="MAMMO_0283"/>
        <s v="MRI_0284"/>
        <s v="MAMMO_0285"/>
        <s v="MAMMO_0286"/>
        <s v="XRAY_0287"/>
        <s v="MAMMO_0288"/>
        <s v="MRI_0289"/>
        <s v="MRI_0290"/>
        <s v="MRI_0291"/>
        <s v="US_0292"/>
        <s v="US_0293"/>
        <s v="XRAY_0294"/>
        <s v="US_0295"/>
        <s v="XRAY_0296"/>
        <s v="XRAY_0297"/>
        <s v="US_0298"/>
        <s v="MAMMO_0299"/>
        <s v="MAMMO_0300"/>
        <s v="MAMMO_0301"/>
        <s v="MAMMO_0302"/>
        <s v="XRAY_0303"/>
        <s v="US_0304"/>
        <s v="MAMMO_0305"/>
        <s v="CT_0306"/>
        <s v="MRI_0307"/>
        <s v="CT_0308"/>
        <s v="CT_0309"/>
        <s v="MRI_0310"/>
        <s v="MAMMO_0311"/>
        <s v="MAMMO_0312"/>
        <s v="MAMMO_0313"/>
        <s v="MAMMO_0314"/>
        <s v="MAMMO_0315"/>
        <s v="MAMMO_0316"/>
        <s v="US_0317"/>
        <s v="XRAY_0318"/>
        <s v="MAMMO_0319"/>
        <s v="XRAY_0320"/>
        <s v="MAMMO_0321"/>
        <s v="XRAY_0322"/>
        <s v="US_0323"/>
        <s v="MRI_0324"/>
        <s v="CT_0325"/>
        <s v="XRAY_0326"/>
        <s v="MRI_0327"/>
        <s v="MAMMO_0328"/>
        <s v="XRAY_0329"/>
        <s v="XRAY_0330"/>
        <s v="US_0331"/>
        <s v="MRI_0332"/>
        <s v="MRI_0333"/>
        <s v="MAMMO_0334"/>
        <s v="MRI_0335"/>
        <s v="MRI_0336"/>
        <s v="MAMMO_0337"/>
        <s v="MRI_0338"/>
        <s v="MAMMO_0339"/>
        <s v="XRAY_0340"/>
        <s v="US_0341"/>
        <s v="CT_0342"/>
        <s v="XRAY_0343"/>
        <s v="MRI_0344"/>
        <s v="US_0345"/>
        <s v="MRI_0346"/>
        <s v="MAMMO_0347"/>
        <s v="CT_0348"/>
        <s v="MAMMO_0349"/>
        <s v="US_0350"/>
        <s v="MAMMO_0351"/>
        <s v="XRAY_0352"/>
        <s v="XRAY_0353"/>
        <s v="CT_0354"/>
        <s v="MAMMO_0355"/>
        <s v="MRI_0356"/>
        <s v="CT_0357"/>
        <s v="CT_0358"/>
        <s v="XRAY_0359"/>
        <s v="MAMMO_0360"/>
        <s v="CT_0361"/>
        <s v="MRI_0362"/>
        <s v="MAMMO_0363"/>
        <s v="XRAY_0364"/>
        <s v="XRAY_0365"/>
        <s v="MAMMO_0366"/>
        <s v="MRI_0367"/>
        <s v="US_0368"/>
        <s v="MRI_0369"/>
        <s v="US_0370"/>
        <s v="XRAY_0371"/>
        <s v="CT_0372"/>
        <s v="CT_0373"/>
        <s v="US_0374"/>
        <s v="CT_0375"/>
        <s v="MRI_0376"/>
        <s v="MAMMO_0377"/>
        <s v="US_0378"/>
        <s v="US_0379"/>
        <s v="MRI_0380"/>
        <s v="US_0381"/>
        <s v="XRAY_0382"/>
        <s v="MRI_0383"/>
        <s v="US_0384"/>
        <s v="XRAY_0385"/>
        <s v="MAMMO_0386"/>
        <s v="MRI_0387"/>
        <s v="XRAY_0388"/>
        <s v="US_0389"/>
        <s v="US_0390"/>
        <s v="XRAY_0391"/>
        <s v="XRAY_0392"/>
        <s v="MRI_0393"/>
        <s v="MAMMO_0394"/>
        <s v="MAMMO_0395"/>
        <s v="XRAY_0396"/>
        <s v="MAMMO_0397"/>
        <s v="CT_0398"/>
        <s v="XRAY_0399"/>
        <s v="XRAY_0400"/>
        <s v="CT_0401"/>
        <s v="MAMMO_0402"/>
        <s v="MRI_0403"/>
        <s v="MAMMO_0404"/>
        <s v="MAMMO_0405"/>
        <s v="CT_0406"/>
        <s v="MAMMO_0407"/>
        <s v="MRI_0408"/>
        <s v="MAMMO_0409"/>
        <s v="MRI_0410"/>
        <s v="MAMMO_0411"/>
        <s v="XRAY_0412"/>
        <s v="CT_0413"/>
        <s v="MRI_0414"/>
        <s v="CT_0415"/>
        <s v="MAMMO_0416"/>
        <s v="XRAY_0417"/>
        <s v="XRAY_0418"/>
        <s v="US_0419"/>
        <s v="MRI_0420"/>
        <s v="CT_0421"/>
        <s v="CT_0422"/>
        <s v="MRI_0423"/>
        <s v="MRI_0424"/>
        <s v="CT_0425"/>
        <s v="CT_0426"/>
        <s v="MAMMO_0427"/>
        <s v="MRI_0428"/>
        <s v="MAMMO_0429"/>
        <s v="MRI_0430"/>
        <s v="CT_0431"/>
        <s v="MRI_0432"/>
        <s v="MAMMO_0433"/>
        <s v="US_0434"/>
        <s v="MRI_0435"/>
        <s v="XRAY_0436"/>
        <s v="MAMMO_0437"/>
        <s v="MAMMO_0438"/>
        <s v="CT_0439"/>
        <s v="MAMMO_0440"/>
        <s v="XRAY_0441"/>
        <s v="XRAY_0442"/>
        <s v="MRI_0443"/>
        <s v="XRAY_0444"/>
        <s v="XRAY_0445"/>
        <s v="US_0446"/>
        <s v="XRAY_0447"/>
        <s v="CT_0448"/>
        <s v="MRI_0449"/>
        <s v="MRI_0450"/>
        <s v="XRAY_0451"/>
        <s v="XRAY_0452"/>
        <s v="XRAY_0453"/>
        <s v="CT_0454"/>
        <s v="US_0455"/>
        <s v="CT_0456"/>
        <s v="MAMMO_0457"/>
        <s v="CT_0458"/>
        <s v="US_0459"/>
        <s v="US_0460"/>
        <s v="MRI_0461"/>
        <s v="CT_0462"/>
        <s v="US_0463"/>
        <s v="CT_0464"/>
        <s v="US_0465"/>
        <s v="MRI_0466"/>
        <s v="XRAY_0467"/>
        <s v="US_0468"/>
        <s v="XRAY_0469"/>
        <s v="MRI_0470"/>
        <s v="XRAY_0471"/>
        <s v="XRAY_0472"/>
        <s v="MAMMO_0473"/>
        <s v="US_0474"/>
        <s v="MRI_0475"/>
        <s v="MAMMO_0476"/>
        <s v="XRAY_0477"/>
        <s v="US_0478"/>
        <s v="XRAY_0479"/>
        <s v="CT_0480"/>
        <s v="MRI_0481"/>
        <s v="MAMMO_0482"/>
        <s v="MAMMO_0483"/>
        <s v="MRI_0484"/>
        <s v="US_0485"/>
        <s v="XRAY_0486"/>
        <s v="CT_0487"/>
        <s v="MAMMO_0488"/>
        <s v="CT_0489"/>
        <s v="US_0490"/>
        <s v="MAMMO_0491"/>
        <s v="CT_0492"/>
        <s v="XRAY_0493"/>
        <s v="US_0494"/>
        <s v="CT_0495"/>
        <s v="MAMMO_0496"/>
        <s v="XRAY_0497"/>
        <s v="US_0498"/>
        <s v="MAMMO_0499"/>
        <s v="MAMMO_0500"/>
        <s v="XRAY_0501"/>
        <s v="US_0502"/>
        <s v="US_0503"/>
        <s v="CT_0504"/>
        <s v="MAMMO_0505"/>
        <s v="CT_0506"/>
        <s v="US_0507"/>
        <s v="XRAY_0508"/>
        <s v="CT_0509"/>
        <s v="CT_0510"/>
        <s v="US_0511"/>
        <s v="CT_0512"/>
        <s v="CT_0513"/>
        <s v="MAMMO_0514"/>
        <s v="MRI_0515"/>
        <s v="MRI_0516"/>
        <s v="XRAY_0517"/>
        <s v="XRAY_0518"/>
        <s v="XRAY_0519"/>
        <s v="MAMMO_0520"/>
        <s v="CT_0521"/>
        <s v="MRI_0522"/>
        <s v="MAMMO_0523"/>
        <s v="CT_0524"/>
        <s v="MAMMO_0525"/>
        <s v="CT_0526"/>
        <s v="MAMMO_0527"/>
        <s v="XRAY_0528"/>
        <s v="CT_0529"/>
        <s v="CT_0530"/>
        <s v="MRI_0531"/>
        <s v="CT_0532"/>
        <s v="MRI_0533"/>
        <s v="US_0534"/>
        <s v="MRI_0535"/>
        <s v="CT_0536"/>
        <s v="US_0537"/>
        <s v="CT_0538"/>
        <s v="MRI_0539"/>
        <s v="US_0540"/>
        <s v="MRI_0541"/>
        <s v="MRI_0542"/>
        <s v="US_0543"/>
        <s v="XRAY_0544"/>
        <s v="XRAY_0545"/>
        <s v="MAMMO_0546"/>
        <s v="CT_0547"/>
        <s v="CT_0548"/>
        <s v="XRAY_0549"/>
        <s v="CT_0550"/>
        <s v="US_0551"/>
        <s v="XRAY_0552"/>
        <s v="MAMMO_0553"/>
        <s v="XRAY_0554"/>
        <s v="XRAY_0555"/>
        <s v="MAMMO_0556"/>
        <s v="US_0557"/>
        <s v="MAMMO_0558"/>
        <s v="US_0559"/>
        <s v="US_0560"/>
        <s v="CT_0561"/>
        <s v="CT_0562"/>
        <s v="MRI_0563"/>
        <s v="CT_0564"/>
        <s v="XRAY_0565"/>
        <s v="MAMMO_0566"/>
        <s v="US_0567"/>
        <s v="US_0568"/>
        <s v="US_0569"/>
        <s v="MRI_0570"/>
        <s v="XRAY_0571"/>
        <s v="US_0572"/>
        <s v="XRAY_0573"/>
        <s v="MAMMO_0574"/>
        <s v="US_0575"/>
        <s v="MAMMO_0576"/>
        <s v="CT_0577"/>
        <s v="XRAY_0578"/>
        <s v="CT_0579"/>
        <s v="MAMMO_0580"/>
        <s v="MRI_0581"/>
        <s v="CT_0582"/>
        <s v="MRI_0583"/>
        <s v="XRAY_0584"/>
        <s v="CT_0585"/>
        <s v="XRAY_0586"/>
        <s v="US_0587"/>
        <s v="MRI_0588"/>
        <s v="XRAY_0589"/>
        <s v="MRI_0590"/>
        <s v="MAMMO_0591"/>
        <s v="MAMMO_0592"/>
        <s v="MRI_0593"/>
        <s v="US_0594"/>
        <s v="CT_0595"/>
        <s v="US_0596"/>
        <s v="XRAY_0597"/>
        <s v="CT_0598"/>
        <s v="MAMMO_0599"/>
        <s v="MRI_0600"/>
        <s v="XRAY_0601"/>
        <s v="MRI_0602"/>
        <s v="US_0603"/>
        <s v="MAMMO_0604"/>
        <s v="CT_0605"/>
        <s v="XRAY_0606"/>
        <s v="XRAY_0607"/>
        <s v="US_0608"/>
        <s v="CT_0609"/>
        <s v="XRAY_0610"/>
        <s v="US_0611"/>
        <s v="US_0612"/>
        <s v="MRI_0613"/>
        <s v="US_0614"/>
        <s v="MRI_0615"/>
        <s v="US_0616"/>
        <s v="CT_0617"/>
        <s v="MAMMO_0618"/>
        <s v="MAMMO_0619"/>
        <s v="CT_0620"/>
        <s v="MAMMO_0621"/>
        <s v="XRAY_0622"/>
        <s v="MAMMO_0623"/>
        <s v="MAMMO_0624"/>
        <s v="US_0625"/>
        <s v="US_0626"/>
        <s v="MAMMO_0627"/>
        <s v="MRI_0628"/>
        <s v="MRI_0629"/>
        <s v="MRI_0630"/>
        <s v="MAMMO_0631"/>
        <s v="US_0632"/>
        <s v="XRAY_0633"/>
        <s v="US_0634"/>
        <s v="MAMMO_0635"/>
        <s v="XRAY_0636"/>
        <s v="MRI_0637"/>
        <s v="US_0638"/>
        <s v="MAMMO_0639"/>
        <s v="XRAY_0640"/>
        <s v="MAMMO_0641"/>
        <s v="XRAY_0642"/>
        <s v="CT_0643"/>
        <s v="MRI_0644"/>
        <s v="MRI_0645"/>
        <s v="MRI_0646"/>
        <s v="CT_0647"/>
        <s v="MAMMO_0648"/>
        <s v="MRI_0649"/>
        <s v="US_0650"/>
        <s v="CT_0651"/>
        <s v="US_0652"/>
        <s v="XRAY_0653"/>
        <s v="CT_0654"/>
        <s v="US_0655"/>
        <s v="XRAY_0656"/>
        <s v="MRI_0657"/>
        <s v="XRAY_0658"/>
        <s v="MRI_0659"/>
        <s v="MAMMO_0660"/>
        <s v="MAMMO_0661"/>
        <s v="US_0662"/>
        <s v="US_0663"/>
        <s v="XRAY_0664"/>
        <s v="MRI_0665"/>
        <s v="MRI_0666"/>
        <s v="MAMMO_0667"/>
        <s v="MRI_0668"/>
        <s v="XRAY_0669"/>
        <s v="CT_0670"/>
        <s v="MRI_0671"/>
        <s v="CT_0672"/>
        <s v="CT_0673"/>
        <s v="MAMMO_0674"/>
        <s v="XRAY_0675"/>
        <s v="MAMMO_0676"/>
        <s v="MAMMO_0677"/>
        <s v="CT_0678"/>
        <s v="MAMMO_0679"/>
        <s v="CT_0680"/>
        <s v="CT_0681"/>
        <s v="US_0682"/>
        <s v="MRI_0683"/>
        <s v="CT_0684"/>
        <s v="CT_0685"/>
        <s v="MRI_0686"/>
        <s v="MRI_0687"/>
        <s v="MAMMO_0688"/>
        <s v="XRAY_0689"/>
        <s v="MRI_0690"/>
        <s v="MAMMO_0691"/>
        <s v="MRI_0692"/>
        <s v="MRI_0693"/>
        <s v="MRI_0694"/>
        <s v="MRI_0695"/>
        <s v="CT_0696"/>
        <s v="XRAY_0697"/>
        <s v="MRI_0698"/>
        <s v="CT_0699"/>
        <s v="US_0700"/>
        <s v="MAMMO_0701"/>
        <s v="MRI_0702"/>
        <s v="MAMMO_0703"/>
        <s v="MRI_0704"/>
        <s v="US_0705"/>
        <s v="XRAY_0706"/>
        <s v="XRAY_0707"/>
        <s v="MAMMO_0708"/>
        <s v="MRI_0709"/>
        <s v="XRAY_0710"/>
        <s v="XRAY_0711"/>
        <s v="CT_0712"/>
        <s v="MRI_0713"/>
        <s v="MRI_0714"/>
        <s v="CT_0715"/>
        <s v="CT_0716"/>
        <s v="MAMMO_0717"/>
        <s v="XRAY_0718"/>
        <s v="XRAY_0719"/>
        <s v="CT_0720"/>
        <s v="XRAY_0721"/>
        <s v="MRI_0722"/>
        <s v="MAMMO_0723"/>
        <s v="MAMMO_0724"/>
        <s v="US_0725"/>
        <s v="XRAY_0726"/>
        <s v="MRI_0727"/>
        <s v="MRI_0728"/>
        <s v="CT_0729"/>
        <s v="MRI_0730"/>
        <s v="XRAY_0731"/>
        <s v="US_0732"/>
        <s v="XRAY_0733"/>
        <s v="MAMMO_0734"/>
        <s v="XRAY_0735"/>
        <s v="CT_0736"/>
        <s v="CT_0737"/>
        <s v="XRAY_0738"/>
        <s v="MAMMO_0739"/>
        <s v="XRAY_0740"/>
        <s v="CT_0741"/>
        <s v="MRI_0742"/>
        <s v="MRI_0743"/>
        <s v="XRAY_0744"/>
        <s v="XRAY_0745"/>
        <s v="XRAY_0746"/>
        <s v="XRAY_0747"/>
        <s v="US_0748"/>
        <s v="MRI_0749"/>
        <s v="XRAY_0750"/>
        <s v="XRAY_0751"/>
        <s v="US_0752"/>
        <s v="XRAY_0753"/>
        <s v="MAMMO_0754"/>
        <s v="US_0755"/>
        <s v="MAMMO_0756"/>
        <s v="CT_0757"/>
        <s v="CT_0758"/>
        <s v="MAMMO_0759"/>
        <s v="MAMMO_0760"/>
        <s v="XRAY_0761"/>
        <s v="US_0762"/>
        <s v="XRAY_0763"/>
        <s v="CT_0764"/>
        <s v="MRI_0765"/>
        <s v="MAMMO_0766"/>
        <s v="MAMMO_0767"/>
        <s v="MAMMO_0768"/>
        <s v="CT_0769"/>
        <s v="XRAY_0770"/>
        <s v="XRAY_0771"/>
        <s v="MAMMO_0772"/>
        <s v="MAMMO_0773"/>
        <s v="MAMMO_0774"/>
        <s v="US_0775"/>
        <s v="MRI_0776"/>
        <s v="MRI_0777"/>
        <s v="XRAY_0778"/>
        <s v="MRI_0779"/>
        <s v="MAMMO_0780"/>
        <s v="MAMMO_0781"/>
        <s v="MAMMO_0782"/>
        <s v="MRI_0783"/>
        <s v="MRI_0784"/>
        <s v="MAMMO_0785"/>
        <s v="MRI_0786"/>
        <s v="XRAY_0787"/>
        <s v="MRI_0788"/>
        <s v="US_0789"/>
        <s v="US_0790"/>
        <s v="CT_0791"/>
        <s v="CT_0792"/>
        <s v="MAMMO_0793"/>
        <s v="US_0794"/>
        <s v="US_0795"/>
        <s v="MRI_0796"/>
        <s v="XRAY_0797"/>
        <s v="XRAY_0798"/>
        <s v="MRI_0799"/>
        <s v="XRAY_0800"/>
        <s v="US_0801"/>
        <s v="US_0802"/>
        <s v="MAMMO_0803"/>
        <s v="CT_0804"/>
        <s v="XRAY_0805"/>
        <s v="CT_0806"/>
        <s v="MAMMO_0807"/>
        <s v="MAMMO_0808"/>
        <s v="XRAY_0809"/>
        <s v="MRI_0810"/>
        <s v="MAMMO_0811"/>
        <s v="MRI_0812"/>
        <s v="XRAY_0813"/>
        <s v="MRI_0814"/>
        <s v="CT_0815"/>
        <s v="MAMMO_0816"/>
        <s v="MAMMO_0817"/>
        <s v="MAMMO_0818"/>
        <s v="MRI_0819"/>
        <s v="MAMMO_0820"/>
        <s v="MRI_0821"/>
        <s v="MRI_0822"/>
        <s v="MAMMO_0823"/>
        <s v="MAMMO_0824"/>
        <s v="MRI_0825"/>
        <s v="MRI_0826"/>
        <s v="MAMMO_0827"/>
        <s v="XRAY_0828"/>
        <s v="US_0829"/>
        <s v="MAMMO_0830"/>
        <s v="MAMMO_0831"/>
        <s v="XRAY_0832"/>
        <s v="XRAY_0833"/>
        <s v="MRI_0834"/>
        <s v="CT_0835"/>
        <s v="MRI_0836"/>
        <s v="MAMMO_0837"/>
        <s v="XRAY_0838"/>
        <s v="CT_0839"/>
        <s v="XRAY_0840"/>
        <s v="US_0841"/>
        <s v="US_0842"/>
        <s v="XRAY_0843"/>
        <s v="US_0844"/>
        <s v="US_0845"/>
        <s v="MAMMO_0846"/>
        <s v="MRI_0847"/>
        <s v="MRI_0848"/>
        <s v="US_0849"/>
        <s v="CT_0850"/>
        <s v="XRAY_0851"/>
        <s v="CT_0852"/>
        <s v="CT_0853"/>
        <s v="MRI_0854"/>
        <s v="XRAY_0855"/>
        <s v="XRAY_0856"/>
        <s v="XRAY_0857"/>
        <s v="MRI_0858"/>
        <s v="CT_0859"/>
        <s v="MAMMO_0860"/>
        <s v="MRI_0861"/>
        <s v="US_0862"/>
        <s v="MAMMO_0863"/>
        <s v="MAMMO_0864"/>
        <s v="US_0865"/>
        <s v="MAMMO_0866"/>
        <s v="MAMMO_0867"/>
        <s v="MRI_0868"/>
        <s v="MAMMO_0869"/>
        <s v="CT_0870"/>
        <s v="CT_0871"/>
        <s v="CT_0872"/>
        <s v="CT_0873"/>
        <s v="MAMMO_0874"/>
        <s v="CT_0875"/>
        <s v="MAMMO_0876"/>
        <s v="XRAY_0877"/>
        <s v="XRAY_0878"/>
        <s v="MAMMO_0879"/>
        <s v="XRAY_0880"/>
        <s v="CT_0881"/>
        <s v="US_0882"/>
        <s v="MRI_0883"/>
        <s v="US_0884"/>
        <s v="MRI_0885"/>
        <s v="MRI_0886"/>
        <s v="US_0887"/>
        <s v="MAMMO_0888"/>
        <s v="US_0889"/>
        <s v="MAMMO_0890"/>
        <s v="XRAY_0891"/>
        <s v="US_0892"/>
        <s v="MAMMO_0893"/>
        <s v="US_0894"/>
        <s v="CT_0895"/>
        <s v="CT_0896"/>
        <s v="MAMMO_0897"/>
        <s v="XRAY_0898"/>
        <s v="MRI_0899"/>
        <s v="MRI_0900"/>
        <s v="MAMMO_0901"/>
        <s v="CT_0902"/>
        <s v="US_0903"/>
        <s v="MRI_0904"/>
        <s v="MRI_0905"/>
        <s v="XRAY_0906"/>
        <s v="MRI_0907"/>
        <s v="US_0908"/>
        <s v="MRI_0909"/>
        <s v="US_0910"/>
        <s v="CT_0911"/>
        <s v="US_0912"/>
        <s v="MAMMO_0913"/>
        <s v="XRAY_0914"/>
        <s v="US_0915"/>
        <s v="US_0916"/>
        <s v="MAMMO_0917"/>
        <s v="MRI_0918"/>
        <s v="MRI_0919"/>
        <s v="XRAY_0920"/>
        <s v="MAMMO_0921"/>
        <s v="XRAY_0922"/>
        <s v="XRAY_0923"/>
        <s v="CT_0924"/>
        <s v="CT_0925"/>
        <s v="MRI_0926"/>
        <s v="US_0927"/>
        <s v="CT_0928"/>
        <s v="MAMMO_0929"/>
        <s v="CT_0930"/>
        <s v="US_0931"/>
        <s v="MRI_0932"/>
        <s v="CT_0933"/>
        <s v="CT_0934"/>
        <s v="XRAY_0935"/>
        <s v="XRAY_0936"/>
        <s v="CT_0937"/>
        <s v="XRAY_0938"/>
        <s v="US_0939"/>
        <s v="XRAY_0940"/>
        <s v="CT_0941"/>
        <s v="CT_0942"/>
        <s v="CT_0943"/>
        <s v="MAMMO_0944"/>
        <s v="US_0945"/>
        <s v="XRAY_0946"/>
        <s v="MAMMO_0947"/>
        <s v="CT_0948"/>
        <s v="MAMMO_0949"/>
        <s v="XRAY_0950"/>
        <s v="CT_0951"/>
        <s v="CT_0952"/>
        <s v="US_0953"/>
        <s v="XRAY_0954"/>
        <s v="CT_0955"/>
        <s v="XRAY_0956"/>
        <s v="US_0957"/>
        <s v="MAMMO_0958"/>
        <s v="US_0959"/>
        <s v="XRAY_0960"/>
        <s v="CT_0961"/>
        <s v="XRAY_0962"/>
        <s v="XRAY_0963"/>
        <s v="MAMMO_0964"/>
        <s v="MRI_0965"/>
        <s v="XRAY_0966"/>
        <s v="CT_0967"/>
        <s v="MAMMO_0968"/>
        <s v="CT_0969"/>
        <s v="MRI_0970"/>
        <s v="CT_0971"/>
        <s v="CT_0972"/>
        <s v="MAMMO_0973"/>
        <s v="MAMMO_0974"/>
        <s v="US_0975"/>
        <s v="CT_0976"/>
        <s v="XRAY_0977"/>
        <s v="US_0978"/>
        <s v="XRAY_0979"/>
        <s v="US_0980"/>
        <s v="MRI_0981"/>
        <s v="MRI_0982"/>
        <s v="MRI_0983"/>
        <s v="MRI_0984"/>
        <s v="CT_0985"/>
        <s v="US_0986"/>
        <s v="US_0987"/>
        <s v="MRI_0988"/>
        <s v="MRI_0989"/>
        <s v="US_0990"/>
        <s v="XRAY_0991"/>
        <s v="XRAY_0992"/>
        <s v="MAMMO_0993"/>
        <s v="US_0994"/>
        <s v="XRAY_0995"/>
        <s v="CT_0996"/>
        <s v="US_0997"/>
        <s v="XRAY_0998"/>
        <s v="MAMMO_0999"/>
        <s v="CT_1000"/>
        <s v="CT_1001"/>
        <s v="CT_1002"/>
        <s v="US_1003"/>
        <s v="MRI_1004"/>
        <s v="CT_1005"/>
        <s v="MRI_1006"/>
        <s v="MRI_1007"/>
        <s v="MAMMO_1008"/>
        <s v="CT_1009"/>
        <s v="XRAY_1010"/>
        <s v="MRI_1011"/>
        <s v="MAMMO_1012"/>
        <s v="CT_1013"/>
        <s v="CT_1014"/>
        <s v="CT_1015"/>
        <s v="MRI_1016"/>
        <s v="MAMMO_1017"/>
        <s v="XRAY_1018"/>
        <s v="MRI_1019"/>
        <s v="MAMMO_1020"/>
        <s v="US_1021"/>
        <s v="CT_1022"/>
        <s v="US_1023"/>
        <s v="MAMMO_1024"/>
        <s v="MAMMO_1025"/>
        <s v="XRAY_1026"/>
        <s v="MRI_1027"/>
        <s v="CT_1028"/>
        <s v="CT_1029"/>
        <s v="XRAY_1030"/>
        <s v="MAMMO_1031"/>
        <s v="MRI_1032"/>
        <s v="XRAY_1033"/>
        <s v="US_1034"/>
        <s v="MAMMO_1035"/>
        <s v="MRI_1036"/>
        <s v="US_1037"/>
        <s v="MRI_1038"/>
        <s v="US_1039"/>
        <s v="US_1040"/>
        <s v="US_1041"/>
        <s v="XRAY_1042"/>
        <s v="MAMMO_1043"/>
        <s v="CT_1044"/>
        <s v="XRAY_1045"/>
        <s v="US_1046"/>
        <s v="US_1047"/>
        <s v="US_1048"/>
        <s v="MAMMO_1049"/>
        <s v="MRI_1050"/>
        <s v="MAMMO_1051"/>
        <s v="XRAY_1052"/>
        <s v="CT_1053"/>
        <s v="MAMMO_1054"/>
        <s v="XRAY_1055"/>
        <s v="MAMMO_1056"/>
        <s v="MAMMO_1057"/>
        <s v="MAMMO_1058"/>
        <s v="MAMMO_1059"/>
        <s v="CT_1060"/>
        <s v="US_1061"/>
        <s v="MAMMO_1062"/>
        <s v="MRI_1063"/>
        <s v="US_1064"/>
        <s v="XRAY_1065"/>
        <s v="CT_1066"/>
        <s v="CT_1067"/>
        <s v="US_1068"/>
        <s v="CT_1069"/>
        <s v="MAMMO_1070"/>
        <s v="XRAY_1071"/>
        <s v="US_1072"/>
        <s v="US_1073"/>
        <s v="CT_1074"/>
        <s v="XRAY_1075"/>
        <s v="MAMMO_1076"/>
        <s v="US_1077"/>
        <s v="MRI_1078"/>
        <s v="MAMMO_1079"/>
        <s v="MRI_1080"/>
        <s v="XRAY_1081"/>
        <s v="CT_1082"/>
        <s v="US_1083"/>
        <s v="MRI_1084"/>
        <s v="MRI_1085"/>
        <s v="MAMMO_1086"/>
        <s v="MAMMO_1087"/>
        <s v="XRAY_1088"/>
        <s v="CT_1089"/>
        <s v="CT_1090"/>
        <s v="CT_1091"/>
        <s v="MAMMO_1092"/>
        <s v="MAMMO_1093"/>
        <s v="MRI_1094"/>
        <s v="XRAY_1095"/>
        <s v="CT_1096"/>
        <s v="XRAY_1097"/>
        <s v="MAMMO_1098"/>
        <s v="XRAY_1099"/>
        <s v="US_1100"/>
        <s v="MAMMO_1101"/>
        <s v="US_1102"/>
        <s v="MAMMO_1103"/>
        <s v="XRAY_1104"/>
        <s v="CT_1105"/>
        <s v="US_1106"/>
        <s v="XRAY_1107"/>
        <s v="CT_1108"/>
        <s v="MAMMO_1109"/>
        <s v="MRI_1110"/>
        <s v="MRI_1111"/>
        <s v="CT_1112"/>
        <s v="XRAY_1113"/>
        <s v="XRAY_1114"/>
        <s v="US_1115"/>
        <s v="XRAY_1116"/>
        <s v="MRI_1117"/>
        <s v="XRAY_1118"/>
        <s v="US_1119"/>
        <s v="US_1120"/>
        <s v="MAMMO_1121"/>
        <s v="XRAY_1122"/>
        <s v="XRAY_1123"/>
        <s v="XRAY_1124"/>
        <s v="XRAY_1125"/>
        <s v="US_1126"/>
        <s v="CT_1127"/>
        <s v="CT_1128"/>
        <s v="US_1129"/>
        <s v="XRAY_1130"/>
        <s v="MAMMO_1131"/>
        <s v="US_1132"/>
        <s v="MRI_1133"/>
        <s v="CT_1134"/>
        <s v="XRAY_1135"/>
        <s v="MAMMO_1136"/>
        <s v="XRAY_1137"/>
        <s v="CT_1138"/>
        <s v="MRI_1139"/>
        <s v="MAMMO_1140"/>
        <s v="CT_1141"/>
        <s v="MAMMO_1142"/>
        <s v="US_1143"/>
        <s v="MRI_1144"/>
        <s v="CT_1145"/>
        <s v="MAMMO_1146"/>
        <s v="MRI_1147"/>
        <s v="CT_1148"/>
        <s v="CT_1149"/>
        <s v="US_1150"/>
        <s v="MAMMO_1151"/>
        <s v="MRI_1152"/>
        <s v="MAMMO_1153"/>
        <s v="CT_1154"/>
        <s v="MAMMO_1155"/>
        <s v="MRI_1156"/>
        <s v="CT_1157"/>
        <s v="CT_1158"/>
        <s v="CT_1159"/>
        <s v="US_1160"/>
        <s v="XRAY_1161"/>
        <s v="XRAY_1162"/>
        <s v="US_1163"/>
        <s v="MRI_1164"/>
        <s v="XRAY_1165"/>
        <s v="US_1166"/>
        <s v="MRI_1167"/>
        <s v="CT_1168"/>
        <s v="XRAY_1169"/>
        <s v="CT_1170"/>
        <s v="CT_1171"/>
        <s v="US_1172"/>
        <s v="MAMMO_1173"/>
        <s v="US_1174"/>
        <s v="MAMMO_1175"/>
        <s v="MRI_1176"/>
        <s v="XRAY_1177"/>
        <s v="US_1178"/>
        <s v="MAMMO_1179"/>
        <s v="CT_1180"/>
        <s v="US_1181"/>
        <s v="MRI_1182"/>
        <s v="XRAY_1183"/>
        <s v="MRI_1184"/>
        <s v="CT_1185"/>
        <s v="XRAY_1186"/>
        <s v="CT_1187"/>
        <s v="MRI_1188"/>
        <s v="MAMMO_1189"/>
        <s v="XRAY_1190"/>
        <s v="MAMMO_1191"/>
        <s v="XRAY_1192"/>
        <s v="MAMMO_1193"/>
        <s v="XRAY_1194"/>
        <s v="MRI_1195"/>
        <s v="CT_1196"/>
        <s v="CT_1197"/>
        <s v="MRI_1198"/>
        <s v="XRAY_1199"/>
        <s v="XRAY_1200"/>
        <s v="US_1201"/>
        <s v="MAMMO_1202"/>
        <s v="MRI_1203"/>
        <s v="MAMMO_1204"/>
        <s v="CT_1205"/>
        <s v="CT_1206"/>
        <s v="MAMMO_1207"/>
        <s v="XRAY_1208"/>
        <s v="MRI_1209"/>
        <s v="MRI_1210"/>
        <s v="MAMMO_1211"/>
        <s v="CT_1212"/>
        <s v="US_1213"/>
        <s v="XRAY_1214"/>
        <s v="MAMMO_1215"/>
        <s v="XRAY_1216"/>
        <s v="CT_1217"/>
        <s v="XRAY_1218"/>
        <s v="CT_1219"/>
        <s v="MAMMO_1220"/>
        <s v="MAMMO_1221"/>
        <s v="CT_1222"/>
        <s v="US_1223"/>
        <s v="MRI_1224"/>
        <s v="XRAY_1225"/>
        <s v="US_1226"/>
        <s v="XRAY_1227"/>
        <s v="MRI_1228"/>
        <s v="XRAY_1229"/>
        <s v="XRAY_1230"/>
        <s v="CT_1231"/>
        <s v="US_1232"/>
        <s v="MRI_1233"/>
        <s v="XRAY_1234"/>
        <s v="CT_1235"/>
        <s v="XRAY_1236"/>
        <s v="MAMMO_1237"/>
        <s v="MAMMO_1238"/>
        <s v="CT_1239"/>
        <s v="US_1240"/>
        <s v="MAMMO_1241"/>
        <s v="XRAY_1242"/>
        <s v="MAMMO_1243"/>
        <s v="US_1244"/>
        <s v="MRI_1245"/>
        <s v="XRAY_1246"/>
        <s v="MRI_1247"/>
        <s v="MRI_1248"/>
        <s v="XRAY_1249"/>
        <s v="US_1250"/>
        <s v="US_1251"/>
        <s v="US_1252"/>
        <s v="US_1253"/>
        <s v="MRI_1254"/>
        <s v="XRAY_1255"/>
        <s v="MAMMO_1256"/>
        <s v="MRI_1257"/>
        <s v="MAMMO_1258"/>
        <s v="MAMMO_1259"/>
        <s v="US_1260"/>
        <s v="XRAY_1261"/>
        <s v="XRAY_1262"/>
        <s v="XRAY_1263"/>
        <s v="MRI_1264"/>
        <s v="MRI_1265"/>
        <s v="US_1266"/>
        <s v="XRAY_1267"/>
        <s v="MRI_1268"/>
        <s v="MRI_1269"/>
        <s v="US_1270"/>
        <s v="MAMMO_1271"/>
        <s v="CT_1272"/>
        <s v="XRAY_1273"/>
        <s v="US_1274"/>
        <s v="US_1275"/>
        <s v="XRAY_1276"/>
        <s v="MRI_1277"/>
        <s v="MRI_1278"/>
        <s v="XRAY_1279"/>
        <s v="CT_1280"/>
        <s v="CT_1281"/>
        <s v="XRAY_1282"/>
        <s v="XRAY_1283"/>
        <s v="US_1284"/>
        <s v="CT_1285"/>
        <s v="MAMMO_1286"/>
        <s v="XRAY_1287"/>
        <s v="CT_1288"/>
        <s v="US_1289"/>
        <s v="US_1290"/>
        <s v="US_1291"/>
        <s v="MRI_1292"/>
        <s v="XRAY_1293"/>
        <s v="MRI_1294"/>
        <s v="MAMMO_1295"/>
        <s v="XRAY_1296"/>
        <s v="MRI_1297"/>
        <s v="MRI_1298"/>
        <s v="MAMMO_1299"/>
        <s v="US_1300"/>
        <s v="XRAY_1301"/>
        <s v="XRAY_1302"/>
        <s v="MRI_1303"/>
        <s v="MAMMO_1304"/>
        <s v="MAMMO_1305"/>
        <s v="XRAY_1306"/>
        <s v="US_1307"/>
        <s v="MRI_1308"/>
        <s v="MRI_1309"/>
        <s v="MAMMO_1310"/>
        <s v="CT_1311"/>
        <s v="CT_1312"/>
        <s v="MAMMO_1313"/>
        <s v="XRAY_1314"/>
        <s v="MRI_1315"/>
        <s v="MAMMO_1316"/>
        <s v="MAMMO_1317"/>
        <s v="MAMMO_1318"/>
        <s v="US_1319"/>
        <s v="XRAY_1320"/>
        <s v="US_1321"/>
        <s v="MAMMO_1322"/>
        <s v="MRI_1323"/>
        <s v="US_1324"/>
        <s v="US_1325"/>
        <s v="MAMMO_1326"/>
        <s v="XRAY_1327"/>
        <s v="US_1328"/>
        <s v="XRAY_1329"/>
        <s v="MAMMO_1330"/>
        <s v="MAMMO_1331"/>
        <s v="MAMMO_1332"/>
        <s v="US_1333"/>
        <s v="MAMMO_1334"/>
        <s v="CT_1335"/>
        <s v="US_1336"/>
        <s v="MAMMO_1337"/>
        <s v="MAMMO_1338"/>
        <s v="CT_1339"/>
        <s v="MAMMO_1340"/>
        <s v="US_1341"/>
        <s v="MAMMO_1342"/>
        <s v="MAMMO_1343"/>
        <s v="CT_1344"/>
        <s v="XRAY_1345"/>
        <s v="MAMMO_1346"/>
        <s v="CT_1347"/>
        <s v="MRI_1348"/>
        <s v="US_1349"/>
        <s v="XRAY_1350"/>
        <s v="MAMMO_1351"/>
        <s v="MAMMO_1352"/>
        <s v="MAMMO_1353"/>
        <s v="MRI_1354"/>
        <s v="CT_1355"/>
        <s v="MAMMO_1356"/>
        <s v="XRAY_1357"/>
        <s v="MRI_1358"/>
        <s v="MAMMO_1359"/>
        <s v="CT_1360"/>
        <s v="MRI_1361"/>
        <s v="MRI_1362"/>
        <s v="CT_1363"/>
        <s v="MRI_1364"/>
        <s v="XRAY_1365"/>
        <s v="CT_1366"/>
        <s v="XRAY_1367"/>
        <s v="MRI_1368"/>
        <s v="CT_1369"/>
        <s v="MRI_1370"/>
        <s v="CT_1371"/>
        <s v="US_1372"/>
        <s v="US_1373"/>
        <s v="US_1374"/>
        <s v="CT_1375"/>
        <s v="US_1376"/>
        <s v="XRAY_1377"/>
        <s v="CT_1378"/>
        <s v="MRI_1379"/>
        <s v="MAMMO_1380"/>
        <s v="XRAY_1381"/>
        <s v="CT_1382"/>
        <s v="XRAY_1383"/>
        <s v="US_1384"/>
        <s v="MAMMO_1385"/>
        <s v="CT_1386"/>
        <s v="US_1387"/>
        <s v="XRAY_1388"/>
        <s v="US_1389"/>
        <s v="XRAY_1390"/>
        <s v="MRI_1391"/>
        <s v="MAMMO_1392"/>
        <s v="CT_1393"/>
        <s v="XRAY_1394"/>
        <s v="MAMMO_1395"/>
        <s v="MAMMO_1396"/>
        <s v="MRI_1397"/>
        <s v="XRAY_1398"/>
        <s v="US_1399"/>
        <s v="MAMMO_1400"/>
        <s v="US_1401"/>
        <s v="MRI_1402"/>
        <s v="CT_1403"/>
        <s v="XRAY_1404"/>
        <s v="XRAY_1405"/>
        <s v="XRAY_1406"/>
        <s v="MAMMO_1407"/>
        <s v="US_1408"/>
        <s v="XRAY_1409"/>
        <s v="MRI_1410"/>
        <s v="MAMMO_1411"/>
        <s v="MRI_1412"/>
        <s v="US_1413"/>
        <s v="US_1414"/>
        <s v="US_1415"/>
        <s v="XRAY_1416"/>
        <s v="MAMMO_1417"/>
        <s v="CT_1418"/>
        <s v="XRAY_1419"/>
        <s v="MRI_1420"/>
        <s v="CT_1421"/>
        <s v="US_1422"/>
        <s v="US_1423"/>
        <s v="XRAY_1424"/>
        <s v="US_1425"/>
        <s v="US_1426"/>
        <s v="CT_1427"/>
        <s v="US_1428"/>
        <s v="MRI_1429"/>
        <s v="XRAY_1430"/>
        <s v="US_1431"/>
        <s v="MRI_1432"/>
        <s v="US_1433"/>
        <s v="CT_1434"/>
        <s v="MAMMO_1435"/>
        <s v="MRI_1436"/>
        <s v="XRAY_1437"/>
        <s v="CT_1438"/>
        <s v="MAMMO_1439"/>
        <s v="MAMMO_1440"/>
        <s v="XRAY_1441"/>
        <s v="MAMMO_1442"/>
        <s v="MAMMO_1443"/>
        <s v="XRAY_1444"/>
        <s v="US_1445"/>
        <s v="XRAY_1446"/>
        <s v="CT_1447"/>
        <s v="XRAY_1448"/>
        <s v="US_1449"/>
        <s v="MRI_1450"/>
        <s v="MAMMO_1451"/>
        <s v="MAMMO_1452"/>
        <s v="MRI_1453"/>
        <s v="MAMMO_1454"/>
        <s v="US_1455"/>
        <s v="XRAY_1456"/>
        <s v="CT_1457"/>
        <s v="MRI_1458"/>
        <s v="CT_1459"/>
        <s v="US_1460"/>
        <s v="XRAY_1461"/>
        <s v="CT_1462"/>
        <s v="MRI_1463"/>
        <s v="XRAY_1464"/>
        <s v="CT_1465"/>
        <s v="CT_1466"/>
        <s v="MRI_1467"/>
        <s v="US_1468"/>
        <s v="MRI_1469"/>
        <s v="MAMMO_1470"/>
        <s v="MAMMO_1471"/>
        <s v="CT_1472"/>
        <s v="MRI_1473"/>
        <s v="MAMMO_1474"/>
        <s v="XRAY_1475"/>
        <s v="MAMMO_1476"/>
        <s v="US_1477"/>
        <s v="MAMMO_1478"/>
        <s v="MRI_1479"/>
        <s v="XRAY_1480"/>
        <s v="US_1481"/>
        <s v="MAMMO_1482"/>
        <s v="US_1483"/>
        <s v="MAMMO_1484"/>
        <s v="CT_1485"/>
        <s v="XRAY_1486"/>
        <s v="MRI_1487"/>
        <s v="MRI_1488"/>
        <s v="MRI_1489"/>
        <s v="CT_1490"/>
        <s v="MRI_1491"/>
        <s v="CT_1492"/>
        <s v="MRI_1493"/>
        <s v="XRAY_1494"/>
        <s v="MAMMO_1495"/>
        <s v="XRAY_1496"/>
        <s v="CT_1497"/>
        <s v="CT_1498"/>
        <s v="MAMMO_1499"/>
        <s v="MRI_1500"/>
        <s v="MRI_1501"/>
        <s v="MAMMO_1502"/>
        <s v="CT_1503"/>
        <s v="XRAY_1504"/>
        <s v="MAMMO_1505"/>
        <s v="MRI_1506"/>
        <s v="XRAY_1507"/>
        <s v="MAMMO_1508"/>
        <s v="US_1509"/>
        <s v="CT_1510"/>
        <s v="XRAY_1511"/>
        <s v="MAMMO_1512"/>
        <s v="MAMMO_1513"/>
        <s v="MAMMO_1514"/>
        <s v="MAMMO_1515"/>
        <s v="MRI_1516"/>
        <s v="XRAY_1517"/>
        <s v="MAMMO_1518"/>
        <s v="US_1519"/>
        <s v="US_1520"/>
        <s v="MAMMO_1521"/>
        <s v="MAMMO_1522"/>
        <s v="MAMMO_1523"/>
        <s v="MAMMO_1524"/>
        <s v="MAMMO_1525"/>
        <s v="MRI_1526"/>
        <s v="MRI_1527"/>
        <s v="CT_1528"/>
        <s v="XRAY_1529"/>
        <s v="CT_1530"/>
        <s v="MRI_1531"/>
        <s v="XRAY_1532"/>
        <s v="XRAY_1533"/>
        <s v="US_1534"/>
        <s v="XRAY_1535"/>
        <s v="MRI_1536"/>
        <s v="MRI_1537"/>
        <s v="MAMMO_1538"/>
        <s v="MAMMO_1539"/>
        <s v="XRAY_1540"/>
        <s v="MAMMO_1541"/>
        <s v="CT_1542"/>
        <s v="CT_1543"/>
        <s v="US_1544"/>
        <s v="MAMMO_1545"/>
        <s v="US_1546"/>
        <s v="MRI_1547"/>
        <s v="XRAY_1548"/>
        <s v="XRAY_1549"/>
        <s v="XRAY_1550"/>
        <s v="MAMMO_1551"/>
        <s v="MAMMO_1552"/>
        <s v="CT_1553"/>
        <s v="US_1554"/>
        <s v="CT_1555"/>
        <s v="CT_1556"/>
        <s v="MAMMO_1557"/>
        <s v="CT_1558"/>
        <s v="CT_1559"/>
        <s v="MAMMO_1560"/>
        <s v="MAMMO_1561"/>
        <s v="US_1562"/>
        <s v="MAMMO_1563"/>
        <s v="US_1564"/>
        <s v="MRI_1565"/>
        <s v="MRI_1566"/>
        <s v="US_1567"/>
        <s v="MRI_1568"/>
        <s v="XRAY_1569"/>
        <s v="MRI_1570"/>
        <s v="US_1571"/>
        <s v="MAMMO_1572"/>
        <s v="CT_1573"/>
        <s v="XRAY_1574"/>
        <s v="US_1575"/>
        <s v="CT_1576"/>
        <s v="MRI_1577"/>
        <s v="MRI_1578"/>
        <s v="MRI_1579"/>
        <s v="MRI_1580"/>
        <s v="MRI_1581"/>
        <s v="XRAY_1582"/>
        <s v="CT_1583"/>
        <s v="MRI_1584"/>
        <s v="XRAY_1585"/>
        <s v="CT_1586"/>
        <s v="XRAY_1587"/>
        <s v="XRAY_1588"/>
        <s v="MRI_1589"/>
        <s v="MAMMO_1590"/>
        <s v="US_1591"/>
        <s v="MRI_1592"/>
        <s v="CT_1593"/>
        <s v="US_1594"/>
        <s v="MRI_1595"/>
        <s v="CT_1596"/>
        <s v="CT_1597"/>
        <s v="MRI_1598"/>
        <s v="MRI_1599"/>
        <s v="XRAY_1600"/>
        <s v="MRI_1601"/>
        <s v="US_1602"/>
        <s v="MRI_1603"/>
        <s v="MAMMO_1604"/>
        <s v="XRAY_1605"/>
        <s v="CT_1606"/>
        <s v="XRAY_1607"/>
        <s v="MRI_1608"/>
        <s v="MRI_1609"/>
        <s v="MAMMO_1610"/>
        <s v="CT_1611"/>
        <s v="MAMMO_1612"/>
        <s v="XRAY_1613"/>
        <s v="US_1614"/>
        <s v="MRI_1615"/>
        <s v="MRI_1616"/>
        <s v="MAMMO_1617"/>
        <s v="MRI_1618"/>
        <s v="CT_1619"/>
        <s v="US_1620"/>
        <s v="US_1621"/>
        <s v="MAMMO_1622"/>
        <s v="CT_1623"/>
        <s v="CT_1624"/>
        <s v="US_1625"/>
        <s v="CT_1626"/>
        <s v="MAMMO_1627"/>
        <s v="XRAY_1628"/>
        <s v="MRI_1629"/>
        <s v="MRI_1630"/>
        <s v="MAMMO_1631"/>
        <s v="CT_1632"/>
        <s v="XRAY_1633"/>
        <s v="US_1634"/>
        <s v="MAMMO_1635"/>
        <s v="US_1636"/>
        <s v="MRI_1637"/>
        <s v="US_1638"/>
        <s v="XRAY_1639"/>
        <s v="CT_1640"/>
        <s v="US_1641"/>
        <s v="MAMMO_1642"/>
        <s v="MRI_1643"/>
        <s v="XRAY_1644"/>
        <s v="XRAY_1645"/>
        <s v="CT_1646"/>
        <s v="XRAY_1647"/>
        <s v="XRAY_1648"/>
        <s v="MAMMO_1649"/>
        <s v="MAMMO_1650"/>
        <s v="XRAY_1651"/>
        <s v="MAMMO_1652"/>
        <s v="MRI_1653"/>
        <s v="MAMMO_1654"/>
        <s v="MRI_1655"/>
        <s v="US_1656"/>
        <s v="MAMMO_1657"/>
        <s v="US_1658"/>
        <s v="XRAY_1659"/>
        <s v="MRI_1660"/>
        <s v="MRI_1661"/>
        <s v="MRI_1662"/>
        <s v="MRI_1663"/>
        <s v="MAMMO_1664"/>
        <s v="US_1665"/>
        <s v="US_1666"/>
        <s v="MAMMO_1667"/>
        <s v="US_1668"/>
        <s v="MAMMO_1669"/>
        <s v="US_1670"/>
        <s v="CT_1671"/>
        <s v="XRAY_1672"/>
        <s v="US_1673"/>
        <s v="MRI_1674"/>
        <s v="US_1675"/>
        <s v="US_1676"/>
        <s v="MRI_1677"/>
        <s v="XRAY_1678"/>
        <s v="CT_1679"/>
        <s v="MAMMO_1680"/>
        <s v="CT_1681"/>
        <s v="MAMMO_1682"/>
        <s v="US_1683"/>
        <s v="US_1684"/>
        <s v="US_1685"/>
        <s v="CT_1686"/>
        <s v="US_1687"/>
        <s v="MAMMO_1688"/>
        <s v="US_1689"/>
        <s v="CT_1690"/>
        <s v="XRAY_1691"/>
        <s v="CT_1692"/>
        <s v="MRI_1693"/>
        <s v="MRI_1694"/>
        <s v="US_1695"/>
        <s v="MAMMO_1696"/>
        <s v="XRAY_1697"/>
        <s v="XRAY_1698"/>
        <s v="MAMMO_1699"/>
        <s v="MAMMO_1700"/>
        <s v="US_1701"/>
        <s v="MRI_1702"/>
        <s v="US_1703"/>
        <s v="US_1704"/>
        <s v="MAMMO_1705"/>
        <s v="XRAY_1706"/>
        <s v="US_1707"/>
        <s v="CT_1708"/>
        <s v="US_1709"/>
        <s v="CT_1710"/>
        <s v="MRI_1711"/>
        <s v="US_1712"/>
        <s v="US_1713"/>
        <s v="CT_1714"/>
        <s v="MRI_1715"/>
        <s v="US_1716"/>
        <s v="US_1717"/>
        <s v="MAMMO_1718"/>
        <s v="XRAY_1719"/>
        <s v="CT_1720"/>
        <s v="MAMMO_1721"/>
        <s v="CT_1722"/>
        <s v="MRI_1723"/>
        <s v="MRI_1724"/>
        <s v="CT_1725"/>
        <s v="XRAY_1726"/>
        <s v="XRAY_1727"/>
        <s v="MAMMO_1728"/>
        <s v="MAMMO_1729"/>
        <s v="MAMMO_1730"/>
        <s v="XRAY_1731"/>
        <s v="MAMMO_1732"/>
        <s v="CT_1733"/>
        <s v="US_1734"/>
        <s v="MRI_1735"/>
        <s v="US_1736"/>
        <s v="CT_1737"/>
        <s v="MAMMO_1738"/>
        <s v="XRAY_1739"/>
        <s v="US_1740"/>
        <s v="XRAY_1741"/>
        <s v="XRAY_1742"/>
        <s v="XRAY_1743"/>
        <s v="CT_1744"/>
        <s v="MAMMO_1745"/>
        <s v="MRI_1746"/>
        <s v="MRI_1747"/>
        <s v="MRI_1748"/>
        <s v="MRI_1749"/>
        <s v="CT_1750"/>
        <s v="MAMMO_1751"/>
        <s v="CT_1752"/>
        <s v="XRAY_1753"/>
        <s v="MRI_1754"/>
        <s v="MRI_1755"/>
        <s v="MRI_1756"/>
        <s v="MAMMO_1757"/>
        <s v="MAMMO_1758"/>
        <s v="XRAY_1759"/>
        <s v="MRI_1760"/>
        <s v="MAMMO_1761"/>
        <s v="CT_1762"/>
        <s v="CT_1763"/>
        <s v="US_1764"/>
        <s v="MAMMO_1765"/>
        <s v="CT_1766"/>
        <s v="CT_1767"/>
        <s v="US_1768"/>
        <s v="MAMMO_1769"/>
        <s v="MRI_1770"/>
        <s v="XRAY_1771"/>
        <s v="MRI_1772"/>
        <s v="CT_1773"/>
        <s v="XRAY_1774"/>
        <s v="MAMMO_1775"/>
        <s v="MRI_1776"/>
        <s v="CT_1777"/>
        <s v="XRAY_1778"/>
        <s v="US_1779"/>
        <s v="MRI_1780"/>
        <s v="MAMMO_1781"/>
        <s v="XRAY_1782"/>
        <s v="US_1783"/>
        <s v="XRAY_1784"/>
        <s v="US_1785"/>
        <s v="XRAY_1786"/>
        <s v="CT_1787"/>
        <s v="XRAY_1788"/>
        <s v="US_1789"/>
        <s v="US_1790"/>
        <s v="MAMMO_1791"/>
        <s v="CT_1792"/>
        <s v="XRAY_1793"/>
        <s v="XRAY_1794"/>
        <s v="XRAY_1795"/>
        <s v="CT_1796"/>
        <s v="US_1797"/>
        <s v="CT_1798"/>
        <s v="CT_1799"/>
        <s v="MRI_1800"/>
        <s v="MAMMO_1801"/>
        <s v="US_1802"/>
        <s v="MAMMO_1803"/>
        <s v="CT_1804"/>
        <s v="MRI_1805"/>
        <s v="CT_1806"/>
        <s v="CT_1807"/>
        <s v="MRI_1808"/>
        <s v="US_1809"/>
        <s v="CT_1810"/>
        <s v="CT_1811"/>
        <s v="XRAY_1812"/>
        <s v="CT_1813"/>
        <s v="MRI_1814"/>
        <s v="CT_1815"/>
        <s v="US_1816"/>
        <s v="US_1817"/>
        <s v="XRAY_1818"/>
        <s v="US_1819"/>
        <s v="MRI_1820"/>
        <s v="MRI_1821"/>
        <s v="US_1822"/>
        <s v="US_1823"/>
        <s v="XRAY_1824"/>
        <s v="XRAY_1825"/>
        <s v="US_1826"/>
        <s v="XRAY_1827"/>
        <s v="CT_1828"/>
        <s v="XRAY_1829"/>
        <s v="XRAY_1830"/>
        <s v="CT_1831"/>
        <s v="CT_1832"/>
        <s v="MRI_1833"/>
        <s v="MAMMO_1834"/>
        <s v="US_1835"/>
        <s v="MRI_1836"/>
        <s v="XRAY_1837"/>
        <s v="MRI_1838"/>
        <s v="US_1839"/>
        <s v="MAMMO_1840"/>
        <s v="MAMMO_1841"/>
        <s v="CT_1842"/>
        <s v="CT_1843"/>
        <s v="MRI_1844"/>
        <s v="CT_1845"/>
        <s v="MAMMO_1846"/>
        <s v="XRAY_1847"/>
        <s v="CT_1848"/>
        <s v="CT_1849"/>
        <s v="MAMMO_1850"/>
        <s v="XRAY_1851"/>
        <s v="MAMMO_1852"/>
        <s v="MRI_1853"/>
        <s v="US_1854"/>
        <s v="MRI_1855"/>
        <s v="US_1856"/>
        <s v="CT_1857"/>
        <s v="CT_1858"/>
        <s v="CT_1859"/>
        <s v="CT_1860"/>
        <s v="US_1861"/>
        <s v="CT_1862"/>
        <s v="XRAY_1863"/>
        <s v="MAMMO_1864"/>
        <s v="US_1865"/>
        <s v="XRAY_1866"/>
        <s v="MRI_1867"/>
        <s v="US_1868"/>
        <s v="MRI_1869"/>
        <s v="CT_1870"/>
        <s v="CT_1871"/>
        <s v="MAMMO_1872"/>
        <s v="MRI_1873"/>
        <s v="US_1874"/>
        <s v="XRAY_1875"/>
        <s v="CT_1876"/>
        <s v="MAMMO_1877"/>
        <s v="US_1878"/>
        <s v="MAMMO_1879"/>
        <s v="MAMMO_1880"/>
        <s v="XRAY_1881"/>
        <s v="CT_1882"/>
        <s v="CT_1883"/>
        <s v="XRAY_1884"/>
        <s v="CT_1885"/>
        <s v="XRAY_1886"/>
        <s v="MAMMO_1887"/>
        <s v="MAMMO_1888"/>
        <s v="US_1889"/>
        <s v="US_1890"/>
        <s v="XRAY_1891"/>
        <s v="MRI_1892"/>
        <s v="XRAY_1893"/>
        <s v="XRAY_1894"/>
        <s v="US_1895"/>
        <s v="CT_1896"/>
        <s v="CT_1897"/>
        <s v="MAMMO_1898"/>
        <s v="US_1899"/>
        <s v="MRI_1900"/>
        <s v="US_1901"/>
        <s v="MRI_1902"/>
        <s v="US_1903"/>
        <s v="US_1904"/>
        <s v="XRAY_1905"/>
        <s v="MAMMO_1906"/>
        <s v="MRI_1907"/>
        <s v="US_1908"/>
        <s v="MRI_1909"/>
        <s v="US_1910"/>
        <s v="MAMMO_1911"/>
        <s v="MAMMO_1912"/>
        <s v="XRAY_1913"/>
        <s v="US_1914"/>
        <s v="XRAY_1915"/>
        <s v="US_1916"/>
        <s v="US_1917"/>
        <s v="CT_1918"/>
        <s v="MAMMO_1919"/>
        <s v="XRAY_1920"/>
        <s v="MRI_1921"/>
        <s v="MRI_1922"/>
        <s v="MRI_1923"/>
        <s v="MRI_1924"/>
        <s v="MRI_1925"/>
        <s v="MAMMO_1926"/>
        <s v="CT_1927"/>
        <s v="MRI_1928"/>
        <s v="MAMMO_1929"/>
        <s v="US_1930"/>
        <s v="US_1931"/>
        <s v="XRAY_1932"/>
        <s v="MRI_1933"/>
        <s v="CT_1934"/>
        <s v="MRI_1935"/>
        <s v="US_1936"/>
        <s v="XRAY_1937"/>
        <s v="MRI_1938"/>
        <s v="XRAY_1939"/>
        <s v="US_1940"/>
        <s v="MAMMO_1941"/>
        <s v="CT_1942"/>
        <s v="XRAY_1943"/>
        <s v="US_1944"/>
        <s v="XRAY_1945"/>
        <s v="XRAY_1946"/>
        <s v="US_1947"/>
        <s v="XRAY_1948"/>
        <s v="MAMMO_1949"/>
        <s v="MRI_1950"/>
        <s v="US_1951"/>
        <s v="CT_1952"/>
        <s v="US_1953"/>
        <s v="MAMMO_1954"/>
        <s v="CT_1955"/>
        <s v="US_1956"/>
        <s v="MAMMO_1957"/>
        <s v="MAMMO_1958"/>
        <s v="MAMMO_1959"/>
        <s v="XRAY_1960"/>
        <s v="CT_1961"/>
        <s v="MRI_1962"/>
        <s v="MAMMO_1963"/>
        <s v="US_1964"/>
        <s v="US_1965"/>
        <s v="XRAY_1966"/>
        <s v="MRI_1967"/>
        <s v="CT_1968"/>
        <s v="MAMMO_1969"/>
        <s v="MRI_1970"/>
        <s v="MRI_1971"/>
        <s v="CT_1972"/>
        <s v="US_1973"/>
        <s v="US_1974"/>
        <s v="US_1975"/>
        <s v="CT_1976"/>
        <s v="MRI_1977"/>
        <s v="CT_1978"/>
        <s v="MAMMO_1979"/>
        <s v="MRI_1980"/>
        <s v="US_1981"/>
        <s v="US_1982"/>
        <s v="US_1983"/>
        <s v="XRAY_1984"/>
        <s v="MRI_1985"/>
        <s v="US_1986"/>
        <s v="CT_1987"/>
        <s v="US_1988"/>
        <s v="MAMMO_1989"/>
        <s v="MAMMO_1990"/>
        <s v="MRI_1991"/>
        <s v="US_1992"/>
        <s v="US_1993"/>
        <s v="XRAY_1994"/>
        <s v="XRAY_1995"/>
        <s v="US_1996"/>
        <s v="CT_1997"/>
        <s v="MRI_1998"/>
        <s v="US_1999"/>
        <s v="US_2000"/>
        <s v="US_2001"/>
        <s v="MRI_2002"/>
        <s v="MAMMO_2003"/>
        <s v="CT_2004"/>
        <s v="US_2005"/>
        <s v="MAMMO_2006"/>
        <s v="US_2007"/>
        <s v="MAMMO_2008"/>
        <s v="XRAY_2009"/>
        <s v="MAMMO_2010"/>
        <s v="MAMMO_2011"/>
        <s v="MAMMO_2012"/>
        <s v="MRI_2013"/>
        <s v="CT_2014"/>
        <s v="CT_2015"/>
        <s v="MRI_2016"/>
        <s v="MAMMO_2017"/>
        <s v="XRAY_2018"/>
        <s v="MRI_2019"/>
        <s v="CT_2020"/>
        <s v="XRAY_2021"/>
        <s v="US_2022"/>
        <s v="MAMMO_2023"/>
        <s v="CT_2024"/>
        <s v="MAMMO_2025"/>
        <s v="MAMMO_2026"/>
        <s v="XRAY_2027"/>
        <s v="MRI_2028"/>
        <s v="US_2029"/>
        <s v="US_2030"/>
        <s v="US_2031"/>
        <s v="MAMMO_2032"/>
        <s v="MRI_2033"/>
        <s v="MAMMO_2034"/>
        <s v="MAMMO_2035"/>
        <s v="MAMMO_2036"/>
        <s v="MAMMO_2037"/>
        <s v="MRI_2038"/>
        <s v="XRAY_2039"/>
        <s v="US_2040"/>
        <s v="XRAY_2041"/>
        <s v="MRI_2042"/>
        <s v="MRI_2043"/>
        <s v="US_2044"/>
        <s v="US_2045"/>
        <s v="XRAY_2046"/>
        <s v="US_2047"/>
        <s v="XRAY_2048"/>
        <s v="CT_2049"/>
        <s v="MRI_2050"/>
        <s v="MAMMO_2051"/>
        <s v="XRAY_2052"/>
        <s v="CT_2053"/>
        <s v="US_2054"/>
        <s v="MRI_2055"/>
        <s v="CT_2056"/>
        <s v="US_2057"/>
        <s v="MRI_2058"/>
        <s v="MAMMO_2059"/>
        <s v="US_2060"/>
        <s v="US_2061"/>
        <s v="MAMMO_2062"/>
        <s v="MRI_2063"/>
        <s v="XRAY_2064"/>
        <s v="US_2065"/>
        <s v="US_2066"/>
        <s v="MAMMO_2067"/>
        <s v="XRAY_2068"/>
        <s v="MAMMO_2069"/>
        <s v="MRI_2070"/>
        <s v="US_2071"/>
        <s v="XRAY_2072"/>
        <s v="CT_2073"/>
        <s v="CT_2074"/>
        <s v="MAMMO_2075"/>
        <s v="XRAY_2076"/>
        <s v="US_2077"/>
        <s v="XRAY_2078"/>
        <s v="CT_2079"/>
        <s v="MAMMO_2080"/>
        <s v="XRAY_2081"/>
        <s v="MRI_2082"/>
        <s v="MRI_2083"/>
        <s v="CT_2084"/>
        <s v="MAMMO_2085"/>
        <s v="US_2086"/>
        <s v="CT_2087"/>
        <s v="MAMMO_2088"/>
        <s v="MAMMO_2089"/>
        <s v="MRI_2090"/>
        <s v="MRI_2091"/>
        <s v="XRAY_2092"/>
        <s v="CT_2093"/>
        <s v="MAMMO_2094"/>
        <s v="US_2095"/>
        <s v="MRI_2096"/>
        <s v="US_2097"/>
        <s v="MAMMO_2098"/>
        <s v="XRAY_2099"/>
        <s v="US_2100"/>
        <s v="MRI_2101"/>
        <s v="CT_2102"/>
        <s v="CT_2103"/>
        <s v="XRAY_2104"/>
        <s v="MRI_2105"/>
        <s v="CT_2106"/>
        <s v="XRAY_2107"/>
        <s v="CT_2108"/>
        <s v="US_2109"/>
        <s v="US_2110"/>
        <s v="MRI_2111"/>
        <s v="MRI_2112"/>
        <s v="MRI_2113"/>
        <s v="US_2114"/>
        <s v="US_2115"/>
        <s v="MAMMO_2116"/>
        <s v="US_2117"/>
        <s v="CT_2118"/>
        <s v="CT_2119"/>
        <s v="MRI_2120"/>
        <s v="XRAY_2121"/>
        <s v="XRAY_2122"/>
        <s v="XRAY_2123"/>
        <s v="MAMMO_2124"/>
        <s v="MAMMO_2125"/>
        <s v="MAMMO_2126"/>
        <s v="US_2127"/>
        <s v="MAMMO_2128"/>
        <s v="XRAY_2129"/>
        <s v="US_2130"/>
        <s v="US_2131"/>
        <s v="XRAY_2132"/>
        <s v="US_2133"/>
        <s v="XRAY_2134"/>
        <s v="MAMMO_2135"/>
        <s v="MAMMO_2136"/>
        <s v="MRI_2137"/>
        <s v="CT_2138"/>
        <s v="MAMMO_2139"/>
        <s v="US_2140"/>
        <s v="XRAY_2141"/>
        <s v="MAMMO_2142"/>
        <s v="CT_2143"/>
        <s v="XRAY_2144"/>
        <s v="MAMMO_2145"/>
        <s v="US_2146"/>
        <s v="US_2147"/>
        <s v="MAMMO_2148"/>
        <s v="MRI_2149"/>
        <s v="MRI_2150"/>
        <s v="MAMMO_2151"/>
        <s v="MRI_2152"/>
        <s v="MRI_2153"/>
        <s v="MAMMO_2154"/>
        <s v="CT_2155"/>
        <s v="XRAY_2156"/>
        <s v="MAMMO_2157"/>
        <s v="CT_2158"/>
        <s v="CT_2159"/>
        <s v="XRAY_2160"/>
        <s v="CT_2161"/>
        <s v="CT_2162"/>
        <s v="MRI_2163"/>
        <s v="MAMMO_2164"/>
        <s v="CT_2165"/>
        <s v="US_2166"/>
        <s v="MRI_2167"/>
        <s v="MRI_2168"/>
        <s v="MRI_2169"/>
        <s v="MAMMO_2170"/>
        <s v="US_2171"/>
        <s v="XRAY_2172"/>
        <s v="MRI_2173"/>
        <s v="MRI_2174"/>
        <s v="CT_2175"/>
        <s v="XRAY_2176"/>
        <s v="CT_2177"/>
        <s v="MAMMO_2178"/>
        <s v="MAMMO_2179"/>
        <s v="XRAY_2180"/>
        <s v="MAMMO_2181"/>
        <s v="XRAY_2182"/>
        <s v="US_2183"/>
        <s v="MRI_2184"/>
        <s v="US_2185"/>
        <s v="XRAY_2186"/>
        <s v="XRAY_2187"/>
        <s v="XRAY_2188"/>
        <s v="CT_2189"/>
        <s v="US_2190"/>
        <s v="XRAY_2191"/>
        <s v="XRAY_2192"/>
        <s v="XRAY_2193"/>
        <s v="CT_2194"/>
        <s v="MAMMO_2195"/>
        <s v="CT_2196"/>
        <s v="MAMMO_2197"/>
        <s v="MAMMO_2198"/>
        <s v="MAMMO_2199"/>
        <s v="MAMMO_2200"/>
        <s v="XRAY_2201"/>
        <s v="MAMMO_2202"/>
        <s v="US_2203"/>
        <s v="XRAY_2204"/>
        <s v="US_2205"/>
        <s v="MAMMO_2206"/>
        <s v="XRAY_2207"/>
        <s v="US_2208"/>
        <s v="US_2209"/>
        <s v="MAMMO_2210"/>
        <s v="US_2211"/>
        <s v="MAMMO_2212"/>
        <s v="XRAY_2213"/>
        <s v="XRAY_2214"/>
        <s v="XRAY_2215"/>
        <s v="CT_2216"/>
        <s v="MAMMO_2217"/>
        <s v="MRI_2218"/>
        <s v="US_2219"/>
        <s v="MAMMO_2220"/>
        <s v="MRI_2221"/>
        <s v="CT_2222"/>
        <s v="XRAY_2223"/>
        <s v="MAMMO_2224"/>
        <s v="US_2225"/>
        <s v="XRAY_2226"/>
        <s v="US_2227"/>
        <s v="CT_2228"/>
        <s v="US_2229"/>
        <s v="MAMMO_2230"/>
        <s v="CT_2231"/>
        <s v="US_2232"/>
        <s v="US_2233"/>
        <s v="US_2234"/>
        <s v="US_2235"/>
        <s v="MRI_2236"/>
        <s v="MAMMO_2237"/>
        <s v="MRI_2238"/>
        <s v="MAMMO_2239"/>
        <s v="XRAY_2240"/>
        <s v="US_2241"/>
        <s v="MAMMO_2242"/>
        <s v="CT_2243"/>
        <s v="US_2244"/>
        <s v="MAMMO_2245"/>
        <s v="XRAY_2246"/>
        <s v="XRAY_2247"/>
        <s v="US_2248"/>
        <s v="MAMMO_2249"/>
        <s v="MAMMO_2250"/>
        <s v="MRI_2251"/>
        <s v="US_2252"/>
        <s v="XRAY_2253"/>
        <s v="US_2254"/>
        <s v="MAMMO_2255"/>
        <s v="XRAY_2256"/>
        <s v="CT_2257"/>
        <s v="MRI_2258"/>
        <s v="US_2259"/>
        <s v="XRAY_2260"/>
        <s v="MAMMO_2261"/>
        <s v="MRI_2262"/>
        <s v="MRI_2263"/>
        <s v="MAMMO_2264"/>
        <s v="XRAY_2265"/>
        <s v="MAMMO_2266"/>
        <s v="CT_2267"/>
        <s v="US_2268"/>
        <s v="MRI_2269"/>
        <s v="XRAY_2270"/>
        <s v="MAMMO_2271"/>
        <s v="CT_2272"/>
        <s v="US_2273"/>
        <s v="MRI_2274"/>
        <s v="XRAY_2275"/>
        <s v="MRI_2276"/>
        <s v="CT_2277"/>
        <s v="MAMMO_2278"/>
        <s v="CT_2279"/>
        <s v="MRI_2280"/>
        <s v="MRI_2281"/>
        <s v="MRI_2282"/>
        <s v="XRAY_2283"/>
        <s v="XRAY_2284"/>
        <s v="MRI_2285"/>
        <s v="MRI_2286"/>
        <s v="XRAY_2287"/>
        <s v="US_2288"/>
        <s v="XRAY_2289"/>
        <s v="CT_2290"/>
        <s v="MRI_2291"/>
        <s v="US_2292"/>
        <s v="XRAY_2293"/>
        <s v="MAMMO_2294"/>
        <s v="XRAY_2295"/>
        <s v="XRAY_2296"/>
        <s v="MAMMO_2297"/>
        <s v="MAMMO_2298"/>
        <s v="CT_2299"/>
        <s v="US_2300"/>
        <s v="US_2301"/>
        <s v="MAMMO_2302"/>
        <s v="MAMMO_2303"/>
        <s v="XRAY_2304"/>
        <s v="MRI_2305"/>
        <s v="XRAY_2306"/>
        <s v="US_2307"/>
        <s v="CT_2308"/>
        <s v="XRAY_2309"/>
        <s v="US_2310"/>
        <s v="MRI_2311"/>
        <s v="US_2312"/>
        <s v="US_2313"/>
        <s v="CT_2314"/>
        <s v="XRAY_2315"/>
        <s v="MRI_2316"/>
        <s v="XRAY_2317"/>
        <s v="CT_2318"/>
        <s v="US_2319"/>
        <s v="US_2320"/>
        <s v="MAMMO_2321"/>
        <s v="MAMMO_2322"/>
        <s v="US_2323"/>
        <s v="CT_2324"/>
        <s v="CT_2325"/>
        <s v="US_2326"/>
        <s v="MAMMO_2327"/>
        <s v="MAMMO_2328"/>
        <s v="US_2329"/>
        <s v="XRAY_2330"/>
        <s v="CT_2331"/>
        <s v="US_2332"/>
        <s v="XRAY_2333"/>
        <s v="CT_2334"/>
        <s v="MRI_2335"/>
        <s v="CT_2336"/>
        <s v="XRAY_2337"/>
        <s v="XRAY_2338"/>
        <s v="MAMMO_2339"/>
        <s v="CT_2340"/>
        <s v="US_2341"/>
        <s v="US_2342"/>
        <s v="US_2343"/>
        <s v="MAMMO_2344"/>
        <s v="MRI_2345"/>
        <s v="US_2346"/>
        <s v="US_2347"/>
        <s v="US_2348"/>
        <s v="CT_2349"/>
        <s v="US_2350"/>
        <s v="MRI_2351"/>
        <s v="MAMMO_2352"/>
        <s v="CT_2353"/>
        <s v="MAMMO_2354"/>
        <s v="MAMMO_2355"/>
        <s v="MRI_2356"/>
        <s v="CT_2357"/>
        <s v="MRI_2358"/>
        <s v="XRAY_2359"/>
        <s v="XRAY_2360"/>
        <s v="MRI_2361"/>
        <s v="CT_2362"/>
        <s v="CT_2363"/>
        <s v="XRAY_2364"/>
        <s v="MRI_2365"/>
        <s v="XRAY_2366"/>
        <s v="MRI_2367"/>
        <s v="MRI_2368"/>
        <s v="XRAY_2369"/>
        <s v="MRI_2370"/>
        <s v="XRAY_2371"/>
        <s v="XRAY_2372"/>
        <s v="MAMMO_2373"/>
        <s v="MAMMO_2374"/>
        <s v="CT_2375"/>
        <s v="US_2376"/>
        <s v="XRAY_2377"/>
        <s v="MAMMO_2378"/>
        <s v="MRI_2379"/>
        <s v="MRI_2380"/>
        <s v="MRI_2381"/>
        <s v="MRI_2382"/>
        <s v="MAMMO_2383"/>
        <s v="MAMMO_2384"/>
        <s v="MRI_2385"/>
        <s v="CT_2386"/>
        <s v="XRAY_2387"/>
        <s v="MRI_2388"/>
        <s v="MAMMO_2389"/>
        <s v="US_2390"/>
        <s v="MRI_2391"/>
        <s v="US_2392"/>
        <s v="MAMMO_2393"/>
        <s v="MAMMO_2394"/>
        <s v="MRI_2395"/>
        <s v="MAMMO_2396"/>
        <s v="XRAY_2397"/>
        <s v="CT_2398"/>
        <s v="MRI_2399"/>
        <s v="MRI_2400"/>
        <s v="MAMMO_2401"/>
        <s v="MAMMO_2402"/>
        <s v="XRAY_2403"/>
        <s v="US_2404"/>
        <s v="MAMMO_2405"/>
        <s v="XRAY_2406"/>
        <s v="MAMMO_2407"/>
        <s v="XRAY_2408"/>
        <s v="MAMMO_2409"/>
        <s v="XRAY_2410"/>
        <s v="MAMMO_2411"/>
        <s v="CT_2412"/>
        <s v="US_2413"/>
        <s v="MRI_2414"/>
        <s v="US_2415"/>
        <s v="CT_2416"/>
        <s v="CT_2417"/>
        <s v="MRI_2418"/>
        <s v="US_2419"/>
        <s v="US_2420"/>
        <s v="XRAY_2421"/>
        <s v="CT_2422"/>
        <s v="MRI_2423"/>
        <s v="MRI_2424"/>
        <s v="MAMMO_2425"/>
        <s v="XRAY_2426"/>
        <s v="MAMMO_2427"/>
        <s v="MRI_2428"/>
        <s v="CT_2429"/>
        <s v="MRI_2430"/>
        <s v="US_2431"/>
        <s v="MRI_2432"/>
        <s v="XRAY_2433"/>
        <s v="XRAY_2434"/>
        <s v="CT_2435"/>
        <s v="MAMMO_2436"/>
        <s v="XRAY_2437"/>
        <s v="MRI_2438"/>
        <s v="MAMMO_2439"/>
        <s v="XRAY_2440"/>
        <s v="XRAY_2441"/>
        <s v="CT_2442"/>
        <s v="US_2443"/>
        <s v="XRAY_2444"/>
        <s v="US_2445"/>
        <s v="MRI_2446"/>
        <s v="XRAY_2447"/>
        <s v="MRI_2448"/>
        <s v="US_2449"/>
        <s v="XRAY_2450"/>
        <s v="US_2451"/>
        <s v="XRAY_2452"/>
        <s v="XRAY_2453"/>
        <s v="MRI_2454"/>
        <s v="XRAY_2455"/>
        <s v="MRI_2456"/>
        <s v="MAMMO_2457"/>
        <s v="XRAY_2458"/>
        <s v="US_2459"/>
        <s v="US_2460"/>
        <s v="CT_2461"/>
        <s v="XRAY_2462"/>
        <s v="XRAY_2463"/>
        <s v="MRI_2464"/>
        <s v="US_2465"/>
        <s v="MRI_2466"/>
        <s v="MRI_2467"/>
        <s v="US_2468"/>
        <s v="MAMMO_2469"/>
        <s v="US_2470"/>
        <s v="CT_2471"/>
        <s v="US_2472"/>
        <s v="MAMMO_2473"/>
        <s v="CT_2474"/>
        <s v="CT_2475"/>
        <s v="US_2476"/>
        <s v="CT_2477"/>
        <s v="MRI_2478"/>
        <s v="MAMMO_2479"/>
        <s v="MRI_2480"/>
        <s v="CT_2481"/>
        <s v="XRAY_2482"/>
        <s v="MAMMO_2483"/>
        <s v="MAMMO_2484"/>
        <s v="CT_2485"/>
        <s v="CT_2486"/>
        <s v="XRAY_2487"/>
        <s v="US_2488"/>
        <s v="CT_2489"/>
        <s v="CT_2490"/>
        <s v="XRAY_2491"/>
        <s v="CT_2492"/>
        <s v="MRI_2493"/>
        <s v="MAMMO_2494"/>
        <s v="MAMMO_2495"/>
        <s v="CT_2496"/>
        <s v="MAMMO_2497"/>
        <s v="CT_2498"/>
        <s v="CT_2499"/>
        <s v="MRI_2500"/>
        <s v="MAMMO_2501"/>
        <s v="US_2502"/>
        <s v="MAMMO_2503"/>
        <s v="MAMMO_2504"/>
        <s v="MAMMO_2505"/>
        <s v="CT_2506"/>
        <s v="MAMMO_2507"/>
        <s v="XRAY_2508"/>
        <s v="MAMMO_2509"/>
        <s v="MRI_2510"/>
        <s v="US_2511"/>
        <s v="XRAY_2512"/>
        <s v="XRAY_2513"/>
        <s v="US_2514"/>
        <s v="US_2515"/>
        <s v="MAMMO_2516"/>
        <s v="MAMMO_2517"/>
        <s v="XRAY_2518"/>
        <s v="XRAY_2519"/>
        <s v="US_2520"/>
        <s v="MRI_2521"/>
        <s v="MRI_2522"/>
        <s v="CT_2523"/>
        <s v="MRI_2524"/>
        <s v="US_2525"/>
        <s v="XRAY_2526"/>
        <s v="CT_2527"/>
        <s v="US_2528"/>
        <s v="XRAY_2529"/>
        <s v="MRI_2530"/>
        <s v="US_2531"/>
        <s v="CT_2532"/>
        <s v="XRAY_2533"/>
        <s v="MAMMO_2534"/>
        <s v="MAMMO_2535"/>
        <s v="MRI_2536"/>
        <s v="MAMMO_2537"/>
        <s v="MRI_2538"/>
        <s v="MRI_2539"/>
        <s v="CT_2540"/>
        <s v="MAMMO_2541"/>
        <s v="XRAY_2542"/>
        <s v="US_2543"/>
        <s v="CT_2544"/>
        <s v="US_2545"/>
        <s v="MAMMO_2546"/>
        <s v="MAMMO_2547"/>
        <s v="MAMMO_2548"/>
        <s v="MAMMO_2549"/>
        <s v="MAMMO_2550"/>
        <s v="MAMMO_2551"/>
        <s v="US_2552"/>
        <s v="MRI_2553"/>
        <s v="MAMMO_2554"/>
        <s v="CT_2555"/>
        <s v="US_2556"/>
        <s v="CT_2557"/>
        <s v="US_2558"/>
        <s v="XRAY_2559"/>
        <s v="MAMMO_2560"/>
        <s v="MRI_2561"/>
        <s v="US_2562"/>
        <s v="US_2563"/>
        <s v="MAMMO_2564"/>
        <s v="US_2565"/>
        <s v="XRAY_2566"/>
        <s v="CT_2567"/>
        <s v="MRI_2568"/>
        <s v="MAMMO_2569"/>
        <s v="MRI_2570"/>
        <s v="MRI_2571"/>
        <s v="CT_2572"/>
        <s v="US_2573"/>
        <s v="CT_2574"/>
        <s v="MAMMO_2575"/>
        <s v="MRI_2576"/>
        <s v="MRI_2577"/>
        <s v="MAMMO_2578"/>
        <s v="CT_2579"/>
        <s v="XRAY_2580"/>
        <s v="XRAY_2581"/>
        <s v="CT_2582"/>
        <s v="XRAY_2583"/>
        <s v="XRAY_2584"/>
        <s v="US_2585"/>
        <s v="US_2586"/>
        <s v="MAMMO_2587"/>
        <s v="MRI_2588"/>
        <s v="US_2589"/>
        <s v="XRAY_2590"/>
        <s v="MAMMO_2591"/>
        <s v="MRI_2592"/>
        <s v="US_2593"/>
        <s v="XRAY_2594"/>
        <s v="US_2595"/>
        <s v="MRI_2596"/>
        <s v="MAMMO_2597"/>
        <s v="CT_2598"/>
        <s v="XRAY_2599"/>
        <s v="CT_2600"/>
        <s v="XRAY_2601"/>
        <s v="CT_2602"/>
        <s v="CT_2603"/>
        <s v="MRI_2604"/>
        <s v="MAMMO_2605"/>
        <s v="US_2606"/>
        <s v="MAMMO_2607"/>
        <s v="XRAY_2608"/>
        <s v="US_2609"/>
        <s v="US_2610"/>
        <s v="CT_2611"/>
        <s v="CT_2612"/>
        <s v="XRAY_2613"/>
        <s v="MRI_2614"/>
        <s v="US_2615"/>
        <s v="US_2616"/>
        <s v="XRAY_2617"/>
        <s v="MRI_2618"/>
        <s v="MRI_2619"/>
        <s v="MRI_2620"/>
        <s v="MRI_2621"/>
        <s v="US_2622"/>
        <s v="CT_2623"/>
        <s v="CT_2624"/>
        <s v="MAMMO_2625"/>
        <s v="XRAY_2626"/>
        <s v="US_2627"/>
        <s v="MAMMO_2628"/>
        <s v="CT_2629"/>
        <s v="US_2630"/>
        <s v="US_2631"/>
        <s v="US_2632"/>
        <s v="US_2633"/>
        <s v="MAMMO_2634"/>
        <s v="US_2635"/>
        <s v="MAMMO_2636"/>
        <s v="US_2637"/>
        <s v="XRAY_2638"/>
        <s v="US_2639"/>
        <s v="XRAY_2640"/>
        <s v="MAMMO_2641"/>
        <s v="XRAY_2642"/>
        <s v="MRI_2643"/>
        <s v="US_2644"/>
        <s v="MAMMO_2645"/>
        <s v="MAMMO_2646"/>
        <s v="MRI_2647"/>
        <s v="MAMMO_2648"/>
        <s v="US_2649"/>
        <s v="MRI_2650"/>
        <s v="MRI_2651"/>
        <s v="US_2652"/>
        <s v="CT_2653"/>
        <s v="US_2654"/>
        <s v="US_2655"/>
        <s v="US_2656"/>
        <s v="US_2657"/>
        <s v="MRI_2658"/>
        <s v="US_2659"/>
        <s v="US_2660"/>
        <s v="MAMMO_2661"/>
        <s v="XRAY_2662"/>
        <s v="MRI_2663"/>
        <s v="MAMMO_2664"/>
        <s v="US_2665"/>
        <s v="CT_2666"/>
        <s v="MRI_2667"/>
        <s v="XRAY_2668"/>
        <s v="US_2669"/>
        <s v="XRAY_2670"/>
        <s v="MAMMO_2671"/>
        <s v="MAMMO_2672"/>
        <s v="MRI_2673"/>
        <s v="MAMMO_2674"/>
        <s v="MAMMO_2675"/>
        <s v="MAMMO_2676"/>
        <s v="MRI_2677"/>
        <s v="XRAY_2678"/>
        <s v="US_2679"/>
        <s v="MAMMO_2680"/>
        <s v="MRI_2681"/>
        <s v="US_2682"/>
        <s v="CT_2683"/>
        <s v="US_2684"/>
        <s v="MAMMO_2685"/>
        <s v="MAMMO_2686"/>
        <s v="US_2687"/>
        <s v="XRAY_2688"/>
        <s v="MAMMO_2689"/>
        <s v="US_2690"/>
        <s v="MRI_2691"/>
        <s v="MAMMO_2692"/>
        <s v="CT_2693"/>
        <s v="MAMMO_2694"/>
        <s v="CT_2695"/>
        <s v="MRI_2696"/>
        <s v="CT_2697"/>
        <s v="US_2698"/>
        <s v="US_2699"/>
        <s v="XRAY_2700"/>
        <s v="MAMMO_2701"/>
        <s v="XRAY_2702"/>
        <s v="MRI_2703"/>
        <s v="XRAY_2704"/>
        <s v="CT_2705"/>
        <s v="US_2706"/>
        <s v="CT_2707"/>
        <s v="US_2708"/>
        <s v="MRI_2709"/>
        <s v="US_2710"/>
        <s v="MRI_2711"/>
        <s v="MRI_2712"/>
        <s v="US_2713"/>
        <s v="MAMMO_2714"/>
        <s v="US_2715"/>
        <s v="MAMMO_2716"/>
        <s v="MRI_2717"/>
        <s v="MRI_2718"/>
        <s v="US_2719"/>
        <s v="US_2720"/>
        <s v="US_2721"/>
        <s v="US_2722"/>
        <s v="CT_2723"/>
        <s v="XRAY_2724"/>
        <s v="CT_2725"/>
        <s v="XRAY_2726"/>
        <s v="US_2727"/>
        <s v="CT_2728"/>
        <s v="MRI_2729"/>
        <s v="US_2730"/>
        <s v="MRI_2731"/>
        <s v="MRI_2732"/>
        <s v="MAMMO_2733"/>
        <s v="MRI_2734"/>
        <s v="US_2735"/>
        <s v="XRAY_2736"/>
        <s v="MAMMO_2737"/>
        <s v="XRAY_2738"/>
        <s v="US_2739"/>
        <s v="MAMMO_2740"/>
        <s v="MAMMO_2741"/>
        <s v="XRAY_2742"/>
        <s v="CT_2743"/>
        <s v="US_2744"/>
        <s v="XRAY_2745"/>
        <s v="XRAY_2746"/>
        <s v="US_2747"/>
        <s v="MRI_2748"/>
        <s v="US_2749"/>
        <s v="US_2750"/>
        <s v="MAMMO_2751"/>
        <s v="MRI_2752"/>
        <s v="US_2753"/>
        <s v="US_2754"/>
        <s v="CT_2755"/>
        <s v="CT_2756"/>
        <s v="MRI_2757"/>
        <s v="US_2758"/>
        <s v="XRAY_2759"/>
        <s v="MRI_2760"/>
        <s v="XRAY_2761"/>
        <s v="MAMMO_2762"/>
        <s v="XRAY_2763"/>
        <s v="MRI_2764"/>
        <s v="CT_2765"/>
        <s v="CT_2766"/>
        <s v="MRI_2767"/>
        <s v="XRAY_2768"/>
        <s v="CT_2769"/>
        <s v="MRI_2770"/>
        <s v="CT_2771"/>
        <s v="CT_2772"/>
        <s v="US_2773"/>
        <s v="XRAY_2774"/>
        <s v="MRI_2775"/>
        <s v="MRI_2776"/>
        <s v="MRI_2777"/>
        <s v="CT_2778"/>
        <s v="MAMMO_2779"/>
        <s v="US_2780"/>
        <s v="US_2781"/>
        <s v="MRI_2782"/>
        <s v="US_2783"/>
        <s v="CT_2784"/>
        <s v="XRAY_2785"/>
        <s v="XRAY_2786"/>
        <s v="MRI_2787"/>
        <s v="MRI_2788"/>
        <s v="MRI_2789"/>
        <s v="MRI_2790"/>
        <s v="US_2791"/>
        <s v="CT_2792"/>
        <s v="CT_2793"/>
        <s v="MAMMO_2794"/>
        <s v="CT_2795"/>
        <s v="MRI_2796"/>
        <s v="MAMMO_2797"/>
        <s v="MRI_2798"/>
        <s v="MRI_2799"/>
        <s v="CT_2800"/>
        <s v="MRI_2801"/>
        <s v="CT_2802"/>
        <s v="US_2803"/>
        <s v="XRAY_2804"/>
        <s v="XRAY_2805"/>
        <s v="MAMMO_2806"/>
        <s v="XRAY_2807"/>
        <s v="MRI_2808"/>
        <s v="MRI_2809"/>
        <s v="CT_2810"/>
        <s v="MAMMO_2811"/>
        <s v="US_2812"/>
        <s v="MAMMO_2813"/>
        <s v="MAMMO_2814"/>
        <s v="MAMMO_2815"/>
        <s v="CT_2816"/>
        <s v="MAMMO_2817"/>
        <s v="US_2818"/>
        <s v="US_2819"/>
        <s v="CT_2820"/>
        <s v="US_2821"/>
        <s v="CT_2822"/>
        <s v="XRAY_2823"/>
        <s v="CT_2824"/>
        <s v="MAMMO_2825"/>
        <s v="MAMMO_2826"/>
        <s v="US_2827"/>
        <s v="US_2828"/>
        <s v="MAMMO_2829"/>
        <s v="US_2830"/>
        <s v="XRAY_2831"/>
        <s v="US_2832"/>
        <s v="US_2833"/>
        <s v="MAMMO_2834"/>
        <s v="XRAY_2835"/>
        <s v="US_2836"/>
        <s v="MRI_2837"/>
        <s v="MAMMO_2838"/>
        <s v="XRAY_2839"/>
        <s v="XRAY_2840"/>
        <s v="XRAY_2841"/>
        <s v="MAMMO_2842"/>
        <s v="MAMMO_2843"/>
        <s v="US_2844"/>
        <s v="CT_2845"/>
        <s v="MAMMO_2846"/>
        <s v="MAMMO_2847"/>
        <s v="US_2848"/>
        <s v="XRAY_2849"/>
        <s v="MRI_2850"/>
        <s v="MAMMO_2851"/>
        <s v="MAMMO_2852"/>
        <s v="CT_2853"/>
        <s v="MRI_2854"/>
        <s v="MAMMO_2855"/>
        <s v="MRI_2856"/>
        <s v="US_2857"/>
        <s v="MRI_2858"/>
        <s v="CT_2859"/>
        <s v="CT_2860"/>
        <s v="US_2861"/>
        <s v="MRI_2862"/>
        <s v="MAMMO_2863"/>
        <s v="MAMMO_2864"/>
        <s v="MRI_2865"/>
        <s v="CT_2866"/>
        <s v="US_2867"/>
        <s v="CT_2868"/>
        <s v="MRI_2869"/>
        <s v="MAMMO_2870"/>
        <s v="XRAY_2871"/>
        <s v="MRI_2872"/>
        <s v="XRAY_2873"/>
        <s v="XRAY_2874"/>
        <s v="MRI_2875"/>
        <s v="CT_2876"/>
        <s v="MRI_2877"/>
        <s v="US_2878"/>
        <s v="CT_2879"/>
        <s v="CT_2880"/>
        <s v="XRAY_2881"/>
        <s v="MRI_2882"/>
        <s v="MAMMO_2883"/>
        <s v="CT_2884"/>
        <s v="CT_2885"/>
        <s v="MAMMO_2886"/>
        <s v="US_2887"/>
        <s v="MRI_2888"/>
        <s v="MRI_2889"/>
        <s v="MAMMO_2890"/>
        <s v="CT_2891"/>
        <s v="MAMMO_2892"/>
        <s v="CT_2893"/>
        <s v="MRI_2894"/>
        <s v="CT_2895"/>
        <s v="MRI_2896"/>
        <s v="CT_2897"/>
        <s v="US_2898"/>
        <s v="CT_2899"/>
        <s v="CT_2900"/>
        <s v="MRI_2901"/>
        <s v="CT_2902"/>
        <s v="US_2903"/>
        <s v="US_2904"/>
        <s v="XRAY_2905"/>
        <s v="US_2906"/>
        <s v="XRAY_2907"/>
        <s v="US_2908"/>
        <s v="CT_2909"/>
        <s v="CT_2910"/>
        <s v="XRAY_2911"/>
        <s v="MRI_2912"/>
        <s v="US_2913"/>
        <s v="XRAY_2914"/>
        <s v="XRAY_2915"/>
        <s v="MAMMO_2916"/>
        <s v="US_2917"/>
        <s v="MRI_2918"/>
        <s v="US_2919"/>
        <s v="MRI_2920"/>
        <s v="MRI_2921"/>
        <s v="US_2922"/>
        <s v="XRAY_2923"/>
        <s v="XRAY_2924"/>
        <s v="CT_2925"/>
        <s v="MAMMO_2926"/>
        <s v="CT_2927"/>
        <s v="CT_2928"/>
        <s v="MRI_2929"/>
        <s v="CT_2930"/>
        <s v="MAMMO_2931"/>
        <s v="MAMMO_2932"/>
        <s v="XRAY_2933"/>
        <s v="CT_2934"/>
        <s v="US_2935"/>
        <s v="XRAY_2936"/>
        <s v="XRAY_2937"/>
        <s v="MAMMO_2938"/>
        <s v="MAMMO_2939"/>
        <s v="XRAY_2940"/>
        <s v="XRAY_2941"/>
        <s v="CT_2942"/>
        <s v="CT_2943"/>
        <s v="MRI_2944"/>
        <s v="MRI_2945"/>
        <s v="MAMMO_2946"/>
        <s v="CT_2947"/>
        <s v="CT_2948"/>
        <s v="XRAY_2949"/>
        <s v="XRAY_2950"/>
        <s v="US_2951"/>
        <s v="MRI_2952"/>
        <s v="CT_2953"/>
        <s v="MAMMO_2954"/>
        <s v="MRI_2955"/>
        <s v="MAMMO_2956"/>
        <s v="US_2957"/>
        <s v="MAMMO_2958"/>
        <s v="CT_2959"/>
        <s v="MAMMO_2960"/>
        <s v="MRI_2961"/>
        <s v="CT_2962"/>
        <s v="MRI_2963"/>
        <s v="MAMMO_2964"/>
        <s v="CT_2965"/>
        <s v="MAMMO_2966"/>
        <s v="MAMMO_2967"/>
        <s v="MRI_2968"/>
        <s v="XRAY_2969"/>
        <s v="XRAY_2970"/>
        <s v="MRI_2971"/>
        <s v="XRAY_2972"/>
        <s v="MAMMO_2973"/>
        <s v="CT_2974"/>
        <s v="MAMMO_2975"/>
        <s v="CT_2976"/>
        <s v="MRI_2977"/>
        <s v="MAMMO_2978"/>
        <s v="US_2979"/>
        <s v="MRI_2980"/>
        <s v="MAMMO_2981"/>
        <s v="CT_2982"/>
        <s v="MRI_2983"/>
        <s v="US_2984"/>
        <s v="XRAY_2985"/>
        <s v="MRI_2986"/>
        <s v="MRI_2987"/>
        <s v="US_2988"/>
        <s v="CT_2989"/>
        <s v="MRI_2990"/>
        <s v="US_2991"/>
        <s v="CT_2992"/>
        <s v="MRI_2993"/>
        <s v="MRI_2994"/>
        <s v="CT_2995"/>
        <s v="MRI_2996"/>
        <s v="MRI_2997"/>
        <s v="CT_2998"/>
        <s v="CT_2999"/>
        <s v="MAMMO_3000"/>
      </sharedItems>
    </cacheField>
    <cacheField name="Equipment Type">
      <sharedItems count="5">
        <s v="MRI Scanner"/>
        <s v="X-Ray Machine"/>
        <s v="CT Scanner"/>
        <s v="Mammography Unit"/>
        <s v="Ultrasound"/>
      </sharedItems>
    </cacheField>
    <cacheField name="Department">
      <sharedItems count="2">
        <s v="Radiology"/>
        <s v="Women's Health"/>
      </sharedItems>
    </cacheField>
    <cacheField name="Daily Operating Cost">
      <sharedItems containsSemiMixedTypes="0" containsString="0" containsNumber="1" containsInteger="1" minValue="1000" maxValue="5000" count="4">
        <n v="5000"/>
        <n v="1500"/>
        <n v="3000"/>
        <n v="1000"/>
      </sharedItems>
    </cacheField>
    <cacheField name="Procedure Revenue">
      <sharedItems containsSemiMixedTypes="0" containsString="0" containsNumber="1" containsInteger="1" minValue="12000" maxValue="300000" count="79">
        <n v="30000"/>
        <n v="40000"/>
        <n v="70000"/>
        <n v="200000"/>
        <n v="44000"/>
        <n v="120000"/>
        <n v="100000"/>
        <n v="90000"/>
        <n v="150000"/>
        <n v="140000"/>
        <n v="270000"/>
        <n v="105000"/>
        <n v="110000"/>
        <n v="250000"/>
        <n v="180000"/>
        <n v="145000"/>
        <n v="54000"/>
        <n v="108000"/>
        <n v="50000"/>
        <n v="60000"/>
        <n v="135000"/>
        <n v="84000"/>
        <n v="300000"/>
        <n v="130000"/>
        <n v="46000"/>
        <n v="26000"/>
        <n v="115000"/>
        <n v="36000"/>
        <n v="14000"/>
        <n v="125000"/>
        <n v="69000"/>
        <n v="117000"/>
        <n v="57000"/>
        <n v="24000"/>
        <n v="12000"/>
        <n v="16000"/>
        <n v="210000"/>
        <n v="160000"/>
        <n v="56000"/>
        <n v="78000"/>
        <n v="52000"/>
        <n v="240000"/>
        <n v="190000"/>
        <n v="65000"/>
        <n v="87000"/>
        <n v="95000"/>
        <n v="80000"/>
        <n v="48000"/>
        <n v="42000"/>
        <n v="85000"/>
        <n v="63000"/>
        <n v="170000"/>
        <n v="28000"/>
        <n v="38000"/>
        <n v="20000"/>
        <n v="102000"/>
        <n v="45000"/>
        <n v="55000"/>
        <n v="75000"/>
        <n v="72000"/>
        <n v="58000"/>
        <n v="260000"/>
        <n v="93000"/>
        <n v="220000"/>
        <n v="66000"/>
        <n v="96000"/>
        <n v="290000"/>
        <n v="230000"/>
        <n v="51000"/>
        <n v="111000"/>
        <n v="22000"/>
        <n v="99000"/>
        <n v="18000"/>
        <n v="114000"/>
        <n v="81000"/>
        <n v="34000"/>
        <n v="32000"/>
        <n v="280000"/>
        <n v="35000"/>
      </sharedItems>
    </cacheField>
    <cacheField name="Net Profit (Daily)">
      <sharedItems containsSemiMixedTypes="0" containsString="0" containsNumber="1" containsInteger="1" minValue="10500" maxValue="297000" count="98">
        <n v="25000"/>
        <n v="38500"/>
        <n v="67000"/>
        <n v="197000"/>
        <n v="42500"/>
        <n v="115000"/>
        <n v="97000"/>
        <n v="85000"/>
        <n v="145000"/>
        <n v="137000"/>
        <n v="267000"/>
        <n v="104000"/>
        <n v="109000"/>
        <n v="247000"/>
        <n v="177000"/>
        <n v="144000"/>
        <n v="53000"/>
        <n v="107000"/>
        <n v="49000"/>
        <n v="55000"/>
        <n v="89000"/>
        <n v="99000"/>
        <n v="134000"/>
        <n v="83000"/>
        <n v="59000"/>
        <n v="297000"/>
        <n v="149000"/>
        <n v="57000"/>
        <n v="127000"/>
        <n v="44500"/>
        <n v="24500"/>
        <n v="119000"/>
        <n v="114000"/>
        <n v="34500"/>
        <n v="69000"/>
        <n v="147000"/>
        <n v="12500"/>
        <n v="124000"/>
        <n v="68000"/>
        <n v="116000"/>
        <n v="56000"/>
        <n v="22500"/>
        <n v="10500"/>
        <n v="14500"/>
        <n v="207000"/>
        <n v="157000"/>
        <n v="54500"/>
        <n v="77000"/>
        <n v="50500"/>
        <n v="87000"/>
        <n v="237000"/>
        <n v="187000"/>
        <n v="64000"/>
        <n v="39000"/>
        <n v="86000"/>
        <n v="29000"/>
        <n v="94000"/>
        <n v="46500"/>
        <n v="40500"/>
        <n v="84000"/>
        <n v="62000"/>
        <n v="167000"/>
        <n v="26500"/>
        <n v="48500"/>
        <n v="36500"/>
        <n v="18500"/>
        <n v="101000"/>
        <n v="44000"/>
        <n v="79000"/>
        <n v="54000"/>
        <n v="139000"/>
        <n v="74000"/>
        <n v="71000"/>
        <n v="58500"/>
        <n v="56500"/>
        <n v="257000"/>
        <n v="52500"/>
        <n v="92000"/>
        <n v="217000"/>
        <n v="65000"/>
        <n v="95000"/>
        <n v="28500"/>
        <n v="287000"/>
        <n v="129000"/>
        <n v="227000"/>
        <n v="50000"/>
        <n v="110000"/>
        <n v="20500"/>
        <n v="98000"/>
        <n v="16500"/>
        <n v="113000"/>
        <n v="80000"/>
        <n v="117000"/>
        <n v="32500"/>
        <n v="47000"/>
        <n v="30500"/>
        <n v="277000"/>
        <n v="34000"/>
      </sharedItems>
    </cacheField>
    <cacheField name="Utilization Rate">
      <sharedItems containsSemiMixedTypes="0" containsString="0" containsNumber="1" minValue="0.03" maxValue="1" count="98">
        <n v="0.04"/>
        <n v="0.71"/>
        <n v="0.84"/>
        <n v="0.51"/>
        <n v="0.75"/>
        <n v="0.38"/>
        <n v="0.17"/>
        <n v="0.7"/>
        <n v="0.15"/>
        <n v="0.25"/>
        <n v="0.36"/>
        <n v="0.19"/>
        <n v="0.59"/>
        <n v="0.82"/>
        <n v="0.5"/>
        <n v="0.42"/>
        <n v="0.88"/>
        <n v="0.66"/>
        <n v="0.79"/>
        <n v="0.52"/>
        <n v="0.45"/>
        <n v="0.93"/>
        <n v="0.33"/>
        <n v="0.94"/>
        <n v="0.53"/>
        <n v="0.23"/>
        <n v="0.21"/>
        <n v="0.48"/>
        <n v="0.95"/>
        <n v="0.8"/>
        <n v="0.86"/>
        <n v="0.22"/>
        <n v="0.77"/>
        <n v="0.3"/>
        <n v="0.28999999999999998"/>
        <n v="0.83"/>
        <n v="0.9"/>
        <n v="0.99"/>
        <n v="7.0000000000000007E-2"/>
        <n v="0.28000000000000003"/>
        <n v="0.89"/>
        <n v="0.09"/>
        <n v="0.63"/>
        <n v="0.96"/>
        <n v="0.35"/>
        <n v="0.41"/>
        <n v="0.69"/>
        <n v="0.44"/>
        <n v="0.74"/>
        <n v="0.87"/>
        <n v="0.43"/>
        <n v="0.55000000000000004"/>
        <n v="0.49"/>
        <n v="0.73"/>
        <n v="0.56000000000000005"/>
        <n v="0.97"/>
        <n v="0.78"/>
        <n v="0.91"/>
        <n v="0.81"/>
        <n v="0.61"/>
        <n v="0.68"/>
        <n v="0.57999999999999996"/>
        <n v="0.67"/>
        <n v="0.39"/>
        <n v="0.18"/>
        <n v="0.72"/>
        <n v="0.13"/>
        <n v="0.31"/>
        <n v="0.98"/>
        <n v="0.24"/>
        <n v="0.26"/>
        <n v="0.46"/>
        <n v="0.65"/>
        <n v="0.11"/>
        <n v="0.14000000000000001"/>
        <n v="0.4"/>
        <n v="0.16"/>
        <n v="0.27"/>
        <n v="0.08"/>
        <n v="0.64"/>
        <n v="0.92"/>
        <n v="0.54"/>
        <n v="0.1"/>
        <n v="0.56999999999999995"/>
        <n v="0.62"/>
        <n v="0.85"/>
        <n v="0.47"/>
        <n v="0.32"/>
        <n v="0.12"/>
        <n v="0.76"/>
        <n v="1"/>
        <n v="0.05"/>
        <n v="0.06"/>
        <n v="0.37"/>
        <n v="0.2"/>
        <n v="0.6"/>
        <n v="0.34"/>
        <n v="0.03"/>
      </sharedItems>
    </cacheField>
    <cacheField name="ROI %">
      <sharedItems containsSemiMixedTypes="0" containsString="0" containsNumber="1" minValue="5" maxValue="149" count="85">
        <n v="5"/>
        <n v="25.6666666666667"/>
        <n v="22.3333333333333"/>
        <n v="65.6666666666667"/>
        <n v="28.3333333333333"/>
        <n v="23"/>
        <n v="32.3333333333333"/>
        <n v="17"/>
        <n v="29"/>
        <n v="45.6666666666667"/>
        <n v="89"/>
        <n v="104"/>
        <n v="109"/>
        <n v="82.3333333333333"/>
        <n v="59"/>
        <n v="144"/>
        <n v="53"/>
        <n v="107"/>
        <n v="49"/>
        <n v="11"/>
        <n v="99"/>
        <n v="134"/>
        <n v="83"/>
        <n v="149"/>
        <n v="19"/>
        <n v="42.3333333333333"/>
        <n v="29.6666666666667"/>
        <n v="16.3333333333333"/>
        <n v="119"/>
        <n v="114"/>
        <n v="69"/>
        <n v="8.3333333333333304"/>
        <n v="124"/>
        <n v="68"/>
        <n v="116"/>
        <n v="56"/>
        <n v="15"/>
        <n v="7"/>
        <n v="9.6666666666666696"/>
        <n v="52.3333333333333"/>
        <n v="36.3333333333333"/>
        <n v="77"/>
        <n v="33.6666666666667"/>
        <n v="79"/>
        <n v="62.3333333333333"/>
        <n v="64"/>
        <n v="39"/>
        <n v="86"/>
        <n v="94"/>
        <n v="31"/>
        <n v="27"/>
        <n v="84"/>
        <n v="62"/>
        <n v="55.6666666666667"/>
        <n v="17.6666666666667"/>
        <n v="24.3333333333333"/>
        <n v="12.3333333333333"/>
        <n v="101"/>
        <n v="44"/>
        <n v="54"/>
        <n v="139"/>
        <n v="74"/>
        <n v="71"/>
        <n v="37.6666666666667"/>
        <n v="85.6666666666667"/>
        <n v="35"/>
        <n v="92"/>
        <n v="72.3333333333333"/>
        <n v="65"/>
        <n v="95"/>
        <n v="95.6666666666667"/>
        <n v="129"/>
        <n v="75.6666666666667"/>
        <n v="50"/>
        <n v="110"/>
        <n v="13.6666666666667"/>
        <n v="98"/>
        <n v="35.6666666666667"/>
        <n v="113"/>
        <n v="80"/>
        <n v="21.6666666666667"/>
        <n v="47"/>
        <n v="20.3333333333333"/>
        <n v="92.3333333333333"/>
        <n v="34"/>
      </sharedItems>
    </cacheField>
    <cacheField name="ROI Status">
      <sharedItems count="1">
        <s v="Exceeds Target"/>
      </sharedItems>
    </cacheField>
  </cacheFields>
  <extLst>
    <ext xmlns:x14="http://schemas.microsoft.com/office/spreadsheetml/2009/9/main" uri="{725AE2AE-9491-48be-B2B4-4EB974FC3084}">
      <x14:pivotCacheDefinition pivotCacheId="100000002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300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</r>
  <r>
    <x v="2"/>
    <x v="2"/>
    <x v="2"/>
    <x v="0"/>
    <x v="2"/>
    <x v="2"/>
    <x v="2"/>
    <x v="2"/>
    <x v="2"/>
    <x v="0"/>
  </r>
  <r>
    <x v="3"/>
    <x v="3"/>
    <x v="2"/>
    <x v="0"/>
    <x v="2"/>
    <x v="3"/>
    <x v="3"/>
    <x v="3"/>
    <x v="3"/>
    <x v="0"/>
  </r>
  <r>
    <x v="4"/>
    <x v="4"/>
    <x v="1"/>
    <x v="0"/>
    <x v="1"/>
    <x v="4"/>
    <x v="4"/>
    <x v="4"/>
    <x v="4"/>
    <x v="0"/>
  </r>
  <r>
    <x v="5"/>
    <x v="5"/>
    <x v="0"/>
    <x v="0"/>
    <x v="0"/>
    <x v="5"/>
    <x v="5"/>
    <x v="5"/>
    <x v="5"/>
    <x v="0"/>
  </r>
  <r>
    <x v="6"/>
    <x v="6"/>
    <x v="0"/>
    <x v="0"/>
    <x v="0"/>
    <x v="0"/>
    <x v="0"/>
    <x v="6"/>
    <x v="0"/>
    <x v="0"/>
  </r>
  <r>
    <x v="7"/>
    <x v="7"/>
    <x v="2"/>
    <x v="0"/>
    <x v="2"/>
    <x v="6"/>
    <x v="6"/>
    <x v="7"/>
    <x v="6"/>
    <x v="0"/>
  </r>
  <r>
    <x v="8"/>
    <x v="8"/>
    <x v="0"/>
    <x v="0"/>
    <x v="0"/>
    <x v="7"/>
    <x v="7"/>
    <x v="8"/>
    <x v="7"/>
    <x v="0"/>
  </r>
  <r>
    <x v="9"/>
    <x v="9"/>
    <x v="0"/>
    <x v="0"/>
    <x v="0"/>
    <x v="8"/>
    <x v="8"/>
    <x v="9"/>
    <x v="8"/>
    <x v="0"/>
  </r>
  <r>
    <x v="10"/>
    <x v="10"/>
    <x v="2"/>
    <x v="0"/>
    <x v="2"/>
    <x v="9"/>
    <x v="9"/>
    <x v="10"/>
    <x v="9"/>
    <x v="0"/>
  </r>
  <r>
    <x v="11"/>
    <x v="11"/>
    <x v="0"/>
    <x v="0"/>
    <x v="0"/>
    <x v="7"/>
    <x v="7"/>
    <x v="8"/>
    <x v="7"/>
    <x v="0"/>
  </r>
  <r>
    <x v="12"/>
    <x v="12"/>
    <x v="0"/>
    <x v="0"/>
    <x v="0"/>
    <x v="0"/>
    <x v="0"/>
    <x v="11"/>
    <x v="0"/>
    <x v="0"/>
  </r>
  <r>
    <x v="13"/>
    <x v="13"/>
    <x v="2"/>
    <x v="0"/>
    <x v="2"/>
    <x v="10"/>
    <x v="10"/>
    <x v="12"/>
    <x v="10"/>
    <x v="0"/>
  </r>
  <r>
    <x v="14"/>
    <x v="14"/>
    <x v="3"/>
    <x v="1"/>
    <x v="3"/>
    <x v="11"/>
    <x v="11"/>
    <x v="13"/>
    <x v="11"/>
    <x v="0"/>
  </r>
  <r>
    <x v="6"/>
    <x v="15"/>
    <x v="3"/>
    <x v="1"/>
    <x v="3"/>
    <x v="12"/>
    <x v="12"/>
    <x v="14"/>
    <x v="12"/>
    <x v="0"/>
  </r>
  <r>
    <x v="15"/>
    <x v="16"/>
    <x v="2"/>
    <x v="0"/>
    <x v="2"/>
    <x v="13"/>
    <x v="13"/>
    <x v="15"/>
    <x v="13"/>
    <x v="0"/>
  </r>
  <r>
    <x v="16"/>
    <x v="17"/>
    <x v="2"/>
    <x v="0"/>
    <x v="2"/>
    <x v="14"/>
    <x v="14"/>
    <x v="16"/>
    <x v="14"/>
    <x v="0"/>
  </r>
  <r>
    <x v="17"/>
    <x v="18"/>
    <x v="3"/>
    <x v="1"/>
    <x v="3"/>
    <x v="15"/>
    <x v="15"/>
    <x v="17"/>
    <x v="15"/>
    <x v="0"/>
  </r>
  <r>
    <x v="18"/>
    <x v="19"/>
    <x v="4"/>
    <x v="0"/>
    <x v="3"/>
    <x v="16"/>
    <x v="16"/>
    <x v="16"/>
    <x v="16"/>
    <x v="0"/>
  </r>
  <r>
    <x v="19"/>
    <x v="20"/>
    <x v="4"/>
    <x v="0"/>
    <x v="3"/>
    <x v="17"/>
    <x v="17"/>
    <x v="18"/>
    <x v="17"/>
    <x v="0"/>
  </r>
  <r>
    <x v="20"/>
    <x v="21"/>
    <x v="3"/>
    <x v="1"/>
    <x v="3"/>
    <x v="18"/>
    <x v="18"/>
    <x v="19"/>
    <x v="18"/>
    <x v="0"/>
  </r>
  <r>
    <x v="21"/>
    <x v="22"/>
    <x v="0"/>
    <x v="0"/>
    <x v="0"/>
    <x v="19"/>
    <x v="19"/>
    <x v="6"/>
    <x v="19"/>
    <x v="0"/>
  </r>
  <r>
    <x v="22"/>
    <x v="23"/>
    <x v="3"/>
    <x v="1"/>
    <x v="3"/>
    <x v="7"/>
    <x v="20"/>
    <x v="20"/>
    <x v="10"/>
    <x v="0"/>
  </r>
  <r>
    <x v="23"/>
    <x v="24"/>
    <x v="3"/>
    <x v="1"/>
    <x v="3"/>
    <x v="6"/>
    <x v="21"/>
    <x v="21"/>
    <x v="20"/>
    <x v="0"/>
  </r>
  <r>
    <x v="24"/>
    <x v="25"/>
    <x v="3"/>
    <x v="1"/>
    <x v="3"/>
    <x v="20"/>
    <x v="22"/>
    <x v="22"/>
    <x v="21"/>
    <x v="0"/>
  </r>
  <r>
    <x v="25"/>
    <x v="26"/>
    <x v="4"/>
    <x v="0"/>
    <x v="3"/>
    <x v="21"/>
    <x v="23"/>
    <x v="23"/>
    <x v="22"/>
    <x v="0"/>
  </r>
  <r>
    <x v="26"/>
    <x v="27"/>
    <x v="3"/>
    <x v="1"/>
    <x v="3"/>
    <x v="19"/>
    <x v="24"/>
    <x v="15"/>
    <x v="14"/>
    <x v="0"/>
  </r>
  <r>
    <x v="27"/>
    <x v="28"/>
    <x v="4"/>
    <x v="0"/>
    <x v="3"/>
    <x v="19"/>
    <x v="24"/>
    <x v="2"/>
    <x v="14"/>
    <x v="0"/>
  </r>
  <r>
    <x v="28"/>
    <x v="29"/>
    <x v="2"/>
    <x v="0"/>
    <x v="2"/>
    <x v="22"/>
    <x v="25"/>
    <x v="24"/>
    <x v="20"/>
    <x v="0"/>
  </r>
  <r>
    <x v="29"/>
    <x v="30"/>
    <x v="0"/>
    <x v="0"/>
    <x v="0"/>
    <x v="7"/>
    <x v="7"/>
    <x v="25"/>
    <x v="7"/>
    <x v="0"/>
  </r>
  <r>
    <x v="30"/>
    <x v="31"/>
    <x v="3"/>
    <x v="1"/>
    <x v="3"/>
    <x v="15"/>
    <x v="15"/>
    <x v="21"/>
    <x v="15"/>
    <x v="0"/>
  </r>
  <r>
    <x v="31"/>
    <x v="32"/>
    <x v="2"/>
    <x v="0"/>
    <x v="2"/>
    <x v="2"/>
    <x v="2"/>
    <x v="26"/>
    <x v="2"/>
    <x v="0"/>
  </r>
  <r>
    <x v="32"/>
    <x v="33"/>
    <x v="3"/>
    <x v="1"/>
    <x v="3"/>
    <x v="8"/>
    <x v="26"/>
    <x v="27"/>
    <x v="23"/>
    <x v="0"/>
  </r>
  <r>
    <x v="33"/>
    <x v="34"/>
    <x v="2"/>
    <x v="0"/>
    <x v="2"/>
    <x v="19"/>
    <x v="27"/>
    <x v="28"/>
    <x v="24"/>
    <x v="0"/>
  </r>
  <r>
    <x v="34"/>
    <x v="35"/>
    <x v="0"/>
    <x v="0"/>
    <x v="0"/>
    <x v="7"/>
    <x v="7"/>
    <x v="11"/>
    <x v="7"/>
    <x v="0"/>
  </r>
  <r>
    <x v="35"/>
    <x v="36"/>
    <x v="2"/>
    <x v="0"/>
    <x v="2"/>
    <x v="23"/>
    <x v="28"/>
    <x v="4"/>
    <x v="25"/>
    <x v="0"/>
  </r>
  <r>
    <x v="36"/>
    <x v="37"/>
    <x v="1"/>
    <x v="0"/>
    <x v="1"/>
    <x v="24"/>
    <x v="29"/>
    <x v="29"/>
    <x v="26"/>
    <x v="0"/>
  </r>
  <r>
    <x v="37"/>
    <x v="38"/>
    <x v="1"/>
    <x v="0"/>
    <x v="1"/>
    <x v="25"/>
    <x v="30"/>
    <x v="30"/>
    <x v="27"/>
    <x v="0"/>
  </r>
  <r>
    <x v="38"/>
    <x v="39"/>
    <x v="0"/>
    <x v="0"/>
    <x v="0"/>
    <x v="5"/>
    <x v="5"/>
    <x v="31"/>
    <x v="5"/>
    <x v="0"/>
  </r>
  <r>
    <x v="39"/>
    <x v="40"/>
    <x v="4"/>
    <x v="0"/>
    <x v="3"/>
    <x v="5"/>
    <x v="31"/>
    <x v="32"/>
    <x v="28"/>
    <x v="0"/>
  </r>
  <r>
    <x v="40"/>
    <x v="41"/>
    <x v="3"/>
    <x v="1"/>
    <x v="3"/>
    <x v="26"/>
    <x v="32"/>
    <x v="28"/>
    <x v="29"/>
    <x v="0"/>
  </r>
  <r>
    <x v="41"/>
    <x v="42"/>
    <x v="3"/>
    <x v="1"/>
    <x v="3"/>
    <x v="8"/>
    <x v="26"/>
    <x v="33"/>
    <x v="23"/>
    <x v="0"/>
  </r>
  <r>
    <x v="42"/>
    <x v="43"/>
    <x v="1"/>
    <x v="0"/>
    <x v="1"/>
    <x v="27"/>
    <x v="33"/>
    <x v="19"/>
    <x v="5"/>
    <x v="0"/>
  </r>
  <r>
    <x v="43"/>
    <x v="44"/>
    <x v="3"/>
    <x v="1"/>
    <x v="3"/>
    <x v="2"/>
    <x v="34"/>
    <x v="28"/>
    <x v="30"/>
    <x v="0"/>
  </r>
  <r>
    <x v="44"/>
    <x v="45"/>
    <x v="2"/>
    <x v="0"/>
    <x v="2"/>
    <x v="2"/>
    <x v="2"/>
    <x v="9"/>
    <x v="2"/>
    <x v="0"/>
  </r>
  <r>
    <x v="45"/>
    <x v="46"/>
    <x v="2"/>
    <x v="0"/>
    <x v="2"/>
    <x v="8"/>
    <x v="35"/>
    <x v="18"/>
    <x v="18"/>
    <x v="0"/>
  </r>
  <r>
    <x v="46"/>
    <x v="47"/>
    <x v="1"/>
    <x v="0"/>
    <x v="1"/>
    <x v="24"/>
    <x v="29"/>
    <x v="25"/>
    <x v="26"/>
    <x v="0"/>
  </r>
  <r>
    <x v="47"/>
    <x v="48"/>
    <x v="0"/>
    <x v="0"/>
    <x v="0"/>
    <x v="5"/>
    <x v="5"/>
    <x v="34"/>
    <x v="5"/>
    <x v="0"/>
  </r>
  <r>
    <x v="48"/>
    <x v="49"/>
    <x v="1"/>
    <x v="0"/>
    <x v="1"/>
    <x v="28"/>
    <x v="36"/>
    <x v="25"/>
    <x v="31"/>
    <x v="0"/>
  </r>
  <r>
    <x v="49"/>
    <x v="50"/>
    <x v="3"/>
    <x v="1"/>
    <x v="3"/>
    <x v="29"/>
    <x v="37"/>
    <x v="30"/>
    <x v="32"/>
    <x v="0"/>
  </r>
  <r>
    <x v="50"/>
    <x v="51"/>
    <x v="4"/>
    <x v="0"/>
    <x v="3"/>
    <x v="30"/>
    <x v="38"/>
    <x v="35"/>
    <x v="33"/>
    <x v="0"/>
  </r>
  <r>
    <x v="20"/>
    <x v="52"/>
    <x v="0"/>
    <x v="0"/>
    <x v="0"/>
    <x v="7"/>
    <x v="7"/>
    <x v="33"/>
    <x v="7"/>
    <x v="0"/>
  </r>
  <r>
    <x v="5"/>
    <x v="53"/>
    <x v="3"/>
    <x v="1"/>
    <x v="3"/>
    <x v="19"/>
    <x v="24"/>
    <x v="36"/>
    <x v="14"/>
    <x v="0"/>
  </r>
  <r>
    <x v="26"/>
    <x v="54"/>
    <x v="2"/>
    <x v="0"/>
    <x v="2"/>
    <x v="2"/>
    <x v="2"/>
    <x v="37"/>
    <x v="2"/>
    <x v="0"/>
  </r>
  <r>
    <x v="50"/>
    <x v="55"/>
    <x v="0"/>
    <x v="0"/>
    <x v="0"/>
    <x v="8"/>
    <x v="8"/>
    <x v="38"/>
    <x v="8"/>
    <x v="0"/>
  </r>
  <r>
    <x v="34"/>
    <x v="56"/>
    <x v="0"/>
    <x v="0"/>
    <x v="0"/>
    <x v="8"/>
    <x v="8"/>
    <x v="39"/>
    <x v="8"/>
    <x v="0"/>
  </r>
  <r>
    <x v="51"/>
    <x v="57"/>
    <x v="4"/>
    <x v="0"/>
    <x v="3"/>
    <x v="31"/>
    <x v="39"/>
    <x v="40"/>
    <x v="34"/>
    <x v="0"/>
  </r>
  <r>
    <x v="51"/>
    <x v="58"/>
    <x v="0"/>
    <x v="0"/>
    <x v="0"/>
    <x v="8"/>
    <x v="8"/>
    <x v="41"/>
    <x v="8"/>
    <x v="0"/>
  </r>
  <r>
    <x v="52"/>
    <x v="59"/>
    <x v="4"/>
    <x v="0"/>
    <x v="3"/>
    <x v="32"/>
    <x v="40"/>
    <x v="7"/>
    <x v="35"/>
    <x v="0"/>
  </r>
  <r>
    <x v="53"/>
    <x v="60"/>
    <x v="1"/>
    <x v="0"/>
    <x v="1"/>
    <x v="33"/>
    <x v="41"/>
    <x v="42"/>
    <x v="36"/>
    <x v="0"/>
  </r>
  <r>
    <x v="54"/>
    <x v="61"/>
    <x v="1"/>
    <x v="0"/>
    <x v="1"/>
    <x v="34"/>
    <x v="42"/>
    <x v="12"/>
    <x v="37"/>
    <x v="0"/>
  </r>
  <r>
    <x v="55"/>
    <x v="62"/>
    <x v="4"/>
    <x v="0"/>
    <x v="3"/>
    <x v="32"/>
    <x v="40"/>
    <x v="43"/>
    <x v="35"/>
    <x v="0"/>
  </r>
  <r>
    <x v="56"/>
    <x v="63"/>
    <x v="1"/>
    <x v="0"/>
    <x v="1"/>
    <x v="35"/>
    <x v="43"/>
    <x v="44"/>
    <x v="38"/>
    <x v="0"/>
  </r>
  <r>
    <x v="57"/>
    <x v="64"/>
    <x v="2"/>
    <x v="0"/>
    <x v="2"/>
    <x v="36"/>
    <x v="44"/>
    <x v="45"/>
    <x v="30"/>
    <x v="0"/>
  </r>
  <r>
    <x v="58"/>
    <x v="65"/>
    <x v="2"/>
    <x v="0"/>
    <x v="2"/>
    <x v="37"/>
    <x v="45"/>
    <x v="5"/>
    <x v="39"/>
    <x v="0"/>
  </r>
  <r>
    <x v="59"/>
    <x v="66"/>
    <x v="2"/>
    <x v="0"/>
    <x v="2"/>
    <x v="8"/>
    <x v="35"/>
    <x v="46"/>
    <x v="18"/>
    <x v="0"/>
  </r>
  <r>
    <x v="60"/>
    <x v="67"/>
    <x v="1"/>
    <x v="0"/>
    <x v="1"/>
    <x v="38"/>
    <x v="46"/>
    <x v="47"/>
    <x v="40"/>
    <x v="0"/>
  </r>
  <r>
    <x v="61"/>
    <x v="68"/>
    <x v="3"/>
    <x v="1"/>
    <x v="3"/>
    <x v="6"/>
    <x v="21"/>
    <x v="13"/>
    <x v="20"/>
    <x v="0"/>
  </r>
  <r>
    <x v="62"/>
    <x v="69"/>
    <x v="4"/>
    <x v="0"/>
    <x v="3"/>
    <x v="39"/>
    <x v="47"/>
    <x v="48"/>
    <x v="41"/>
    <x v="0"/>
  </r>
  <r>
    <x v="63"/>
    <x v="70"/>
    <x v="1"/>
    <x v="0"/>
    <x v="1"/>
    <x v="40"/>
    <x v="48"/>
    <x v="49"/>
    <x v="42"/>
    <x v="0"/>
  </r>
  <r>
    <x v="45"/>
    <x v="71"/>
    <x v="3"/>
    <x v="1"/>
    <x v="3"/>
    <x v="18"/>
    <x v="18"/>
    <x v="50"/>
    <x v="18"/>
    <x v="0"/>
  </r>
  <r>
    <x v="64"/>
    <x v="72"/>
    <x v="2"/>
    <x v="0"/>
    <x v="2"/>
    <x v="7"/>
    <x v="49"/>
    <x v="51"/>
    <x v="8"/>
    <x v="0"/>
  </r>
  <r>
    <x v="65"/>
    <x v="73"/>
    <x v="2"/>
    <x v="0"/>
    <x v="2"/>
    <x v="41"/>
    <x v="50"/>
    <x v="12"/>
    <x v="43"/>
    <x v="0"/>
  </r>
  <r>
    <x v="34"/>
    <x v="74"/>
    <x v="2"/>
    <x v="0"/>
    <x v="2"/>
    <x v="42"/>
    <x v="51"/>
    <x v="4"/>
    <x v="44"/>
    <x v="0"/>
  </r>
  <r>
    <x v="66"/>
    <x v="75"/>
    <x v="3"/>
    <x v="1"/>
    <x v="3"/>
    <x v="43"/>
    <x v="52"/>
    <x v="52"/>
    <x v="45"/>
    <x v="0"/>
  </r>
  <r>
    <x v="67"/>
    <x v="76"/>
    <x v="3"/>
    <x v="1"/>
    <x v="3"/>
    <x v="1"/>
    <x v="53"/>
    <x v="53"/>
    <x v="46"/>
    <x v="0"/>
  </r>
  <r>
    <x v="38"/>
    <x v="77"/>
    <x v="3"/>
    <x v="1"/>
    <x v="3"/>
    <x v="1"/>
    <x v="53"/>
    <x v="54"/>
    <x v="46"/>
    <x v="0"/>
  </r>
  <r>
    <x v="68"/>
    <x v="78"/>
    <x v="4"/>
    <x v="0"/>
    <x v="3"/>
    <x v="11"/>
    <x v="11"/>
    <x v="43"/>
    <x v="11"/>
    <x v="0"/>
  </r>
  <r>
    <x v="69"/>
    <x v="79"/>
    <x v="4"/>
    <x v="0"/>
    <x v="3"/>
    <x v="44"/>
    <x v="54"/>
    <x v="55"/>
    <x v="47"/>
    <x v="0"/>
  </r>
  <r>
    <x v="70"/>
    <x v="80"/>
    <x v="4"/>
    <x v="0"/>
    <x v="3"/>
    <x v="17"/>
    <x v="17"/>
    <x v="56"/>
    <x v="17"/>
    <x v="0"/>
  </r>
  <r>
    <x v="46"/>
    <x v="81"/>
    <x v="2"/>
    <x v="0"/>
    <x v="2"/>
    <x v="42"/>
    <x v="51"/>
    <x v="46"/>
    <x v="44"/>
    <x v="0"/>
  </r>
  <r>
    <x v="71"/>
    <x v="82"/>
    <x v="0"/>
    <x v="0"/>
    <x v="0"/>
    <x v="7"/>
    <x v="7"/>
    <x v="22"/>
    <x v="7"/>
    <x v="0"/>
  </r>
  <r>
    <x v="72"/>
    <x v="83"/>
    <x v="3"/>
    <x v="1"/>
    <x v="3"/>
    <x v="0"/>
    <x v="55"/>
    <x v="57"/>
    <x v="8"/>
    <x v="0"/>
  </r>
  <r>
    <x v="73"/>
    <x v="84"/>
    <x v="2"/>
    <x v="0"/>
    <x v="2"/>
    <x v="37"/>
    <x v="45"/>
    <x v="20"/>
    <x v="39"/>
    <x v="0"/>
  </r>
  <r>
    <x v="74"/>
    <x v="85"/>
    <x v="3"/>
    <x v="1"/>
    <x v="3"/>
    <x v="45"/>
    <x v="56"/>
    <x v="58"/>
    <x v="48"/>
    <x v="0"/>
  </r>
  <r>
    <x v="75"/>
    <x v="86"/>
    <x v="2"/>
    <x v="0"/>
    <x v="2"/>
    <x v="41"/>
    <x v="50"/>
    <x v="59"/>
    <x v="43"/>
    <x v="0"/>
  </r>
  <r>
    <x v="76"/>
    <x v="87"/>
    <x v="3"/>
    <x v="1"/>
    <x v="3"/>
    <x v="12"/>
    <x v="12"/>
    <x v="60"/>
    <x v="12"/>
    <x v="0"/>
  </r>
  <r>
    <x v="77"/>
    <x v="88"/>
    <x v="4"/>
    <x v="0"/>
    <x v="3"/>
    <x v="5"/>
    <x v="31"/>
    <x v="43"/>
    <x v="28"/>
    <x v="0"/>
  </r>
  <r>
    <x v="78"/>
    <x v="89"/>
    <x v="3"/>
    <x v="1"/>
    <x v="3"/>
    <x v="5"/>
    <x v="31"/>
    <x v="61"/>
    <x v="28"/>
    <x v="0"/>
  </r>
  <r>
    <x v="8"/>
    <x v="90"/>
    <x v="0"/>
    <x v="0"/>
    <x v="0"/>
    <x v="19"/>
    <x v="19"/>
    <x v="5"/>
    <x v="19"/>
    <x v="0"/>
  </r>
  <r>
    <x v="79"/>
    <x v="91"/>
    <x v="4"/>
    <x v="0"/>
    <x v="3"/>
    <x v="30"/>
    <x v="38"/>
    <x v="35"/>
    <x v="33"/>
    <x v="0"/>
  </r>
  <r>
    <x v="80"/>
    <x v="92"/>
    <x v="3"/>
    <x v="1"/>
    <x v="3"/>
    <x v="7"/>
    <x v="20"/>
    <x v="23"/>
    <x v="10"/>
    <x v="0"/>
  </r>
  <r>
    <x v="81"/>
    <x v="93"/>
    <x v="3"/>
    <x v="1"/>
    <x v="3"/>
    <x v="5"/>
    <x v="31"/>
    <x v="5"/>
    <x v="28"/>
    <x v="0"/>
  </r>
  <r>
    <x v="82"/>
    <x v="94"/>
    <x v="1"/>
    <x v="0"/>
    <x v="1"/>
    <x v="33"/>
    <x v="41"/>
    <x v="62"/>
    <x v="36"/>
    <x v="0"/>
  </r>
  <r>
    <x v="83"/>
    <x v="95"/>
    <x v="2"/>
    <x v="0"/>
    <x v="2"/>
    <x v="46"/>
    <x v="47"/>
    <x v="63"/>
    <x v="1"/>
    <x v="0"/>
  </r>
  <r>
    <x v="82"/>
    <x v="96"/>
    <x v="3"/>
    <x v="1"/>
    <x v="3"/>
    <x v="15"/>
    <x v="15"/>
    <x v="63"/>
    <x v="15"/>
    <x v="0"/>
  </r>
  <r>
    <x v="84"/>
    <x v="97"/>
    <x v="1"/>
    <x v="0"/>
    <x v="1"/>
    <x v="47"/>
    <x v="57"/>
    <x v="64"/>
    <x v="49"/>
    <x v="0"/>
  </r>
  <r>
    <x v="85"/>
    <x v="98"/>
    <x v="1"/>
    <x v="0"/>
    <x v="1"/>
    <x v="48"/>
    <x v="58"/>
    <x v="21"/>
    <x v="50"/>
    <x v="0"/>
  </r>
  <r>
    <x v="86"/>
    <x v="99"/>
    <x v="4"/>
    <x v="0"/>
    <x v="3"/>
    <x v="17"/>
    <x v="17"/>
    <x v="23"/>
    <x v="17"/>
    <x v="0"/>
  </r>
  <r>
    <x v="87"/>
    <x v="100"/>
    <x v="3"/>
    <x v="1"/>
    <x v="3"/>
    <x v="29"/>
    <x v="37"/>
    <x v="2"/>
    <x v="32"/>
    <x v="0"/>
  </r>
  <r>
    <x v="88"/>
    <x v="101"/>
    <x v="4"/>
    <x v="0"/>
    <x v="3"/>
    <x v="17"/>
    <x v="17"/>
    <x v="65"/>
    <x v="17"/>
    <x v="0"/>
  </r>
  <r>
    <x v="24"/>
    <x v="102"/>
    <x v="1"/>
    <x v="0"/>
    <x v="1"/>
    <x v="4"/>
    <x v="4"/>
    <x v="54"/>
    <x v="4"/>
    <x v="0"/>
  </r>
  <r>
    <x v="89"/>
    <x v="103"/>
    <x v="0"/>
    <x v="0"/>
    <x v="0"/>
    <x v="5"/>
    <x v="5"/>
    <x v="0"/>
    <x v="5"/>
    <x v="0"/>
  </r>
  <r>
    <x v="90"/>
    <x v="104"/>
    <x v="3"/>
    <x v="1"/>
    <x v="3"/>
    <x v="49"/>
    <x v="59"/>
    <x v="46"/>
    <x v="51"/>
    <x v="0"/>
  </r>
  <r>
    <x v="91"/>
    <x v="105"/>
    <x v="4"/>
    <x v="0"/>
    <x v="3"/>
    <x v="50"/>
    <x v="60"/>
    <x v="1"/>
    <x v="52"/>
    <x v="0"/>
  </r>
  <r>
    <x v="92"/>
    <x v="106"/>
    <x v="4"/>
    <x v="0"/>
    <x v="3"/>
    <x v="30"/>
    <x v="38"/>
    <x v="29"/>
    <x v="33"/>
    <x v="0"/>
  </r>
  <r>
    <x v="93"/>
    <x v="107"/>
    <x v="0"/>
    <x v="0"/>
    <x v="0"/>
    <x v="0"/>
    <x v="0"/>
    <x v="66"/>
    <x v="0"/>
    <x v="0"/>
  </r>
  <r>
    <x v="94"/>
    <x v="108"/>
    <x v="2"/>
    <x v="0"/>
    <x v="2"/>
    <x v="46"/>
    <x v="47"/>
    <x v="67"/>
    <x v="1"/>
    <x v="0"/>
  </r>
  <r>
    <x v="89"/>
    <x v="109"/>
    <x v="2"/>
    <x v="0"/>
    <x v="2"/>
    <x v="51"/>
    <x v="61"/>
    <x v="68"/>
    <x v="53"/>
    <x v="0"/>
  </r>
  <r>
    <x v="95"/>
    <x v="110"/>
    <x v="0"/>
    <x v="0"/>
    <x v="0"/>
    <x v="5"/>
    <x v="5"/>
    <x v="69"/>
    <x v="5"/>
    <x v="0"/>
  </r>
  <r>
    <x v="96"/>
    <x v="111"/>
    <x v="0"/>
    <x v="0"/>
    <x v="0"/>
    <x v="0"/>
    <x v="0"/>
    <x v="70"/>
    <x v="0"/>
    <x v="0"/>
  </r>
  <r>
    <x v="66"/>
    <x v="112"/>
    <x v="1"/>
    <x v="0"/>
    <x v="1"/>
    <x v="52"/>
    <x v="62"/>
    <x v="29"/>
    <x v="54"/>
    <x v="0"/>
  </r>
  <r>
    <x v="97"/>
    <x v="113"/>
    <x v="1"/>
    <x v="0"/>
    <x v="1"/>
    <x v="18"/>
    <x v="63"/>
    <x v="2"/>
    <x v="6"/>
    <x v="0"/>
  </r>
  <r>
    <x v="41"/>
    <x v="114"/>
    <x v="1"/>
    <x v="0"/>
    <x v="1"/>
    <x v="1"/>
    <x v="1"/>
    <x v="35"/>
    <x v="1"/>
    <x v="0"/>
  </r>
  <r>
    <x v="98"/>
    <x v="115"/>
    <x v="3"/>
    <x v="1"/>
    <x v="3"/>
    <x v="15"/>
    <x v="15"/>
    <x v="71"/>
    <x v="15"/>
    <x v="0"/>
  </r>
  <r>
    <x v="99"/>
    <x v="116"/>
    <x v="3"/>
    <x v="1"/>
    <x v="3"/>
    <x v="29"/>
    <x v="37"/>
    <x v="45"/>
    <x v="32"/>
    <x v="0"/>
  </r>
  <r>
    <x v="100"/>
    <x v="117"/>
    <x v="1"/>
    <x v="0"/>
    <x v="1"/>
    <x v="53"/>
    <x v="64"/>
    <x v="60"/>
    <x v="55"/>
    <x v="0"/>
  </r>
  <r>
    <x v="101"/>
    <x v="118"/>
    <x v="2"/>
    <x v="0"/>
    <x v="2"/>
    <x v="8"/>
    <x v="35"/>
    <x v="72"/>
    <x v="18"/>
    <x v="0"/>
  </r>
  <r>
    <x v="102"/>
    <x v="119"/>
    <x v="0"/>
    <x v="0"/>
    <x v="0"/>
    <x v="8"/>
    <x v="8"/>
    <x v="73"/>
    <x v="8"/>
    <x v="0"/>
  </r>
  <r>
    <x v="103"/>
    <x v="120"/>
    <x v="3"/>
    <x v="1"/>
    <x v="3"/>
    <x v="12"/>
    <x v="12"/>
    <x v="3"/>
    <x v="12"/>
    <x v="0"/>
  </r>
  <r>
    <x v="104"/>
    <x v="121"/>
    <x v="1"/>
    <x v="0"/>
    <x v="1"/>
    <x v="54"/>
    <x v="65"/>
    <x v="18"/>
    <x v="56"/>
    <x v="0"/>
  </r>
  <r>
    <x v="50"/>
    <x v="122"/>
    <x v="0"/>
    <x v="0"/>
    <x v="0"/>
    <x v="0"/>
    <x v="0"/>
    <x v="74"/>
    <x v="0"/>
    <x v="0"/>
  </r>
  <r>
    <x v="105"/>
    <x v="123"/>
    <x v="3"/>
    <x v="1"/>
    <x v="3"/>
    <x v="2"/>
    <x v="34"/>
    <x v="45"/>
    <x v="30"/>
    <x v="0"/>
  </r>
  <r>
    <x v="106"/>
    <x v="124"/>
    <x v="3"/>
    <x v="1"/>
    <x v="3"/>
    <x v="15"/>
    <x v="15"/>
    <x v="37"/>
    <x v="15"/>
    <x v="0"/>
  </r>
  <r>
    <x v="107"/>
    <x v="125"/>
    <x v="1"/>
    <x v="0"/>
    <x v="1"/>
    <x v="24"/>
    <x v="29"/>
    <x v="10"/>
    <x v="26"/>
    <x v="0"/>
  </r>
  <r>
    <x v="53"/>
    <x v="126"/>
    <x v="1"/>
    <x v="0"/>
    <x v="1"/>
    <x v="52"/>
    <x v="62"/>
    <x v="47"/>
    <x v="54"/>
    <x v="0"/>
  </r>
  <r>
    <x v="108"/>
    <x v="127"/>
    <x v="2"/>
    <x v="0"/>
    <x v="2"/>
    <x v="46"/>
    <x v="47"/>
    <x v="15"/>
    <x v="1"/>
    <x v="0"/>
  </r>
  <r>
    <x v="109"/>
    <x v="128"/>
    <x v="2"/>
    <x v="0"/>
    <x v="2"/>
    <x v="3"/>
    <x v="3"/>
    <x v="14"/>
    <x v="3"/>
    <x v="0"/>
  </r>
  <r>
    <x v="28"/>
    <x v="129"/>
    <x v="4"/>
    <x v="0"/>
    <x v="3"/>
    <x v="55"/>
    <x v="66"/>
    <x v="37"/>
    <x v="57"/>
    <x v="0"/>
  </r>
  <r>
    <x v="12"/>
    <x v="130"/>
    <x v="3"/>
    <x v="1"/>
    <x v="3"/>
    <x v="5"/>
    <x v="31"/>
    <x v="63"/>
    <x v="28"/>
    <x v="0"/>
  </r>
  <r>
    <x v="50"/>
    <x v="131"/>
    <x v="3"/>
    <x v="1"/>
    <x v="3"/>
    <x v="43"/>
    <x v="52"/>
    <x v="75"/>
    <x v="45"/>
    <x v="0"/>
  </r>
  <r>
    <x v="29"/>
    <x v="132"/>
    <x v="4"/>
    <x v="0"/>
    <x v="3"/>
    <x v="56"/>
    <x v="67"/>
    <x v="40"/>
    <x v="58"/>
    <x v="0"/>
  </r>
  <r>
    <x v="110"/>
    <x v="133"/>
    <x v="1"/>
    <x v="0"/>
    <x v="1"/>
    <x v="33"/>
    <x v="41"/>
    <x v="18"/>
    <x v="36"/>
    <x v="0"/>
  </r>
  <r>
    <x v="111"/>
    <x v="134"/>
    <x v="2"/>
    <x v="0"/>
    <x v="2"/>
    <x v="36"/>
    <x v="44"/>
    <x v="36"/>
    <x v="30"/>
    <x v="0"/>
  </r>
  <r>
    <x v="112"/>
    <x v="135"/>
    <x v="2"/>
    <x v="0"/>
    <x v="2"/>
    <x v="3"/>
    <x v="3"/>
    <x v="27"/>
    <x v="3"/>
    <x v="0"/>
  </r>
  <r>
    <x v="113"/>
    <x v="136"/>
    <x v="1"/>
    <x v="0"/>
    <x v="1"/>
    <x v="25"/>
    <x v="30"/>
    <x v="15"/>
    <x v="27"/>
    <x v="0"/>
  </r>
  <r>
    <x v="114"/>
    <x v="137"/>
    <x v="1"/>
    <x v="0"/>
    <x v="1"/>
    <x v="24"/>
    <x v="29"/>
    <x v="56"/>
    <x v="26"/>
    <x v="0"/>
  </r>
  <r>
    <x v="89"/>
    <x v="138"/>
    <x v="0"/>
    <x v="0"/>
    <x v="0"/>
    <x v="7"/>
    <x v="7"/>
    <x v="25"/>
    <x v="7"/>
    <x v="0"/>
  </r>
  <r>
    <x v="115"/>
    <x v="139"/>
    <x v="4"/>
    <x v="0"/>
    <x v="3"/>
    <x v="56"/>
    <x v="67"/>
    <x v="43"/>
    <x v="58"/>
    <x v="0"/>
  </r>
  <r>
    <x v="12"/>
    <x v="140"/>
    <x v="0"/>
    <x v="0"/>
    <x v="0"/>
    <x v="0"/>
    <x v="0"/>
    <x v="64"/>
    <x v="0"/>
    <x v="0"/>
  </r>
  <r>
    <x v="14"/>
    <x v="141"/>
    <x v="0"/>
    <x v="0"/>
    <x v="0"/>
    <x v="5"/>
    <x v="5"/>
    <x v="66"/>
    <x v="5"/>
    <x v="0"/>
  </r>
  <r>
    <x v="101"/>
    <x v="142"/>
    <x v="2"/>
    <x v="0"/>
    <x v="2"/>
    <x v="42"/>
    <x v="51"/>
    <x v="71"/>
    <x v="44"/>
    <x v="0"/>
  </r>
  <r>
    <x v="26"/>
    <x v="143"/>
    <x v="3"/>
    <x v="1"/>
    <x v="3"/>
    <x v="46"/>
    <x v="68"/>
    <x v="20"/>
    <x v="43"/>
    <x v="0"/>
  </r>
  <r>
    <x v="47"/>
    <x v="144"/>
    <x v="0"/>
    <x v="0"/>
    <x v="0"/>
    <x v="5"/>
    <x v="5"/>
    <x v="73"/>
    <x v="5"/>
    <x v="0"/>
  </r>
  <r>
    <x v="116"/>
    <x v="145"/>
    <x v="2"/>
    <x v="0"/>
    <x v="2"/>
    <x v="51"/>
    <x v="61"/>
    <x v="61"/>
    <x v="53"/>
    <x v="0"/>
  </r>
  <r>
    <x v="117"/>
    <x v="146"/>
    <x v="3"/>
    <x v="1"/>
    <x v="3"/>
    <x v="57"/>
    <x v="69"/>
    <x v="14"/>
    <x v="59"/>
    <x v="0"/>
  </r>
  <r>
    <x v="118"/>
    <x v="147"/>
    <x v="4"/>
    <x v="0"/>
    <x v="3"/>
    <x v="7"/>
    <x v="20"/>
    <x v="68"/>
    <x v="10"/>
    <x v="0"/>
  </r>
  <r>
    <x v="119"/>
    <x v="148"/>
    <x v="0"/>
    <x v="0"/>
    <x v="0"/>
    <x v="5"/>
    <x v="5"/>
    <x v="76"/>
    <x v="5"/>
    <x v="0"/>
  </r>
  <r>
    <x v="120"/>
    <x v="149"/>
    <x v="1"/>
    <x v="0"/>
    <x v="1"/>
    <x v="48"/>
    <x v="58"/>
    <x v="20"/>
    <x v="50"/>
    <x v="0"/>
  </r>
  <r>
    <x v="121"/>
    <x v="150"/>
    <x v="3"/>
    <x v="1"/>
    <x v="3"/>
    <x v="9"/>
    <x v="70"/>
    <x v="31"/>
    <x v="60"/>
    <x v="0"/>
  </r>
  <r>
    <x v="122"/>
    <x v="151"/>
    <x v="0"/>
    <x v="0"/>
    <x v="0"/>
    <x v="19"/>
    <x v="19"/>
    <x v="77"/>
    <x v="19"/>
    <x v="0"/>
  </r>
  <r>
    <x v="123"/>
    <x v="152"/>
    <x v="0"/>
    <x v="0"/>
    <x v="0"/>
    <x v="7"/>
    <x v="7"/>
    <x v="77"/>
    <x v="7"/>
    <x v="0"/>
  </r>
  <r>
    <x v="124"/>
    <x v="153"/>
    <x v="0"/>
    <x v="0"/>
    <x v="0"/>
    <x v="7"/>
    <x v="7"/>
    <x v="78"/>
    <x v="7"/>
    <x v="0"/>
  </r>
  <r>
    <x v="125"/>
    <x v="154"/>
    <x v="4"/>
    <x v="0"/>
    <x v="3"/>
    <x v="58"/>
    <x v="71"/>
    <x v="2"/>
    <x v="61"/>
    <x v="0"/>
  </r>
  <r>
    <x v="126"/>
    <x v="155"/>
    <x v="2"/>
    <x v="0"/>
    <x v="2"/>
    <x v="13"/>
    <x v="13"/>
    <x v="11"/>
    <x v="13"/>
    <x v="0"/>
  </r>
  <r>
    <x v="127"/>
    <x v="156"/>
    <x v="0"/>
    <x v="0"/>
    <x v="0"/>
    <x v="5"/>
    <x v="5"/>
    <x v="5"/>
    <x v="5"/>
    <x v="0"/>
  </r>
  <r>
    <x v="128"/>
    <x v="157"/>
    <x v="1"/>
    <x v="0"/>
    <x v="1"/>
    <x v="25"/>
    <x v="30"/>
    <x v="12"/>
    <x v="27"/>
    <x v="0"/>
  </r>
  <r>
    <x v="129"/>
    <x v="158"/>
    <x v="4"/>
    <x v="0"/>
    <x v="3"/>
    <x v="30"/>
    <x v="38"/>
    <x v="48"/>
    <x v="33"/>
    <x v="0"/>
  </r>
  <r>
    <x v="113"/>
    <x v="159"/>
    <x v="4"/>
    <x v="0"/>
    <x v="3"/>
    <x v="59"/>
    <x v="72"/>
    <x v="29"/>
    <x v="62"/>
    <x v="0"/>
  </r>
  <r>
    <x v="59"/>
    <x v="160"/>
    <x v="1"/>
    <x v="0"/>
    <x v="1"/>
    <x v="47"/>
    <x v="57"/>
    <x v="58"/>
    <x v="49"/>
    <x v="0"/>
  </r>
  <r>
    <x v="79"/>
    <x v="161"/>
    <x v="0"/>
    <x v="0"/>
    <x v="0"/>
    <x v="5"/>
    <x v="5"/>
    <x v="70"/>
    <x v="5"/>
    <x v="0"/>
  </r>
  <r>
    <x v="118"/>
    <x v="162"/>
    <x v="1"/>
    <x v="0"/>
    <x v="1"/>
    <x v="24"/>
    <x v="29"/>
    <x v="51"/>
    <x v="26"/>
    <x v="0"/>
  </r>
  <r>
    <x v="130"/>
    <x v="163"/>
    <x v="2"/>
    <x v="0"/>
    <x v="2"/>
    <x v="13"/>
    <x v="13"/>
    <x v="79"/>
    <x v="13"/>
    <x v="0"/>
  </r>
  <r>
    <x v="131"/>
    <x v="164"/>
    <x v="2"/>
    <x v="0"/>
    <x v="2"/>
    <x v="13"/>
    <x v="13"/>
    <x v="71"/>
    <x v="13"/>
    <x v="0"/>
  </r>
  <r>
    <x v="103"/>
    <x v="165"/>
    <x v="3"/>
    <x v="1"/>
    <x v="3"/>
    <x v="18"/>
    <x v="18"/>
    <x v="39"/>
    <x v="18"/>
    <x v="0"/>
  </r>
  <r>
    <x v="132"/>
    <x v="166"/>
    <x v="4"/>
    <x v="0"/>
    <x v="3"/>
    <x v="39"/>
    <x v="47"/>
    <x v="53"/>
    <x v="41"/>
    <x v="0"/>
  </r>
  <r>
    <x v="44"/>
    <x v="167"/>
    <x v="3"/>
    <x v="1"/>
    <x v="3"/>
    <x v="46"/>
    <x v="68"/>
    <x v="4"/>
    <x v="43"/>
    <x v="0"/>
  </r>
  <r>
    <x v="133"/>
    <x v="168"/>
    <x v="2"/>
    <x v="0"/>
    <x v="2"/>
    <x v="42"/>
    <x v="51"/>
    <x v="51"/>
    <x v="44"/>
    <x v="0"/>
  </r>
  <r>
    <x v="134"/>
    <x v="169"/>
    <x v="0"/>
    <x v="0"/>
    <x v="0"/>
    <x v="5"/>
    <x v="5"/>
    <x v="69"/>
    <x v="5"/>
    <x v="0"/>
  </r>
  <r>
    <x v="135"/>
    <x v="170"/>
    <x v="2"/>
    <x v="0"/>
    <x v="2"/>
    <x v="8"/>
    <x v="35"/>
    <x v="47"/>
    <x v="18"/>
    <x v="0"/>
  </r>
  <r>
    <x v="50"/>
    <x v="171"/>
    <x v="1"/>
    <x v="0"/>
    <x v="1"/>
    <x v="19"/>
    <x v="73"/>
    <x v="43"/>
    <x v="46"/>
    <x v="0"/>
  </r>
  <r>
    <x v="136"/>
    <x v="172"/>
    <x v="0"/>
    <x v="0"/>
    <x v="0"/>
    <x v="0"/>
    <x v="0"/>
    <x v="45"/>
    <x v="0"/>
    <x v="0"/>
  </r>
  <r>
    <x v="137"/>
    <x v="173"/>
    <x v="1"/>
    <x v="0"/>
    <x v="1"/>
    <x v="4"/>
    <x v="4"/>
    <x v="52"/>
    <x v="4"/>
    <x v="0"/>
  </r>
  <r>
    <x v="68"/>
    <x v="174"/>
    <x v="4"/>
    <x v="0"/>
    <x v="3"/>
    <x v="32"/>
    <x v="40"/>
    <x v="29"/>
    <x v="35"/>
    <x v="0"/>
  </r>
  <r>
    <x v="78"/>
    <x v="175"/>
    <x v="2"/>
    <x v="0"/>
    <x v="2"/>
    <x v="10"/>
    <x v="10"/>
    <x v="51"/>
    <x v="10"/>
    <x v="0"/>
  </r>
  <r>
    <x v="138"/>
    <x v="176"/>
    <x v="1"/>
    <x v="0"/>
    <x v="1"/>
    <x v="60"/>
    <x v="74"/>
    <x v="37"/>
    <x v="63"/>
    <x v="0"/>
  </r>
  <r>
    <x v="114"/>
    <x v="177"/>
    <x v="0"/>
    <x v="0"/>
    <x v="0"/>
    <x v="8"/>
    <x v="8"/>
    <x v="78"/>
    <x v="8"/>
    <x v="0"/>
  </r>
  <r>
    <x v="139"/>
    <x v="178"/>
    <x v="4"/>
    <x v="0"/>
    <x v="3"/>
    <x v="31"/>
    <x v="39"/>
    <x v="29"/>
    <x v="34"/>
    <x v="0"/>
  </r>
  <r>
    <x v="138"/>
    <x v="179"/>
    <x v="2"/>
    <x v="0"/>
    <x v="2"/>
    <x v="61"/>
    <x v="75"/>
    <x v="65"/>
    <x v="64"/>
    <x v="0"/>
  </r>
  <r>
    <x v="123"/>
    <x v="180"/>
    <x v="1"/>
    <x v="0"/>
    <x v="1"/>
    <x v="16"/>
    <x v="76"/>
    <x v="79"/>
    <x v="65"/>
    <x v="0"/>
  </r>
  <r>
    <x v="24"/>
    <x v="181"/>
    <x v="4"/>
    <x v="0"/>
    <x v="3"/>
    <x v="62"/>
    <x v="77"/>
    <x v="80"/>
    <x v="66"/>
    <x v="0"/>
  </r>
  <r>
    <x v="140"/>
    <x v="182"/>
    <x v="2"/>
    <x v="0"/>
    <x v="2"/>
    <x v="7"/>
    <x v="49"/>
    <x v="81"/>
    <x v="8"/>
    <x v="0"/>
  </r>
  <r>
    <x v="141"/>
    <x v="183"/>
    <x v="2"/>
    <x v="0"/>
    <x v="2"/>
    <x v="61"/>
    <x v="75"/>
    <x v="27"/>
    <x v="64"/>
    <x v="0"/>
  </r>
  <r>
    <x v="142"/>
    <x v="184"/>
    <x v="3"/>
    <x v="1"/>
    <x v="3"/>
    <x v="43"/>
    <x v="52"/>
    <x v="55"/>
    <x v="45"/>
    <x v="0"/>
  </r>
  <r>
    <x v="143"/>
    <x v="185"/>
    <x v="3"/>
    <x v="1"/>
    <x v="3"/>
    <x v="57"/>
    <x v="69"/>
    <x v="20"/>
    <x v="59"/>
    <x v="0"/>
  </r>
  <r>
    <x v="80"/>
    <x v="186"/>
    <x v="0"/>
    <x v="0"/>
    <x v="0"/>
    <x v="5"/>
    <x v="5"/>
    <x v="82"/>
    <x v="5"/>
    <x v="0"/>
  </r>
  <r>
    <x v="19"/>
    <x v="187"/>
    <x v="1"/>
    <x v="0"/>
    <x v="1"/>
    <x v="38"/>
    <x v="46"/>
    <x v="42"/>
    <x v="40"/>
    <x v="0"/>
  </r>
  <r>
    <x v="144"/>
    <x v="188"/>
    <x v="0"/>
    <x v="0"/>
    <x v="0"/>
    <x v="8"/>
    <x v="8"/>
    <x v="73"/>
    <x v="8"/>
    <x v="0"/>
  </r>
  <r>
    <x v="145"/>
    <x v="189"/>
    <x v="3"/>
    <x v="1"/>
    <x v="3"/>
    <x v="12"/>
    <x v="12"/>
    <x v="83"/>
    <x v="12"/>
    <x v="0"/>
  </r>
  <r>
    <x v="146"/>
    <x v="190"/>
    <x v="2"/>
    <x v="0"/>
    <x v="2"/>
    <x v="63"/>
    <x v="78"/>
    <x v="84"/>
    <x v="67"/>
    <x v="0"/>
  </r>
  <r>
    <x v="136"/>
    <x v="191"/>
    <x v="3"/>
    <x v="1"/>
    <x v="3"/>
    <x v="19"/>
    <x v="24"/>
    <x v="65"/>
    <x v="14"/>
    <x v="0"/>
  </r>
  <r>
    <x v="109"/>
    <x v="192"/>
    <x v="3"/>
    <x v="1"/>
    <x v="3"/>
    <x v="9"/>
    <x v="70"/>
    <x v="43"/>
    <x v="60"/>
    <x v="0"/>
  </r>
  <r>
    <x v="147"/>
    <x v="193"/>
    <x v="0"/>
    <x v="0"/>
    <x v="0"/>
    <x v="0"/>
    <x v="0"/>
    <x v="6"/>
    <x v="0"/>
    <x v="0"/>
  </r>
  <r>
    <x v="148"/>
    <x v="194"/>
    <x v="4"/>
    <x v="0"/>
    <x v="3"/>
    <x v="64"/>
    <x v="79"/>
    <x v="60"/>
    <x v="68"/>
    <x v="0"/>
  </r>
  <r>
    <x v="149"/>
    <x v="195"/>
    <x v="2"/>
    <x v="0"/>
    <x v="2"/>
    <x v="10"/>
    <x v="10"/>
    <x v="85"/>
    <x v="10"/>
    <x v="0"/>
  </r>
  <r>
    <x v="109"/>
    <x v="196"/>
    <x v="1"/>
    <x v="0"/>
    <x v="1"/>
    <x v="18"/>
    <x v="63"/>
    <x v="28"/>
    <x v="6"/>
    <x v="0"/>
  </r>
  <r>
    <x v="102"/>
    <x v="197"/>
    <x v="4"/>
    <x v="0"/>
    <x v="3"/>
    <x v="16"/>
    <x v="16"/>
    <x v="62"/>
    <x v="16"/>
    <x v="0"/>
  </r>
  <r>
    <x v="150"/>
    <x v="198"/>
    <x v="2"/>
    <x v="0"/>
    <x v="2"/>
    <x v="22"/>
    <x v="25"/>
    <x v="43"/>
    <x v="20"/>
    <x v="0"/>
  </r>
  <r>
    <x v="151"/>
    <x v="199"/>
    <x v="1"/>
    <x v="0"/>
    <x v="1"/>
    <x v="47"/>
    <x v="57"/>
    <x v="15"/>
    <x v="49"/>
    <x v="0"/>
  </r>
  <r>
    <x v="152"/>
    <x v="200"/>
    <x v="3"/>
    <x v="1"/>
    <x v="3"/>
    <x v="18"/>
    <x v="18"/>
    <x v="80"/>
    <x v="18"/>
    <x v="0"/>
  </r>
  <r>
    <x v="24"/>
    <x v="201"/>
    <x v="2"/>
    <x v="0"/>
    <x v="2"/>
    <x v="61"/>
    <x v="75"/>
    <x v="29"/>
    <x v="64"/>
    <x v="0"/>
  </r>
  <r>
    <x v="153"/>
    <x v="202"/>
    <x v="4"/>
    <x v="0"/>
    <x v="3"/>
    <x v="21"/>
    <x v="23"/>
    <x v="65"/>
    <x v="22"/>
    <x v="0"/>
  </r>
  <r>
    <x v="154"/>
    <x v="203"/>
    <x v="0"/>
    <x v="0"/>
    <x v="0"/>
    <x v="8"/>
    <x v="8"/>
    <x v="82"/>
    <x v="8"/>
    <x v="0"/>
  </r>
  <r>
    <x v="155"/>
    <x v="204"/>
    <x v="2"/>
    <x v="0"/>
    <x v="2"/>
    <x v="41"/>
    <x v="50"/>
    <x v="86"/>
    <x v="43"/>
    <x v="0"/>
  </r>
  <r>
    <x v="156"/>
    <x v="205"/>
    <x v="4"/>
    <x v="0"/>
    <x v="3"/>
    <x v="65"/>
    <x v="80"/>
    <x v="37"/>
    <x v="69"/>
    <x v="0"/>
  </r>
  <r>
    <x v="98"/>
    <x v="206"/>
    <x v="1"/>
    <x v="0"/>
    <x v="1"/>
    <x v="24"/>
    <x v="29"/>
    <x v="19"/>
    <x v="26"/>
    <x v="0"/>
  </r>
  <r>
    <x v="23"/>
    <x v="207"/>
    <x v="1"/>
    <x v="0"/>
    <x v="1"/>
    <x v="18"/>
    <x v="63"/>
    <x v="47"/>
    <x v="6"/>
    <x v="0"/>
  </r>
  <r>
    <x v="128"/>
    <x v="208"/>
    <x v="3"/>
    <x v="1"/>
    <x v="3"/>
    <x v="6"/>
    <x v="21"/>
    <x v="57"/>
    <x v="20"/>
    <x v="0"/>
  </r>
  <r>
    <x v="157"/>
    <x v="209"/>
    <x v="1"/>
    <x v="0"/>
    <x v="1"/>
    <x v="19"/>
    <x v="73"/>
    <x v="45"/>
    <x v="46"/>
    <x v="0"/>
  </r>
  <r>
    <x v="126"/>
    <x v="210"/>
    <x v="2"/>
    <x v="0"/>
    <x v="2"/>
    <x v="2"/>
    <x v="2"/>
    <x v="35"/>
    <x v="2"/>
    <x v="0"/>
  </r>
  <r>
    <x v="158"/>
    <x v="211"/>
    <x v="0"/>
    <x v="0"/>
    <x v="0"/>
    <x v="7"/>
    <x v="7"/>
    <x v="22"/>
    <x v="7"/>
    <x v="0"/>
  </r>
  <r>
    <x v="159"/>
    <x v="212"/>
    <x v="4"/>
    <x v="0"/>
    <x v="3"/>
    <x v="32"/>
    <x v="40"/>
    <x v="1"/>
    <x v="35"/>
    <x v="0"/>
  </r>
  <r>
    <x v="99"/>
    <x v="213"/>
    <x v="0"/>
    <x v="0"/>
    <x v="0"/>
    <x v="8"/>
    <x v="8"/>
    <x v="64"/>
    <x v="8"/>
    <x v="0"/>
  </r>
  <r>
    <x v="160"/>
    <x v="214"/>
    <x v="0"/>
    <x v="0"/>
    <x v="0"/>
    <x v="5"/>
    <x v="5"/>
    <x v="0"/>
    <x v="5"/>
    <x v="0"/>
  </r>
  <r>
    <x v="161"/>
    <x v="215"/>
    <x v="3"/>
    <x v="1"/>
    <x v="3"/>
    <x v="12"/>
    <x v="12"/>
    <x v="24"/>
    <x v="12"/>
    <x v="0"/>
  </r>
  <r>
    <x v="162"/>
    <x v="216"/>
    <x v="3"/>
    <x v="1"/>
    <x v="3"/>
    <x v="8"/>
    <x v="26"/>
    <x v="49"/>
    <x v="23"/>
    <x v="0"/>
  </r>
  <r>
    <x v="163"/>
    <x v="217"/>
    <x v="3"/>
    <x v="1"/>
    <x v="3"/>
    <x v="2"/>
    <x v="34"/>
    <x v="55"/>
    <x v="30"/>
    <x v="0"/>
  </r>
  <r>
    <x v="164"/>
    <x v="218"/>
    <x v="1"/>
    <x v="0"/>
    <x v="1"/>
    <x v="0"/>
    <x v="81"/>
    <x v="25"/>
    <x v="24"/>
    <x v="0"/>
  </r>
  <r>
    <x v="165"/>
    <x v="219"/>
    <x v="3"/>
    <x v="1"/>
    <x v="3"/>
    <x v="6"/>
    <x v="21"/>
    <x v="87"/>
    <x v="20"/>
    <x v="0"/>
  </r>
  <r>
    <x v="166"/>
    <x v="220"/>
    <x v="2"/>
    <x v="0"/>
    <x v="2"/>
    <x v="66"/>
    <x v="82"/>
    <x v="17"/>
    <x v="70"/>
    <x v="0"/>
  </r>
  <r>
    <x v="167"/>
    <x v="221"/>
    <x v="1"/>
    <x v="0"/>
    <x v="1"/>
    <x v="25"/>
    <x v="30"/>
    <x v="72"/>
    <x v="27"/>
    <x v="0"/>
  </r>
  <r>
    <x v="168"/>
    <x v="222"/>
    <x v="0"/>
    <x v="0"/>
    <x v="0"/>
    <x v="0"/>
    <x v="0"/>
    <x v="33"/>
    <x v="0"/>
    <x v="0"/>
  </r>
  <r>
    <x v="169"/>
    <x v="223"/>
    <x v="0"/>
    <x v="0"/>
    <x v="0"/>
    <x v="8"/>
    <x v="8"/>
    <x v="26"/>
    <x v="8"/>
    <x v="0"/>
  </r>
  <r>
    <x v="88"/>
    <x v="224"/>
    <x v="1"/>
    <x v="0"/>
    <x v="1"/>
    <x v="18"/>
    <x v="63"/>
    <x v="60"/>
    <x v="6"/>
    <x v="0"/>
  </r>
  <r>
    <x v="166"/>
    <x v="225"/>
    <x v="3"/>
    <x v="1"/>
    <x v="3"/>
    <x v="20"/>
    <x v="22"/>
    <x v="42"/>
    <x v="21"/>
    <x v="0"/>
  </r>
  <r>
    <x v="82"/>
    <x v="226"/>
    <x v="4"/>
    <x v="0"/>
    <x v="3"/>
    <x v="11"/>
    <x v="11"/>
    <x v="23"/>
    <x v="11"/>
    <x v="0"/>
  </r>
  <r>
    <x v="170"/>
    <x v="227"/>
    <x v="1"/>
    <x v="0"/>
    <x v="1"/>
    <x v="33"/>
    <x v="41"/>
    <x v="17"/>
    <x v="36"/>
    <x v="0"/>
  </r>
  <r>
    <x v="171"/>
    <x v="228"/>
    <x v="0"/>
    <x v="0"/>
    <x v="0"/>
    <x v="0"/>
    <x v="0"/>
    <x v="73"/>
    <x v="0"/>
    <x v="0"/>
  </r>
  <r>
    <x v="172"/>
    <x v="229"/>
    <x v="0"/>
    <x v="0"/>
    <x v="0"/>
    <x v="5"/>
    <x v="5"/>
    <x v="25"/>
    <x v="5"/>
    <x v="0"/>
  </r>
  <r>
    <x v="111"/>
    <x v="230"/>
    <x v="1"/>
    <x v="0"/>
    <x v="1"/>
    <x v="25"/>
    <x v="30"/>
    <x v="57"/>
    <x v="27"/>
    <x v="0"/>
  </r>
  <r>
    <x v="173"/>
    <x v="231"/>
    <x v="3"/>
    <x v="1"/>
    <x v="3"/>
    <x v="23"/>
    <x v="83"/>
    <x v="7"/>
    <x v="71"/>
    <x v="0"/>
  </r>
  <r>
    <x v="174"/>
    <x v="232"/>
    <x v="2"/>
    <x v="0"/>
    <x v="2"/>
    <x v="67"/>
    <x v="84"/>
    <x v="20"/>
    <x v="72"/>
    <x v="0"/>
  </r>
  <r>
    <x v="175"/>
    <x v="233"/>
    <x v="3"/>
    <x v="1"/>
    <x v="3"/>
    <x v="15"/>
    <x v="15"/>
    <x v="28"/>
    <x v="15"/>
    <x v="0"/>
  </r>
  <r>
    <x v="176"/>
    <x v="234"/>
    <x v="4"/>
    <x v="0"/>
    <x v="3"/>
    <x v="44"/>
    <x v="54"/>
    <x v="65"/>
    <x v="47"/>
    <x v="0"/>
  </r>
  <r>
    <x v="177"/>
    <x v="235"/>
    <x v="4"/>
    <x v="0"/>
    <x v="3"/>
    <x v="68"/>
    <x v="85"/>
    <x v="2"/>
    <x v="73"/>
    <x v="0"/>
  </r>
  <r>
    <x v="19"/>
    <x v="236"/>
    <x v="2"/>
    <x v="0"/>
    <x v="2"/>
    <x v="46"/>
    <x v="47"/>
    <x v="12"/>
    <x v="1"/>
    <x v="0"/>
  </r>
  <r>
    <x v="178"/>
    <x v="237"/>
    <x v="3"/>
    <x v="1"/>
    <x v="3"/>
    <x v="43"/>
    <x v="52"/>
    <x v="42"/>
    <x v="45"/>
    <x v="0"/>
  </r>
  <r>
    <x v="179"/>
    <x v="238"/>
    <x v="3"/>
    <x v="1"/>
    <x v="3"/>
    <x v="20"/>
    <x v="22"/>
    <x v="8"/>
    <x v="21"/>
    <x v="0"/>
  </r>
  <r>
    <x v="59"/>
    <x v="239"/>
    <x v="2"/>
    <x v="0"/>
    <x v="2"/>
    <x v="19"/>
    <x v="27"/>
    <x v="10"/>
    <x v="24"/>
    <x v="0"/>
  </r>
  <r>
    <x v="180"/>
    <x v="240"/>
    <x v="3"/>
    <x v="1"/>
    <x v="3"/>
    <x v="45"/>
    <x v="56"/>
    <x v="3"/>
    <x v="48"/>
    <x v="0"/>
  </r>
  <r>
    <x v="30"/>
    <x v="241"/>
    <x v="1"/>
    <x v="0"/>
    <x v="1"/>
    <x v="38"/>
    <x v="46"/>
    <x v="5"/>
    <x v="40"/>
    <x v="0"/>
  </r>
  <r>
    <x v="181"/>
    <x v="242"/>
    <x v="1"/>
    <x v="0"/>
    <x v="1"/>
    <x v="19"/>
    <x v="73"/>
    <x v="30"/>
    <x v="46"/>
    <x v="0"/>
  </r>
  <r>
    <x v="182"/>
    <x v="243"/>
    <x v="1"/>
    <x v="0"/>
    <x v="1"/>
    <x v="53"/>
    <x v="64"/>
    <x v="30"/>
    <x v="55"/>
    <x v="0"/>
  </r>
  <r>
    <x v="138"/>
    <x v="244"/>
    <x v="2"/>
    <x v="0"/>
    <x v="2"/>
    <x v="66"/>
    <x v="82"/>
    <x v="4"/>
    <x v="70"/>
    <x v="0"/>
  </r>
  <r>
    <x v="70"/>
    <x v="245"/>
    <x v="3"/>
    <x v="1"/>
    <x v="3"/>
    <x v="1"/>
    <x v="53"/>
    <x v="58"/>
    <x v="46"/>
    <x v="0"/>
  </r>
  <r>
    <x v="183"/>
    <x v="246"/>
    <x v="2"/>
    <x v="0"/>
    <x v="2"/>
    <x v="42"/>
    <x v="51"/>
    <x v="2"/>
    <x v="44"/>
    <x v="0"/>
  </r>
  <r>
    <x v="73"/>
    <x v="247"/>
    <x v="0"/>
    <x v="0"/>
    <x v="0"/>
    <x v="7"/>
    <x v="7"/>
    <x v="73"/>
    <x v="7"/>
    <x v="0"/>
  </r>
  <r>
    <x v="170"/>
    <x v="248"/>
    <x v="0"/>
    <x v="0"/>
    <x v="0"/>
    <x v="7"/>
    <x v="7"/>
    <x v="34"/>
    <x v="7"/>
    <x v="0"/>
  </r>
  <r>
    <x v="184"/>
    <x v="249"/>
    <x v="3"/>
    <x v="1"/>
    <x v="3"/>
    <x v="5"/>
    <x v="31"/>
    <x v="37"/>
    <x v="28"/>
    <x v="0"/>
  </r>
  <r>
    <x v="185"/>
    <x v="250"/>
    <x v="0"/>
    <x v="0"/>
    <x v="0"/>
    <x v="0"/>
    <x v="0"/>
    <x v="11"/>
    <x v="0"/>
    <x v="0"/>
  </r>
  <r>
    <x v="126"/>
    <x v="251"/>
    <x v="2"/>
    <x v="0"/>
    <x v="2"/>
    <x v="6"/>
    <x v="6"/>
    <x v="45"/>
    <x v="6"/>
    <x v="0"/>
  </r>
  <r>
    <x v="8"/>
    <x v="252"/>
    <x v="0"/>
    <x v="0"/>
    <x v="0"/>
    <x v="19"/>
    <x v="19"/>
    <x v="88"/>
    <x v="19"/>
    <x v="0"/>
  </r>
  <r>
    <x v="170"/>
    <x v="253"/>
    <x v="3"/>
    <x v="1"/>
    <x v="3"/>
    <x v="12"/>
    <x v="12"/>
    <x v="15"/>
    <x v="12"/>
    <x v="0"/>
  </r>
  <r>
    <x v="154"/>
    <x v="254"/>
    <x v="2"/>
    <x v="0"/>
    <x v="2"/>
    <x v="13"/>
    <x v="13"/>
    <x v="14"/>
    <x v="13"/>
    <x v="0"/>
  </r>
  <r>
    <x v="161"/>
    <x v="255"/>
    <x v="1"/>
    <x v="0"/>
    <x v="1"/>
    <x v="4"/>
    <x v="4"/>
    <x v="81"/>
    <x v="4"/>
    <x v="0"/>
  </r>
  <r>
    <x v="186"/>
    <x v="256"/>
    <x v="2"/>
    <x v="0"/>
    <x v="2"/>
    <x v="41"/>
    <x v="50"/>
    <x v="10"/>
    <x v="43"/>
    <x v="0"/>
  </r>
  <r>
    <x v="38"/>
    <x v="257"/>
    <x v="3"/>
    <x v="1"/>
    <x v="3"/>
    <x v="12"/>
    <x v="12"/>
    <x v="7"/>
    <x v="12"/>
    <x v="0"/>
  </r>
  <r>
    <x v="187"/>
    <x v="258"/>
    <x v="3"/>
    <x v="1"/>
    <x v="3"/>
    <x v="9"/>
    <x v="70"/>
    <x v="63"/>
    <x v="60"/>
    <x v="0"/>
  </r>
  <r>
    <x v="188"/>
    <x v="259"/>
    <x v="0"/>
    <x v="0"/>
    <x v="0"/>
    <x v="0"/>
    <x v="0"/>
    <x v="76"/>
    <x v="0"/>
    <x v="0"/>
  </r>
  <r>
    <x v="189"/>
    <x v="260"/>
    <x v="4"/>
    <x v="0"/>
    <x v="3"/>
    <x v="69"/>
    <x v="86"/>
    <x v="16"/>
    <x v="74"/>
    <x v="0"/>
  </r>
  <r>
    <x v="38"/>
    <x v="261"/>
    <x v="1"/>
    <x v="0"/>
    <x v="1"/>
    <x v="24"/>
    <x v="29"/>
    <x v="2"/>
    <x v="26"/>
    <x v="0"/>
  </r>
  <r>
    <x v="190"/>
    <x v="262"/>
    <x v="0"/>
    <x v="0"/>
    <x v="0"/>
    <x v="7"/>
    <x v="7"/>
    <x v="22"/>
    <x v="7"/>
    <x v="0"/>
  </r>
  <r>
    <x v="191"/>
    <x v="263"/>
    <x v="2"/>
    <x v="0"/>
    <x v="2"/>
    <x v="37"/>
    <x v="45"/>
    <x v="53"/>
    <x v="39"/>
    <x v="0"/>
  </r>
  <r>
    <x v="173"/>
    <x v="264"/>
    <x v="4"/>
    <x v="0"/>
    <x v="3"/>
    <x v="58"/>
    <x v="71"/>
    <x v="29"/>
    <x v="61"/>
    <x v="0"/>
  </r>
  <r>
    <x v="43"/>
    <x v="265"/>
    <x v="0"/>
    <x v="0"/>
    <x v="0"/>
    <x v="7"/>
    <x v="7"/>
    <x v="25"/>
    <x v="7"/>
    <x v="0"/>
  </r>
  <r>
    <x v="192"/>
    <x v="266"/>
    <x v="3"/>
    <x v="1"/>
    <x v="3"/>
    <x v="12"/>
    <x v="12"/>
    <x v="40"/>
    <x v="12"/>
    <x v="0"/>
  </r>
  <r>
    <x v="193"/>
    <x v="267"/>
    <x v="1"/>
    <x v="0"/>
    <x v="1"/>
    <x v="19"/>
    <x v="73"/>
    <x v="81"/>
    <x v="46"/>
    <x v="0"/>
  </r>
  <r>
    <x v="142"/>
    <x v="268"/>
    <x v="4"/>
    <x v="0"/>
    <x v="3"/>
    <x v="59"/>
    <x v="72"/>
    <x v="43"/>
    <x v="62"/>
    <x v="0"/>
  </r>
  <r>
    <x v="194"/>
    <x v="269"/>
    <x v="4"/>
    <x v="0"/>
    <x v="3"/>
    <x v="65"/>
    <x v="80"/>
    <x v="4"/>
    <x v="69"/>
    <x v="0"/>
  </r>
  <r>
    <x v="195"/>
    <x v="270"/>
    <x v="1"/>
    <x v="0"/>
    <x v="1"/>
    <x v="70"/>
    <x v="87"/>
    <x v="39"/>
    <x v="75"/>
    <x v="0"/>
  </r>
  <r>
    <x v="196"/>
    <x v="271"/>
    <x v="1"/>
    <x v="0"/>
    <x v="1"/>
    <x v="47"/>
    <x v="57"/>
    <x v="83"/>
    <x v="49"/>
    <x v="0"/>
  </r>
  <r>
    <x v="171"/>
    <x v="272"/>
    <x v="1"/>
    <x v="0"/>
    <x v="1"/>
    <x v="70"/>
    <x v="87"/>
    <x v="24"/>
    <x v="75"/>
    <x v="0"/>
  </r>
  <r>
    <x v="197"/>
    <x v="273"/>
    <x v="0"/>
    <x v="0"/>
    <x v="0"/>
    <x v="19"/>
    <x v="19"/>
    <x v="75"/>
    <x v="19"/>
    <x v="0"/>
  </r>
  <r>
    <x v="198"/>
    <x v="274"/>
    <x v="0"/>
    <x v="0"/>
    <x v="0"/>
    <x v="7"/>
    <x v="7"/>
    <x v="9"/>
    <x v="7"/>
    <x v="0"/>
  </r>
  <r>
    <x v="186"/>
    <x v="275"/>
    <x v="3"/>
    <x v="1"/>
    <x v="3"/>
    <x v="11"/>
    <x v="11"/>
    <x v="15"/>
    <x v="11"/>
    <x v="0"/>
  </r>
  <r>
    <x v="199"/>
    <x v="276"/>
    <x v="1"/>
    <x v="0"/>
    <x v="1"/>
    <x v="34"/>
    <x v="42"/>
    <x v="21"/>
    <x v="37"/>
    <x v="0"/>
  </r>
  <r>
    <x v="95"/>
    <x v="277"/>
    <x v="4"/>
    <x v="0"/>
    <x v="3"/>
    <x v="71"/>
    <x v="88"/>
    <x v="2"/>
    <x v="76"/>
    <x v="0"/>
  </r>
  <r>
    <x v="145"/>
    <x v="278"/>
    <x v="0"/>
    <x v="0"/>
    <x v="0"/>
    <x v="7"/>
    <x v="7"/>
    <x v="9"/>
    <x v="7"/>
    <x v="0"/>
  </r>
  <r>
    <x v="122"/>
    <x v="279"/>
    <x v="3"/>
    <x v="1"/>
    <x v="3"/>
    <x v="12"/>
    <x v="12"/>
    <x v="30"/>
    <x v="12"/>
    <x v="0"/>
  </r>
  <r>
    <x v="200"/>
    <x v="280"/>
    <x v="4"/>
    <x v="0"/>
    <x v="3"/>
    <x v="71"/>
    <x v="88"/>
    <x v="43"/>
    <x v="76"/>
    <x v="0"/>
  </r>
  <r>
    <x v="79"/>
    <x v="281"/>
    <x v="3"/>
    <x v="1"/>
    <x v="3"/>
    <x v="5"/>
    <x v="31"/>
    <x v="4"/>
    <x v="28"/>
    <x v="0"/>
  </r>
  <r>
    <x v="7"/>
    <x v="282"/>
    <x v="3"/>
    <x v="1"/>
    <x v="3"/>
    <x v="20"/>
    <x v="22"/>
    <x v="20"/>
    <x v="21"/>
    <x v="0"/>
  </r>
  <r>
    <x v="78"/>
    <x v="283"/>
    <x v="0"/>
    <x v="0"/>
    <x v="0"/>
    <x v="0"/>
    <x v="0"/>
    <x v="69"/>
    <x v="0"/>
    <x v="0"/>
  </r>
  <r>
    <x v="45"/>
    <x v="284"/>
    <x v="3"/>
    <x v="1"/>
    <x v="3"/>
    <x v="43"/>
    <x v="52"/>
    <x v="17"/>
    <x v="45"/>
    <x v="0"/>
  </r>
  <r>
    <x v="0"/>
    <x v="285"/>
    <x v="3"/>
    <x v="1"/>
    <x v="3"/>
    <x v="43"/>
    <x v="52"/>
    <x v="51"/>
    <x v="45"/>
    <x v="0"/>
  </r>
  <r>
    <x v="201"/>
    <x v="286"/>
    <x v="1"/>
    <x v="0"/>
    <x v="1"/>
    <x v="53"/>
    <x v="64"/>
    <x v="55"/>
    <x v="55"/>
    <x v="0"/>
  </r>
  <r>
    <x v="202"/>
    <x v="287"/>
    <x v="3"/>
    <x v="1"/>
    <x v="3"/>
    <x v="11"/>
    <x v="11"/>
    <x v="67"/>
    <x v="11"/>
    <x v="0"/>
  </r>
  <r>
    <x v="203"/>
    <x v="288"/>
    <x v="0"/>
    <x v="0"/>
    <x v="0"/>
    <x v="8"/>
    <x v="8"/>
    <x v="22"/>
    <x v="8"/>
    <x v="0"/>
  </r>
  <r>
    <x v="204"/>
    <x v="289"/>
    <x v="0"/>
    <x v="0"/>
    <x v="0"/>
    <x v="0"/>
    <x v="0"/>
    <x v="44"/>
    <x v="0"/>
    <x v="0"/>
  </r>
  <r>
    <x v="5"/>
    <x v="290"/>
    <x v="0"/>
    <x v="0"/>
    <x v="0"/>
    <x v="8"/>
    <x v="8"/>
    <x v="8"/>
    <x v="8"/>
    <x v="0"/>
  </r>
  <r>
    <x v="205"/>
    <x v="291"/>
    <x v="4"/>
    <x v="0"/>
    <x v="3"/>
    <x v="58"/>
    <x v="71"/>
    <x v="60"/>
    <x v="61"/>
    <x v="0"/>
  </r>
  <r>
    <x v="206"/>
    <x v="292"/>
    <x v="4"/>
    <x v="0"/>
    <x v="3"/>
    <x v="39"/>
    <x v="47"/>
    <x v="2"/>
    <x v="41"/>
    <x v="0"/>
  </r>
  <r>
    <x v="207"/>
    <x v="293"/>
    <x v="1"/>
    <x v="0"/>
    <x v="1"/>
    <x v="60"/>
    <x v="74"/>
    <x v="39"/>
    <x v="63"/>
    <x v="0"/>
  </r>
  <r>
    <x v="104"/>
    <x v="294"/>
    <x v="4"/>
    <x v="0"/>
    <x v="3"/>
    <x v="5"/>
    <x v="31"/>
    <x v="40"/>
    <x v="28"/>
    <x v="0"/>
  </r>
  <r>
    <x v="28"/>
    <x v="295"/>
    <x v="1"/>
    <x v="0"/>
    <x v="1"/>
    <x v="70"/>
    <x v="87"/>
    <x v="19"/>
    <x v="75"/>
    <x v="0"/>
  </r>
  <r>
    <x v="111"/>
    <x v="296"/>
    <x v="1"/>
    <x v="0"/>
    <x v="1"/>
    <x v="18"/>
    <x v="63"/>
    <x v="47"/>
    <x v="6"/>
    <x v="0"/>
  </r>
  <r>
    <x v="95"/>
    <x v="297"/>
    <x v="4"/>
    <x v="0"/>
    <x v="3"/>
    <x v="50"/>
    <x v="60"/>
    <x v="13"/>
    <x v="52"/>
    <x v="0"/>
  </r>
  <r>
    <x v="208"/>
    <x v="298"/>
    <x v="3"/>
    <x v="1"/>
    <x v="3"/>
    <x v="29"/>
    <x v="37"/>
    <x v="89"/>
    <x v="32"/>
    <x v="0"/>
  </r>
  <r>
    <x v="112"/>
    <x v="299"/>
    <x v="3"/>
    <x v="1"/>
    <x v="3"/>
    <x v="19"/>
    <x v="24"/>
    <x v="55"/>
    <x v="14"/>
    <x v="0"/>
  </r>
  <r>
    <x v="209"/>
    <x v="300"/>
    <x v="3"/>
    <x v="1"/>
    <x v="3"/>
    <x v="5"/>
    <x v="31"/>
    <x v="81"/>
    <x v="28"/>
    <x v="0"/>
  </r>
  <r>
    <x v="210"/>
    <x v="301"/>
    <x v="3"/>
    <x v="1"/>
    <x v="3"/>
    <x v="26"/>
    <x v="32"/>
    <x v="16"/>
    <x v="29"/>
    <x v="0"/>
  </r>
  <r>
    <x v="211"/>
    <x v="302"/>
    <x v="1"/>
    <x v="0"/>
    <x v="1"/>
    <x v="72"/>
    <x v="89"/>
    <x v="54"/>
    <x v="19"/>
    <x v="0"/>
  </r>
  <r>
    <x v="212"/>
    <x v="303"/>
    <x v="4"/>
    <x v="0"/>
    <x v="3"/>
    <x v="7"/>
    <x v="20"/>
    <x v="62"/>
    <x v="10"/>
    <x v="0"/>
  </r>
  <r>
    <x v="213"/>
    <x v="304"/>
    <x v="3"/>
    <x v="1"/>
    <x v="3"/>
    <x v="0"/>
    <x v="55"/>
    <x v="60"/>
    <x v="8"/>
    <x v="0"/>
  </r>
  <r>
    <x v="214"/>
    <x v="305"/>
    <x v="2"/>
    <x v="0"/>
    <x v="2"/>
    <x v="8"/>
    <x v="35"/>
    <x v="60"/>
    <x v="18"/>
    <x v="0"/>
  </r>
  <r>
    <x v="215"/>
    <x v="306"/>
    <x v="0"/>
    <x v="0"/>
    <x v="0"/>
    <x v="8"/>
    <x v="8"/>
    <x v="38"/>
    <x v="8"/>
    <x v="0"/>
  </r>
  <r>
    <x v="4"/>
    <x v="307"/>
    <x v="2"/>
    <x v="0"/>
    <x v="2"/>
    <x v="46"/>
    <x v="47"/>
    <x v="9"/>
    <x v="1"/>
    <x v="0"/>
  </r>
  <r>
    <x v="216"/>
    <x v="308"/>
    <x v="2"/>
    <x v="0"/>
    <x v="2"/>
    <x v="12"/>
    <x v="17"/>
    <x v="59"/>
    <x v="77"/>
    <x v="0"/>
  </r>
  <r>
    <x v="217"/>
    <x v="309"/>
    <x v="0"/>
    <x v="0"/>
    <x v="0"/>
    <x v="0"/>
    <x v="0"/>
    <x v="9"/>
    <x v="0"/>
    <x v="0"/>
  </r>
  <r>
    <x v="212"/>
    <x v="310"/>
    <x v="3"/>
    <x v="1"/>
    <x v="3"/>
    <x v="49"/>
    <x v="59"/>
    <x v="83"/>
    <x v="51"/>
    <x v="0"/>
  </r>
  <r>
    <x v="218"/>
    <x v="311"/>
    <x v="3"/>
    <x v="1"/>
    <x v="3"/>
    <x v="57"/>
    <x v="69"/>
    <x v="28"/>
    <x v="59"/>
    <x v="0"/>
  </r>
  <r>
    <x v="14"/>
    <x v="312"/>
    <x v="3"/>
    <x v="1"/>
    <x v="3"/>
    <x v="15"/>
    <x v="15"/>
    <x v="24"/>
    <x v="15"/>
    <x v="0"/>
  </r>
  <r>
    <x v="219"/>
    <x v="313"/>
    <x v="3"/>
    <x v="1"/>
    <x v="3"/>
    <x v="5"/>
    <x v="31"/>
    <x v="18"/>
    <x v="28"/>
    <x v="0"/>
  </r>
  <r>
    <x v="14"/>
    <x v="314"/>
    <x v="3"/>
    <x v="1"/>
    <x v="3"/>
    <x v="18"/>
    <x v="18"/>
    <x v="85"/>
    <x v="18"/>
    <x v="0"/>
  </r>
  <r>
    <x v="220"/>
    <x v="315"/>
    <x v="3"/>
    <x v="1"/>
    <x v="3"/>
    <x v="45"/>
    <x v="56"/>
    <x v="18"/>
    <x v="48"/>
    <x v="0"/>
  </r>
  <r>
    <x v="128"/>
    <x v="316"/>
    <x v="4"/>
    <x v="0"/>
    <x v="3"/>
    <x v="17"/>
    <x v="17"/>
    <x v="48"/>
    <x v="17"/>
    <x v="0"/>
  </r>
  <r>
    <x v="221"/>
    <x v="317"/>
    <x v="1"/>
    <x v="0"/>
    <x v="1"/>
    <x v="19"/>
    <x v="73"/>
    <x v="60"/>
    <x v="46"/>
    <x v="0"/>
  </r>
  <r>
    <x v="222"/>
    <x v="318"/>
    <x v="3"/>
    <x v="1"/>
    <x v="3"/>
    <x v="5"/>
    <x v="31"/>
    <x v="29"/>
    <x v="28"/>
    <x v="0"/>
  </r>
  <r>
    <x v="179"/>
    <x v="319"/>
    <x v="1"/>
    <x v="0"/>
    <x v="1"/>
    <x v="16"/>
    <x v="76"/>
    <x v="81"/>
    <x v="65"/>
    <x v="0"/>
  </r>
  <r>
    <x v="223"/>
    <x v="320"/>
    <x v="3"/>
    <x v="1"/>
    <x v="3"/>
    <x v="45"/>
    <x v="56"/>
    <x v="71"/>
    <x v="48"/>
    <x v="0"/>
  </r>
  <r>
    <x v="109"/>
    <x v="321"/>
    <x v="1"/>
    <x v="0"/>
    <x v="1"/>
    <x v="40"/>
    <x v="48"/>
    <x v="23"/>
    <x v="42"/>
    <x v="0"/>
  </r>
  <r>
    <x v="34"/>
    <x v="322"/>
    <x v="4"/>
    <x v="0"/>
    <x v="3"/>
    <x v="11"/>
    <x v="11"/>
    <x v="28"/>
    <x v="11"/>
    <x v="0"/>
  </r>
  <r>
    <x v="132"/>
    <x v="323"/>
    <x v="0"/>
    <x v="0"/>
    <x v="0"/>
    <x v="19"/>
    <x v="19"/>
    <x v="41"/>
    <x v="19"/>
    <x v="0"/>
  </r>
  <r>
    <x v="175"/>
    <x v="324"/>
    <x v="2"/>
    <x v="0"/>
    <x v="2"/>
    <x v="37"/>
    <x v="45"/>
    <x v="80"/>
    <x v="39"/>
    <x v="0"/>
  </r>
  <r>
    <x v="123"/>
    <x v="325"/>
    <x v="1"/>
    <x v="0"/>
    <x v="1"/>
    <x v="24"/>
    <x v="29"/>
    <x v="61"/>
    <x v="26"/>
    <x v="0"/>
  </r>
  <r>
    <x v="115"/>
    <x v="326"/>
    <x v="0"/>
    <x v="0"/>
    <x v="0"/>
    <x v="8"/>
    <x v="8"/>
    <x v="26"/>
    <x v="8"/>
    <x v="0"/>
  </r>
  <r>
    <x v="224"/>
    <x v="327"/>
    <x v="3"/>
    <x v="1"/>
    <x v="3"/>
    <x v="19"/>
    <x v="24"/>
    <x v="21"/>
    <x v="14"/>
    <x v="0"/>
  </r>
  <r>
    <x v="219"/>
    <x v="328"/>
    <x v="1"/>
    <x v="0"/>
    <x v="1"/>
    <x v="33"/>
    <x v="41"/>
    <x v="62"/>
    <x v="36"/>
    <x v="0"/>
  </r>
  <r>
    <x v="225"/>
    <x v="329"/>
    <x v="1"/>
    <x v="0"/>
    <x v="1"/>
    <x v="54"/>
    <x v="65"/>
    <x v="90"/>
    <x v="56"/>
    <x v="0"/>
  </r>
  <r>
    <x v="226"/>
    <x v="330"/>
    <x v="4"/>
    <x v="0"/>
    <x v="3"/>
    <x v="73"/>
    <x v="90"/>
    <x v="18"/>
    <x v="78"/>
    <x v="0"/>
  </r>
  <r>
    <x v="143"/>
    <x v="331"/>
    <x v="0"/>
    <x v="0"/>
    <x v="0"/>
    <x v="19"/>
    <x v="19"/>
    <x v="91"/>
    <x v="19"/>
    <x v="0"/>
  </r>
  <r>
    <x v="227"/>
    <x v="332"/>
    <x v="0"/>
    <x v="0"/>
    <x v="0"/>
    <x v="19"/>
    <x v="19"/>
    <x v="0"/>
    <x v="19"/>
    <x v="0"/>
  </r>
  <r>
    <x v="214"/>
    <x v="333"/>
    <x v="3"/>
    <x v="1"/>
    <x v="3"/>
    <x v="57"/>
    <x v="69"/>
    <x v="21"/>
    <x v="59"/>
    <x v="0"/>
  </r>
  <r>
    <x v="228"/>
    <x v="334"/>
    <x v="0"/>
    <x v="0"/>
    <x v="0"/>
    <x v="0"/>
    <x v="0"/>
    <x v="92"/>
    <x v="0"/>
    <x v="0"/>
  </r>
  <r>
    <x v="99"/>
    <x v="335"/>
    <x v="0"/>
    <x v="0"/>
    <x v="0"/>
    <x v="7"/>
    <x v="7"/>
    <x v="64"/>
    <x v="7"/>
    <x v="0"/>
  </r>
  <r>
    <x v="35"/>
    <x v="336"/>
    <x v="3"/>
    <x v="1"/>
    <x v="3"/>
    <x v="5"/>
    <x v="31"/>
    <x v="81"/>
    <x v="28"/>
    <x v="0"/>
  </r>
  <r>
    <x v="229"/>
    <x v="337"/>
    <x v="0"/>
    <x v="0"/>
    <x v="0"/>
    <x v="7"/>
    <x v="7"/>
    <x v="64"/>
    <x v="7"/>
    <x v="0"/>
  </r>
  <r>
    <x v="230"/>
    <x v="338"/>
    <x v="3"/>
    <x v="1"/>
    <x v="3"/>
    <x v="57"/>
    <x v="69"/>
    <x v="40"/>
    <x v="59"/>
    <x v="0"/>
  </r>
  <r>
    <x v="4"/>
    <x v="339"/>
    <x v="1"/>
    <x v="0"/>
    <x v="1"/>
    <x v="54"/>
    <x v="65"/>
    <x v="26"/>
    <x v="56"/>
    <x v="0"/>
  </r>
  <r>
    <x v="231"/>
    <x v="340"/>
    <x v="4"/>
    <x v="0"/>
    <x v="3"/>
    <x v="19"/>
    <x v="24"/>
    <x v="35"/>
    <x v="14"/>
    <x v="0"/>
  </r>
  <r>
    <x v="232"/>
    <x v="341"/>
    <x v="2"/>
    <x v="0"/>
    <x v="2"/>
    <x v="42"/>
    <x v="51"/>
    <x v="55"/>
    <x v="44"/>
    <x v="0"/>
  </r>
  <r>
    <x v="47"/>
    <x v="342"/>
    <x v="1"/>
    <x v="0"/>
    <x v="1"/>
    <x v="24"/>
    <x v="29"/>
    <x v="17"/>
    <x v="26"/>
    <x v="0"/>
  </r>
  <r>
    <x v="233"/>
    <x v="343"/>
    <x v="0"/>
    <x v="0"/>
    <x v="0"/>
    <x v="5"/>
    <x v="5"/>
    <x v="6"/>
    <x v="5"/>
    <x v="0"/>
  </r>
  <r>
    <x v="97"/>
    <x v="344"/>
    <x v="4"/>
    <x v="0"/>
    <x v="3"/>
    <x v="19"/>
    <x v="24"/>
    <x v="51"/>
    <x v="14"/>
    <x v="0"/>
  </r>
  <r>
    <x v="76"/>
    <x v="345"/>
    <x v="0"/>
    <x v="0"/>
    <x v="0"/>
    <x v="19"/>
    <x v="19"/>
    <x v="11"/>
    <x v="19"/>
    <x v="0"/>
  </r>
  <r>
    <x v="9"/>
    <x v="346"/>
    <x v="3"/>
    <x v="1"/>
    <x v="3"/>
    <x v="6"/>
    <x v="21"/>
    <x v="22"/>
    <x v="20"/>
    <x v="0"/>
  </r>
  <r>
    <x v="234"/>
    <x v="347"/>
    <x v="2"/>
    <x v="0"/>
    <x v="2"/>
    <x v="23"/>
    <x v="28"/>
    <x v="13"/>
    <x v="25"/>
    <x v="0"/>
  </r>
  <r>
    <x v="235"/>
    <x v="348"/>
    <x v="3"/>
    <x v="1"/>
    <x v="3"/>
    <x v="7"/>
    <x v="20"/>
    <x v="83"/>
    <x v="10"/>
    <x v="0"/>
  </r>
  <r>
    <x v="87"/>
    <x v="349"/>
    <x v="4"/>
    <x v="0"/>
    <x v="3"/>
    <x v="56"/>
    <x v="67"/>
    <x v="85"/>
    <x v="58"/>
    <x v="0"/>
  </r>
  <r>
    <x v="236"/>
    <x v="350"/>
    <x v="3"/>
    <x v="1"/>
    <x v="3"/>
    <x v="45"/>
    <x v="56"/>
    <x v="43"/>
    <x v="48"/>
    <x v="0"/>
  </r>
  <r>
    <x v="70"/>
    <x v="351"/>
    <x v="1"/>
    <x v="0"/>
    <x v="1"/>
    <x v="35"/>
    <x v="43"/>
    <x v="30"/>
    <x v="38"/>
    <x v="0"/>
  </r>
  <r>
    <x v="98"/>
    <x v="352"/>
    <x v="1"/>
    <x v="0"/>
    <x v="1"/>
    <x v="48"/>
    <x v="58"/>
    <x v="2"/>
    <x v="50"/>
    <x v="0"/>
  </r>
  <r>
    <x v="43"/>
    <x v="353"/>
    <x v="2"/>
    <x v="0"/>
    <x v="2"/>
    <x v="10"/>
    <x v="10"/>
    <x v="25"/>
    <x v="10"/>
    <x v="0"/>
  </r>
  <r>
    <x v="104"/>
    <x v="354"/>
    <x v="3"/>
    <x v="1"/>
    <x v="3"/>
    <x v="9"/>
    <x v="70"/>
    <x v="54"/>
    <x v="60"/>
    <x v="0"/>
  </r>
  <r>
    <x v="58"/>
    <x v="355"/>
    <x v="0"/>
    <x v="0"/>
    <x v="0"/>
    <x v="19"/>
    <x v="19"/>
    <x v="25"/>
    <x v="19"/>
    <x v="0"/>
  </r>
  <r>
    <x v="32"/>
    <x v="356"/>
    <x v="2"/>
    <x v="0"/>
    <x v="2"/>
    <x v="2"/>
    <x v="2"/>
    <x v="93"/>
    <x v="2"/>
    <x v="0"/>
  </r>
  <r>
    <x v="210"/>
    <x v="357"/>
    <x v="2"/>
    <x v="0"/>
    <x v="2"/>
    <x v="51"/>
    <x v="61"/>
    <x v="9"/>
    <x v="53"/>
    <x v="0"/>
  </r>
  <r>
    <x v="123"/>
    <x v="358"/>
    <x v="1"/>
    <x v="0"/>
    <x v="1"/>
    <x v="28"/>
    <x v="36"/>
    <x v="11"/>
    <x v="31"/>
    <x v="0"/>
  </r>
  <r>
    <x v="144"/>
    <x v="359"/>
    <x v="3"/>
    <x v="1"/>
    <x v="3"/>
    <x v="19"/>
    <x v="24"/>
    <x v="29"/>
    <x v="14"/>
    <x v="0"/>
  </r>
  <r>
    <x v="237"/>
    <x v="360"/>
    <x v="2"/>
    <x v="0"/>
    <x v="2"/>
    <x v="19"/>
    <x v="27"/>
    <x v="55"/>
    <x v="24"/>
    <x v="0"/>
  </r>
  <r>
    <x v="121"/>
    <x v="361"/>
    <x v="0"/>
    <x v="0"/>
    <x v="0"/>
    <x v="8"/>
    <x v="8"/>
    <x v="88"/>
    <x v="8"/>
    <x v="0"/>
  </r>
  <r>
    <x v="238"/>
    <x v="362"/>
    <x v="3"/>
    <x v="1"/>
    <x v="3"/>
    <x v="20"/>
    <x v="22"/>
    <x v="63"/>
    <x v="21"/>
    <x v="0"/>
  </r>
  <r>
    <x v="239"/>
    <x v="363"/>
    <x v="1"/>
    <x v="0"/>
    <x v="1"/>
    <x v="47"/>
    <x v="57"/>
    <x v="23"/>
    <x v="49"/>
    <x v="0"/>
  </r>
  <r>
    <x v="240"/>
    <x v="364"/>
    <x v="1"/>
    <x v="0"/>
    <x v="1"/>
    <x v="25"/>
    <x v="30"/>
    <x v="72"/>
    <x v="27"/>
    <x v="0"/>
  </r>
  <r>
    <x v="241"/>
    <x v="365"/>
    <x v="3"/>
    <x v="1"/>
    <x v="3"/>
    <x v="0"/>
    <x v="55"/>
    <x v="27"/>
    <x v="8"/>
    <x v="0"/>
  </r>
  <r>
    <x v="145"/>
    <x v="366"/>
    <x v="0"/>
    <x v="0"/>
    <x v="0"/>
    <x v="7"/>
    <x v="7"/>
    <x v="94"/>
    <x v="7"/>
    <x v="0"/>
  </r>
  <r>
    <x v="190"/>
    <x v="367"/>
    <x v="4"/>
    <x v="0"/>
    <x v="3"/>
    <x v="21"/>
    <x v="23"/>
    <x v="13"/>
    <x v="22"/>
    <x v="0"/>
  </r>
  <r>
    <x v="140"/>
    <x v="368"/>
    <x v="0"/>
    <x v="0"/>
    <x v="0"/>
    <x v="19"/>
    <x v="19"/>
    <x v="76"/>
    <x v="19"/>
    <x v="0"/>
  </r>
  <r>
    <x v="182"/>
    <x v="369"/>
    <x v="4"/>
    <x v="0"/>
    <x v="3"/>
    <x v="21"/>
    <x v="23"/>
    <x v="28"/>
    <x v="22"/>
    <x v="0"/>
  </r>
  <r>
    <x v="3"/>
    <x v="370"/>
    <x v="1"/>
    <x v="0"/>
    <x v="1"/>
    <x v="1"/>
    <x v="1"/>
    <x v="85"/>
    <x v="1"/>
    <x v="0"/>
  </r>
  <r>
    <x v="198"/>
    <x v="371"/>
    <x v="2"/>
    <x v="0"/>
    <x v="2"/>
    <x v="67"/>
    <x v="84"/>
    <x v="4"/>
    <x v="72"/>
    <x v="0"/>
  </r>
  <r>
    <x v="221"/>
    <x v="372"/>
    <x v="2"/>
    <x v="0"/>
    <x v="2"/>
    <x v="42"/>
    <x v="51"/>
    <x v="55"/>
    <x v="44"/>
    <x v="0"/>
  </r>
  <r>
    <x v="242"/>
    <x v="373"/>
    <x v="4"/>
    <x v="0"/>
    <x v="3"/>
    <x v="74"/>
    <x v="91"/>
    <x v="79"/>
    <x v="79"/>
    <x v="0"/>
  </r>
  <r>
    <x v="243"/>
    <x v="374"/>
    <x v="2"/>
    <x v="0"/>
    <x v="2"/>
    <x v="5"/>
    <x v="92"/>
    <x v="2"/>
    <x v="46"/>
    <x v="0"/>
  </r>
  <r>
    <x v="244"/>
    <x v="375"/>
    <x v="0"/>
    <x v="0"/>
    <x v="0"/>
    <x v="19"/>
    <x v="19"/>
    <x v="6"/>
    <x v="19"/>
    <x v="0"/>
  </r>
  <r>
    <x v="203"/>
    <x v="376"/>
    <x v="3"/>
    <x v="1"/>
    <x v="3"/>
    <x v="56"/>
    <x v="67"/>
    <x v="43"/>
    <x v="58"/>
    <x v="0"/>
  </r>
  <r>
    <x v="245"/>
    <x v="377"/>
    <x v="4"/>
    <x v="0"/>
    <x v="3"/>
    <x v="19"/>
    <x v="24"/>
    <x v="23"/>
    <x v="14"/>
    <x v="0"/>
  </r>
  <r>
    <x v="110"/>
    <x v="378"/>
    <x v="4"/>
    <x v="0"/>
    <x v="3"/>
    <x v="21"/>
    <x v="23"/>
    <x v="95"/>
    <x v="22"/>
    <x v="0"/>
  </r>
  <r>
    <x v="73"/>
    <x v="379"/>
    <x v="0"/>
    <x v="0"/>
    <x v="0"/>
    <x v="0"/>
    <x v="0"/>
    <x v="6"/>
    <x v="0"/>
    <x v="0"/>
  </r>
  <r>
    <x v="62"/>
    <x v="380"/>
    <x v="4"/>
    <x v="0"/>
    <x v="3"/>
    <x v="65"/>
    <x v="80"/>
    <x v="1"/>
    <x v="69"/>
    <x v="0"/>
  </r>
  <r>
    <x v="158"/>
    <x v="381"/>
    <x v="1"/>
    <x v="0"/>
    <x v="1"/>
    <x v="72"/>
    <x v="89"/>
    <x v="93"/>
    <x v="19"/>
    <x v="0"/>
  </r>
  <r>
    <x v="246"/>
    <x v="382"/>
    <x v="0"/>
    <x v="0"/>
    <x v="0"/>
    <x v="19"/>
    <x v="19"/>
    <x v="91"/>
    <x v="19"/>
    <x v="0"/>
  </r>
  <r>
    <x v="22"/>
    <x v="383"/>
    <x v="4"/>
    <x v="0"/>
    <x v="3"/>
    <x v="16"/>
    <x v="16"/>
    <x v="85"/>
    <x v="16"/>
    <x v="0"/>
  </r>
  <r>
    <x v="247"/>
    <x v="384"/>
    <x v="1"/>
    <x v="0"/>
    <x v="1"/>
    <x v="75"/>
    <x v="93"/>
    <x v="9"/>
    <x v="80"/>
    <x v="0"/>
  </r>
  <r>
    <x v="26"/>
    <x v="385"/>
    <x v="3"/>
    <x v="1"/>
    <x v="3"/>
    <x v="0"/>
    <x v="55"/>
    <x v="85"/>
    <x v="8"/>
    <x v="0"/>
  </r>
  <r>
    <x v="208"/>
    <x v="386"/>
    <x v="0"/>
    <x v="0"/>
    <x v="0"/>
    <x v="7"/>
    <x v="7"/>
    <x v="25"/>
    <x v="7"/>
    <x v="0"/>
  </r>
  <r>
    <x v="248"/>
    <x v="387"/>
    <x v="1"/>
    <x v="0"/>
    <x v="1"/>
    <x v="47"/>
    <x v="57"/>
    <x v="54"/>
    <x v="49"/>
    <x v="0"/>
  </r>
  <r>
    <x v="249"/>
    <x v="388"/>
    <x v="4"/>
    <x v="0"/>
    <x v="3"/>
    <x v="47"/>
    <x v="94"/>
    <x v="80"/>
    <x v="81"/>
    <x v="0"/>
  </r>
  <r>
    <x v="47"/>
    <x v="389"/>
    <x v="4"/>
    <x v="0"/>
    <x v="3"/>
    <x v="50"/>
    <x v="60"/>
    <x v="16"/>
    <x v="52"/>
    <x v="0"/>
  </r>
  <r>
    <x v="250"/>
    <x v="390"/>
    <x v="1"/>
    <x v="0"/>
    <x v="1"/>
    <x v="48"/>
    <x v="58"/>
    <x v="62"/>
    <x v="50"/>
    <x v="0"/>
  </r>
  <r>
    <x v="24"/>
    <x v="391"/>
    <x v="1"/>
    <x v="0"/>
    <x v="1"/>
    <x v="19"/>
    <x v="73"/>
    <x v="71"/>
    <x v="46"/>
    <x v="0"/>
  </r>
  <r>
    <x v="251"/>
    <x v="392"/>
    <x v="0"/>
    <x v="0"/>
    <x v="0"/>
    <x v="0"/>
    <x v="0"/>
    <x v="6"/>
    <x v="0"/>
    <x v="0"/>
  </r>
  <r>
    <x v="252"/>
    <x v="393"/>
    <x v="3"/>
    <x v="1"/>
    <x v="3"/>
    <x v="20"/>
    <x v="22"/>
    <x v="70"/>
    <x v="21"/>
    <x v="0"/>
  </r>
  <r>
    <x v="128"/>
    <x v="394"/>
    <x v="3"/>
    <x v="1"/>
    <x v="3"/>
    <x v="1"/>
    <x v="53"/>
    <x v="57"/>
    <x v="46"/>
    <x v="0"/>
  </r>
  <r>
    <x v="197"/>
    <x v="395"/>
    <x v="1"/>
    <x v="0"/>
    <x v="1"/>
    <x v="70"/>
    <x v="87"/>
    <x v="7"/>
    <x v="75"/>
    <x v="0"/>
  </r>
  <r>
    <x v="143"/>
    <x v="396"/>
    <x v="3"/>
    <x v="1"/>
    <x v="3"/>
    <x v="49"/>
    <x v="59"/>
    <x v="84"/>
    <x v="51"/>
    <x v="0"/>
  </r>
  <r>
    <x v="213"/>
    <x v="397"/>
    <x v="2"/>
    <x v="0"/>
    <x v="2"/>
    <x v="12"/>
    <x v="17"/>
    <x v="69"/>
    <x v="77"/>
    <x v="0"/>
  </r>
  <r>
    <x v="157"/>
    <x v="398"/>
    <x v="1"/>
    <x v="0"/>
    <x v="1"/>
    <x v="25"/>
    <x v="30"/>
    <x v="16"/>
    <x v="27"/>
    <x v="0"/>
  </r>
  <r>
    <x v="253"/>
    <x v="399"/>
    <x v="1"/>
    <x v="0"/>
    <x v="1"/>
    <x v="47"/>
    <x v="57"/>
    <x v="35"/>
    <x v="49"/>
    <x v="0"/>
  </r>
  <r>
    <x v="75"/>
    <x v="400"/>
    <x v="2"/>
    <x v="0"/>
    <x v="2"/>
    <x v="51"/>
    <x v="61"/>
    <x v="34"/>
    <x v="53"/>
    <x v="0"/>
  </r>
  <r>
    <x v="228"/>
    <x v="401"/>
    <x v="3"/>
    <x v="1"/>
    <x v="3"/>
    <x v="6"/>
    <x v="21"/>
    <x v="10"/>
    <x v="20"/>
    <x v="0"/>
  </r>
  <r>
    <x v="216"/>
    <x v="402"/>
    <x v="0"/>
    <x v="0"/>
    <x v="0"/>
    <x v="5"/>
    <x v="5"/>
    <x v="0"/>
    <x v="5"/>
    <x v="0"/>
  </r>
  <r>
    <x v="171"/>
    <x v="403"/>
    <x v="3"/>
    <x v="1"/>
    <x v="3"/>
    <x v="0"/>
    <x v="55"/>
    <x v="3"/>
    <x v="8"/>
    <x v="0"/>
  </r>
  <r>
    <x v="207"/>
    <x v="404"/>
    <x v="3"/>
    <x v="1"/>
    <x v="3"/>
    <x v="8"/>
    <x v="26"/>
    <x v="30"/>
    <x v="23"/>
    <x v="0"/>
  </r>
  <r>
    <x v="254"/>
    <x v="405"/>
    <x v="2"/>
    <x v="0"/>
    <x v="2"/>
    <x v="41"/>
    <x v="50"/>
    <x v="12"/>
    <x v="43"/>
    <x v="0"/>
  </r>
  <r>
    <x v="25"/>
    <x v="406"/>
    <x v="3"/>
    <x v="1"/>
    <x v="3"/>
    <x v="7"/>
    <x v="20"/>
    <x v="68"/>
    <x v="10"/>
    <x v="0"/>
  </r>
  <r>
    <x v="81"/>
    <x v="407"/>
    <x v="0"/>
    <x v="0"/>
    <x v="0"/>
    <x v="19"/>
    <x v="19"/>
    <x v="8"/>
    <x v="19"/>
    <x v="0"/>
  </r>
  <r>
    <x v="23"/>
    <x v="408"/>
    <x v="3"/>
    <x v="1"/>
    <x v="3"/>
    <x v="45"/>
    <x v="56"/>
    <x v="39"/>
    <x v="48"/>
    <x v="0"/>
  </r>
  <r>
    <x v="173"/>
    <x v="409"/>
    <x v="0"/>
    <x v="0"/>
    <x v="0"/>
    <x v="8"/>
    <x v="8"/>
    <x v="88"/>
    <x v="8"/>
    <x v="0"/>
  </r>
  <r>
    <x v="255"/>
    <x v="410"/>
    <x v="3"/>
    <x v="1"/>
    <x v="3"/>
    <x v="8"/>
    <x v="26"/>
    <x v="42"/>
    <x v="23"/>
    <x v="0"/>
  </r>
  <r>
    <x v="19"/>
    <x v="411"/>
    <x v="1"/>
    <x v="0"/>
    <x v="1"/>
    <x v="70"/>
    <x v="87"/>
    <x v="55"/>
    <x v="75"/>
    <x v="0"/>
  </r>
  <r>
    <x v="191"/>
    <x v="412"/>
    <x v="2"/>
    <x v="0"/>
    <x v="2"/>
    <x v="41"/>
    <x v="50"/>
    <x v="3"/>
    <x v="43"/>
    <x v="0"/>
  </r>
  <r>
    <x v="186"/>
    <x v="413"/>
    <x v="0"/>
    <x v="0"/>
    <x v="0"/>
    <x v="7"/>
    <x v="7"/>
    <x v="6"/>
    <x v="7"/>
    <x v="0"/>
  </r>
  <r>
    <x v="71"/>
    <x v="414"/>
    <x v="2"/>
    <x v="0"/>
    <x v="2"/>
    <x v="63"/>
    <x v="78"/>
    <x v="18"/>
    <x v="67"/>
    <x v="0"/>
  </r>
  <r>
    <x v="256"/>
    <x v="415"/>
    <x v="3"/>
    <x v="1"/>
    <x v="3"/>
    <x v="43"/>
    <x v="52"/>
    <x v="4"/>
    <x v="45"/>
    <x v="0"/>
  </r>
  <r>
    <x v="18"/>
    <x v="416"/>
    <x v="1"/>
    <x v="0"/>
    <x v="1"/>
    <x v="60"/>
    <x v="74"/>
    <x v="36"/>
    <x v="63"/>
    <x v="0"/>
  </r>
  <r>
    <x v="142"/>
    <x v="417"/>
    <x v="1"/>
    <x v="0"/>
    <x v="1"/>
    <x v="33"/>
    <x v="41"/>
    <x v="14"/>
    <x v="36"/>
    <x v="0"/>
  </r>
  <r>
    <x v="181"/>
    <x v="418"/>
    <x v="4"/>
    <x v="0"/>
    <x v="3"/>
    <x v="5"/>
    <x v="31"/>
    <x v="53"/>
    <x v="28"/>
    <x v="0"/>
  </r>
  <r>
    <x v="82"/>
    <x v="419"/>
    <x v="0"/>
    <x v="0"/>
    <x v="0"/>
    <x v="19"/>
    <x v="19"/>
    <x v="76"/>
    <x v="19"/>
    <x v="0"/>
  </r>
  <r>
    <x v="117"/>
    <x v="420"/>
    <x v="2"/>
    <x v="0"/>
    <x v="2"/>
    <x v="6"/>
    <x v="6"/>
    <x v="60"/>
    <x v="6"/>
    <x v="0"/>
  </r>
  <r>
    <x v="19"/>
    <x v="421"/>
    <x v="2"/>
    <x v="0"/>
    <x v="2"/>
    <x v="19"/>
    <x v="27"/>
    <x v="56"/>
    <x v="24"/>
    <x v="0"/>
  </r>
  <r>
    <x v="35"/>
    <x v="422"/>
    <x v="0"/>
    <x v="0"/>
    <x v="0"/>
    <x v="7"/>
    <x v="7"/>
    <x v="26"/>
    <x v="7"/>
    <x v="0"/>
  </r>
  <r>
    <x v="98"/>
    <x v="423"/>
    <x v="0"/>
    <x v="0"/>
    <x v="0"/>
    <x v="5"/>
    <x v="5"/>
    <x v="70"/>
    <x v="5"/>
    <x v="0"/>
  </r>
  <r>
    <x v="137"/>
    <x v="424"/>
    <x v="2"/>
    <x v="0"/>
    <x v="2"/>
    <x v="5"/>
    <x v="92"/>
    <x v="61"/>
    <x v="46"/>
    <x v="0"/>
  </r>
  <r>
    <x v="68"/>
    <x v="425"/>
    <x v="2"/>
    <x v="0"/>
    <x v="2"/>
    <x v="3"/>
    <x v="3"/>
    <x v="18"/>
    <x v="3"/>
    <x v="0"/>
  </r>
  <r>
    <x v="52"/>
    <x v="426"/>
    <x v="3"/>
    <x v="1"/>
    <x v="3"/>
    <x v="56"/>
    <x v="67"/>
    <x v="21"/>
    <x v="58"/>
    <x v="0"/>
  </r>
  <r>
    <x v="226"/>
    <x v="427"/>
    <x v="0"/>
    <x v="0"/>
    <x v="0"/>
    <x v="0"/>
    <x v="0"/>
    <x v="94"/>
    <x v="0"/>
    <x v="0"/>
  </r>
  <r>
    <x v="4"/>
    <x v="428"/>
    <x v="3"/>
    <x v="1"/>
    <x v="3"/>
    <x v="46"/>
    <x v="68"/>
    <x v="40"/>
    <x v="43"/>
    <x v="0"/>
  </r>
  <r>
    <x v="31"/>
    <x v="429"/>
    <x v="0"/>
    <x v="0"/>
    <x v="0"/>
    <x v="8"/>
    <x v="8"/>
    <x v="41"/>
    <x v="8"/>
    <x v="0"/>
  </r>
  <r>
    <x v="99"/>
    <x v="430"/>
    <x v="2"/>
    <x v="0"/>
    <x v="2"/>
    <x v="46"/>
    <x v="47"/>
    <x v="63"/>
    <x v="1"/>
    <x v="0"/>
  </r>
  <r>
    <x v="257"/>
    <x v="431"/>
    <x v="0"/>
    <x v="0"/>
    <x v="0"/>
    <x v="19"/>
    <x v="19"/>
    <x v="88"/>
    <x v="19"/>
    <x v="0"/>
  </r>
  <r>
    <x v="189"/>
    <x v="432"/>
    <x v="3"/>
    <x v="1"/>
    <x v="3"/>
    <x v="29"/>
    <x v="37"/>
    <x v="22"/>
    <x v="32"/>
    <x v="0"/>
  </r>
  <r>
    <x v="60"/>
    <x v="433"/>
    <x v="4"/>
    <x v="0"/>
    <x v="3"/>
    <x v="74"/>
    <x v="91"/>
    <x v="21"/>
    <x v="79"/>
    <x v="0"/>
  </r>
  <r>
    <x v="258"/>
    <x v="434"/>
    <x v="0"/>
    <x v="0"/>
    <x v="0"/>
    <x v="5"/>
    <x v="5"/>
    <x v="73"/>
    <x v="5"/>
    <x v="0"/>
  </r>
  <r>
    <x v="259"/>
    <x v="435"/>
    <x v="1"/>
    <x v="0"/>
    <x v="1"/>
    <x v="40"/>
    <x v="48"/>
    <x v="14"/>
    <x v="42"/>
    <x v="0"/>
  </r>
  <r>
    <x v="47"/>
    <x v="436"/>
    <x v="3"/>
    <x v="1"/>
    <x v="3"/>
    <x v="57"/>
    <x v="69"/>
    <x v="24"/>
    <x v="59"/>
    <x v="0"/>
  </r>
  <r>
    <x v="108"/>
    <x v="437"/>
    <x v="3"/>
    <x v="1"/>
    <x v="3"/>
    <x v="46"/>
    <x v="68"/>
    <x v="81"/>
    <x v="43"/>
    <x v="0"/>
  </r>
  <r>
    <x v="94"/>
    <x v="438"/>
    <x v="2"/>
    <x v="0"/>
    <x v="2"/>
    <x v="7"/>
    <x v="49"/>
    <x v="52"/>
    <x v="8"/>
    <x v="0"/>
  </r>
  <r>
    <x v="165"/>
    <x v="439"/>
    <x v="3"/>
    <x v="1"/>
    <x v="3"/>
    <x v="20"/>
    <x v="22"/>
    <x v="56"/>
    <x v="21"/>
    <x v="0"/>
  </r>
  <r>
    <x v="39"/>
    <x v="440"/>
    <x v="1"/>
    <x v="0"/>
    <x v="1"/>
    <x v="19"/>
    <x v="73"/>
    <x v="86"/>
    <x v="46"/>
    <x v="0"/>
  </r>
  <r>
    <x v="260"/>
    <x v="441"/>
    <x v="1"/>
    <x v="0"/>
    <x v="1"/>
    <x v="52"/>
    <x v="62"/>
    <x v="18"/>
    <x v="54"/>
    <x v="0"/>
  </r>
  <r>
    <x v="42"/>
    <x v="442"/>
    <x v="0"/>
    <x v="0"/>
    <x v="0"/>
    <x v="19"/>
    <x v="19"/>
    <x v="74"/>
    <x v="19"/>
    <x v="0"/>
  </r>
  <r>
    <x v="261"/>
    <x v="443"/>
    <x v="1"/>
    <x v="0"/>
    <x v="1"/>
    <x v="76"/>
    <x v="95"/>
    <x v="34"/>
    <x v="82"/>
    <x v="0"/>
  </r>
  <r>
    <x v="184"/>
    <x v="444"/>
    <x v="1"/>
    <x v="0"/>
    <x v="1"/>
    <x v="60"/>
    <x v="74"/>
    <x v="34"/>
    <x v="63"/>
    <x v="0"/>
  </r>
  <r>
    <x v="0"/>
    <x v="445"/>
    <x v="4"/>
    <x v="0"/>
    <x v="3"/>
    <x v="19"/>
    <x v="24"/>
    <x v="65"/>
    <x v="14"/>
    <x v="0"/>
  </r>
  <r>
    <x v="70"/>
    <x v="446"/>
    <x v="1"/>
    <x v="0"/>
    <x v="1"/>
    <x v="18"/>
    <x v="63"/>
    <x v="15"/>
    <x v="6"/>
    <x v="0"/>
  </r>
  <r>
    <x v="66"/>
    <x v="447"/>
    <x v="2"/>
    <x v="0"/>
    <x v="2"/>
    <x v="13"/>
    <x v="13"/>
    <x v="93"/>
    <x v="13"/>
    <x v="0"/>
  </r>
  <r>
    <x v="149"/>
    <x v="448"/>
    <x v="0"/>
    <x v="0"/>
    <x v="0"/>
    <x v="5"/>
    <x v="5"/>
    <x v="66"/>
    <x v="5"/>
    <x v="0"/>
  </r>
  <r>
    <x v="170"/>
    <x v="449"/>
    <x v="0"/>
    <x v="0"/>
    <x v="0"/>
    <x v="7"/>
    <x v="7"/>
    <x v="64"/>
    <x v="7"/>
    <x v="0"/>
  </r>
  <r>
    <x v="262"/>
    <x v="450"/>
    <x v="1"/>
    <x v="0"/>
    <x v="1"/>
    <x v="53"/>
    <x v="64"/>
    <x v="4"/>
    <x v="55"/>
    <x v="0"/>
  </r>
  <r>
    <x v="127"/>
    <x v="451"/>
    <x v="1"/>
    <x v="0"/>
    <x v="1"/>
    <x v="35"/>
    <x v="43"/>
    <x v="27"/>
    <x v="38"/>
    <x v="0"/>
  </r>
  <r>
    <x v="181"/>
    <x v="452"/>
    <x v="1"/>
    <x v="0"/>
    <x v="1"/>
    <x v="40"/>
    <x v="48"/>
    <x v="51"/>
    <x v="42"/>
    <x v="0"/>
  </r>
  <r>
    <x v="94"/>
    <x v="453"/>
    <x v="2"/>
    <x v="0"/>
    <x v="2"/>
    <x v="23"/>
    <x v="28"/>
    <x v="51"/>
    <x v="25"/>
    <x v="0"/>
  </r>
  <r>
    <x v="79"/>
    <x v="454"/>
    <x v="4"/>
    <x v="0"/>
    <x v="3"/>
    <x v="64"/>
    <x v="79"/>
    <x v="79"/>
    <x v="68"/>
    <x v="0"/>
  </r>
  <r>
    <x v="263"/>
    <x v="455"/>
    <x v="2"/>
    <x v="0"/>
    <x v="2"/>
    <x v="10"/>
    <x v="10"/>
    <x v="84"/>
    <x v="10"/>
    <x v="0"/>
  </r>
  <r>
    <x v="264"/>
    <x v="456"/>
    <x v="3"/>
    <x v="1"/>
    <x v="3"/>
    <x v="23"/>
    <x v="83"/>
    <x v="15"/>
    <x v="71"/>
    <x v="0"/>
  </r>
  <r>
    <x v="166"/>
    <x v="457"/>
    <x v="2"/>
    <x v="0"/>
    <x v="2"/>
    <x v="46"/>
    <x v="47"/>
    <x v="12"/>
    <x v="1"/>
    <x v="0"/>
  </r>
  <r>
    <x v="265"/>
    <x v="458"/>
    <x v="4"/>
    <x v="0"/>
    <x v="3"/>
    <x v="39"/>
    <x v="47"/>
    <x v="17"/>
    <x v="41"/>
    <x v="0"/>
  </r>
  <r>
    <x v="25"/>
    <x v="459"/>
    <x v="4"/>
    <x v="0"/>
    <x v="3"/>
    <x v="56"/>
    <x v="67"/>
    <x v="35"/>
    <x v="58"/>
    <x v="0"/>
  </r>
  <r>
    <x v="28"/>
    <x v="460"/>
    <x v="0"/>
    <x v="0"/>
    <x v="0"/>
    <x v="7"/>
    <x v="7"/>
    <x v="38"/>
    <x v="7"/>
    <x v="0"/>
  </r>
  <r>
    <x v="266"/>
    <x v="461"/>
    <x v="2"/>
    <x v="0"/>
    <x v="2"/>
    <x v="19"/>
    <x v="27"/>
    <x v="40"/>
    <x v="24"/>
    <x v="0"/>
  </r>
  <r>
    <x v="210"/>
    <x v="462"/>
    <x v="4"/>
    <x v="0"/>
    <x v="3"/>
    <x v="7"/>
    <x v="20"/>
    <x v="32"/>
    <x v="10"/>
    <x v="0"/>
  </r>
  <r>
    <x v="267"/>
    <x v="463"/>
    <x v="2"/>
    <x v="0"/>
    <x v="2"/>
    <x v="77"/>
    <x v="96"/>
    <x v="56"/>
    <x v="83"/>
    <x v="0"/>
  </r>
  <r>
    <x v="97"/>
    <x v="464"/>
    <x v="4"/>
    <x v="0"/>
    <x v="3"/>
    <x v="11"/>
    <x v="11"/>
    <x v="79"/>
    <x v="11"/>
    <x v="0"/>
  </r>
  <r>
    <x v="155"/>
    <x v="465"/>
    <x v="0"/>
    <x v="0"/>
    <x v="0"/>
    <x v="5"/>
    <x v="5"/>
    <x v="0"/>
    <x v="5"/>
    <x v="0"/>
  </r>
  <r>
    <x v="268"/>
    <x v="466"/>
    <x v="1"/>
    <x v="0"/>
    <x v="1"/>
    <x v="19"/>
    <x v="73"/>
    <x v="11"/>
    <x v="46"/>
    <x v="0"/>
  </r>
  <r>
    <x v="123"/>
    <x v="467"/>
    <x v="4"/>
    <x v="0"/>
    <x v="3"/>
    <x v="19"/>
    <x v="24"/>
    <x v="80"/>
    <x v="14"/>
    <x v="0"/>
  </r>
  <r>
    <x v="249"/>
    <x v="468"/>
    <x v="1"/>
    <x v="0"/>
    <x v="1"/>
    <x v="60"/>
    <x v="74"/>
    <x v="21"/>
    <x v="63"/>
    <x v="0"/>
  </r>
  <r>
    <x v="167"/>
    <x v="469"/>
    <x v="0"/>
    <x v="0"/>
    <x v="0"/>
    <x v="8"/>
    <x v="8"/>
    <x v="34"/>
    <x v="8"/>
    <x v="0"/>
  </r>
  <r>
    <x v="209"/>
    <x v="470"/>
    <x v="1"/>
    <x v="0"/>
    <x v="1"/>
    <x v="47"/>
    <x v="57"/>
    <x v="46"/>
    <x v="49"/>
    <x v="0"/>
  </r>
  <r>
    <x v="269"/>
    <x v="471"/>
    <x v="1"/>
    <x v="0"/>
    <x v="1"/>
    <x v="47"/>
    <x v="57"/>
    <x v="13"/>
    <x v="49"/>
    <x v="0"/>
  </r>
  <r>
    <x v="12"/>
    <x v="472"/>
    <x v="3"/>
    <x v="1"/>
    <x v="3"/>
    <x v="9"/>
    <x v="70"/>
    <x v="84"/>
    <x v="60"/>
    <x v="0"/>
  </r>
  <r>
    <x v="135"/>
    <x v="473"/>
    <x v="4"/>
    <x v="0"/>
    <x v="3"/>
    <x v="74"/>
    <x v="91"/>
    <x v="57"/>
    <x v="79"/>
    <x v="0"/>
  </r>
  <r>
    <x v="138"/>
    <x v="474"/>
    <x v="0"/>
    <x v="0"/>
    <x v="0"/>
    <x v="8"/>
    <x v="8"/>
    <x v="69"/>
    <x v="8"/>
    <x v="0"/>
  </r>
  <r>
    <x v="270"/>
    <x v="475"/>
    <x v="3"/>
    <x v="1"/>
    <x v="3"/>
    <x v="45"/>
    <x v="56"/>
    <x v="62"/>
    <x v="48"/>
    <x v="0"/>
  </r>
  <r>
    <x v="49"/>
    <x v="476"/>
    <x v="1"/>
    <x v="0"/>
    <x v="1"/>
    <x v="24"/>
    <x v="29"/>
    <x v="24"/>
    <x v="26"/>
    <x v="0"/>
  </r>
  <r>
    <x v="219"/>
    <x v="477"/>
    <x v="4"/>
    <x v="0"/>
    <x v="3"/>
    <x v="56"/>
    <x v="67"/>
    <x v="56"/>
    <x v="58"/>
    <x v="0"/>
  </r>
  <r>
    <x v="173"/>
    <x v="478"/>
    <x v="1"/>
    <x v="0"/>
    <x v="1"/>
    <x v="47"/>
    <x v="57"/>
    <x v="17"/>
    <x v="49"/>
    <x v="0"/>
  </r>
  <r>
    <x v="271"/>
    <x v="479"/>
    <x v="2"/>
    <x v="0"/>
    <x v="2"/>
    <x v="19"/>
    <x v="27"/>
    <x v="87"/>
    <x v="24"/>
    <x v="0"/>
  </r>
  <r>
    <x v="272"/>
    <x v="480"/>
    <x v="0"/>
    <x v="0"/>
    <x v="0"/>
    <x v="19"/>
    <x v="19"/>
    <x v="82"/>
    <x v="19"/>
    <x v="0"/>
  </r>
  <r>
    <x v="53"/>
    <x v="481"/>
    <x v="3"/>
    <x v="1"/>
    <x v="3"/>
    <x v="29"/>
    <x v="37"/>
    <x v="65"/>
    <x v="32"/>
    <x v="0"/>
  </r>
  <r>
    <x v="102"/>
    <x v="482"/>
    <x v="3"/>
    <x v="1"/>
    <x v="3"/>
    <x v="26"/>
    <x v="32"/>
    <x v="26"/>
    <x v="29"/>
    <x v="0"/>
  </r>
  <r>
    <x v="148"/>
    <x v="483"/>
    <x v="0"/>
    <x v="0"/>
    <x v="0"/>
    <x v="0"/>
    <x v="0"/>
    <x v="76"/>
    <x v="0"/>
    <x v="0"/>
  </r>
  <r>
    <x v="190"/>
    <x v="484"/>
    <x v="4"/>
    <x v="0"/>
    <x v="3"/>
    <x v="39"/>
    <x v="47"/>
    <x v="29"/>
    <x v="41"/>
    <x v="0"/>
  </r>
  <r>
    <x v="46"/>
    <x v="485"/>
    <x v="1"/>
    <x v="0"/>
    <x v="1"/>
    <x v="40"/>
    <x v="48"/>
    <x v="81"/>
    <x v="42"/>
    <x v="0"/>
  </r>
  <r>
    <x v="104"/>
    <x v="486"/>
    <x v="2"/>
    <x v="0"/>
    <x v="2"/>
    <x v="13"/>
    <x v="13"/>
    <x v="58"/>
    <x v="13"/>
    <x v="0"/>
  </r>
  <r>
    <x v="176"/>
    <x v="487"/>
    <x v="3"/>
    <x v="1"/>
    <x v="3"/>
    <x v="58"/>
    <x v="71"/>
    <x v="65"/>
    <x v="61"/>
    <x v="0"/>
  </r>
  <r>
    <x v="38"/>
    <x v="488"/>
    <x v="2"/>
    <x v="0"/>
    <x v="2"/>
    <x v="7"/>
    <x v="49"/>
    <x v="87"/>
    <x v="8"/>
    <x v="0"/>
  </r>
  <r>
    <x v="273"/>
    <x v="489"/>
    <x v="4"/>
    <x v="0"/>
    <x v="3"/>
    <x v="59"/>
    <x v="72"/>
    <x v="18"/>
    <x v="62"/>
    <x v="0"/>
  </r>
  <r>
    <x v="58"/>
    <x v="490"/>
    <x v="3"/>
    <x v="1"/>
    <x v="3"/>
    <x v="19"/>
    <x v="24"/>
    <x v="36"/>
    <x v="14"/>
    <x v="0"/>
  </r>
  <r>
    <x v="220"/>
    <x v="491"/>
    <x v="2"/>
    <x v="0"/>
    <x v="2"/>
    <x v="10"/>
    <x v="10"/>
    <x v="30"/>
    <x v="10"/>
    <x v="0"/>
  </r>
  <r>
    <x v="19"/>
    <x v="492"/>
    <x v="1"/>
    <x v="0"/>
    <x v="1"/>
    <x v="16"/>
    <x v="76"/>
    <x v="5"/>
    <x v="65"/>
    <x v="0"/>
  </r>
  <r>
    <x v="68"/>
    <x v="493"/>
    <x v="4"/>
    <x v="0"/>
    <x v="3"/>
    <x v="55"/>
    <x v="66"/>
    <x v="36"/>
    <x v="57"/>
    <x v="0"/>
  </r>
  <r>
    <x v="274"/>
    <x v="494"/>
    <x v="2"/>
    <x v="0"/>
    <x v="2"/>
    <x v="61"/>
    <x v="75"/>
    <x v="1"/>
    <x v="64"/>
    <x v="0"/>
  </r>
  <r>
    <x v="42"/>
    <x v="495"/>
    <x v="3"/>
    <x v="1"/>
    <x v="3"/>
    <x v="12"/>
    <x v="12"/>
    <x v="21"/>
    <x v="12"/>
    <x v="0"/>
  </r>
  <r>
    <x v="212"/>
    <x v="496"/>
    <x v="1"/>
    <x v="0"/>
    <x v="1"/>
    <x v="35"/>
    <x v="43"/>
    <x v="84"/>
    <x v="38"/>
    <x v="0"/>
  </r>
  <r>
    <x v="58"/>
    <x v="497"/>
    <x v="4"/>
    <x v="0"/>
    <x v="3"/>
    <x v="39"/>
    <x v="47"/>
    <x v="18"/>
    <x v="41"/>
    <x v="0"/>
  </r>
  <r>
    <x v="275"/>
    <x v="498"/>
    <x v="3"/>
    <x v="1"/>
    <x v="3"/>
    <x v="19"/>
    <x v="24"/>
    <x v="81"/>
    <x v="14"/>
    <x v="0"/>
  </r>
  <r>
    <x v="149"/>
    <x v="499"/>
    <x v="3"/>
    <x v="1"/>
    <x v="3"/>
    <x v="12"/>
    <x v="12"/>
    <x v="63"/>
    <x v="12"/>
    <x v="0"/>
  </r>
  <r>
    <x v="276"/>
    <x v="500"/>
    <x v="1"/>
    <x v="0"/>
    <x v="1"/>
    <x v="16"/>
    <x v="76"/>
    <x v="75"/>
    <x v="65"/>
    <x v="0"/>
  </r>
  <r>
    <x v="161"/>
    <x v="501"/>
    <x v="4"/>
    <x v="0"/>
    <x v="3"/>
    <x v="69"/>
    <x v="86"/>
    <x v="49"/>
    <x v="74"/>
    <x v="0"/>
  </r>
  <r>
    <x v="172"/>
    <x v="502"/>
    <x v="4"/>
    <x v="0"/>
    <x v="3"/>
    <x v="58"/>
    <x v="71"/>
    <x v="58"/>
    <x v="61"/>
    <x v="0"/>
  </r>
  <r>
    <x v="121"/>
    <x v="503"/>
    <x v="2"/>
    <x v="0"/>
    <x v="2"/>
    <x v="42"/>
    <x v="51"/>
    <x v="4"/>
    <x v="44"/>
    <x v="0"/>
  </r>
  <r>
    <x v="32"/>
    <x v="504"/>
    <x v="3"/>
    <x v="1"/>
    <x v="3"/>
    <x v="56"/>
    <x v="67"/>
    <x v="39"/>
    <x v="58"/>
    <x v="0"/>
  </r>
  <r>
    <x v="277"/>
    <x v="505"/>
    <x v="2"/>
    <x v="0"/>
    <x v="2"/>
    <x v="7"/>
    <x v="49"/>
    <x v="30"/>
    <x v="8"/>
    <x v="0"/>
  </r>
  <r>
    <x v="124"/>
    <x v="506"/>
    <x v="4"/>
    <x v="0"/>
    <x v="3"/>
    <x v="19"/>
    <x v="24"/>
    <x v="18"/>
    <x v="14"/>
    <x v="0"/>
  </r>
  <r>
    <x v="182"/>
    <x v="507"/>
    <x v="1"/>
    <x v="0"/>
    <x v="1"/>
    <x v="16"/>
    <x v="76"/>
    <x v="63"/>
    <x v="65"/>
    <x v="0"/>
  </r>
  <r>
    <x v="278"/>
    <x v="508"/>
    <x v="2"/>
    <x v="0"/>
    <x v="2"/>
    <x v="13"/>
    <x v="13"/>
    <x v="16"/>
    <x v="13"/>
    <x v="0"/>
  </r>
  <r>
    <x v="226"/>
    <x v="509"/>
    <x v="2"/>
    <x v="0"/>
    <x v="2"/>
    <x v="67"/>
    <x v="84"/>
    <x v="36"/>
    <x v="72"/>
    <x v="0"/>
  </r>
  <r>
    <x v="252"/>
    <x v="510"/>
    <x v="4"/>
    <x v="0"/>
    <x v="3"/>
    <x v="74"/>
    <x v="91"/>
    <x v="37"/>
    <x v="79"/>
    <x v="0"/>
  </r>
  <r>
    <x v="279"/>
    <x v="511"/>
    <x v="2"/>
    <x v="0"/>
    <x v="2"/>
    <x v="6"/>
    <x v="6"/>
    <x v="28"/>
    <x v="6"/>
    <x v="0"/>
  </r>
  <r>
    <x v="163"/>
    <x v="512"/>
    <x v="2"/>
    <x v="0"/>
    <x v="2"/>
    <x v="66"/>
    <x v="82"/>
    <x v="24"/>
    <x v="70"/>
    <x v="0"/>
  </r>
  <r>
    <x v="82"/>
    <x v="513"/>
    <x v="3"/>
    <x v="1"/>
    <x v="3"/>
    <x v="58"/>
    <x v="71"/>
    <x v="62"/>
    <x v="61"/>
    <x v="0"/>
  </r>
  <r>
    <x v="155"/>
    <x v="514"/>
    <x v="0"/>
    <x v="0"/>
    <x v="0"/>
    <x v="0"/>
    <x v="0"/>
    <x v="31"/>
    <x v="0"/>
    <x v="0"/>
  </r>
  <r>
    <x v="280"/>
    <x v="515"/>
    <x v="0"/>
    <x v="0"/>
    <x v="0"/>
    <x v="8"/>
    <x v="8"/>
    <x v="94"/>
    <x v="8"/>
    <x v="0"/>
  </r>
  <r>
    <x v="214"/>
    <x v="516"/>
    <x v="1"/>
    <x v="0"/>
    <x v="1"/>
    <x v="40"/>
    <x v="48"/>
    <x v="96"/>
    <x v="42"/>
    <x v="0"/>
  </r>
  <r>
    <x v="76"/>
    <x v="517"/>
    <x v="1"/>
    <x v="0"/>
    <x v="1"/>
    <x v="27"/>
    <x v="33"/>
    <x v="15"/>
    <x v="5"/>
    <x v="0"/>
  </r>
  <r>
    <x v="281"/>
    <x v="518"/>
    <x v="1"/>
    <x v="0"/>
    <x v="1"/>
    <x v="19"/>
    <x v="73"/>
    <x v="64"/>
    <x v="46"/>
    <x v="0"/>
  </r>
  <r>
    <x v="136"/>
    <x v="519"/>
    <x v="3"/>
    <x v="1"/>
    <x v="3"/>
    <x v="11"/>
    <x v="11"/>
    <x v="1"/>
    <x v="11"/>
    <x v="0"/>
  </r>
  <r>
    <x v="171"/>
    <x v="520"/>
    <x v="2"/>
    <x v="0"/>
    <x v="2"/>
    <x v="51"/>
    <x v="61"/>
    <x v="16"/>
    <x v="53"/>
    <x v="0"/>
  </r>
  <r>
    <x v="282"/>
    <x v="521"/>
    <x v="0"/>
    <x v="0"/>
    <x v="0"/>
    <x v="0"/>
    <x v="0"/>
    <x v="94"/>
    <x v="0"/>
    <x v="0"/>
  </r>
  <r>
    <x v="171"/>
    <x v="522"/>
    <x v="3"/>
    <x v="1"/>
    <x v="3"/>
    <x v="56"/>
    <x v="67"/>
    <x v="22"/>
    <x v="58"/>
    <x v="0"/>
  </r>
  <r>
    <x v="161"/>
    <x v="523"/>
    <x v="2"/>
    <x v="0"/>
    <x v="2"/>
    <x v="14"/>
    <x v="14"/>
    <x v="35"/>
    <x v="14"/>
    <x v="0"/>
  </r>
  <r>
    <x v="55"/>
    <x v="524"/>
    <x v="3"/>
    <x v="1"/>
    <x v="3"/>
    <x v="46"/>
    <x v="68"/>
    <x v="95"/>
    <x v="43"/>
    <x v="0"/>
  </r>
  <r>
    <x v="283"/>
    <x v="525"/>
    <x v="2"/>
    <x v="0"/>
    <x v="2"/>
    <x v="41"/>
    <x v="50"/>
    <x v="40"/>
    <x v="43"/>
    <x v="0"/>
  </r>
  <r>
    <x v="123"/>
    <x v="526"/>
    <x v="3"/>
    <x v="1"/>
    <x v="3"/>
    <x v="20"/>
    <x v="22"/>
    <x v="32"/>
    <x v="21"/>
    <x v="0"/>
  </r>
  <r>
    <x v="88"/>
    <x v="527"/>
    <x v="1"/>
    <x v="0"/>
    <x v="1"/>
    <x v="76"/>
    <x v="95"/>
    <x v="68"/>
    <x v="82"/>
    <x v="0"/>
  </r>
  <r>
    <x v="284"/>
    <x v="528"/>
    <x v="2"/>
    <x v="0"/>
    <x v="2"/>
    <x v="13"/>
    <x v="13"/>
    <x v="20"/>
    <x v="13"/>
    <x v="0"/>
  </r>
  <r>
    <x v="172"/>
    <x v="529"/>
    <x v="2"/>
    <x v="0"/>
    <x v="2"/>
    <x v="67"/>
    <x v="84"/>
    <x v="35"/>
    <x v="72"/>
    <x v="0"/>
  </r>
  <r>
    <x v="285"/>
    <x v="530"/>
    <x v="0"/>
    <x v="0"/>
    <x v="0"/>
    <x v="7"/>
    <x v="7"/>
    <x v="94"/>
    <x v="7"/>
    <x v="0"/>
  </r>
  <r>
    <x v="218"/>
    <x v="531"/>
    <x v="2"/>
    <x v="0"/>
    <x v="2"/>
    <x v="37"/>
    <x v="45"/>
    <x v="31"/>
    <x v="39"/>
    <x v="0"/>
  </r>
  <r>
    <x v="286"/>
    <x v="532"/>
    <x v="0"/>
    <x v="0"/>
    <x v="0"/>
    <x v="0"/>
    <x v="0"/>
    <x v="74"/>
    <x v="0"/>
    <x v="0"/>
  </r>
  <r>
    <x v="267"/>
    <x v="533"/>
    <x v="4"/>
    <x v="0"/>
    <x v="3"/>
    <x v="19"/>
    <x v="24"/>
    <x v="40"/>
    <x v="14"/>
    <x v="0"/>
  </r>
  <r>
    <x v="261"/>
    <x v="534"/>
    <x v="0"/>
    <x v="0"/>
    <x v="0"/>
    <x v="19"/>
    <x v="19"/>
    <x v="25"/>
    <x v="19"/>
    <x v="0"/>
  </r>
  <r>
    <x v="190"/>
    <x v="535"/>
    <x v="2"/>
    <x v="0"/>
    <x v="2"/>
    <x v="5"/>
    <x v="92"/>
    <x v="9"/>
    <x v="46"/>
    <x v="0"/>
  </r>
  <r>
    <x v="124"/>
    <x v="536"/>
    <x v="4"/>
    <x v="0"/>
    <x v="3"/>
    <x v="31"/>
    <x v="39"/>
    <x v="13"/>
    <x v="34"/>
    <x v="0"/>
  </r>
  <r>
    <x v="153"/>
    <x v="537"/>
    <x v="2"/>
    <x v="0"/>
    <x v="2"/>
    <x v="6"/>
    <x v="6"/>
    <x v="42"/>
    <x v="6"/>
    <x v="0"/>
  </r>
  <r>
    <x v="114"/>
    <x v="538"/>
    <x v="0"/>
    <x v="0"/>
    <x v="0"/>
    <x v="5"/>
    <x v="5"/>
    <x v="25"/>
    <x v="5"/>
    <x v="0"/>
  </r>
  <r>
    <x v="109"/>
    <x v="539"/>
    <x v="4"/>
    <x v="0"/>
    <x v="3"/>
    <x v="31"/>
    <x v="39"/>
    <x v="49"/>
    <x v="34"/>
    <x v="0"/>
  </r>
  <r>
    <x v="73"/>
    <x v="540"/>
    <x v="0"/>
    <x v="0"/>
    <x v="0"/>
    <x v="7"/>
    <x v="7"/>
    <x v="8"/>
    <x v="7"/>
    <x v="0"/>
  </r>
  <r>
    <x v="74"/>
    <x v="541"/>
    <x v="0"/>
    <x v="0"/>
    <x v="0"/>
    <x v="0"/>
    <x v="0"/>
    <x v="77"/>
    <x v="0"/>
    <x v="0"/>
  </r>
  <r>
    <x v="186"/>
    <x v="542"/>
    <x v="4"/>
    <x v="0"/>
    <x v="3"/>
    <x v="74"/>
    <x v="91"/>
    <x v="43"/>
    <x v="79"/>
    <x v="0"/>
  </r>
  <r>
    <x v="6"/>
    <x v="543"/>
    <x v="1"/>
    <x v="0"/>
    <x v="1"/>
    <x v="0"/>
    <x v="81"/>
    <x v="55"/>
    <x v="24"/>
    <x v="0"/>
  </r>
  <r>
    <x v="148"/>
    <x v="544"/>
    <x v="1"/>
    <x v="0"/>
    <x v="1"/>
    <x v="75"/>
    <x v="93"/>
    <x v="80"/>
    <x v="80"/>
    <x v="0"/>
  </r>
  <r>
    <x v="218"/>
    <x v="545"/>
    <x v="3"/>
    <x v="1"/>
    <x v="3"/>
    <x v="12"/>
    <x v="12"/>
    <x v="63"/>
    <x v="12"/>
    <x v="0"/>
  </r>
  <r>
    <x v="83"/>
    <x v="546"/>
    <x v="2"/>
    <x v="0"/>
    <x v="2"/>
    <x v="51"/>
    <x v="61"/>
    <x v="67"/>
    <x v="53"/>
    <x v="0"/>
  </r>
  <r>
    <x v="129"/>
    <x v="547"/>
    <x v="2"/>
    <x v="0"/>
    <x v="2"/>
    <x v="5"/>
    <x v="92"/>
    <x v="28"/>
    <x v="46"/>
    <x v="0"/>
  </r>
  <r>
    <x v="68"/>
    <x v="548"/>
    <x v="1"/>
    <x v="0"/>
    <x v="1"/>
    <x v="38"/>
    <x v="46"/>
    <x v="94"/>
    <x v="40"/>
    <x v="0"/>
  </r>
  <r>
    <x v="110"/>
    <x v="549"/>
    <x v="2"/>
    <x v="0"/>
    <x v="2"/>
    <x v="46"/>
    <x v="47"/>
    <x v="95"/>
    <x v="1"/>
    <x v="0"/>
  </r>
  <r>
    <x v="83"/>
    <x v="550"/>
    <x v="4"/>
    <x v="0"/>
    <x v="3"/>
    <x v="47"/>
    <x v="94"/>
    <x v="23"/>
    <x v="81"/>
    <x v="0"/>
  </r>
  <r>
    <x v="287"/>
    <x v="551"/>
    <x v="1"/>
    <x v="0"/>
    <x v="1"/>
    <x v="28"/>
    <x v="36"/>
    <x v="20"/>
    <x v="31"/>
    <x v="0"/>
  </r>
  <r>
    <x v="288"/>
    <x v="552"/>
    <x v="3"/>
    <x v="1"/>
    <x v="3"/>
    <x v="1"/>
    <x v="53"/>
    <x v="71"/>
    <x v="46"/>
    <x v="0"/>
  </r>
  <r>
    <x v="272"/>
    <x v="553"/>
    <x v="1"/>
    <x v="0"/>
    <x v="1"/>
    <x v="27"/>
    <x v="33"/>
    <x v="23"/>
    <x v="5"/>
    <x v="0"/>
  </r>
  <r>
    <x v="168"/>
    <x v="554"/>
    <x v="1"/>
    <x v="0"/>
    <x v="1"/>
    <x v="33"/>
    <x v="41"/>
    <x v="1"/>
    <x v="36"/>
    <x v="0"/>
  </r>
  <r>
    <x v="289"/>
    <x v="555"/>
    <x v="3"/>
    <x v="1"/>
    <x v="3"/>
    <x v="6"/>
    <x v="21"/>
    <x v="72"/>
    <x v="20"/>
    <x v="0"/>
  </r>
  <r>
    <x v="123"/>
    <x v="556"/>
    <x v="4"/>
    <x v="0"/>
    <x v="3"/>
    <x v="71"/>
    <x v="88"/>
    <x v="37"/>
    <x v="76"/>
    <x v="0"/>
  </r>
  <r>
    <x v="233"/>
    <x v="557"/>
    <x v="3"/>
    <x v="1"/>
    <x v="3"/>
    <x v="11"/>
    <x v="11"/>
    <x v="96"/>
    <x v="11"/>
    <x v="0"/>
  </r>
  <r>
    <x v="290"/>
    <x v="558"/>
    <x v="4"/>
    <x v="0"/>
    <x v="3"/>
    <x v="21"/>
    <x v="23"/>
    <x v="48"/>
    <x v="22"/>
    <x v="0"/>
  </r>
  <r>
    <x v="291"/>
    <x v="559"/>
    <x v="4"/>
    <x v="0"/>
    <x v="3"/>
    <x v="11"/>
    <x v="11"/>
    <x v="59"/>
    <x v="11"/>
    <x v="0"/>
  </r>
  <r>
    <x v="19"/>
    <x v="560"/>
    <x v="2"/>
    <x v="0"/>
    <x v="2"/>
    <x v="9"/>
    <x v="9"/>
    <x v="61"/>
    <x v="9"/>
    <x v="0"/>
  </r>
  <r>
    <x v="97"/>
    <x v="561"/>
    <x v="2"/>
    <x v="0"/>
    <x v="2"/>
    <x v="61"/>
    <x v="75"/>
    <x v="29"/>
    <x v="64"/>
    <x v="0"/>
  </r>
  <r>
    <x v="104"/>
    <x v="562"/>
    <x v="0"/>
    <x v="0"/>
    <x v="0"/>
    <x v="5"/>
    <x v="5"/>
    <x v="88"/>
    <x v="5"/>
    <x v="0"/>
  </r>
  <r>
    <x v="216"/>
    <x v="563"/>
    <x v="2"/>
    <x v="0"/>
    <x v="2"/>
    <x v="13"/>
    <x v="13"/>
    <x v="27"/>
    <x v="13"/>
    <x v="0"/>
  </r>
  <r>
    <x v="128"/>
    <x v="564"/>
    <x v="1"/>
    <x v="0"/>
    <x v="1"/>
    <x v="33"/>
    <x v="41"/>
    <x v="40"/>
    <x v="36"/>
    <x v="0"/>
  </r>
  <r>
    <x v="292"/>
    <x v="565"/>
    <x v="3"/>
    <x v="1"/>
    <x v="3"/>
    <x v="19"/>
    <x v="24"/>
    <x v="84"/>
    <x v="14"/>
    <x v="0"/>
  </r>
  <r>
    <x v="58"/>
    <x v="566"/>
    <x v="4"/>
    <x v="0"/>
    <x v="3"/>
    <x v="44"/>
    <x v="54"/>
    <x v="46"/>
    <x v="47"/>
    <x v="0"/>
  </r>
  <r>
    <x v="275"/>
    <x v="567"/>
    <x v="4"/>
    <x v="0"/>
    <x v="3"/>
    <x v="32"/>
    <x v="40"/>
    <x v="46"/>
    <x v="35"/>
    <x v="0"/>
  </r>
  <r>
    <x v="191"/>
    <x v="568"/>
    <x v="4"/>
    <x v="0"/>
    <x v="3"/>
    <x v="69"/>
    <x v="86"/>
    <x v="89"/>
    <x v="74"/>
    <x v="0"/>
  </r>
  <r>
    <x v="21"/>
    <x v="569"/>
    <x v="0"/>
    <x v="0"/>
    <x v="0"/>
    <x v="7"/>
    <x v="7"/>
    <x v="26"/>
    <x v="7"/>
    <x v="0"/>
  </r>
  <r>
    <x v="176"/>
    <x v="570"/>
    <x v="1"/>
    <x v="0"/>
    <x v="1"/>
    <x v="60"/>
    <x v="74"/>
    <x v="81"/>
    <x v="63"/>
    <x v="0"/>
  </r>
  <r>
    <x v="178"/>
    <x v="571"/>
    <x v="4"/>
    <x v="0"/>
    <x v="3"/>
    <x v="56"/>
    <x v="67"/>
    <x v="35"/>
    <x v="58"/>
    <x v="0"/>
  </r>
  <r>
    <x v="293"/>
    <x v="572"/>
    <x v="1"/>
    <x v="0"/>
    <x v="1"/>
    <x v="16"/>
    <x v="76"/>
    <x v="76"/>
    <x v="65"/>
    <x v="0"/>
  </r>
  <r>
    <x v="146"/>
    <x v="573"/>
    <x v="3"/>
    <x v="1"/>
    <x v="3"/>
    <x v="9"/>
    <x v="70"/>
    <x v="42"/>
    <x v="60"/>
    <x v="0"/>
  </r>
  <r>
    <x v="23"/>
    <x v="574"/>
    <x v="4"/>
    <x v="0"/>
    <x v="3"/>
    <x v="17"/>
    <x v="17"/>
    <x v="37"/>
    <x v="17"/>
    <x v="0"/>
  </r>
  <r>
    <x v="85"/>
    <x v="575"/>
    <x v="3"/>
    <x v="1"/>
    <x v="3"/>
    <x v="12"/>
    <x v="12"/>
    <x v="36"/>
    <x v="12"/>
    <x v="0"/>
  </r>
  <r>
    <x v="294"/>
    <x v="576"/>
    <x v="2"/>
    <x v="0"/>
    <x v="2"/>
    <x v="13"/>
    <x v="13"/>
    <x v="12"/>
    <x v="13"/>
    <x v="0"/>
  </r>
  <r>
    <x v="121"/>
    <x v="577"/>
    <x v="1"/>
    <x v="0"/>
    <x v="1"/>
    <x v="76"/>
    <x v="95"/>
    <x v="12"/>
    <x v="82"/>
    <x v="0"/>
  </r>
  <r>
    <x v="282"/>
    <x v="578"/>
    <x v="2"/>
    <x v="0"/>
    <x v="2"/>
    <x v="37"/>
    <x v="45"/>
    <x v="40"/>
    <x v="39"/>
    <x v="0"/>
  </r>
  <r>
    <x v="295"/>
    <x v="579"/>
    <x v="3"/>
    <x v="1"/>
    <x v="3"/>
    <x v="49"/>
    <x v="59"/>
    <x v="11"/>
    <x v="51"/>
    <x v="0"/>
  </r>
  <r>
    <x v="285"/>
    <x v="580"/>
    <x v="0"/>
    <x v="0"/>
    <x v="0"/>
    <x v="8"/>
    <x v="8"/>
    <x v="9"/>
    <x v="8"/>
    <x v="0"/>
  </r>
  <r>
    <x v="231"/>
    <x v="581"/>
    <x v="2"/>
    <x v="0"/>
    <x v="2"/>
    <x v="63"/>
    <x v="78"/>
    <x v="36"/>
    <x v="67"/>
    <x v="0"/>
  </r>
  <r>
    <x v="217"/>
    <x v="582"/>
    <x v="0"/>
    <x v="0"/>
    <x v="0"/>
    <x v="5"/>
    <x v="5"/>
    <x v="26"/>
    <x v="5"/>
    <x v="0"/>
  </r>
  <r>
    <x v="258"/>
    <x v="583"/>
    <x v="1"/>
    <x v="0"/>
    <x v="1"/>
    <x v="47"/>
    <x v="57"/>
    <x v="83"/>
    <x v="49"/>
    <x v="0"/>
  </r>
  <r>
    <x v="131"/>
    <x v="584"/>
    <x v="2"/>
    <x v="0"/>
    <x v="2"/>
    <x v="66"/>
    <x v="82"/>
    <x v="89"/>
    <x v="70"/>
    <x v="0"/>
  </r>
  <r>
    <x v="296"/>
    <x v="585"/>
    <x v="1"/>
    <x v="0"/>
    <x v="1"/>
    <x v="60"/>
    <x v="74"/>
    <x v="70"/>
    <x v="63"/>
    <x v="0"/>
  </r>
  <r>
    <x v="99"/>
    <x v="586"/>
    <x v="4"/>
    <x v="0"/>
    <x v="3"/>
    <x v="59"/>
    <x v="72"/>
    <x v="65"/>
    <x v="62"/>
    <x v="0"/>
  </r>
  <r>
    <x v="96"/>
    <x v="587"/>
    <x v="0"/>
    <x v="0"/>
    <x v="0"/>
    <x v="7"/>
    <x v="7"/>
    <x v="11"/>
    <x v="7"/>
    <x v="0"/>
  </r>
  <r>
    <x v="111"/>
    <x v="588"/>
    <x v="1"/>
    <x v="0"/>
    <x v="1"/>
    <x v="34"/>
    <x v="42"/>
    <x v="24"/>
    <x v="37"/>
    <x v="0"/>
  </r>
  <r>
    <x v="155"/>
    <x v="589"/>
    <x v="0"/>
    <x v="0"/>
    <x v="0"/>
    <x v="0"/>
    <x v="0"/>
    <x v="94"/>
    <x v="0"/>
    <x v="0"/>
  </r>
  <r>
    <x v="297"/>
    <x v="590"/>
    <x v="3"/>
    <x v="1"/>
    <x v="3"/>
    <x v="19"/>
    <x v="24"/>
    <x v="77"/>
    <x v="14"/>
    <x v="0"/>
  </r>
  <r>
    <x v="158"/>
    <x v="591"/>
    <x v="3"/>
    <x v="1"/>
    <x v="3"/>
    <x v="15"/>
    <x v="15"/>
    <x v="84"/>
    <x v="15"/>
    <x v="0"/>
  </r>
  <r>
    <x v="298"/>
    <x v="592"/>
    <x v="0"/>
    <x v="0"/>
    <x v="0"/>
    <x v="7"/>
    <x v="7"/>
    <x v="41"/>
    <x v="7"/>
    <x v="0"/>
  </r>
  <r>
    <x v="69"/>
    <x v="593"/>
    <x v="4"/>
    <x v="0"/>
    <x v="3"/>
    <x v="19"/>
    <x v="24"/>
    <x v="95"/>
    <x v="14"/>
    <x v="0"/>
  </r>
  <r>
    <x v="36"/>
    <x v="594"/>
    <x v="2"/>
    <x v="0"/>
    <x v="2"/>
    <x v="3"/>
    <x v="3"/>
    <x v="34"/>
    <x v="3"/>
    <x v="0"/>
  </r>
  <r>
    <x v="196"/>
    <x v="595"/>
    <x v="4"/>
    <x v="0"/>
    <x v="3"/>
    <x v="68"/>
    <x v="85"/>
    <x v="55"/>
    <x v="73"/>
    <x v="0"/>
  </r>
  <r>
    <x v="4"/>
    <x v="596"/>
    <x v="1"/>
    <x v="0"/>
    <x v="1"/>
    <x v="19"/>
    <x v="73"/>
    <x v="65"/>
    <x v="46"/>
    <x v="0"/>
  </r>
  <r>
    <x v="59"/>
    <x v="597"/>
    <x v="2"/>
    <x v="0"/>
    <x v="2"/>
    <x v="66"/>
    <x v="82"/>
    <x v="18"/>
    <x v="70"/>
    <x v="0"/>
  </r>
  <r>
    <x v="299"/>
    <x v="598"/>
    <x v="3"/>
    <x v="1"/>
    <x v="3"/>
    <x v="78"/>
    <x v="97"/>
    <x v="96"/>
    <x v="84"/>
    <x v="0"/>
  </r>
  <r>
    <x v="201"/>
    <x v="599"/>
    <x v="0"/>
    <x v="0"/>
    <x v="0"/>
    <x v="5"/>
    <x v="5"/>
    <x v="75"/>
    <x v="5"/>
    <x v="0"/>
  </r>
  <r>
    <x v="137"/>
    <x v="600"/>
    <x v="1"/>
    <x v="0"/>
    <x v="1"/>
    <x v="40"/>
    <x v="48"/>
    <x v="55"/>
    <x v="42"/>
    <x v="0"/>
  </r>
  <r>
    <x v="68"/>
    <x v="601"/>
    <x v="0"/>
    <x v="0"/>
    <x v="0"/>
    <x v="19"/>
    <x v="19"/>
    <x v="70"/>
    <x v="19"/>
    <x v="0"/>
  </r>
  <r>
    <x v="123"/>
    <x v="602"/>
    <x v="4"/>
    <x v="0"/>
    <x v="3"/>
    <x v="68"/>
    <x v="85"/>
    <x v="29"/>
    <x v="73"/>
    <x v="0"/>
  </r>
  <r>
    <x v="192"/>
    <x v="603"/>
    <x v="3"/>
    <x v="1"/>
    <x v="3"/>
    <x v="43"/>
    <x v="52"/>
    <x v="12"/>
    <x v="45"/>
    <x v="0"/>
  </r>
  <r>
    <x v="225"/>
    <x v="604"/>
    <x v="2"/>
    <x v="0"/>
    <x v="2"/>
    <x v="8"/>
    <x v="35"/>
    <x v="2"/>
    <x v="18"/>
    <x v="0"/>
  </r>
  <r>
    <x v="40"/>
    <x v="605"/>
    <x v="1"/>
    <x v="0"/>
    <x v="1"/>
    <x v="27"/>
    <x v="33"/>
    <x v="20"/>
    <x v="5"/>
    <x v="0"/>
  </r>
  <r>
    <x v="73"/>
    <x v="606"/>
    <x v="1"/>
    <x v="0"/>
    <x v="1"/>
    <x v="0"/>
    <x v="81"/>
    <x v="7"/>
    <x v="24"/>
    <x v="0"/>
  </r>
  <r>
    <x v="232"/>
    <x v="607"/>
    <x v="4"/>
    <x v="0"/>
    <x v="3"/>
    <x v="32"/>
    <x v="40"/>
    <x v="16"/>
    <x v="35"/>
    <x v="0"/>
  </r>
  <r>
    <x v="54"/>
    <x v="608"/>
    <x v="2"/>
    <x v="0"/>
    <x v="2"/>
    <x v="77"/>
    <x v="96"/>
    <x v="49"/>
    <x v="83"/>
    <x v="0"/>
  </r>
  <r>
    <x v="38"/>
    <x v="609"/>
    <x v="1"/>
    <x v="0"/>
    <x v="1"/>
    <x v="40"/>
    <x v="48"/>
    <x v="76"/>
    <x v="42"/>
    <x v="0"/>
  </r>
  <r>
    <x v="120"/>
    <x v="610"/>
    <x v="4"/>
    <x v="0"/>
    <x v="3"/>
    <x v="68"/>
    <x v="85"/>
    <x v="16"/>
    <x v="73"/>
    <x v="0"/>
  </r>
  <r>
    <x v="29"/>
    <x v="611"/>
    <x v="4"/>
    <x v="0"/>
    <x v="3"/>
    <x v="58"/>
    <x v="71"/>
    <x v="7"/>
    <x v="61"/>
    <x v="0"/>
  </r>
  <r>
    <x v="93"/>
    <x v="612"/>
    <x v="0"/>
    <x v="0"/>
    <x v="0"/>
    <x v="19"/>
    <x v="19"/>
    <x v="69"/>
    <x v="19"/>
    <x v="0"/>
  </r>
  <r>
    <x v="248"/>
    <x v="613"/>
    <x v="4"/>
    <x v="0"/>
    <x v="3"/>
    <x v="30"/>
    <x v="38"/>
    <x v="18"/>
    <x v="33"/>
    <x v="0"/>
  </r>
  <r>
    <x v="300"/>
    <x v="614"/>
    <x v="0"/>
    <x v="0"/>
    <x v="0"/>
    <x v="5"/>
    <x v="5"/>
    <x v="38"/>
    <x v="5"/>
    <x v="0"/>
  </r>
  <r>
    <x v="301"/>
    <x v="615"/>
    <x v="4"/>
    <x v="0"/>
    <x v="3"/>
    <x v="19"/>
    <x v="24"/>
    <x v="72"/>
    <x v="14"/>
    <x v="0"/>
  </r>
  <r>
    <x v="72"/>
    <x v="616"/>
    <x v="2"/>
    <x v="0"/>
    <x v="2"/>
    <x v="14"/>
    <x v="14"/>
    <x v="29"/>
    <x v="14"/>
    <x v="0"/>
  </r>
  <r>
    <x v="148"/>
    <x v="617"/>
    <x v="3"/>
    <x v="1"/>
    <x v="3"/>
    <x v="78"/>
    <x v="97"/>
    <x v="95"/>
    <x v="84"/>
    <x v="0"/>
  </r>
  <r>
    <x v="150"/>
    <x v="618"/>
    <x v="3"/>
    <x v="1"/>
    <x v="3"/>
    <x v="7"/>
    <x v="20"/>
    <x v="70"/>
    <x v="10"/>
    <x v="0"/>
  </r>
  <r>
    <x v="235"/>
    <x v="619"/>
    <x v="2"/>
    <x v="0"/>
    <x v="2"/>
    <x v="51"/>
    <x v="61"/>
    <x v="61"/>
    <x v="53"/>
    <x v="0"/>
  </r>
  <r>
    <x v="302"/>
    <x v="620"/>
    <x v="3"/>
    <x v="1"/>
    <x v="3"/>
    <x v="20"/>
    <x v="22"/>
    <x v="59"/>
    <x v="21"/>
    <x v="0"/>
  </r>
  <r>
    <x v="122"/>
    <x v="621"/>
    <x v="1"/>
    <x v="0"/>
    <x v="1"/>
    <x v="18"/>
    <x v="63"/>
    <x v="3"/>
    <x v="6"/>
    <x v="0"/>
  </r>
  <r>
    <x v="251"/>
    <x v="622"/>
    <x v="3"/>
    <x v="1"/>
    <x v="3"/>
    <x v="5"/>
    <x v="31"/>
    <x v="20"/>
    <x v="28"/>
    <x v="0"/>
  </r>
  <r>
    <x v="134"/>
    <x v="623"/>
    <x v="3"/>
    <x v="1"/>
    <x v="3"/>
    <x v="18"/>
    <x v="18"/>
    <x v="28"/>
    <x v="18"/>
    <x v="0"/>
  </r>
  <r>
    <x v="67"/>
    <x v="624"/>
    <x v="4"/>
    <x v="0"/>
    <x v="3"/>
    <x v="21"/>
    <x v="23"/>
    <x v="7"/>
    <x v="22"/>
    <x v="0"/>
  </r>
  <r>
    <x v="104"/>
    <x v="625"/>
    <x v="4"/>
    <x v="0"/>
    <x v="3"/>
    <x v="47"/>
    <x v="94"/>
    <x v="57"/>
    <x v="81"/>
    <x v="0"/>
  </r>
  <r>
    <x v="303"/>
    <x v="626"/>
    <x v="3"/>
    <x v="1"/>
    <x v="3"/>
    <x v="29"/>
    <x v="37"/>
    <x v="5"/>
    <x v="32"/>
    <x v="0"/>
  </r>
  <r>
    <x v="304"/>
    <x v="627"/>
    <x v="0"/>
    <x v="0"/>
    <x v="0"/>
    <x v="5"/>
    <x v="5"/>
    <x v="69"/>
    <x v="5"/>
    <x v="0"/>
  </r>
  <r>
    <x v="256"/>
    <x v="628"/>
    <x v="0"/>
    <x v="0"/>
    <x v="0"/>
    <x v="5"/>
    <x v="5"/>
    <x v="73"/>
    <x v="5"/>
    <x v="0"/>
  </r>
  <r>
    <x v="145"/>
    <x v="629"/>
    <x v="0"/>
    <x v="0"/>
    <x v="0"/>
    <x v="7"/>
    <x v="7"/>
    <x v="88"/>
    <x v="7"/>
    <x v="0"/>
  </r>
  <r>
    <x v="160"/>
    <x v="630"/>
    <x v="3"/>
    <x v="1"/>
    <x v="3"/>
    <x v="15"/>
    <x v="15"/>
    <x v="52"/>
    <x v="15"/>
    <x v="0"/>
  </r>
  <r>
    <x v="21"/>
    <x v="631"/>
    <x v="4"/>
    <x v="0"/>
    <x v="3"/>
    <x v="65"/>
    <x v="80"/>
    <x v="58"/>
    <x v="69"/>
    <x v="0"/>
  </r>
  <r>
    <x v="256"/>
    <x v="632"/>
    <x v="1"/>
    <x v="0"/>
    <x v="1"/>
    <x v="48"/>
    <x v="58"/>
    <x v="27"/>
    <x v="50"/>
    <x v="0"/>
  </r>
  <r>
    <x v="114"/>
    <x v="633"/>
    <x v="4"/>
    <x v="0"/>
    <x v="3"/>
    <x v="17"/>
    <x v="17"/>
    <x v="36"/>
    <x v="17"/>
    <x v="0"/>
  </r>
  <r>
    <x v="254"/>
    <x v="634"/>
    <x v="3"/>
    <x v="1"/>
    <x v="3"/>
    <x v="46"/>
    <x v="68"/>
    <x v="11"/>
    <x v="43"/>
    <x v="0"/>
  </r>
  <r>
    <x v="305"/>
    <x v="635"/>
    <x v="1"/>
    <x v="0"/>
    <x v="1"/>
    <x v="70"/>
    <x v="87"/>
    <x v="96"/>
    <x v="75"/>
    <x v="0"/>
  </r>
  <r>
    <x v="215"/>
    <x v="636"/>
    <x v="0"/>
    <x v="0"/>
    <x v="0"/>
    <x v="7"/>
    <x v="7"/>
    <x v="73"/>
    <x v="7"/>
    <x v="0"/>
  </r>
  <r>
    <x v="154"/>
    <x v="637"/>
    <x v="4"/>
    <x v="0"/>
    <x v="3"/>
    <x v="73"/>
    <x v="90"/>
    <x v="13"/>
    <x v="78"/>
    <x v="0"/>
  </r>
  <r>
    <x v="77"/>
    <x v="638"/>
    <x v="3"/>
    <x v="1"/>
    <x v="3"/>
    <x v="18"/>
    <x v="18"/>
    <x v="56"/>
    <x v="18"/>
    <x v="0"/>
  </r>
  <r>
    <x v="33"/>
    <x v="639"/>
    <x v="1"/>
    <x v="0"/>
    <x v="1"/>
    <x v="75"/>
    <x v="93"/>
    <x v="22"/>
    <x v="80"/>
    <x v="0"/>
  </r>
  <r>
    <x v="205"/>
    <x v="640"/>
    <x v="3"/>
    <x v="1"/>
    <x v="3"/>
    <x v="29"/>
    <x v="37"/>
    <x v="28"/>
    <x v="32"/>
    <x v="0"/>
  </r>
  <r>
    <x v="278"/>
    <x v="641"/>
    <x v="1"/>
    <x v="0"/>
    <x v="1"/>
    <x v="1"/>
    <x v="1"/>
    <x v="93"/>
    <x v="1"/>
    <x v="0"/>
  </r>
  <r>
    <x v="290"/>
    <x v="642"/>
    <x v="2"/>
    <x v="0"/>
    <x v="2"/>
    <x v="63"/>
    <x v="78"/>
    <x v="35"/>
    <x v="67"/>
    <x v="0"/>
  </r>
  <r>
    <x v="306"/>
    <x v="643"/>
    <x v="0"/>
    <x v="0"/>
    <x v="0"/>
    <x v="19"/>
    <x v="19"/>
    <x v="39"/>
    <x v="19"/>
    <x v="0"/>
  </r>
  <r>
    <x v="307"/>
    <x v="644"/>
    <x v="0"/>
    <x v="0"/>
    <x v="0"/>
    <x v="5"/>
    <x v="5"/>
    <x v="64"/>
    <x v="5"/>
    <x v="0"/>
  </r>
  <r>
    <x v="134"/>
    <x v="645"/>
    <x v="0"/>
    <x v="0"/>
    <x v="0"/>
    <x v="7"/>
    <x v="7"/>
    <x v="66"/>
    <x v="7"/>
    <x v="0"/>
  </r>
  <r>
    <x v="232"/>
    <x v="646"/>
    <x v="2"/>
    <x v="0"/>
    <x v="2"/>
    <x v="61"/>
    <x v="75"/>
    <x v="50"/>
    <x v="64"/>
    <x v="0"/>
  </r>
  <r>
    <x v="252"/>
    <x v="647"/>
    <x v="3"/>
    <x v="1"/>
    <x v="3"/>
    <x v="57"/>
    <x v="69"/>
    <x v="17"/>
    <x v="59"/>
    <x v="0"/>
  </r>
  <r>
    <x v="63"/>
    <x v="648"/>
    <x v="0"/>
    <x v="0"/>
    <x v="0"/>
    <x v="5"/>
    <x v="5"/>
    <x v="78"/>
    <x v="5"/>
    <x v="0"/>
  </r>
  <r>
    <x v="308"/>
    <x v="649"/>
    <x v="4"/>
    <x v="0"/>
    <x v="3"/>
    <x v="64"/>
    <x v="79"/>
    <x v="80"/>
    <x v="68"/>
    <x v="0"/>
  </r>
  <r>
    <x v="183"/>
    <x v="650"/>
    <x v="2"/>
    <x v="0"/>
    <x v="2"/>
    <x v="7"/>
    <x v="49"/>
    <x v="95"/>
    <x v="8"/>
    <x v="0"/>
  </r>
  <r>
    <x v="29"/>
    <x v="651"/>
    <x v="4"/>
    <x v="0"/>
    <x v="3"/>
    <x v="16"/>
    <x v="16"/>
    <x v="32"/>
    <x v="16"/>
    <x v="0"/>
  </r>
  <r>
    <x v="34"/>
    <x v="652"/>
    <x v="1"/>
    <x v="0"/>
    <x v="1"/>
    <x v="16"/>
    <x v="76"/>
    <x v="47"/>
    <x v="65"/>
    <x v="0"/>
  </r>
  <r>
    <x v="94"/>
    <x v="653"/>
    <x v="2"/>
    <x v="0"/>
    <x v="2"/>
    <x v="46"/>
    <x v="47"/>
    <x v="18"/>
    <x v="1"/>
    <x v="0"/>
  </r>
  <r>
    <x v="134"/>
    <x v="654"/>
    <x v="4"/>
    <x v="0"/>
    <x v="3"/>
    <x v="71"/>
    <x v="88"/>
    <x v="48"/>
    <x v="76"/>
    <x v="0"/>
  </r>
  <r>
    <x v="154"/>
    <x v="655"/>
    <x v="1"/>
    <x v="0"/>
    <x v="1"/>
    <x v="75"/>
    <x v="93"/>
    <x v="49"/>
    <x v="80"/>
    <x v="0"/>
  </r>
  <r>
    <x v="309"/>
    <x v="656"/>
    <x v="0"/>
    <x v="0"/>
    <x v="0"/>
    <x v="5"/>
    <x v="5"/>
    <x v="82"/>
    <x v="5"/>
    <x v="0"/>
  </r>
  <r>
    <x v="265"/>
    <x v="657"/>
    <x v="1"/>
    <x v="0"/>
    <x v="1"/>
    <x v="4"/>
    <x v="4"/>
    <x v="57"/>
    <x v="4"/>
    <x v="0"/>
  </r>
  <r>
    <x v="56"/>
    <x v="658"/>
    <x v="0"/>
    <x v="0"/>
    <x v="0"/>
    <x v="7"/>
    <x v="7"/>
    <x v="82"/>
    <x v="7"/>
    <x v="0"/>
  </r>
  <r>
    <x v="230"/>
    <x v="659"/>
    <x v="3"/>
    <x v="1"/>
    <x v="3"/>
    <x v="78"/>
    <x v="97"/>
    <x v="84"/>
    <x v="84"/>
    <x v="0"/>
  </r>
  <r>
    <x v="27"/>
    <x v="660"/>
    <x v="3"/>
    <x v="1"/>
    <x v="3"/>
    <x v="26"/>
    <x v="32"/>
    <x v="12"/>
    <x v="29"/>
    <x v="0"/>
  </r>
  <r>
    <x v="310"/>
    <x v="661"/>
    <x v="4"/>
    <x v="0"/>
    <x v="3"/>
    <x v="64"/>
    <x v="79"/>
    <x v="4"/>
    <x v="68"/>
    <x v="0"/>
  </r>
  <r>
    <x v="278"/>
    <x v="662"/>
    <x v="4"/>
    <x v="0"/>
    <x v="3"/>
    <x v="11"/>
    <x v="11"/>
    <x v="29"/>
    <x v="11"/>
    <x v="0"/>
  </r>
  <r>
    <x v="311"/>
    <x v="663"/>
    <x v="1"/>
    <x v="0"/>
    <x v="1"/>
    <x v="38"/>
    <x v="46"/>
    <x v="37"/>
    <x v="40"/>
    <x v="0"/>
  </r>
  <r>
    <x v="312"/>
    <x v="664"/>
    <x v="0"/>
    <x v="0"/>
    <x v="0"/>
    <x v="5"/>
    <x v="5"/>
    <x v="25"/>
    <x v="5"/>
    <x v="0"/>
  </r>
  <r>
    <x v="106"/>
    <x v="665"/>
    <x v="0"/>
    <x v="0"/>
    <x v="0"/>
    <x v="5"/>
    <x v="5"/>
    <x v="9"/>
    <x v="5"/>
    <x v="0"/>
  </r>
  <r>
    <x v="58"/>
    <x v="666"/>
    <x v="3"/>
    <x v="1"/>
    <x v="3"/>
    <x v="15"/>
    <x v="15"/>
    <x v="32"/>
    <x v="15"/>
    <x v="0"/>
  </r>
  <r>
    <x v="8"/>
    <x v="667"/>
    <x v="0"/>
    <x v="0"/>
    <x v="0"/>
    <x v="8"/>
    <x v="8"/>
    <x v="39"/>
    <x v="8"/>
    <x v="0"/>
  </r>
  <r>
    <x v="299"/>
    <x v="668"/>
    <x v="1"/>
    <x v="0"/>
    <x v="1"/>
    <x v="72"/>
    <x v="89"/>
    <x v="2"/>
    <x v="19"/>
    <x v="0"/>
  </r>
  <r>
    <x v="98"/>
    <x v="669"/>
    <x v="2"/>
    <x v="0"/>
    <x v="2"/>
    <x v="37"/>
    <x v="45"/>
    <x v="3"/>
    <x v="39"/>
    <x v="0"/>
  </r>
  <r>
    <x v="69"/>
    <x v="670"/>
    <x v="0"/>
    <x v="0"/>
    <x v="0"/>
    <x v="0"/>
    <x v="0"/>
    <x v="34"/>
    <x v="0"/>
    <x v="0"/>
  </r>
  <r>
    <x v="166"/>
    <x v="671"/>
    <x v="2"/>
    <x v="0"/>
    <x v="2"/>
    <x v="5"/>
    <x v="92"/>
    <x v="48"/>
    <x v="46"/>
    <x v="0"/>
  </r>
  <r>
    <x v="111"/>
    <x v="672"/>
    <x v="2"/>
    <x v="0"/>
    <x v="2"/>
    <x v="12"/>
    <x v="17"/>
    <x v="50"/>
    <x v="77"/>
    <x v="0"/>
  </r>
  <r>
    <x v="9"/>
    <x v="673"/>
    <x v="3"/>
    <x v="1"/>
    <x v="3"/>
    <x v="8"/>
    <x v="26"/>
    <x v="1"/>
    <x v="23"/>
    <x v="0"/>
  </r>
  <r>
    <x v="313"/>
    <x v="674"/>
    <x v="1"/>
    <x v="0"/>
    <x v="1"/>
    <x v="60"/>
    <x v="74"/>
    <x v="37"/>
    <x v="63"/>
    <x v="0"/>
  </r>
  <r>
    <x v="88"/>
    <x v="675"/>
    <x v="3"/>
    <x v="1"/>
    <x v="3"/>
    <x v="43"/>
    <x v="52"/>
    <x v="32"/>
    <x v="45"/>
    <x v="0"/>
  </r>
  <r>
    <x v="218"/>
    <x v="676"/>
    <x v="3"/>
    <x v="1"/>
    <x v="3"/>
    <x v="19"/>
    <x v="24"/>
    <x v="10"/>
    <x v="14"/>
    <x v="0"/>
  </r>
  <r>
    <x v="182"/>
    <x v="677"/>
    <x v="2"/>
    <x v="0"/>
    <x v="2"/>
    <x v="66"/>
    <x v="82"/>
    <x v="25"/>
    <x v="70"/>
    <x v="0"/>
  </r>
  <r>
    <x v="314"/>
    <x v="678"/>
    <x v="3"/>
    <x v="1"/>
    <x v="3"/>
    <x v="15"/>
    <x v="15"/>
    <x v="50"/>
    <x v="15"/>
    <x v="0"/>
  </r>
  <r>
    <x v="315"/>
    <x v="679"/>
    <x v="2"/>
    <x v="0"/>
    <x v="2"/>
    <x v="36"/>
    <x v="44"/>
    <x v="42"/>
    <x v="30"/>
    <x v="0"/>
  </r>
  <r>
    <x v="308"/>
    <x v="680"/>
    <x v="2"/>
    <x v="0"/>
    <x v="2"/>
    <x v="14"/>
    <x v="14"/>
    <x v="13"/>
    <x v="14"/>
    <x v="0"/>
  </r>
  <r>
    <x v="19"/>
    <x v="681"/>
    <x v="4"/>
    <x v="0"/>
    <x v="3"/>
    <x v="47"/>
    <x v="94"/>
    <x v="13"/>
    <x v="81"/>
    <x v="0"/>
  </r>
  <r>
    <x v="240"/>
    <x v="682"/>
    <x v="0"/>
    <x v="0"/>
    <x v="0"/>
    <x v="8"/>
    <x v="8"/>
    <x v="94"/>
    <x v="8"/>
    <x v="0"/>
  </r>
  <r>
    <x v="166"/>
    <x v="683"/>
    <x v="2"/>
    <x v="0"/>
    <x v="2"/>
    <x v="51"/>
    <x v="61"/>
    <x v="55"/>
    <x v="53"/>
    <x v="0"/>
  </r>
  <r>
    <x v="51"/>
    <x v="684"/>
    <x v="2"/>
    <x v="0"/>
    <x v="2"/>
    <x v="23"/>
    <x v="28"/>
    <x v="16"/>
    <x v="25"/>
    <x v="0"/>
  </r>
  <r>
    <x v="225"/>
    <x v="685"/>
    <x v="0"/>
    <x v="0"/>
    <x v="0"/>
    <x v="8"/>
    <x v="8"/>
    <x v="34"/>
    <x v="8"/>
    <x v="0"/>
  </r>
  <r>
    <x v="203"/>
    <x v="686"/>
    <x v="0"/>
    <x v="0"/>
    <x v="0"/>
    <x v="8"/>
    <x v="8"/>
    <x v="82"/>
    <x v="8"/>
    <x v="0"/>
  </r>
  <r>
    <x v="118"/>
    <x v="687"/>
    <x v="3"/>
    <x v="1"/>
    <x v="3"/>
    <x v="20"/>
    <x v="22"/>
    <x v="28"/>
    <x v="21"/>
    <x v="0"/>
  </r>
  <r>
    <x v="41"/>
    <x v="688"/>
    <x v="1"/>
    <x v="0"/>
    <x v="1"/>
    <x v="35"/>
    <x v="43"/>
    <x v="45"/>
    <x v="38"/>
    <x v="0"/>
  </r>
  <r>
    <x v="276"/>
    <x v="689"/>
    <x v="0"/>
    <x v="0"/>
    <x v="0"/>
    <x v="0"/>
    <x v="0"/>
    <x v="25"/>
    <x v="0"/>
    <x v="0"/>
  </r>
  <r>
    <x v="70"/>
    <x v="690"/>
    <x v="3"/>
    <x v="1"/>
    <x v="3"/>
    <x v="8"/>
    <x v="26"/>
    <x v="95"/>
    <x v="23"/>
    <x v="0"/>
  </r>
  <r>
    <x v="234"/>
    <x v="691"/>
    <x v="0"/>
    <x v="0"/>
    <x v="0"/>
    <x v="7"/>
    <x v="7"/>
    <x v="70"/>
    <x v="7"/>
    <x v="0"/>
  </r>
  <r>
    <x v="231"/>
    <x v="692"/>
    <x v="0"/>
    <x v="0"/>
    <x v="0"/>
    <x v="7"/>
    <x v="7"/>
    <x v="69"/>
    <x v="7"/>
    <x v="0"/>
  </r>
  <r>
    <x v="115"/>
    <x v="693"/>
    <x v="0"/>
    <x v="0"/>
    <x v="0"/>
    <x v="8"/>
    <x v="8"/>
    <x v="91"/>
    <x v="8"/>
    <x v="0"/>
  </r>
  <r>
    <x v="205"/>
    <x v="694"/>
    <x v="0"/>
    <x v="0"/>
    <x v="0"/>
    <x v="19"/>
    <x v="19"/>
    <x v="31"/>
    <x v="19"/>
    <x v="0"/>
  </r>
  <r>
    <x v="316"/>
    <x v="695"/>
    <x v="2"/>
    <x v="0"/>
    <x v="2"/>
    <x v="37"/>
    <x v="45"/>
    <x v="51"/>
    <x v="39"/>
    <x v="0"/>
  </r>
  <r>
    <x v="317"/>
    <x v="696"/>
    <x v="1"/>
    <x v="0"/>
    <x v="1"/>
    <x v="38"/>
    <x v="46"/>
    <x v="54"/>
    <x v="40"/>
    <x v="0"/>
  </r>
  <r>
    <x v="306"/>
    <x v="697"/>
    <x v="0"/>
    <x v="0"/>
    <x v="0"/>
    <x v="7"/>
    <x v="7"/>
    <x v="44"/>
    <x v="7"/>
    <x v="0"/>
  </r>
  <r>
    <x v="13"/>
    <x v="698"/>
    <x v="2"/>
    <x v="0"/>
    <x v="2"/>
    <x v="8"/>
    <x v="35"/>
    <x v="25"/>
    <x v="18"/>
    <x v="0"/>
  </r>
  <r>
    <x v="318"/>
    <x v="699"/>
    <x v="4"/>
    <x v="0"/>
    <x v="3"/>
    <x v="47"/>
    <x v="94"/>
    <x v="89"/>
    <x v="81"/>
    <x v="0"/>
  </r>
  <r>
    <x v="207"/>
    <x v="700"/>
    <x v="3"/>
    <x v="1"/>
    <x v="3"/>
    <x v="78"/>
    <x v="97"/>
    <x v="65"/>
    <x v="84"/>
    <x v="0"/>
  </r>
  <r>
    <x v="7"/>
    <x v="701"/>
    <x v="0"/>
    <x v="0"/>
    <x v="0"/>
    <x v="19"/>
    <x v="19"/>
    <x v="77"/>
    <x v="19"/>
    <x v="0"/>
  </r>
  <r>
    <x v="319"/>
    <x v="702"/>
    <x v="3"/>
    <x v="1"/>
    <x v="3"/>
    <x v="46"/>
    <x v="68"/>
    <x v="55"/>
    <x v="43"/>
    <x v="0"/>
  </r>
  <r>
    <x v="320"/>
    <x v="703"/>
    <x v="0"/>
    <x v="0"/>
    <x v="0"/>
    <x v="5"/>
    <x v="5"/>
    <x v="93"/>
    <x v="5"/>
    <x v="0"/>
  </r>
  <r>
    <x v="161"/>
    <x v="704"/>
    <x v="4"/>
    <x v="0"/>
    <x v="3"/>
    <x v="30"/>
    <x v="38"/>
    <x v="4"/>
    <x v="33"/>
    <x v="0"/>
  </r>
  <r>
    <x v="220"/>
    <x v="705"/>
    <x v="1"/>
    <x v="0"/>
    <x v="1"/>
    <x v="25"/>
    <x v="30"/>
    <x v="18"/>
    <x v="27"/>
    <x v="0"/>
  </r>
  <r>
    <x v="245"/>
    <x v="706"/>
    <x v="1"/>
    <x v="0"/>
    <x v="1"/>
    <x v="70"/>
    <x v="87"/>
    <x v="80"/>
    <x v="75"/>
    <x v="0"/>
  </r>
  <r>
    <x v="3"/>
    <x v="707"/>
    <x v="3"/>
    <x v="1"/>
    <x v="3"/>
    <x v="19"/>
    <x v="24"/>
    <x v="65"/>
    <x v="14"/>
    <x v="0"/>
  </r>
  <r>
    <x v="106"/>
    <x v="708"/>
    <x v="0"/>
    <x v="0"/>
    <x v="0"/>
    <x v="0"/>
    <x v="0"/>
    <x v="6"/>
    <x v="0"/>
    <x v="0"/>
  </r>
  <r>
    <x v="94"/>
    <x v="709"/>
    <x v="1"/>
    <x v="0"/>
    <x v="1"/>
    <x v="53"/>
    <x v="64"/>
    <x v="90"/>
    <x v="55"/>
    <x v="0"/>
  </r>
  <r>
    <x v="57"/>
    <x v="710"/>
    <x v="1"/>
    <x v="0"/>
    <x v="1"/>
    <x v="47"/>
    <x v="57"/>
    <x v="25"/>
    <x v="49"/>
    <x v="0"/>
  </r>
  <r>
    <x v="181"/>
    <x v="711"/>
    <x v="2"/>
    <x v="0"/>
    <x v="2"/>
    <x v="66"/>
    <x v="82"/>
    <x v="43"/>
    <x v="70"/>
    <x v="0"/>
  </r>
  <r>
    <x v="317"/>
    <x v="712"/>
    <x v="0"/>
    <x v="0"/>
    <x v="0"/>
    <x v="19"/>
    <x v="19"/>
    <x v="11"/>
    <x v="19"/>
    <x v="0"/>
  </r>
  <r>
    <x v="219"/>
    <x v="713"/>
    <x v="0"/>
    <x v="0"/>
    <x v="0"/>
    <x v="5"/>
    <x v="5"/>
    <x v="45"/>
    <x v="5"/>
    <x v="0"/>
  </r>
  <r>
    <x v="125"/>
    <x v="714"/>
    <x v="2"/>
    <x v="0"/>
    <x v="2"/>
    <x v="3"/>
    <x v="3"/>
    <x v="25"/>
    <x v="3"/>
    <x v="0"/>
  </r>
  <r>
    <x v="46"/>
    <x v="715"/>
    <x v="2"/>
    <x v="0"/>
    <x v="2"/>
    <x v="9"/>
    <x v="9"/>
    <x v="77"/>
    <x v="9"/>
    <x v="0"/>
  </r>
  <r>
    <x v="207"/>
    <x v="716"/>
    <x v="3"/>
    <x v="1"/>
    <x v="3"/>
    <x v="7"/>
    <x v="20"/>
    <x v="71"/>
    <x v="10"/>
    <x v="0"/>
  </r>
  <r>
    <x v="289"/>
    <x v="717"/>
    <x v="1"/>
    <x v="0"/>
    <x v="1"/>
    <x v="75"/>
    <x v="93"/>
    <x v="7"/>
    <x v="80"/>
    <x v="0"/>
  </r>
  <r>
    <x v="28"/>
    <x v="718"/>
    <x v="1"/>
    <x v="0"/>
    <x v="1"/>
    <x v="25"/>
    <x v="30"/>
    <x v="42"/>
    <x v="27"/>
    <x v="0"/>
  </r>
  <r>
    <x v="120"/>
    <x v="719"/>
    <x v="2"/>
    <x v="0"/>
    <x v="2"/>
    <x v="3"/>
    <x v="3"/>
    <x v="4"/>
    <x v="3"/>
    <x v="0"/>
  </r>
  <r>
    <x v="321"/>
    <x v="720"/>
    <x v="1"/>
    <x v="0"/>
    <x v="1"/>
    <x v="53"/>
    <x v="64"/>
    <x v="62"/>
    <x v="55"/>
    <x v="0"/>
  </r>
  <r>
    <x v="280"/>
    <x v="721"/>
    <x v="0"/>
    <x v="0"/>
    <x v="0"/>
    <x v="19"/>
    <x v="19"/>
    <x v="8"/>
    <x v="19"/>
    <x v="0"/>
  </r>
  <r>
    <x v="0"/>
    <x v="722"/>
    <x v="3"/>
    <x v="1"/>
    <x v="3"/>
    <x v="58"/>
    <x v="71"/>
    <x v="18"/>
    <x v="61"/>
    <x v="0"/>
  </r>
  <r>
    <x v="2"/>
    <x v="723"/>
    <x v="3"/>
    <x v="1"/>
    <x v="3"/>
    <x v="12"/>
    <x v="12"/>
    <x v="39"/>
    <x v="12"/>
    <x v="0"/>
  </r>
  <r>
    <x v="210"/>
    <x v="724"/>
    <x v="4"/>
    <x v="0"/>
    <x v="3"/>
    <x v="16"/>
    <x v="16"/>
    <x v="89"/>
    <x v="16"/>
    <x v="0"/>
  </r>
  <r>
    <x v="17"/>
    <x v="725"/>
    <x v="1"/>
    <x v="0"/>
    <x v="1"/>
    <x v="16"/>
    <x v="76"/>
    <x v="71"/>
    <x v="65"/>
    <x v="0"/>
  </r>
  <r>
    <x v="90"/>
    <x v="726"/>
    <x v="0"/>
    <x v="0"/>
    <x v="0"/>
    <x v="19"/>
    <x v="19"/>
    <x v="22"/>
    <x v="19"/>
    <x v="0"/>
  </r>
  <r>
    <x v="49"/>
    <x v="727"/>
    <x v="0"/>
    <x v="0"/>
    <x v="0"/>
    <x v="19"/>
    <x v="19"/>
    <x v="73"/>
    <x v="19"/>
    <x v="0"/>
  </r>
  <r>
    <x v="132"/>
    <x v="728"/>
    <x v="2"/>
    <x v="0"/>
    <x v="2"/>
    <x v="10"/>
    <x v="10"/>
    <x v="20"/>
    <x v="10"/>
    <x v="0"/>
  </r>
  <r>
    <x v="295"/>
    <x v="729"/>
    <x v="0"/>
    <x v="0"/>
    <x v="0"/>
    <x v="7"/>
    <x v="7"/>
    <x v="26"/>
    <x v="7"/>
    <x v="0"/>
  </r>
  <r>
    <x v="93"/>
    <x v="730"/>
    <x v="1"/>
    <x v="0"/>
    <x v="1"/>
    <x v="16"/>
    <x v="76"/>
    <x v="81"/>
    <x v="65"/>
    <x v="0"/>
  </r>
  <r>
    <x v="39"/>
    <x v="731"/>
    <x v="4"/>
    <x v="0"/>
    <x v="3"/>
    <x v="58"/>
    <x v="71"/>
    <x v="62"/>
    <x v="61"/>
    <x v="0"/>
  </r>
  <r>
    <x v="64"/>
    <x v="732"/>
    <x v="1"/>
    <x v="0"/>
    <x v="1"/>
    <x v="33"/>
    <x v="41"/>
    <x v="63"/>
    <x v="36"/>
    <x v="0"/>
  </r>
  <r>
    <x v="278"/>
    <x v="733"/>
    <x v="3"/>
    <x v="1"/>
    <x v="3"/>
    <x v="43"/>
    <x v="52"/>
    <x v="21"/>
    <x v="45"/>
    <x v="0"/>
  </r>
  <r>
    <x v="15"/>
    <x v="734"/>
    <x v="1"/>
    <x v="0"/>
    <x v="1"/>
    <x v="35"/>
    <x v="43"/>
    <x v="46"/>
    <x v="38"/>
    <x v="0"/>
  </r>
  <r>
    <x v="200"/>
    <x v="735"/>
    <x v="2"/>
    <x v="0"/>
    <x v="2"/>
    <x v="10"/>
    <x v="10"/>
    <x v="13"/>
    <x v="10"/>
    <x v="0"/>
  </r>
  <r>
    <x v="83"/>
    <x v="736"/>
    <x v="2"/>
    <x v="0"/>
    <x v="2"/>
    <x v="3"/>
    <x v="3"/>
    <x v="35"/>
    <x v="3"/>
    <x v="0"/>
  </r>
  <r>
    <x v="204"/>
    <x v="737"/>
    <x v="1"/>
    <x v="0"/>
    <x v="1"/>
    <x v="34"/>
    <x v="42"/>
    <x v="44"/>
    <x v="37"/>
    <x v="0"/>
  </r>
  <r>
    <x v="70"/>
    <x v="738"/>
    <x v="3"/>
    <x v="1"/>
    <x v="3"/>
    <x v="6"/>
    <x v="21"/>
    <x v="53"/>
    <x v="20"/>
    <x v="0"/>
  </r>
  <r>
    <x v="158"/>
    <x v="739"/>
    <x v="1"/>
    <x v="0"/>
    <x v="1"/>
    <x v="54"/>
    <x v="65"/>
    <x v="37"/>
    <x v="56"/>
    <x v="0"/>
  </r>
  <r>
    <x v="190"/>
    <x v="740"/>
    <x v="2"/>
    <x v="0"/>
    <x v="2"/>
    <x v="7"/>
    <x v="49"/>
    <x v="61"/>
    <x v="8"/>
    <x v="0"/>
  </r>
  <r>
    <x v="198"/>
    <x v="741"/>
    <x v="0"/>
    <x v="0"/>
    <x v="0"/>
    <x v="0"/>
    <x v="0"/>
    <x v="8"/>
    <x v="0"/>
    <x v="0"/>
  </r>
  <r>
    <x v="65"/>
    <x v="742"/>
    <x v="0"/>
    <x v="0"/>
    <x v="0"/>
    <x v="19"/>
    <x v="19"/>
    <x v="63"/>
    <x v="19"/>
    <x v="0"/>
  </r>
  <r>
    <x v="21"/>
    <x v="743"/>
    <x v="1"/>
    <x v="0"/>
    <x v="1"/>
    <x v="60"/>
    <x v="74"/>
    <x v="18"/>
    <x v="63"/>
    <x v="0"/>
  </r>
  <r>
    <x v="295"/>
    <x v="744"/>
    <x v="1"/>
    <x v="0"/>
    <x v="1"/>
    <x v="70"/>
    <x v="87"/>
    <x v="87"/>
    <x v="75"/>
    <x v="0"/>
  </r>
  <r>
    <x v="85"/>
    <x v="745"/>
    <x v="1"/>
    <x v="0"/>
    <x v="1"/>
    <x v="35"/>
    <x v="43"/>
    <x v="27"/>
    <x v="38"/>
    <x v="0"/>
  </r>
  <r>
    <x v="247"/>
    <x v="746"/>
    <x v="1"/>
    <x v="0"/>
    <x v="1"/>
    <x v="47"/>
    <x v="57"/>
    <x v="72"/>
    <x v="49"/>
    <x v="0"/>
  </r>
  <r>
    <x v="226"/>
    <x v="747"/>
    <x v="4"/>
    <x v="0"/>
    <x v="3"/>
    <x v="39"/>
    <x v="47"/>
    <x v="85"/>
    <x v="41"/>
    <x v="0"/>
  </r>
  <r>
    <x v="231"/>
    <x v="748"/>
    <x v="0"/>
    <x v="0"/>
    <x v="0"/>
    <x v="19"/>
    <x v="19"/>
    <x v="66"/>
    <x v="19"/>
    <x v="0"/>
  </r>
  <r>
    <x v="322"/>
    <x v="749"/>
    <x v="1"/>
    <x v="0"/>
    <x v="1"/>
    <x v="70"/>
    <x v="87"/>
    <x v="67"/>
    <x v="75"/>
    <x v="0"/>
  </r>
  <r>
    <x v="323"/>
    <x v="750"/>
    <x v="1"/>
    <x v="0"/>
    <x v="1"/>
    <x v="40"/>
    <x v="48"/>
    <x v="44"/>
    <x v="42"/>
    <x v="0"/>
  </r>
  <r>
    <x v="30"/>
    <x v="751"/>
    <x v="4"/>
    <x v="0"/>
    <x v="3"/>
    <x v="17"/>
    <x v="17"/>
    <x v="79"/>
    <x v="17"/>
    <x v="0"/>
  </r>
  <r>
    <x v="35"/>
    <x v="752"/>
    <x v="1"/>
    <x v="0"/>
    <x v="1"/>
    <x v="16"/>
    <x v="76"/>
    <x v="7"/>
    <x v="65"/>
    <x v="0"/>
  </r>
  <r>
    <x v="101"/>
    <x v="753"/>
    <x v="3"/>
    <x v="1"/>
    <x v="3"/>
    <x v="11"/>
    <x v="11"/>
    <x v="71"/>
    <x v="11"/>
    <x v="0"/>
  </r>
  <r>
    <x v="144"/>
    <x v="754"/>
    <x v="4"/>
    <x v="0"/>
    <x v="3"/>
    <x v="74"/>
    <x v="91"/>
    <x v="18"/>
    <x v="79"/>
    <x v="0"/>
  </r>
  <r>
    <x v="20"/>
    <x v="755"/>
    <x v="3"/>
    <x v="1"/>
    <x v="3"/>
    <x v="6"/>
    <x v="21"/>
    <x v="10"/>
    <x v="20"/>
    <x v="0"/>
  </r>
  <r>
    <x v="324"/>
    <x v="756"/>
    <x v="2"/>
    <x v="0"/>
    <x v="2"/>
    <x v="23"/>
    <x v="28"/>
    <x v="21"/>
    <x v="25"/>
    <x v="0"/>
  </r>
  <r>
    <x v="78"/>
    <x v="757"/>
    <x v="2"/>
    <x v="0"/>
    <x v="2"/>
    <x v="7"/>
    <x v="49"/>
    <x v="1"/>
    <x v="8"/>
    <x v="0"/>
  </r>
  <r>
    <x v="282"/>
    <x v="758"/>
    <x v="3"/>
    <x v="1"/>
    <x v="3"/>
    <x v="56"/>
    <x v="67"/>
    <x v="94"/>
    <x v="58"/>
    <x v="0"/>
  </r>
  <r>
    <x v="325"/>
    <x v="759"/>
    <x v="3"/>
    <x v="1"/>
    <x v="3"/>
    <x v="78"/>
    <x v="97"/>
    <x v="45"/>
    <x v="84"/>
    <x v="0"/>
  </r>
  <r>
    <x v="100"/>
    <x v="760"/>
    <x v="1"/>
    <x v="0"/>
    <x v="1"/>
    <x v="40"/>
    <x v="48"/>
    <x v="33"/>
    <x v="42"/>
    <x v="0"/>
  </r>
  <r>
    <x v="298"/>
    <x v="761"/>
    <x v="4"/>
    <x v="0"/>
    <x v="3"/>
    <x v="58"/>
    <x v="71"/>
    <x v="49"/>
    <x v="61"/>
    <x v="0"/>
  </r>
  <r>
    <x v="183"/>
    <x v="762"/>
    <x v="1"/>
    <x v="0"/>
    <x v="1"/>
    <x v="35"/>
    <x v="43"/>
    <x v="79"/>
    <x v="38"/>
    <x v="0"/>
  </r>
  <r>
    <x v="294"/>
    <x v="763"/>
    <x v="2"/>
    <x v="0"/>
    <x v="2"/>
    <x v="66"/>
    <x v="82"/>
    <x v="45"/>
    <x v="70"/>
    <x v="0"/>
  </r>
  <r>
    <x v="262"/>
    <x v="764"/>
    <x v="0"/>
    <x v="0"/>
    <x v="0"/>
    <x v="19"/>
    <x v="19"/>
    <x v="66"/>
    <x v="19"/>
    <x v="0"/>
  </r>
  <r>
    <x v="31"/>
    <x v="765"/>
    <x v="3"/>
    <x v="1"/>
    <x v="3"/>
    <x v="7"/>
    <x v="20"/>
    <x v="49"/>
    <x v="10"/>
    <x v="0"/>
  </r>
  <r>
    <x v="326"/>
    <x v="766"/>
    <x v="3"/>
    <x v="1"/>
    <x v="3"/>
    <x v="78"/>
    <x v="97"/>
    <x v="72"/>
    <x v="84"/>
    <x v="0"/>
  </r>
  <r>
    <x v="197"/>
    <x v="767"/>
    <x v="3"/>
    <x v="1"/>
    <x v="3"/>
    <x v="49"/>
    <x v="59"/>
    <x v="14"/>
    <x v="51"/>
    <x v="0"/>
  </r>
  <r>
    <x v="27"/>
    <x v="768"/>
    <x v="2"/>
    <x v="0"/>
    <x v="2"/>
    <x v="41"/>
    <x v="50"/>
    <x v="47"/>
    <x v="43"/>
    <x v="0"/>
  </r>
  <r>
    <x v="111"/>
    <x v="769"/>
    <x v="1"/>
    <x v="0"/>
    <x v="1"/>
    <x v="34"/>
    <x v="42"/>
    <x v="72"/>
    <x v="37"/>
    <x v="0"/>
  </r>
  <r>
    <x v="235"/>
    <x v="770"/>
    <x v="1"/>
    <x v="0"/>
    <x v="1"/>
    <x v="1"/>
    <x v="1"/>
    <x v="77"/>
    <x v="1"/>
    <x v="0"/>
  </r>
  <r>
    <x v="98"/>
    <x v="771"/>
    <x v="3"/>
    <x v="1"/>
    <x v="3"/>
    <x v="45"/>
    <x v="56"/>
    <x v="86"/>
    <x v="48"/>
    <x v="0"/>
  </r>
  <r>
    <x v="291"/>
    <x v="772"/>
    <x v="3"/>
    <x v="1"/>
    <x v="3"/>
    <x v="57"/>
    <x v="69"/>
    <x v="20"/>
    <x v="59"/>
    <x v="0"/>
  </r>
  <r>
    <x v="244"/>
    <x v="773"/>
    <x v="3"/>
    <x v="1"/>
    <x v="3"/>
    <x v="78"/>
    <x v="97"/>
    <x v="67"/>
    <x v="84"/>
    <x v="0"/>
  </r>
  <r>
    <x v="327"/>
    <x v="774"/>
    <x v="4"/>
    <x v="0"/>
    <x v="3"/>
    <x v="58"/>
    <x v="71"/>
    <x v="65"/>
    <x v="61"/>
    <x v="0"/>
  </r>
  <r>
    <x v="22"/>
    <x v="775"/>
    <x v="0"/>
    <x v="0"/>
    <x v="0"/>
    <x v="5"/>
    <x v="5"/>
    <x v="94"/>
    <x v="5"/>
    <x v="0"/>
  </r>
  <r>
    <x v="100"/>
    <x v="776"/>
    <x v="0"/>
    <x v="0"/>
    <x v="0"/>
    <x v="19"/>
    <x v="19"/>
    <x v="87"/>
    <x v="19"/>
    <x v="0"/>
  </r>
  <r>
    <x v="1"/>
    <x v="777"/>
    <x v="1"/>
    <x v="0"/>
    <x v="1"/>
    <x v="76"/>
    <x v="95"/>
    <x v="16"/>
    <x v="82"/>
    <x v="0"/>
  </r>
  <r>
    <x v="311"/>
    <x v="778"/>
    <x v="0"/>
    <x v="0"/>
    <x v="0"/>
    <x v="0"/>
    <x v="0"/>
    <x v="73"/>
    <x v="0"/>
    <x v="0"/>
  </r>
  <r>
    <x v="81"/>
    <x v="779"/>
    <x v="3"/>
    <x v="1"/>
    <x v="3"/>
    <x v="56"/>
    <x v="67"/>
    <x v="45"/>
    <x v="58"/>
    <x v="0"/>
  </r>
  <r>
    <x v="113"/>
    <x v="780"/>
    <x v="3"/>
    <x v="1"/>
    <x v="3"/>
    <x v="9"/>
    <x v="70"/>
    <x v="59"/>
    <x v="60"/>
    <x v="0"/>
  </r>
  <r>
    <x v="246"/>
    <x v="781"/>
    <x v="3"/>
    <x v="1"/>
    <x v="3"/>
    <x v="20"/>
    <x v="22"/>
    <x v="58"/>
    <x v="21"/>
    <x v="0"/>
  </r>
  <r>
    <x v="84"/>
    <x v="782"/>
    <x v="0"/>
    <x v="0"/>
    <x v="0"/>
    <x v="5"/>
    <x v="5"/>
    <x v="64"/>
    <x v="5"/>
    <x v="0"/>
  </r>
  <r>
    <x v="114"/>
    <x v="783"/>
    <x v="0"/>
    <x v="0"/>
    <x v="0"/>
    <x v="7"/>
    <x v="7"/>
    <x v="41"/>
    <x v="7"/>
    <x v="0"/>
  </r>
  <r>
    <x v="283"/>
    <x v="784"/>
    <x v="3"/>
    <x v="1"/>
    <x v="3"/>
    <x v="7"/>
    <x v="20"/>
    <x v="75"/>
    <x v="10"/>
    <x v="0"/>
  </r>
  <r>
    <x v="275"/>
    <x v="785"/>
    <x v="0"/>
    <x v="0"/>
    <x v="0"/>
    <x v="8"/>
    <x v="8"/>
    <x v="26"/>
    <x v="8"/>
    <x v="0"/>
  </r>
  <r>
    <x v="145"/>
    <x v="786"/>
    <x v="1"/>
    <x v="0"/>
    <x v="1"/>
    <x v="4"/>
    <x v="4"/>
    <x v="16"/>
    <x v="4"/>
    <x v="0"/>
  </r>
  <r>
    <x v="328"/>
    <x v="787"/>
    <x v="0"/>
    <x v="0"/>
    <x v="0"/>
    <x v="8"/>
    <x v="8"/>
    <x v="34"/>
    <x v="8"/>
    <x v="0"/>
  </r>
  <r>
    <x v="110"/>
    <x v="788"/>
    <x v="4"/>
    <x v="0"/>
    <x v="3"/>
    <x v="44"/>
    <x v="54"/>
    <x v="23"/>
    <x v="47"/>
    <x v="0"/>
  </r>
  <r>
    <x v="286"/>
    <x v="789"/>
    <x v="4"/>
    <x v="0"/>
    <x v="3"/>
    <x v="50"/>
    <x v="60"/>
    <x v="4"/>
    <x v="52"/>
    <x v="0"/>
  </r>
  <r>
    <x v="247"/>
    <x v="790"/>
    <x v="2"/>
    <x v="0"/>
    <x v="2"/>
    <x v="36"/>
    <x v="44"/>
    <x v="95"/>
    <x v="30"/>
    <x v="0"/>
  </r>
  <r>
    <x v="145"/>
    <x v="791"/>
    <x v="2"/>
    <x v="0"/>
    <x v="2"/>
    <x v="51"/>
    <x v="61"/>
    <x v="17"/>
    <x v="53"/>
    <x v="0"/>
  </r>
  <r>
    <x v="86"/>
    <x v="792"/>
    <x v="3"/>
    <x v="1"/>
    <x v="3"/>
    <x v="58"/>
    <x v="71"/>
    <x v="79"/>
    <x v="61"/>
    <x v="0"/>
  </r>
  <r>
    <x v="18"/>
    <x v="793"/>
    <x v="4"/>
    <x v="0"/>
    <x v="3"/>
    <x v="44"/>
    <x v="54"/>
    <x v="72"/>
    <x v="47"/>
    <x v="0"/>
  </r>
  <r>
    <x v="124"/>
    <x v="794"/>
    <x v="4"/>
    <x v="0"/>
    <x v="3"/>
    <x v="58"/>
    <x v="71"/>
    <x v="23"/>
    <x v="61"/>
    <x v="0"/>
  </r>
  <r>
    <x v="85"/>
    <x v="795"/>
    <x v="0"/>
    <x v="0"/>
    <x v="0"/>
    <x v="19"/>
    <x v="19"/>
    <x v="76"/>
    <x v="19"/>
    <x v="0"/>
  </r>
  <r>
    <x v="21"/>
    <x v="796"/>
    <x v="1"/>
    <x v="0"/>
    <x v="1"/>
    <x v="76"/>
    <x v="95"/>
    <x v="46"/>
    <x v="82"/>
    <x v="0"/>
  </r>
  <r>
    <x v="304"/>
    <x v="797"/>
    <x v="1"/>
    <x v="0"/>
    <x v="1"/>
    <x v="4"/>
    <x v="4"/>
    <x v="45"/>
    <x v="4"/>
    <x v="0"/>
  </r>
  <r>
    <x v="223"/>
    <x v="798"/>
    <x v="0"/>
    <x v="0"/>
    <x v="0"/>
    <x v="7"/>
    <x v="7"/>
    <x v="73"/>
    <x v="7"/>
    <x v="0"/>
  </r>
  <r>
    <x v="329"/>
    <x v="799"/>
    <x v="1"/>
    <x v="0"/>
    <x v="1"/>
    <x v="25"/>
    <x v="30"/>
    <x v="71"/>
    <x v="27"/>
    <x v="0"/>
  </r>
  <r>
    <x v="234"/>
    <x v="800"/>
    <x v="4"/>
    <x v="0"/>
    <x v="3"/>
    <x v="44"/>
    <x v="54"/>
    <x v="28"/>
    <x v="47"/>
    <x v="0"/>
  </r>
  <r>
    <x v="293"/>
    <x v="801"/>
    <x v="4"/>
    <x v="0"/>
    <x v="3"/>
    <x v="7"/>
    <x v="20"/>
    <x v="58"/>
    <x v="10"/>
    <x v="0"/>
  </r>
  <r>
    <x v="307"/>
    <x v="802"/>
    <x v="3"/>
    <x v="1"/>
    <x v="3"/>
    <x v="23"/>
    <x v="83"/>
    <x v="35"/>
    <x v="71"/>
    <x v="0"/>
  </r>
  <r>
    <x v="128"/>
    <x v="803"/>
    <x v="2"/>
    <x v="0"/>
    <x v="2"/>
    <x v="9"/>
    <x v="9"/>
    <x v="16"/>
    <x v="9"/>
    <x v="0"/>
  </r>
  <r>
    <x v="330"/>
    <x v="804"/>
    <x v="1"/>
    <x v="0"/>
    <x v="1"/>
    <x v="18"/>
    <x v="63"/>
    <x v="37"/>
    <x v="6"/>
    <x v="0"/>
  </r>
  <r>
    <x v="262"/>
    <x v="805"/>
    <x v="2"/>
    <x v="0"/>
    <x v="2"/>
    <x v="5"/>
    <x v="92"/>
    <x v="37"/>
    <x v="46"/>
    <x v="0"/>
  </r>
  <r>
    <x v="84"/>
    <x v="806"/>
    <x v="3"/>
    <x v="1"/>
    <x v="3"/>
    <x v="0"/>
    <x v="55"/>
    <x v="57"/>
    <x v="8"/>
    <x v="0"/>
  </r>
  <r>
    <x v="235"/>
    <x v="807"/>
    <x v="3"/>
    <x v="1"/>
    <x v="3"/>
    <x v="19"/>
    <x v="24"/>
    <x v="10"/>
    <x v="14"/>
    <x v="0"/>
  </r>
  <r>
    <x v="43"/>
    <x v="808"/>
    <x v="1"/>
    <x v="0"/>
    <x v="1"/>
    <x v="19"/>
    <x v="73"/>
    <x v="93"/>
    <x v="46"/>
    <x v="0"/>
  </r>
  <r>
    <x v="101"/>
    <x v="809"/>
    <x v="0"/>
    <x v="0"/>
    <x v="0"/>
    <x v="5"/>
    <x v="5"/>
    <x v="88"/>
    <x v="5"/>
    <x v="0"/>
  </r>
  <r>
    <x v="132"/>
    <x v="810"/>
    <x v="3"/>
    <x v="1"/>
    <x v="3"/>
    <x v="49"/>
    <x v="59"/>
    <x v="39"/>
    <x v="51"/>
    <x v="0"/>
  </r>
  <r>
    <x v="331"/>
    <x v="811"/>
    <x v="0"/>
    <x v="0"/>
    <x v="0"/>
    <x v="8"/>
    <x v="8"/>
    <x v="9"/>
    <x v="8"/>
    <x v="0"/>
  </r>
  <r>
    <x v="215"/>
    <x v="812"/>
    <x v="1"/>
    <x v="0"/>
    <x v="1"/>
    <x v="48"/>
    <x v="58"/>
    <x v="65"/>
    <x v="50"/>
    <x v="0"/>
  </r>
  <r>
    <x v="257"/>
    <x v="813"/>
    <x v="0"/>
    <x v="0"/>
    <x v="0"/>
    <x v="8"/>
    <x v="8"/>
    <x v="93"/>
    <x v="8"/>
    <x v="0"/>
  </r>
  <r>
    <x v="118"/>
    <x v="814"/>
    <x v="2"/>
    <x v="0"/>
    <x v="2"/>
    <x v="77"/>
    <x v="96"/>
    <x v="43"/>
    <x v="83"/>
    <x v="0"/>
  </r>
  <r>
    <x v="61"/>
    <x v="815"/>
    <x v="3"/>
    <x v="1"/>
    <x v="3"/>
    <x v="43"/>
    <x v="52"/>
    <x v="14"/>
    <x v="45"/>
    <x v="0"/>
  </r>
  <r>
    <x v="127"/>
    <x v="816"/>
    <x v="3"/>
    <x v="1"/>
    <x v="3"/>
    <x v="1"/>
    <x v="53"/>
    <x v="23"/>
    <x v="46"/>
    <x v="0"/>
  </r>
  <r>
    <x v="217"/>
    <x v="817"/>
    <x v="3"/>
    <x v="1"/>
    <x v="3"/>
    <x v="46"/>
    <x v="68"/>
    <x v="51"/>
    <x v="43"/>
    <x v="0"/>
  </r>
  <r>
    <x v="192"/>
    <x v="818"/>
    <x v="0"/>
    <x v="0"/>
    <x v="0"/>
    <x v="5"/>
    <x v="5"/>
    <x v="8"/>
    <x v="5"/>
    <x v="0"/>
  </r>
  <r>
    <x v="268"/>
    <x v="819"/>
    <x v="3"/>
    <x v="1"/>
    <x v="3"/>
    <x v="26"/>
    <x v="32"/>
    <x v="56"/>
    <x v="29"/>
    <x v="0"/>
  </r>
  <r>
    <x v="332"/>
    <x v="820"/>
    <x v="0"/>
    <x v="0"/>
    <x v="0"/>
    <x v="5"/>
    <x v="5"/>
    <x v="39"/>
    <x v="5"/>
    <x v="0"/>
  </r>
  <r>
    <x v="251"/>
    <x v="821"/>
    <x v="0"/>
    <x v="0"/>
    <x v="0"/>
    <x v="8"/>
    <x v="8"/>
    <x v="34"/>
    <x v="8"/>
    <x v="0"/>
  </r>
  <r>
    <x v="79"/>
    <x v="822"/>
    <x v="3"/>
    <x v="1"/>
    <x v="3"/>
    <x v="11"/>
    <x v="11"/>
    <x v="26"/>
    <x v="11"/>
    <x v="0"/>
  </r>
  <r>
    <x v="62"/>
    <x v="823"/>
    <x v="3"/>
    <x v="1"/>
    <x v="3"/>
    <x v="5"/>
    <x v="31"/>
    <x v="60"/>
    <x v="28"/>
    <x v="0"/>
  </r>
  <r>
    <x v="191"/>
    <x v="824"/>
    <x v="0"/>
    <x v="0"/>
    <x v="0"/>
    <x v="7"/>
    <x v="7"/>
    <x v="26"/>
    <x v="7"/>
    <x v="0"/>
  </r>
  <r>
    <x v="160"/>
    <x v="825"/>
    <x v="0"/>
    <x v="0"/>
    <x v="0"/>
    <x v="0"/>
    <x v="0"/>
    <x v="39"/>
    <x v="0"/>
    <x v="0"/>
  </r>
  <r>
    <x v="132"/>
    <x v="826"/>
    <x v="3"/>
    <x v="1"/>
    <x v="3"/>
    <x v="46"/>
    <x v="68"/>
    <x v="61"/>
    <x v="43"/>
    <x v="0"/>
  </r>
  <r>
    <x v="276"/>
    <x v="827"/>
    <x v="1"/>
    <x v="0"/>
    <x v="1"/>
    <x v="60"/>
    <x v="74"/>
    <x v="89"/>
    <x v="63"/>
    <x v="0"/>
  </r>
  <r>
    <x v="239"/>
    <x v="828"/>
    <x v="4"/>
    <x v="0"/>
    <x v="3"/>
    <x v="31"/>
    <x v="39"/>
    <x v="89"/>
    <x v="34"/>
    <x v="0"/>
  </r>
  <r>
    <x v="256"/>
    <x v="829"/>
    <x v="3"/>
    <x v="1"/>
    <x v="3"/>
    <x v="18"/>
    <x v="18"/>
    <x v="65"/>
    <x v="18"/>
    <x v="0"/>
  </r>
  <r>
    <x v="286"/>
    <x v="830"/>
    <x v="3"/>
    <x v="1"/>
    <x v="3"/>
    <x v="57"/>
    <x v="69"/>
    <x v="26"/>
    <x v="59"/>
    <x v="0"/>
  </r>
  <r>
    <x v="236"/>
    <x v="831"/>
    <x v="1"/>
    <x v="0"/>
    <x v="1"/>
    <x v="4"/>
    <x v="4"/>
    <x v="34"/>
    <x v="4"/>
    <x v="0"/>
  </r>
  <r>
    <x v="38"/>
    <x v="832"/>
    <x v="1"/>
    <x v="0"/>
    <x v="1"/>
    <x v="70"/>
    <x v="87"/>
    <x v="53"/>
    <x v="75"/>
    <x v="0"/>
  </r>
  <r>
    <x v="217"/>
    <x v="833"/>
    <x v="0"/>
    <x v="0"/>
    <x v="0"/>
    <x v="0"/>
    <x v="0"/>
    <x v="91"/>
    <x v="0"/>
    <x v="0"/>
  </r>
  <r>
    <x v="27"/>
    <x v="834"/>
    <x v="2"/>
    <x v="0"/>
    <x v="2"/>
    <x v="23"/>
    <x v="28"/>
    <x v="69"/>
    <x v="25"/>
    <x v="0"/>
  </r>
  <r>
    <x v="333"/>
    <x v="835"/>
    <x v="0"/>
    <x v="0"/>
    <x v="0"/>
    <x v="5"/>
    <x v="5"/>
    <x v="76"/>
    <x v="5"/>
    <x v="0"/>
  </r>
  <r>
    <x v="42"/>
    <x v="836"/>
    <x v="3"/>
    <x v="1"/>
    <x v="3"/>
    <x v="2"/>
    <x v="34"/>
    <x v="67"/>
    <x v="30"/>
    <x v="0"/>
  </r>
  <r>
    <x v="67"/>
    <x v="837"/>
    <x v="1"/>
    <x v="0"/>
    <x v="1"/>
    <x v="53"/>
    <x v="64"/>
    <x v="70"/>
    <x v="55"/>
    <x v="0"/>
  </r>
  <r>
    <x v="307"/>
    <x v="838"/>
    <x v="2"/>
    <x v="0"/>
    <x v="2"/>
    <x v="23"/>
    <x v="28"/>
    <x v="13"/>
    <x v="25"/>
    <x v="0"/>
  </r>
  <r>
    <x v="305"/>
    <x v="839"/>
    <x v="1"/>
    <x v="0"/>
    <x v="1"/>
    <x v="1"/>
    <x v="1"/>
    <x v="60"/>
    <x v="1"/>
    <x v="0"/>
  </r>
  <r>
    <x v="334"/>
    <x v="840"/>
    <x v="4"/>
    <x v="0"/>
    <x v="3"/>
    <x v="47"/>
    <x v="94"/>
    <x v="61"/>
    <x v="81"/>
    <x v="0"/>
  </r>
  <r>
    <x v="251"/>
    <x v="841"/>
    <x v="4"/>
    <x v="0"/>
    <x v="3"/>
    <x v="59"/>
    <x v="72"/>
    <x v="58"/>
    <x v="62"/>
    <x v="0"/>
  </r>
  <r>
    <x v="188"/>
    <x v="842"/>
    <x v="1"/>
    <x v="0"/>
    <x v="1"/>
    <x v="1"/>
    <x v="1"/>
    <x v="47"/>
    <x v="1"/>
    <x v="0"/>
  </r>
  <r>
    <x v="199"/>
    <x v="843"/>
    <x v="4"/>
    <x v="0"/>
    <x v="3"/>
    <x v="7"/>
    <x v="20"/>
    <x v="21"/>
    <x v="10"/>
    <x v="0"/>
  </r>
  <r>
    <x v="213"/>
    <x v="844"/>
    <x v="4"/>
    <x v="0"/>
    <x v="3"/>
    <x v="21"/>
    <x v="23"/>
    <x v="23"/>
    <x v="22"/>
    <x v="0"/>
  </r>
  <r>
    <x v="335"/>
    <x v="845"/>
    <x v="3"/>
    <x v="1"/>
    <x v="3"/>
    <x v="43"/>
    <x v="52"/>
    <x v="1"/>
    <x v="45"/>
    <x v="0"/>
  </r>
  <r>
    <x v="108"/>
    <x v="846"/>
    <x v="0"/>
    <x v="0"/>
    <x v="0"/>
    <x v="5"/>
    <x v="5"/>
    <x v="34"/>
    <x v="5"/>
    <x v="0"/>
  </r>
  <r>
    <x v="242"/>
    <x v="847"/>
    <x v="0"/>
    <x v="0"/>
    <x v="0"/>
    <x v="19"/>
    <x v="19"/>
    <x v="76"/>
    <x v="19"/>
    <x v="0"/>
  </r>
  <r>
    <x v="72"/>
    <x v="848"/>
    <x v="4"/>
    <x v="0"/>
    <x v="3"/>
    <x v="19"/>
    <x v="24"/>
    <x v="40"/>
    <x v="14"/>
    <x v="0"/>
  </r>
  <r>
    <x v="181"/>
    <x v="849"/>
    <x v="2"/>
    <x v="0"/>
    <x v="2"/>
    <x v="77"/>
    <x v="96"/>
    <x v="52"/>
    <x v="83"/>
    <x v="0"/>
  </r>
  <r>
    <x v="241"/>
    <x v="850"/>
    <x v="1"/>
    <x v="0"/>
    <x v="1"/>
    <x v="33"/>
    <x v="41"/>
    <x v="37"/>
    <x v="36"/>
    <x v="0"/>
  </r>
  <r>
    <x v="42"/>
    <x v="851"/>
    <x v="2"/>
    <x v="0"/>
    <x v="2"/>
    <x v="66"/>
    <x v="82"/>
    <x v="39"/>
    <x v="70"/>
    <x v="0"/>
  </r>
  <r>
    <x v="221"/>
    <x v="852"/>
    <x v="2"/>
    <x v="0"/>
    <x v="2"/>
    <x v="67"/>
    <x v="84"/>
    <x v="81"/>
    <x v="72"/>
    <x v="0"/>
  </r>
  <r>
    <x v="246"/>
    <x v="853"/>
    <x v="0"/>
    <x v="0"/>
    <x v="0"/>
    <x v="8"/>
    <x v="8"/>
    <x v="38"/>
    <x v="8"/>
    <x v="0"/>
  </r>
  <r>
    <x v="58"/>
    <x v="854"/>
    <x v="1"/>
    <x v="0"/>
    <x v="1"/>
    <x v="47"/>
    <x v="57"/>
    <x v="90"/>
    <x v="49"/>
    <x v="0"/>
  </r>
  <r>
    <x v="294"/>
    <x v="855"/>
    <x v="1"/>
    <x v="0"/>
    <x v="1"/>
    <x v="54"/>
    <x v="65"/>
    <x v="58"/>
    <x v="56"/>
    <x v="0"/>
  </r>
  <r>
    <x v="215"/>
    <x v="856"/>
    <x v="1"/>
    <x v="0"/>
    <x v="1"/>
    <x v="60"/>
    <x v="74"/>
    <x v="63"/>
    <x v="63"/>
    <x v="0"/>
  </r>
  <r>
    <x v="32"/>
    <x v="857"/>
    <x v="0"/>
    <x v="0"/>
    <x v="0"/>
    <x v="0"/>
    <x v="0"/>
    <x v="73"/>
    <x v="0"/>
    <x v="0"/>
  </r>
  <r>
    <x v="232"/>
    <x v="858"/>
    <x v="2"/>
    <x v="0"/>
    <x v="2"/>
    <x v="8"/>
    <x v="35"/>
    <x v="46"/>
    <x v="18"/>
    <x v="0"/>
  </r>
  <r>
    <x v="226"/>
    <x v="859"/>
    <x v="3"/>
    <x v="1"/>
    <x v="3"/>
    <x v="0"/>
    <x v="55"/>
    <x v="2"/>
    <x v="8"/>
    <x v="0"/>
  </r>
  <r>
    <x v="13"/>
    <x v="860"/>
    <x v="0"/>
    <x v="0"/>
    <x v="0"/>
    <x v="5"/>
    <x v="5"/>
    <x v="91"/>
    <x v="5"/>
    <x v="0"/>
  </r>
  <r>
    <x v="336"/>
    <x v="861"/>
    <x v="4"/>
    <x v="0"/>
    <x v="3"/>
    <x v="56"/>
    <x v="67"/>
    <x v="62"/>
    <x v="58"/>
    <x v="0"/>
  </r>
  <r>
    <x v="337"/>
    <x v="862"/>
    <x v="3"/>
    <x v="1"/>
    <x v="3"/>
    <x v="20"/>
    <x v="22"/>
    <x v="57"/>
    <x v="21"/>
    <x v="0"/>
  </r>
  <r>
    <x v="107"/>
    <x v="863"/>
    <x v="3"/>
    <x v="1"/>
    <x v="3"/>
    <x v="43"/>
    <x v="52"/>
    <x v="84"/>
    <x v="45"/>
    <x v="0"/>
  </r>
  <r>
    <x v="160"/>
    <x v="864"/>
    <x v="4"/>
    <x v="0"/>
    <x v="3"/>
    <x v="44"/>
    <x v="54"/>
    <x v="61"/>
    <x v="47"/>
    <x v="0"/>
  </r>
  <r>
    <x v="316"/>
    <x v="865"/>
    <x v="3"/>
    <x v="1"/>
    <x v="3"/>
    <x v="58"/>
    <x v="71"/>
    <x v="48"/>
    <x v="61"/>
    <x v="0"/>
  </r>
  <r>
    <x v="264"/>
    <x v="866"/>
    <x v="3"/>
    <x v="1"/>
    <x v="3"/>
    <x v="0"/>
    <x v="55"/>
    <x v="58"/>
    <x v="8"/>
    <x v="0"/>
  </r>
  <r>
    <x v="338"/>
    <x v="867"/>
    <x v="0"/>
    <x v="0"/>
    <x v="0"/>
    <x v="7"/>
    <x v="7"/>
    <x v="70"/>
    <x v="7"/>
    <x v="0"/>
  </r>
  <r>
    <x v="164"/>
    <x v="868"/>
    <x v="3"/>
    <x v="1"/>
    <x v="3"/>
    <x v="15"/>
    <x v="15"/>
    <x v="72"/>
    <x v="15"/>
    <x v="0"/>
  </r>
  <r>
    <x v="21"/>
    <x v="869"/>
    <x v="2"/>
    <x v="0"/>
    <x v="2"/>
    <x v="5"/>
    <x v="92"/>
    <x v="61"/>
    <x v="46"/>
    <x v="0"/>
  </r>
  <r>
    <x v="138"/>
    <x v="870"/>
    <x v="2"/>
    <x v="0"/>
    <x v="2"/>
    <x v="14"/>
    <x v="14"/>
    <x v="17"/>
    <x v="14"/>
    <x v="0"/>
  </r>
  <r>
    <x v="220"/>
    <x v="871"/>
    <x v="2"/>
    <x v="0"/>
    <x v="2"/>
    <x v="22"/>
    <x v="25"/>
    <x v="7"/>
    <x v="20"/>
    <x v="0"/>
  </r>
  <r>
    <x v="162"/>
    <x v="872"/>
    <x v="2"/>
    <x v="0"/>
    <x v="2"/>
    <x v="14"/>
    <x v="14"/>
    <x v="1"/>
    <x v="14"/>
    <x v="0"/>
  </r>
  <r>
    <x v="88"/>
    <x v="873"/>
    <x v="3"/>
    <x v="1"/>
    <x v="3"/>
    <x v="6"/>
    <x v="21"/>
    <x v="87"/>
    <x v="20"/>
    <x v="0"/>
  </r>
  <r>
    <x v="333"/>
    <x v="874"/>
    <x v="2"/>
    <x v="0"/>
    <x v="2"/>
    <x v="36"/>
    <x v="44"/>
    <x v="64"/>
    <x v="30"/>
    <x v="0"/>
  </r>
  <r>
    <x v="16"/>
    <x v="875"/>
    <x v="3"/>
    <x v="1"/>
    <x v="3"/>
    <x v="45"/>
    <x v="56"/>
    <x v="65"/>
    <x v="48"/>
    <x v="0"/>
  </r>
  <r>
    <x v="169"/>
    <x v="876"/>
    <x v="1"/>
    <x v="0"/>
    <x v="1"/>
    <x v="38"/>
    <x v="46"/>
    <x v="3"/>
    <x v="40"/>
    <x v="0"/>
  </r>
  <r>
    <x v="134"/>
    <x v="877"/>
    <x v="1"/>
    <x v="0"/>
    <x v="1"/>
    <x v="38"/>
    <x v="46"/>
    <x v="53"/>
    <x v="40"/>
    <x v="0"/>
  </r>
  <r>
    <x v="289"/>
    <x v="878"/>
    <x v="3"/>
    <x v="1"/>
    <x v="3"/>
    <x v="78"/>
    <x v="97"/>
    <x v="60"/>
    <x v="84"/>
    <x v="0"/>
  </r>
  <r>
    <x v="339"/>
    <x v="879"/>
    <x v="1"/>
    <x v="0"/>
    <x v="1"/>
    <x v="34"/>
    <x v="42"/>
    <x v="43"/>
    <x v="37"/>
    <x v="0"/>
  </r>
  <r>
    <x v="238"/>
    <x v="880"/>
    <x v="2"/>
    <x v="0"/>
    <x v="2"/>
    <x v="8"/>
    <x v="35"/>
    <x v="21"/>
    <x v="18"/>
    <x v="0"/>
  </r>
  <r>
    <x v="171"/>
    <x v="881"/>
    <x v="4"/>
    <x v="0"/>
    <x v="3"/>
    <x v="31"/>
    <x v="39"/>
    <x v="57"/>
    <x v="34"/>
    <x v="0"/>
  </r>
  <r>
    <x v="247"/>
    <x v="882"/>
    <x v="0"/>
    <x v="0"/>
    <x v="0"/>
    <x v="7"/>
    <x v="7"/>
    <x v="33"/>
    <x v="7"/>
    <x v="0"/>
  </r>
  <r>
    <x v="186"/>
    <x v="883"/>
    <x v="4"/>
    <x v="0"/>
    <x v="3"/>
    <x v="55"/>
    <x v="66"/>
    <x v="7"/>
    <x v="57"/>
    <x v="0"/>
  </r>
  <r>
    <x v="7"/>
    <x v="884"/>
    <x v="0"/>
    <x v="0"/>
    <x v="0"/>
    <x v="8"/>
    <x v="8"/>
    <x v="70"/>
    <x v="8"/>
    <x v="0"/>
  </r>
  <r>
    <x v="163"/>
    <x v="885"/>
    <x v="0"/>
    <x v="0"/>
    <x v="0"/>
    <x v="8"/>
    <x v="8"/>
    <x v="91"/>
    <x v="8"/>
    <x v="0"/>
  </r>
  <r>
    <x v="107"/>
    <x v="886"/>
    <x v="4"/>
    <x v="0"/>
    <x v="3"/>
    <x v="21"/>
    <x v="23"/>
    <x v="95"/>
    <x v="22"/>
    <x v="0"/>
  </r>
  <r>
    <x v="3"/>
    <x v="887"/>
    <x v="3"/>
    <x v="1"/>
    <x v="3"/>
    <x v="20"/>
    <x v="22"/>
    <x v="75"/>
    <x v="21"/>
    <x v="0"/>
  </r>
  <r>
    <x v="183"/>
    <x v="888"/>
    <x v="4"/>
    <x v="0"/>
    <x v="3"/>
    <x v="55"/>
    <x v="66"/>
    <x v="56"/>
    <x v="57"/>
    <x v="0"/>
  </r>
  <r>
    <x v="215"/>
    <x v="889"/>
    <x v="3"/>
    <x v="1"/>
    <x v="3"/>
    <x v="49"/>
    <x v="59"/>
    <x v="57"/>
    <x v="51"/>
    <x v="0"/>
  </r>
  <r>
    <x v="165"/>
    <x v="890"/>
    <x v="1"/>
    <x v="0"/>
    <x v="1"/>
    <x v="33"/>
    <x v="41"/>
    <x v="12"/>
    <x v="36"/>
    <x v="0"/>
  </r>
  <r>
    <x v="147"/>
    <x v="891"/>
    <x v="4"/>
    <x v="0"/>
    <x v="3"/>
    <x v="11"/>
    <x v="11"/>
    <x v="28"/>
    <x v="11"/>
    <x v="0"/>
  </r>
  <r>
    <x v="301"/>
    <x v="892"/>
    <x v="3"/>
    <x v="1"/>
    <x v="3"/>
    <x v="2"/>
    <x v="34"/>
    <x v="5"/>
    <x v="30"/>
    <x v="0"/>
  </r>
  <r>
    <x v="312"/>
    <x v="893"/>
    <x v="4"/>
    <x v="0"/>
    <x v="3"/>
    <x v="56"/>
    <x v="67"/>
    <x v="51"/>
    <x v="58"/>
    <x v="0"/>
  </r>
  <r>
    <x v="22"/>
    <x v="894"/>
    <x v="2"/>
    <x v="0"/>
    <x v="2"/>
    <x v="14"/>
    <x v="14"/>
    <x v="59"/>
    <x v="14"/>
    <x v="0"/>
  </r>
  <r>
    <x v="9"/>
    <x v="895"/>
    <x v="2"/>
    <x v="0"/>
    <x v="2"/>
    <x v="42"/>
    <x v="51"/>
    <x v="13"/>
    <x v="44"/>
    <x v="0"/>
  </r>
  <r>
    <x v="78"/>
    <x v="896"/>
    <x v="3"/>
    <x v="1"/>
    <x v="3"/>
    <x v="6"/>
    <x v="21"/>
    <x v="79"/>
    <x v="20"/>
    <x v="0"/>
  </r>
  <r>
    <x v="217"/>
    <x v="897"/>
    <x v="1"/>
    <x v="0"/>
    <x v="1"/>
    <x v="4"/>
    <x v="4"/>
    <x v="70"/>
    <x v="4"/>
    <x v="0"/>
  </r>
  <r>
    <x v="20"/>
    <x v="898"/>
    <x v="0"/>
    <x v="0"/>
    <x v="0"/>
    <x v="7"/>
    <x v="7"/>
    <x v="66"/>
    <x v="7"/>
    <x v="0"/>
  </r>
  <r>
    <x v="53"/>
    <x v="899"/>
    <x v="0"/>
    <x v="0"/>
    <x v="0"/>
    <x v="0"/>
    <x v="0"/>
    <x v="64"/>
    <x v="0"/>
    <x v="0"/>
  </r>
  <r>
    <x v="340"/>
    <x v="900"/>
    <x v="3"/>
    <x v="1"/>
    <x v="3"/>
    <x v="18"/>
    <x v="18"/>
    <x v="18"/>
    <x v="18"/>
    <x v="0"/>
  </r>
  <r>
    <x v="269"/>
    <x v="901"/>
    <x v="2"/>
    <x v="0"/>
    <x v="2"/>
    <x v="5"/>
    <x v="92"/>
    <x v="24"/>
    <x v="46"/>
    <x v="0"/>
  </r>
  <r>
    <x v="341"/>
    <x v="902"/>
    <x v="4"/>
    <x v="0"/>
    <x v="3"/>
    <x v="47"/>
    <x v="94"/>
    <x v="37"/>
    <x v="81"/>
    <x v="0"/>
  </r>
  <r>
    <x v="170"/>
    <x v="903"/>
    <x v="0"/>
    <x v="0"/>
    <x v="0"/>
    <x v="8"/>
    <x v="8"/>
    <x v="0"/>
    <x v="8"/>
    <x v="0"/>
  </r>
  <r>
    <x v="263"/>
    <x v="904"/>
    <x v="0"/>
    <x v="0"/>
    <x v="0"/>
    <x v="19"/>
    <x v="19"/>
    <x v="9"/>
    <x v="19"/>
    <x v="0"/>
  </r>
  <r>
    <x v="308"/>
    <x v="905"/>
    <x v="1"/>
    <x v="0"/>
    <x v="1"/>
    <x v="0"/>
    <x v="81"/>
    <x v="17"/>
    <x v="24"/>
    <x v="0"/>
  </r>
  <r>
    <x v="18"/>
    <x v="906"/>
    <x v="0"/>
    <x v="0"/>
    <x v="0"/>
    <x v="8"/>
    <x v="8"/>
    <x v="14"/>
    <x v="8"/>
    <x v="0"/>
  </r>
  <r>
    <x v="23"/>
    <x v="907"/>
    <x v="4"/>
    <x v="0"/>
    <x v="3"/>
    <x v="68"/>
    <x v="85"/>
    <x v="60"/>
    <x v="73"/>
    <x v="0"/>
  </r>
  <r>
    <x v="193"/>
    <x v="908"/>
    <x v="0"/>
    <x v="0"/>
    <x v="0"/>
    <x v="0"/>
    <x v="0"/>
    <x v="97"/>
    <x v="0"/>
    <x v="0"/>
  </r>
  <r>
    <x v="160"/>
    <x v="909"/>
    <x v="4"/>
    <x v="0"/>
    <x v="3"/>
    <x v="16"/>
    <x v="16"/>
    <x v="58"/>
    <x v="16"/>
    <x v="0"/>
  </r>
  <r>
    <x v="22"/>
    <x v="910"/>
    <x v="2"/>
    <x v="0"/>
    <x v="2"/>
    <x v="12"/>
    <x v="17"/>
    <x v="20"/>
    <x v="77"/>
    <x v="0"/>
  </r>
  <r>
    <x v="282"/>
    <x v="911"/>
    <x v="4"/>
    <x v="0"/>
    <x v="3"/>
    <x v="50"/>
    <x v="60"/>
    <x v="57"/>
    <x v="52"/>
    <x v="0"/>
  </r>
  <r>
    <x v="238"/>
    <x v="912"/>
    <x v="3"/>
    <x v="1"/>
    <x v="3"/>
    <x v="8"/>
    <x v="26"/>
    <x v="45"/>
    <x v="23"/>
    <x v="0"/>
  </r>
  <r>
    <x v="85"/>
    <x v="913"/>
    <x v="1"/>
    <x v="0"/>
    <x v="1"/>
    <x v="16"/>
    <x v="76"/>
    <x v="18"/>
    <x v="65"/>
    <x v="0"/>
  </r>
  <r>
    <x v="50"/>
    <x v="914"/>
    <x v="4"/>
    <x v="0"/>
    <x v="3"/>
    <x v="32"/>
    <x v="40"/>
    <x v="35"/>
    <x v="35"/>
    <x v="0"/>
  </r>
  <r>
    <x v="319"/>
    <x v="915"/>
    <x v="4"/>
    <x v="0"/>
    <x v="3"/>
    <x v="7"/>
    <x v="20"/>
    <x v="90"/>
    <x v="10"/>
    <x v="0"/>
  </r>
  <r>
    <x v="106"/>
    <x v="916"/>
    <x v="3"/>
    <x v="1"/>
    <x v="3"/>
    <x v="7"/>
    <x v="20"/>
    <x v="46"/>
    <x v="10"/>
    <x v="0"/>
  </r>
  <r>
    <x v="309"/>
    <x v="917"/>
    <x v="0"/>
    <x v="0"/>
    <x v="0"/>
    <x v="8"/>
    <x v="8"/>
    <x v="10"/>
    <x v="8"/>
    <x v="0"/>
  </r>
  <r>
    <x v="314"/>
    <x v="918"/>
    <x v="0"/>
    <x v="0"/>
    <x v="0"/>
    <x v="0"/>
    <x v="0"/>
    <x v="70"/>
    <x v="0"/>
    <x v="0"/>
  </r>
  <r>
    <x v="341"/>
    <x v="919"/>
    <x v="1"/>
    <x v="0"/>
    <x v="1"/>
    <x v="52"/>
    <x v="62"/>
    <x v="59"/>
    <x v="54"/>
    <x v="0"/>
  </r>
  <r>
    <x v="312"/>
    <x v="920"/>
    <x v="3"/>
    <x v="1"/>
    <x v="3"/>
    <x v="12"/>
    <x v="12"/>
    <x v="80"/>
    <x v="12"/>
    <x v="0"/>
  </r>
  <r>
    <x v="342"/>
    <x v="921"/>
    <x v="1"/>
    <x v="0"/>
    <x v="1"/>
    <x v="28"/>
    <x v="36"/>
    <x v="56"/>
    <x v="31"/>
    <x v="0"/>
  </r>
  <r>
    <x v="317"/>
    <x v="922"/>
    <x v="1"/>
    <x v="0"/>
    <x v="1"/>
    <x v="53"/>
    <x v="64"/>
    <x v="12"/>
    <x v="55"/>
    <x v="0"/>
  </r>
  <r>
    <x v="332"/>
    <x v="923"/>
    <x v="2"/>
    <x v="0"/>
    <x v="2"/>
    <x v="36"/>
    <x v="44"/>
    <x v="18"/>
    <x v="30"/>
    <x v="0"/>
  </r>
  <r>
    <x v="343"/>
    <x v="924"/>
    <x v="2"/>
    <x v="0"/>
    <x v="2"/>
    <x v="5"/>
    <x v="92"/>
    <x v="77"/>
    <x v="46"/>
    <x v="0"/>
  </r>
  <r>
    <x v="335"/>
    <x v="925"/>
    <x v="0"/>
    <x v="0"/>
    <x v="0"/>
    <x v="5"/>
    <x v="5"/>
    <x v="82"/>
    <x v="5"/>
    <x v="0"/>
  </r>
  <r>
    <x v="200"/>
    <x v="926"/>
    <x v="4"/>
    <x v="0"/>
    <x v="3"/>
    <x v="74"/>
    <x v="91"/>
    <x v="28"/>
    <x v="79"/>
    <x v="0"/>
  </r>
  <r>
    <x v="9"/>
    <x v="927"/>
    <x v="2"/>
    <x v="0"/>
    <x v="2"/>
    <x v="6"/>
    <x v="6"/>
    <x v="62"/>
    <x v="6"/>
    <x v="0"/>
  </r>
  <r>
    <x v="23"/>
    <x v="928"/>
    <x v="3"/>
    <x v="1"/>
    <x v="3"/>
    <x v="58"/>
    <x v="71"/>
    <x v="33"/>
    <x v="61"/>
    <x v="0"/>
  </r>
  <r>
    <x v="99"/>
    <x v="929"/>
    <x v="2"/>
    <x v="0"/>
    <x v="2"/>
    <x v="22"/>
    <x v="25"/>
    <x v="16"/>
    <x v="20"/>
    <x v="0"/>
  </r>
  <r>
    <x v="227"/>
    <x v="930"/>
    <x v="4"/>
    <x v="0"/>
    <x v="3"/>
    <x v="68"/>
    <x v="85"/>
    <x v="90"/>
    <x v="73"/>
    <x v="0"/>
  </r>
  <r>
    <x v="150"/>
    <x v="931"/>
    <x v="0"/>
    <x v="0"/>
    <x v="0"/>
    <x v="0"/>
    <x v="0"/>
    <x v="38"/>
    <x v="0"/>
    <x v="0"/>
  </r>
  <r>
    <x v="63"/>
    <x v="932"/>
    <x v="2"/>
    <x v="0"/>
    <x v="2"/>
    <x v="7"/>
    <x v="49"/>
    <x v="12"/>
    <x v="8"/>
    <x v="0"/>
  </r>
  <r>
    <x v="51"/>
    <x v="933"/>
    <x v="2"/>
    <x v="0"/>
    <x v="2"/>
    <x v="51"/>
    <x v="61"/>
    <x v="45"/>
    <x v="53"/>
    <x v="0"/>
  </r>
  <r>
    <x v="344"/>
    <x v="934"/>
    <x v="1"/>
    <x v="0"/>
    <x v="1"/>
    <x v="34"/>
    <x v="42"/>
    <x v="58"/>
    <x v="37"/>
    <x v="0"/>
  </r>
  <r>
    <x v="91"/>
    <x v="935"/>
    <x v="1"/>
    <x v="0"/>
    <x v="1"/>
    <x v="16"/>
    <x v="76"/>
    <x v="62"/>
    <x v="65"/>
    <x v="0"/>
  </r>
  <r>
    <x v="345"/>
    <x v="936"/>
    <x v="2"/>
    <x v="0"/>
    <x v="2"/>
    <x v="23"/>
    <x v="28"/>
    <x v="63"/>
    <x v="25"/>
    <x v="0"/>
  </r>
  <r>
    <x v="157"/>
    <x v="937"/>
    <x v="1"/>
    <x v="0"/>
    <x v="1"/>
    <x v="27"/>
    <x v="33"/>
    <x v="18"/>
    <x v="5"/>
    <x v="0"/>
  </r>
  <r>
    <x v="237"/>
    <x v="938"/>
    <x v="4"/>
    <x v="0"/>
    <x v="3"/>
    <x v="39"/>
    <x v="47"/>
    <x v="30"/>
    <x v="41"/>
    <x v="0"/>
  </r>
  <r>
    <x v="209"/>
    <x v="939"/>
    <x v="1"/>
    <x v="0"/>
    <x v="1"/>
    <x v="18"/>
    <x v="63"/>
    <x v="67"/>
    <x v="6"/>
    <x v="0"/>
  </r>
  <r>
    <x v="152"/>
    <x v="940"/>
    <x v="2"/>
    <x v="0"/>
    <x v="2"/>
    <x v="2"/>
    <x v="2"/>
    <x v="23"/>
    <x v="2"/>
    <x v="0"/>
  </r>
  <r>
    <x v="307"/>
    <x v="941"/>
    <x v="2"/>
    <x v="0"/>
    <x v="2"/>
    <x v="23"/>
    <x v="28"/>
    <x v="33"/>
    <x v="25"/>
    <x v="0"/>
  </r>
  <r>
    <x v="341"/>
    <x v="942"/>
    <x v="2"/>
    <x v="0"/>
    <x v="2"/>
    <x v="77"/>
    <x v="96"/>
    <x v="61"/>
    <x v="83"/>
    <x v="0"/>
  </r>
  <r>
    <x v="308"/>
    <x v="943"/>
    <x v="3"/>
    <x v="1"/>
    <x v="3"/>
    <x v="56"/>
    <x v="67"/>
    <x v="28"/>
    <x v="58"/>
    <x v="0"/>
  </r>
  <r>
    <x v="231"/>
    <x v="944"/>
    <x v="4"/>
    <x v="0"/>
    <x v="3"/>
    <x v="55"/>
    <x v="66"/>
    <x v="23"/>
    <x v="57"/>
    <x v="0"/>
  </r>
  <r>
    <x v="333"/>
    <x v="945"/>
    <x v="1"/>
    <x v="0"/>
    <x v="1"/>
    <x v="54"/>
    <x v="65"/>
    <x v="4"/>
    <x v="56"/>
    <x v="0"/>
  </r>
  <r>
    <x v="14"/>
    <x v="946"/>
    <x v="3"/>
    <x v="1"/>
    <x v="3"/>
    <x v="11"/>
    <x v="11"/>
    <x v="75"/>
    <x v="11"/>
    <x v="0"/>
  </r>
  <r>
    <x v="316"/>
    <x v="947"/>
    <x v="2"/>
    <x v="0"/>
    <x v="2"/>
    <x v="66"/>
    <x v="82"/>
    <x v="52"/>
    <x v="70"/>
    <x v="0"/>
  </r>
  <r>
    <x v="225"/>
    <x v="948"/>
    <x v="3"/>
    <x v="1"/>
    <x v="3"/>
    <x v="19"/>
    <x v="24"/>
    <x v="70"/>
    <x v="14"/>
    <x v="0"/>
  </r>
  <r>
    <x v="346"/>
    <x v="949"/>
    <x v="1"/>
    <x v="0"/>
    <x v="1"/>
    <x v="4"/>
    <x v="4"/>
    <x v="37"/>
    <x v="4"/>
    <x v="0"/>
  </r>
  <r>
    <x v="287"/>
    <x v="950"/>
    <x v="2"/>
    <x v="0"/>
    <x v="2"/>
    <x v="22"/>
    <x v="25"/>
    <x v="3"/>
    <x v="20"/>
    <x v="0"/>
  </r>
  <r>
    <x v="16"/>
    <x v="951"/>
    <x v="2"/>
    <x v="0"/>
    <x v="2"/>
    <x v="41"/>
    <x v="50"/>
    <x v="13"/>
    <x v="43"/>
    <x v="0"/>
  </r>
  <r>
    <x v="319"/>
    <x v="952"/>
    <x v="4"/>
    <x v="0"/>
    <x v="3"/>
    <x v="62"/>
    <x v="77"/>
    <x v="56"/>
    <x v="66"/>
    <x v="0"/>
  </r>
  <r>
    <x v="232"/>
    <x v="953"/>
    <x v="1"/>
    <x v="0"/>
    <x v="1"/>
    <x v="40"/>
    <x v="48"/>
    <x v="49"/>
    <x v="42"/>
    <x v="0"/>
  </r>
  <r>
    <x v="25"/>
    <x v="954"/>
    <x v="2"/>
    <x v="0"/>
    <x v="2"/>
    <x v="19"/>
    <x v="27"/>
    <x v="15"/>
    <x v="24"/>
    <x v="0"/>
  </r>
  <r>
    <x v="139"/>
    <x v="955"/>
    <x v="1"/>
    <x v="0"/>
    <x v="1"/>
    <x v="33"/>
    <x v="41"/>
    <x v="81"/>
    <x v="36"/>
    <x v="0"/>
  </r>
  <r>
    <x v="262"/>
    <x v="956"/>
    <x v="4"/>
    <x v="0"/>
    <x v="3"/>
    <x v="17"/>
    <x v="17"/>
    <x v="2"/>
    <x v="17"/>
    <x v="0"/>
  </r>
  <r>
    <x v="347"/>
    <x v="957"/>
    <x v="3"/>
    <x v="1"/>
    <x v="3"/>
    <x v="7"/>
    <x v="20"/>
    <x v="80"/>
    <x v="10"/>
    <x v="0"/>
  </r>
  <r>
    <x v="275"/>
    <x v="958"/>
    <x v="4"/>
    <x v="0"/>
    <x v="3"/>
    <x v="55"/>
    <x v="66"/>
    <x v="18"/>
    <x v="57"/>
    <x v="0"/>
  </r>
  <r>
    <x v="348"/>
    <x v="959"/>
    <x v="1"/>
    <x v="0"/>
    <x v="1"/>
    <x v="53"/>
    <x v="64"/>
    <x v="22"/>
    <x v="55"/>
    <x v="0"/>
  </r>
  <r>
    <x v="9"/>
    <x v="960"/>
    <x v="2"/>
    <x v="0"/>
    <x v="2"/>
    <x v="10"/>
    <x v="10"/>
    <x v="17"/>
    <x v="10"/>
    <x v="0"/>
  </r>
  <r>
    <x v="181"/>
    <x v="961"/>
    <x v="1"/>
    <x v="0"/>
    <x v="1"/>
    <x v="40"/>
    <x v="48"/>
    <x v="3"/>
    <x v="42"/>
    <x v="0"/>
  </r>
  <r>
    <x v="159"/>
    <x v="962"/>
    <x v="1"/>
    <x v="0"/>
    <x v="1"/>
    <x v="35"/>
    <x v="43"/>
    <x v="84"/>
    <x v="38"/>
    <x v="0"/>
  </r>
  <r>
    <x v="320"/>
    <x v="963"/>
    <x v="3"/>
    <x v="1"/>
    <x v="3"/>
    <x v="18"/>
    <x v="18"/>
    <x v="11"/>
    <x v="18"/>
    <x v="0"/>
  </r>
  <r>
    <x v="129"/>
    <x v="964"/>
    <x v="0"/>
    <x v="0"/>
    <x v="0"/>
    <x v="5"/>
    <x v="5"/>
    <x v="26"/>
    <x v="5"/>
    <x v="0"/>
  </r>
  <r>
    <x v="262"/>
    <x v="965"/>
    <x v="1"/>
    <x v="0"/>
    <x v="1"/>
    <x v="34"/>
    <x v="42"/>
    <x v="37"/>
    <x v="37"/>
    <x v="0"/>
  </r>
  <r>
    <x v="113"/>
    <x v="966"/>
    <x v="2"/>
    <x v="0"/>
    <x v="2"/>
    <x v="7"/>
    <x v="49"/>
    <x v="44"/>
    <x v="8"/>
    <x v="0"/>
  </r>
  <r>
    <x v="349"/>
    <x v="967"/>
    <x v="3"/>
    <x v="1"/>
    <x v="3"/>
    <x v="1"/>
    <x v="53"/>
    <x v="57"/>
    <x v="46"/>
    <x v="0"/>
  </r>
  <r>
    <x v="103"/>
    <x v="968"/>
    <x v="2"/>
    <x v="0"/>
    <x v="2"/>
    <x v="9"/>
    <x v="9"/>
    <x v="72"/>
    <x v="9"/>
    <x v="0"/>
  </r>
  <r>
    <x v="130"/>
    <x v="969"/>
    <x v="0"/>
    <x v="0"/>
    <x v="0"/>
    <x v="19"/>
    <x v="19"/>
    <x v="69"/>
    <x v="19"/>
    <x v="0"/>
  </r>
  <r>
    <x v="71"/>
    <x v="970"/>
    <x v="2"/>
    <x v="0"/>
    <x v="2"/>
    <x v="77"/>
    <x v="96"/>
    <x v="84"/>
    <x v="83"/>
    <x v="0"/>
  </r>
  <r>
    <x v="47"/>
    <x v="971"/>
    <x v="2"/>
    <x v="0"/>
    <x v="2"/>
    <x v="66"/>
    <x v="82"/>
    <x v="33"/>
    <x v="70"/>
    <x v="0"/>
  </r>
  <r>
    <x v="143"/>
    <x v="972"/>
    <x v="3"/>
    <x v="1"/>
    <x v="3"/>
    <x v="23"/>
    <x v="83"/>
    <x v="44"/>
    <x v="71"/>
    <x v="0"/>
  </r>
  <r>
    <x v="57"/>
    <x v="973"/>
    <x v="3"/>
    <x v="1"/>
    <x v="3"/>
    <x v="43"/>
    <x v="52"/>
    <x v="37"/>
    <x v="45"/>
    <x v="0"/>
  </r>
  <r>
    <x v="257"/>
    <x v="974"/>
    <x v="4"/>
    <x v="0"/>
    <x v="3"/>
    <x v="31"/>
    <x v="39"/>
    <x v="85"/>
    <x v="34"/>
    <x v="0"/>
  </r>
  <r>
    <x v="53"/>
    <x v="975"/>
    <x v="2"/>
    <x v="0"/>
    <x v="2"/>
    <x v="36"/>
    <x v="44"/>
    <x v="51"/>
    <x v="30"/>
    <x v="0"/>
  </r>
  <r>
    <x v="305"/>
    <x v="976"/>
    <x v="1"/>
    <x v="0"/>
    <x v="1"/>
    <x v="48"/>
    <x v="58"/>
    <x v="5"/>
    <x v="50"/>
    <x v="0"/>
  </r>
  <r>
    <x v="278"/>
    <x v="977"/>
    <x v="4"/>
    <x v="0"/>
    <x v="3"/>
    <x v="11"/>
    <x v="11"/>
    <x v="4"/>
    <x v="11"/>
    <x v="0"/>
  </r>
  <r>
    <x v="196"/>
    <x v="978"/>
    <x v="1"/>
    <x v="0"/>
    <x v="1"/>
    <x v="33"/>
    <x v="41"/>
    <x v="30"/>
    <x v="36"/>
    <x v="0"/>
  </r>
  <r>
    <x v="312"/>
    <x v="979"/>
    <x v="4"/>
    <x v="0"/>
    <x v="3"/>
    <x v="65"/>
    <x v="80"/>
    <x v="30"/>
    <x v="69"/>
    <x v="0"/>
  </r>
  <r>
    <x v="213"/>
    <x v="980"/>
    <x v="0"/>
    <x v="0"/>
    <x v="0"/>
    <x v="8"/>
    <x v="8"/>
    <x v="70"/>
    <x v="8"/>
    <x v="0"/>
  </r>
  <r>
    <x v="87"/>
    <x v="981"/>
    <x v="0"/>
    <x v="0"/>
    <x v="0"/>
    <x v="5"/>
    <x v="5"/>
    <x v="26"/>
    <x v="5"/>
    <x v="0"/>
  </r>
  <r>
    <x v="241"/>
    <x v="982"/>
    <x v="0"/>
    <x v="0"/>
    <x v="0"/>
    <x v="5"/>
    <x v="5"/>
    <x v="38"/>
    <x v="5"/>
    <x v="0"/>
  </r>
  <r>
    <x v="47"/>
    <x v="983"/>
    <x v="0"/>
    <x v="0"/>
    <x v="0"/>
    <x v="19"/>
    <x v="19"/>
    <x v="33"/>
    <x v="19"/>
    <x v="0"/>
  </r>
  <r>
    <x v="156"/>
    <x v="984"/>
    <x v="2"/>
    <x v="0"/>
    <x v="2"/>
    <x v="36"/>
    <x v="44"/>
    <x v="43"/>
    <x v="30"/>
    <x v="0"/>
  </r>
  <r>
    <x v="257"/>
    <x v="985"/>
    <x v="4"/>
    <x v="0"/>
    <x v="3"/>
    <x v="69"/>
    <x v="86"/>
    <x v="83"/>
    <x v="74"/>
    <x v="0"/>
  </r>
  <r>
    <x v="226"/>
    <x v="986"/>
    <x v="4"/>
    <x v="0"/>
    <x v="3"/>
    <x v="17"/>
    <x v="17"/>
    <x v="85"/>
    <x v="17"/>
    <x v="0"/>
  </r>
  <r>
    <x v="39"/>
    <x v="987"/>
    <x v="0"/>
    <x v="0"/>
    <x v="0"/>
    <x v="19"/>
    <x v="19"/>
    <x v="78"/>
    <x v="19"/>
    <x v="0"/>
  </r>
  <r>
    <x v="18"/>
    <x v="988"/>
    <x v="0"/>
    <x v="0"/>
    <x v="0"/>
    <x v="5"/>
    <x v="5"/>
    <x v="73"/>
    <x v="5"/>
    <x v="0"/>
  </r>
  <r>
    <x v="251"/>
    <x v="989"/>
    <x v="4"/>
    <x v="0"/>
    <x v="3"/>
    <x v="74"/>
    <x v="91"/>
    <x v="42"/>
    <x v="79"/>
    <x v="0"/>
  </r>
  <r>
    <x v="283"/>
    <x v="990"/>
    <x v="1"/>
    <x v="0"/>
    <x v="1"/>
    <x v="47"/>
    <x v="57"/>
    <x v="81"/>
    <x v="49"/>
    <x v="0"/>
  </r>
  <r>
    <x v="148"/>
    <x v="991"/>
    <x v="1"/>
    <x v="0"/>
    <x v="1"/>
    <x v="35"/>
    <x v="43"/>
    <x v="93"/>
    <x v="38"/>
    <x v="0"/>
  </r>
  <r>
    <x v="49"/>
    <x v="992"/>
    <x v="3"/>
    <x v="1"/>
    <x v="3"/>
    <x v="56"/>
    <x v="67"/>
    <x v="34"/>
    <x v="58"/>
    <x v="0"/>
  </r>
  <r>
    <x v="108"/>
    <x v="993"/>
    <x v="4"/>
    <x v="0"/>
    <x v="3"/>
    <x v="5"/>
    <x v="31"/>
    <x v="55"/>
    <x v="28"/>
    <x v="0"/>
  </r>
  <r>
    <x v="241"/>
    <x v="994"/>
    <x v="1"/>
    <x v="0"/>
    <x v="1"/>
    <x v="1"/>
    <x v="1"/>
    <x v="68"/>
    <x v="1"/>
    <x v="0"/>
  </r>
  <r>
    <x v="343"/>
    <x v="995"/>
    <x v="2"/>
    <x v="0"/>
    <x v="2"/>
    <x v="19"/>
    <x v="27"/>
    <x v="67"/>
    <x v="24"/>
    <x v="0"/>
  </r>
  <r>
    <x v="183"/>
    <x v="996"/>
    <x v="4"/>
    <x v="0"/>
    <x v="3"/>
    <x v="32"/>
    <x v="40"/>
    <x v="56"/>
    <x v="35"/>
    <x v="0"/>
  </r>
  <r>
    <x v="15"/>
    <x v="997"/>
    <x v="1"/>
    <x v="0"/>
    <x v="1"/>
    <x v="28"/>
    <x v="36"/>
    <x v="68"/>
    <x v="31"/>
    <x v="0"/>
  </r>
  <r>
    <x v="183"/>
    <x v="998"/>
    <x v="3"/>
    <x v="1"/>
    <x v="3"/>
    <x v="6"/>
    <x v="21"/>
    <x v="65"/>
    <x v="20"/>
    <x v="0"/>
  </r>
  <r>
    <x v="37"/>
    <x v="999"/>
    <x v="2"/>
    <x v="0"/>
    <x v="2"/>
    <x v="12"/>
    <x v="17"/>
    <x v="2"/>
    <x v="77"/>
    <x v="0"/>
  </r>
  <r>
    <x v="52"/>
    <x v="1000"/>
    <x v="2"/>
    <x v="0"/>
    <x v="2"/>
    <x v="10"/>
    <x v="10"/>
    <x v="25"/>
    <x v="10"/>
    <x v="0"/>
  </r>
  <r>
    <x v="235"/>
    <x v="1001"/>
    <x v="2"/>
    <x v="0"/>
    <x v="2"/>
    <x v="6"/>
    <x v="6"/>
    <x v="32"/>
    <x v="6"/>
    <x v="0"/>
  </r>
  <r>
    <x v="152"/>
    <x v="1002"/>
    <x v="4"/>
    <x v="0"/>
    <x v="3"/>
    <x v="65"/>
    <x v="80"/>
    <x v="55"/>
    <x v="69"/>
    <x v="0"/>
  </r>
  <r>
    <x v="32"/>
    <x v="1003"/>
    <x v="0"/>
    <x v="0"/>
    <x v="0"/>
    <x v="7"/>
    <x v="7"/>
    <x v="38"/>
    <x v="7"/>
    <x v="0"/>
  </r>
  <r>
    <x v="242"/>
    <x v="1004"/>
    <x v="2"/>
    <x v="0"/>
    <x v="2"/>
    <x v="77"/>
    <x v="96"/>
    <x v="89"/>
    <x v="83"/>
    <x v="0"/>
  </r>
  <r>
    <x v="257"/>
    <x v="1005"/>
    <x v="0"/>
    <x v="0"/>
    <x v="0"/>
    <x v="19"/>
    <x v="19"/>
    <x v="50"/>
    <x v="19"/>
    <x v="0"/>
  </r>
  <r>
    <x v="283"/>
    <x v="1006"/>
    <x v="0"/>
    <x v="0"/>
    <x v="0"/>
    <x v="8"/>
    <x v="8"/>
    <x v="11"/>
    <x v="8"/>
    <x v="0"/>
  </r>
  <r>
    <x v="71"/>
    <x v="1007"/>
    <x v="3"/>
    <x v="1"/>
    <x v="3"/>
    <x v="49"/>
    <x v="59"/>
    <x v="67"/>
    <x v="51"/>
    <x v="0"/>
  </r>
  <r>
    <x v="233"/>
    <x v="1008"/>
    <x v="2"/>
    <x v="0"/>
    <x v="2"/>
    <x v="6"/>
    <x v="6"/>
    <x v="44"/>
    <x v="6"/>
    <x v="0"/>
  </r>
  <r>
    <x v="162"/>
    <x v="1009"/>
    <x v="1"/>
    <x v="0"/>
    <x v="1"/>
    <x v="27"/>
    <x v="33"/>
    <x v="86"/>
    <x v="5"/>
    <x v="0"/>
  </r>
  <r>
    <x v="95"/>
    <x v="1010"/>
    <x v="0"/>
    <x v="0"/>
    <x v="0"/>
    <x v="0"/>
    <x v="0"/>
    <x v="66"/>
    <x v="0"/>
    <x v="0"/>
  </r>
  <r>
    <x v="193"/>
    <x v="1011"/>
    <x v="3"/>
    <x v="1"/>
    <x v="3"/>
    <x v="1"/>
    <x v="53"/>
    <x v="81"/>
    <x v="46"/>
    <x v="0"/>
  </r>
  <r>
    <x v="308"/>
    <x v="1012"/>
    <x v="2"/>
    <x v="0"/>
    <x v="2"/>
    <x v="3"/>
    <x v="3"/>
    <x v="57"/>
    <x v="3"/>
    <x v="0"/>
  </r>
  <r>
    <x v="267"/>
    <x v="1013"/>
    <x v="2"/>
    <x v="0"/>
    <x v="2"/>
    <x v="61"/>
    <x v="75"/>
    <x v="43"/>
    <x v="64"/>
    <x v="0"/>
  </r>
  <r>
    <x v="319"/>
    <x v="1014"/>
    <x v="2"/>
    <x v="0"/>
    <x v="2"/>
    <x v="51"/>
    <x v="61"/>
    <x v="67"/>
    <x v="53"/>
    <x v="0"/>
  </r>
  <r>
    <x v="109"/>
    <x v="1015"/>
    <x v="0"/>
    <x v="0"/>
    <x v="0"/>
    <x v="5"/>
    <x v="5"/>
    <x v="96"/>
    <x v="5"/>
    <x v="0"/>
  </r>
  <r>
    <x v="323"/>
    <x v="1016"/>
    <x v="3"/>
    <x v="1"/>
    <x v="3"/>
    <x v="57"/>
    <x v="69"/>
    <x v="15"/>
    <x v="59"/>
    <x v="0"/>
  </r>
  <r>
    <x v="74"/>
    <x v="1017"/>
    <x v="1"/>
    <x v="0"/>
    <x v="1"/>
    <x v="24"/>
    <x v="29"/>
    <x v="61"/>
    <x v="26"/>
    <x v="0"/>
  </r>
  <r>
    <x v="182"/>
    <x v="1018"/>
    <x v="0"/>
    <x v="0"/>
    <x v="0"/>
    <x v="8"/>
    <x v="8"/>
    <x v="0"/>
    <x v="8"/>
    <x v="0"/>
  </r>
  <r>
    <x v="149"/>
    <x v="1019"/>
    <x v="3"/>
    <x v="1"/>
    <x v="3"/>
    <x v="43"/>
    <x v="52"/>
    <x v="11"/>
    <x v="45"/>
    <x v="0"/>
  </r>
  <r>
    <x v="106"/>
    <x v="1020"/>
    <x v="4"/>
    <x v="0"/>
    <x v="3"/>
    <x v="11"/>
    <x v="11"/>
    <x v="56"/>
    <x v="11"/>
    <x v="0"/>
  </r>
  <r>
    <x v="239"/>
    <x v="1021"/>
    <x v="2"/>
    <x v="0"/>
    <x v="2"/>
    <x v="41"/>
    <x v="50"/>
    <x v="71"/>
    <x v="43"/>
    <x v="0"/>
  </r>
  <r>
    <x v="86"/>
    <x v="1022"/>
    <x v="4"/>
    <x v="0"/>
    <x v="3"/>
    <x v="62"/>
    <x v="77"/>
    <x v="56"/>
    <x v="66"/>
    <x v="0"/>
  </r>
  <r>
    <x v="1"/>
    <x v="1023"/>
    <x v="3"/>
    <x v="1"/>
    <x v="3"/>
    <x v="57"/>
    <x v="69"/>
    <x v="45"/>
    <x v="59"/>
    <x v="0"/>
  </r>
  <r>
    <x v="37"/>
    <x v="1024"/>
    <x v="3"/>
    <x v="1"/>
    <x v="3"/>
    <x v="1"/>
    <x v="53"/>
    <x v="55"/>
    <x v="46"/>
    <x v="0"/>
  </r>
  <r>
    <x v="325"/>
    <x v="1025"/>
    <x v="1"/>
    <x v="0"/>
    <x v="1"/>
    <x v="18"/>
    <x v="63"/>
    <x v="35"/>
    <x v="6"/>
    <x v="0"/>
  </r>
  <r>
    <x v="196"/>
    <x v="1026"/>
    <x v="0"/>
    <x v="0"/>
    <x v="0"/>
    <x v="5"/>
    <x v="5"/>
    <x v="34"/>
    <x v="5"/>
    <x v="0"/>
  </r>
  <r>
    <x v="143"/>
    <x v="1027"/>
    <x v="2"/>
    <x v="0"/>
    <x v="2"/>
    <x v="36"/>
    <x v="44"/>
    <x v="89"/>
    <x v="30"/>
    <x v="0"/>
  </r>
  <r>
    <x v="78"/>
    <x v="1028"/>
    <x v="2"/>
    <x v="0"/>
    <x v="2"/>
    <x v="46"/>
    <x v="47"/>
    <x v="87"/>
    <x v="1"/>
    <x v="0"/>
  </r>
  <r>
    <x v="307"/>
    <x v="1029"/>
    <x v="1"/>
    <x v="0"/>
    <x v="1"/>
    <x v="19"/>
    <x v="73"/>
    <x v="19"/>
    <x v="46"/>
    <x v="0"/>
  </r>
  <r>
    <x v="169"/>
    <x v="1030"/>
    <x v="3"/>
    <x v="1"/>
    <x v="3"/>
    <x v="0"/>
    <x v="55"/>
    <x v="35"/>
    <x v="8"/>
    <x v="0"/>
  </r>
  <r>
    <x v="59"/>
    <x v="1031"/>
    <x v="0"/>
    <x v="0"/>
    <x v="0"/>
    <x v="8"/>
    <x v="8"/>
    <x v="69"/>
    <x v="8"/>
    <x v="0"/>
  </r>
  <r>
    <x v="23"/>
    <x v="1032"/>
    <x v="1"/>
    <x v="0"/>
    <x v="1"/>
    <x v="40"/>
    <x v="48"/>
    <x v="4"/>
    <x v="42"/>
    <x v="0"/>
  </r>
  <r>
    <x v="254"/>
    <x v="1033"/>
    <x v="4"/>
    <x v="0"/>
    <x v="3"/>
    <x v="31"/>
    <x v="39"/>
    <x v="46"/>
    <x v="34"/>
    <x v="0"/>
  </r>
  <r>
    <x v="208"/>
    <x v="1034"/>
    <x v="3"/>
    <x v="1"/>
    <x v="3"/>
    <x v="43"/>
    <x v="52"/>
    <x v="43"/>
    <x v="45"/>
    <x v="0"/>
  </r>
  <r>
    <x v="54"/>
    <x v="1035"/>
    <x v="0"/>
    <x v="0"/>
    <x v="0"/>
    <x v="0"/>
    <x v="0"/>
    <x v="94"/>
    <x v="0"/>
    <x v="0"/>
  </r>
  <r>
    <x v="332"/>
    <x v="1036"/>
    <x v="4"/>
    <x v="0"/>
    <x v="3"/>
    <x v="64"/>
    <x v="79"/>
    <x v="37"/>
    <x v="68"/>
    <x v="0"/>
  </r>
  <r>
    <x v="27"/>
    <x v="1037"/>
    <x v="0"/>
    <x v="0"/>
    <x v="0"/>
    <x v="0"/>
    <x v="0"/>
    <x v="38"/>
    <x v="0"/>
    <x v="0"/>
  </r>
  <r>
    <x v="175"/>
    <x v="1038"/>
    <x v="4"/>
    <x v="0"/>
    <x v="3"/>
    <x v="71"/>
    <x v="88"/>
    <x v="14"/>
    <x v="76"/>
    <x v="0"/>
  </r>
  <r>
    <x v="77"/>
    <x v="1039"/>
    <x v="4"/>
    <x v="0"/>
    <x v="3"/>
    <x v="55"/>
    <x v="66"/>
    <x v="7"/>
    <x v="57"/>
    <x v="0"/>
  </r>
  <r>
    <x v="1"/>
    <x v="1040"/>
    <x v="4"/>
    <x v="0"/>
    <x v="3"/>
    <x v="59"/>
    <x v="72"/>
    <x v="23"/>
    <x v="62"/>
    <x v="0"/>
  </r>
  <r>
    <x v="275"/>
    <x v="1041"/>
    <x v="1"/>
    <x v="0"/>
    <x v="1"/>
    <x v="72"/>
    <x v="89"/>
    <x v="68"/>
    <x v="19"/>
    <x v="0"/>
  </r>
  <r>
    <x v="137"/>
    <x v="1042"/>
    <x v="3"/>
    <x v="1"/>
    <x v="3"/>
    <x v="1"/>
    <x v="53"/>
    <x v="32"/>
    <x v="46"/>
    <x v="0"/>
  </r>
  <r>
    <x v="75"/>
    <x v="1043"/>
    <x v="2"/>
    <x v="0"/>
    <x v="2"/>
    <x v="10"/>
    <x v="10"/>
    <x v="20"/>
    <x v="10"/>
    <x v="0"/>
  </r>
  <r>
    <x v="100"/>
    <x v="1044"/>
    <x v="1"/>
    <x v="0"/>
    <x v="1"/>
    <x v="75"/>
    <x v="93"/>
    <x v="32"/>
    <x v="80"/>
    <x v="0"/>
  </r>
  <r>
    <x v="341"/>
    <x v="1045"/>
    <x v="4"/>
    <x v="0"/>
    <x v="3"/>
    <x v="47"/>
    <x v="94"/>
    <x v="18"/>
    <x v="81"/>
    <x v="0"/>
  </r>
  <r>
    <x v="74"/>
    <x v="1046"/>
    <x v="4"/>
    <x v="0"/>
    <x v="3"/>
    <x v="30"/>
    <x v="38"/>
    <x v="21"/>
    <x v="33"/>
    <x v="0"/>
  </r>
  <r>
    <x v="336"/>
    <x v="1047"/>
    <x v="4"/>
    <x v="0"/>
    <x v="3"/>
    <x v="69"/>
    <x v="86"/>
    <x v="48"/>
    <x v="74"/>
    <x v="0"/>
  </r>
  <r>
    <x v="95"/>
    <x v="1048"/>
    <x v="3"/>
    <x v="1"/>
    <x v="3"/>
    <x v="57"/>
    <x v="69"/>
    <x v="25"/>
    <x v="59"/>
    <x v="0"/>
  </r>
  <r>
    <x v="184"/>
    <x v="1049"/>
    <x v="0"/>
    <x v="0"/>
    <x v="0"/>
    <x v="19"/>
    <x v="19"/>
    <x v="11"/>
    <x v="19"/>
    <x v="0"/>
  </r>
  <r>
    <x v="302"/>
    <x v="1050"/>
    <x v="3"/>
    <x v="1"/>
    <x v="3"/>
    <x v="57"/>
    <x v="69"/>
    <x v="52"/>
    <x v="59"/>
    <x v="0"/>
  </r>
  <r>
    <x v="220"/>
    <x v="1051"/>
    <x v="1"/>
    <x v="0"/>
    <x v="1"/>
    <x v="38"/>
    <x v="46"/>
    <x v="18"/>
    <x v="40"/>
    <x v="0"/>
  </r>
  <r>
    <x v="316"/>
    <x v="1052"/>
    <x v="2"/>
    <x v="0"/>
    <x v="2"/>
    <x v="13"/>
    <x v="13"/>
    <x v="27"/>
    <x v="13"/>
    <x v="0"/>
  </r>
  <r>
    <x v="141"/>
    <x v="1053"/>
    <x v="3"/>
    <x v="1"/>
    <x v="3"/>
    <x v="57"/>
    <x v="69"/>
    <x v="86"/>
    <x v="59"/>
    <x v="0"/>
  </r>
  <r>
    <x v="169"/>
    <x v="1054"/>
    <x v="1"/>
    <x v="0"/>
    <x v="1"/>
    <x v="40"/>
    <x v="48"/>
    <x v="12"/>
    <x v="42"/>
    <x v="0"/>
  </r>
  <r>
    <x v="124"/>
    <x v="1055"/>
    <x v="3"/>
    <x v="1"/>
    <x v="3"/>
    <x v="26"/>
    <x v="32"/>
    <x v="19"/>
    <x v="29"/>
    <x v="0"/>
  </r>
  <r>
    <x v="206"/>
    <x v="1056"/>
    <x v="3"/>
    <x v="1"/>
    <x v="3"/>
    <x v="29"/>
    <x v="37"/>
    <x v="9"/>
    <x v="32"/>
    <x v="0"/>
  </r>
  <r>
    <x v="325"/>
    <x v="1057"/>
    <x v="3"/>
    <x v="1"/>
    <x v="3"/>
    <x v="46"/>
    <x v="68"/>
    <x v="79"/>
    <x v="43"/>
    <x v="0"/>
  </r>
  <r>
    <x v="334"/>
    <x v="1058"/>
    <x v="3"/>
    <x v="1"/>
    <x v="3"/>
    <x v="8"/>
    <x v="26"/>
    <x v="83"/>
    <x v="23"/>
    <x v="0"/>
  </r>
  <r>
    <x v="49"/>
    <x v="1059"/>
    <x v="2"/>
    <x v="0"/>
    <x v="2"/>
    <x v="10"/>
    <x v="10"/>
    <x v="7"/>
    <x v="10"/>
    <x v="0"/>
  </r>
  <r>
    <x v="105"/>
    <x v="1060"/>
    <x v="4"/>
    <x v="0"/>
    <x v="3"/>
    <x v="56"/>
    <x v="67"/>
    <x v="84"/>
    <x v="58"/>
    <x v="0"/>
  </r>
  <r>
    <x v="213"/>
    <x v="1061"/>
    <x v="3"/>
    <x v="1"/>
    <x v="3"/>
    <x v="49"/>
    <x v="59"/>
    <x v="81"/>
    <x v="51"/>
    <x v="0"/>
  </r>
  <r>
    <x v="29"/>
    <x v="1062"/>
    <x v="0"/>
    <x v="0"/>
    <x v="0"/>
    <x v="5"/>
    <x v="5"/>
    <x v="52"/>
    <x v="5"/>
    <x v="0"/>
  </r>
  <r>
    <x v="162"/>
    <x v="1063"/>
    <x v="4"/>
    <x v="0"/>
    <x v="3"/>
    <x v="21"/>
    <x v="23"/>
    <x v="28"/>
    <x v="22"/>
    <x v="0"/>
  </r>
  <r>
    <x v="228"/>
    <x v="1064"/>
    <x v="1"/>
    <x v="0"/>
    <x v="1"/>
    <x v="18"/>
    <x v="63"/>
    <x v="63"/>
    <x v="6"/>
    <x v="0"/>
  </r>
  <r>
    <x v="117"/>
    <x v="1065"/>
    <x v="2"/>
    <x v="0"/>
    <x v="2"/>
    <x v="9"/>
    <x v="9"/>
    <x v="72"/>
    <x v="9"/>
    <x v="0"/>
  </r>
  <r>
    <x v="157"/>
    <x v="1066"/>
    <x v="2"/>
    <x v="0"/>
    <x v="2"/>
    <x v="9"/>
    <x v="9"/>
    <x v="89"/>
    <x v="9"/>
    <x v="0"/>
  </r>
  <r>
    <x v="75"/>
    <x v="1067"/>
    <x v="4"/>
    <x v="0"/>
    <x v="3"/>
    <x v="44"/>
    <x v="54"/>
    <x v="7"/>
    <x v="47"/>
    <x v="0"/>
  </r>
  <r>
    <x v="213"/>
    <x v="1068"/>
    <x v="2"/>
    <x v="0"/>
    <x v="2"/>
    <x v="41"/>
    <x v="50"/>
    <x v="39"/>
    <x v="43"/>
    <x v="0"/>
  </r>
  <r>
    <x v="18"/>
    <x v="1069"/>
    <x v="3"/>
    <x v="1"/>
    <x v="3"/>
    <x v="12"/>
    <x v="12"/>
    <x v="19"/>
    <x v="12"/>
    <x v="0"/>
  </r>
  <r>
    <x v="350"/>
    <x v="1070"/>
    <x v="1"/>
    <x v="0"/>
    <x v="1"/>
    <x v="28"/>
    <x v="36"/>
    <x v="33"/>
    <x v="31"/>
    <x v="0"/>
  </r>
  <r>
    <x v="80"/>
    <x v="1071"/>
    <x v="4"/>
    <x v="0"/>
    <x v="3"/>
    <x v="39"/>
    <x v="47"/>
    <x v="57"/>
    <x v="41"/>
    <x v="0"/>
  </r>
  <r>
    <x v="276"/>
    <x v="1072"/>
    <x v="4"/>
    <x v="0"/>
    <x v="3"/>
    <x v="47"/>
    <x v="94"/>
    <x v="12"/>
    <x v="81"/>
    <x v="0"/>
  </r>
  <r>
    <x v="207"/>
    <x v="1073"/>
    <x v="2"/>
    <x v="0"/>
    <x v="2"/>
    <x v="19"/>
    <x v="27"/>
    <x v="26"/>
    <x v="24"/>
    <x v="0"/>
  </r>
  <r>
    <x v="115"/>
    <x v="1074"/>
    <x v="1"/>
    <x v="0"/>
    <x v="1"/>
    <x v="53"/>
    <x v="64"/>
    <x v="13"/>
    <x v="55"/>
    <x v="0"/>
  </r>
  <r>
    <x v="331"/>
    <x v="1075"/>
    <x v="3"/>
    <x v="1"/>
    <x v="3"/>
    <x v="1"/>
    <x v="53"/>
    <x v="75"/>
    <x v="46"/>
    <x v="0"/>
  </r>
  <r>
    <x v="13"/>
    <x v="1076"/>
    <x v="4"/>
    <x v="0"/>
    <x v="3"/>
    <x v="21"/>
    <x v="23"/>
    <x v="55"/>
    <x v="22"/>
    <x v="0"/>
  </r>
  <r>
    <x v="104"/>
    <x v="1077"/>
    <x v="0"/>
    <x v="0"/>
    <x v="0"/>
    <x v="19"/>
    <x v="19"/>
    <x v="64"/>
    <x v="19"/>
    <x v="0"/>
  </r>
  <r>
    <x v="303"/>
    <x v="1078"/>
    <x v="3"/>
    <x v="1"/>
    <x v="3"/>
    <x v="5"/>
    <x v="31"/>
    <x v="67"/>
    <x v="28"/>
    <x v="0"/>
  </r>
  <r>
    <x v="40"/>
    <x v="1079"/>
    <x v="0"/>
    <x v="0"/>
    <x v="0"/>
    <x v="5"/>
    <x v="5"/>
    <x v="39"/>
    <x v="5"/>
    <x v="0"/>
  </r>
  <r>
    <x v="124"/>
    <x v="1080"/>
    <x v="1"/>
    <x v="0"/>
    <x v="1"/>
    <x v="38"/>
    <x v="46"/>
    <x v="46"/>
    <x v="40"/>
    <x v="0"/>
  </r>
  <r>
    <x v="262"/>
    <x v="1081"/>
    <x v="2"/>
    <x v="0"/>
    <x v="2"/>
    <x v="66"/>
    <x v="82"/>
    <x v="18"/>
    <x v="70"/>
    <x v="0"/>
  </r>
  <r>
    <x v="337"/>
    <x v="1082"/>
    <x v="4"/>
    <x v="0"/>
    <x v="3"/>
    <x v="39"/>
    <x v="47"/>
    <x v="21"/>
    <x v="41"/>
    <x v="0"/>
  </r>
  <r>
    <x v="291"/>
    <x v="1083"/>
    <x v="0"/>
    <x v="0"/>
    <x v="0"/>
    <x v="0"/>
    <x v="0"/>
    <x v="10"/>
    <x v="0"/>
    <x v="0"/>
  </r>
  <r>
    <x v="351"/>
    <x v="1084"/>
    <x v="0"/>
    <x v="0"/>
    <x v="0"/>
    <x v="5"/>
    <x v="5"/>
    <x v="45"/>
    <x v="5"/>
    <x v="0"/>
  </r>
  <r>
    <x v="98"/>
    <x v="1085"/>
    <x v="3"/>
    <x v="1"/>
    <x v="3"/>
    <x v="56"/>
    <x v="67"/>
    <x v="58"/>
    <x v="58"/>
    <x v="0"/>
  </r>
  <r>
    <x v="7"/>
    <x v="1086"/>
    <x v="3"/>
    <x v="1"/>
    <x v="3"/>
    <x v="7"/>
    <x v="20"/>
    <x v="80"/>
    <x v="10"/>
    <x v="0"/>
  </r>
  <r>
    <x v="149"/>
    <x v="1087"/>
    <x v="1"/>
    <x v="0"/>
    <x v="1"/>
    <x v="70"/>
    <x v="87"/>
    <x v="10"/>
    <x v="75"/>
    <x v="0"/>
  </r>
  <r>
    <x v="213"/>
    <x v="1088"/>
    <x v="2"/>
    <x v="0"/>
    <x v="2"/>
    <x v="10"/>
    <x v="10"/>
    <x v="2"/>
    <x v="10"/>
    <x v="0"/>
  </r>
  <r>
    <x v="174"/>
    <x v="1089"/>
    <x v="2"/>
    <x v="0"/>
    <x v="2"/>
    <x v="22"/>
    <x v="25"/>
    <x v="21"/>
    <x v="20"/>
    <x v="0"/>
  </r>
  <r>
    <x v="86"/>
    <x v="1090"/>
    <x v="2"/>
    <x v="0"/>
    <x v="2"/>
    <x v="36"/>
    <x v="44"/>
    <x v="34"/>
    <x v="30"/>
    <x v="0"/>
  </r>
  <r>
    <x v="74"/>
    <x v="1091"/>
    <x v="3"/>
    <x v="1"/>
    <x v="3"/>
    <x v="1"/>
    <x v="53"/>
    <x v="43"/>
    <x v="46"/>
    <x v="0"/>
  </r>
  <r>
    <x v="46"/>
    <x v="1092"/>
    <x v="3"/>
    <x v="1"/>
    <x v="3"/>
    <x v="5"/>
    <x v="31"/>
    <x v="9"/>
    <x v="28"/>
    <x v="0"/>
  </r>
  <r>
    <x v="321"/>
    <x v="1093"/>
    <x v="0"/>
    <x v="0"/>
    <x v="0"/>
    <x v="19"/>
    <x v="19"/>
    <x v="67"/>
    <x v="19"/>
    <x v="0"/>
  </r>
  <r>
    <x v="315"/>
    <x v="1094"/>
    <x v="1"/>
    <x v="0"/>
    <x v="1"/>
    <x v="27"/>
    <x v="33"/>
    <x v="18"/>
    <x v="5"/>
    <x v="0"/>
  </r>
  <r>
    <x v="262"/>
    <x v="1095"/>
    <x v="2"/>
    <x v="0"/>
    <x v="2"/>
    <x v="22"/>
    <x v="25"/>
    <x v="51"/>
    <x v="20"/>
    <x v="0"/>
  </r>
  <r>
    <x v="316"/>
    <x v="1096"/>
    <x v="1"/>
    <x v="0"/>
    <x v="1"/>
    <x v="75"/>
    <x v="93"/>
    <x v="54"/>
    <x v="80"/>
    <x v="0"/>
  </r>
  <r>
    <x v="236"/>
    <x v="1097"/>
    <x v="3"/>
    <x v="1"/>
    <x v="3"/>
    <x v="49"/>
    <x v="59"/>
    <x v="27"/>
    <x v="51"/>
    <x v="0"/>
  </r>
  <r>
    <x v="178"/>
    <x v="1098"/>
    <x v="1"/>
    <x v="0"/>
    <x v="1"/>
    <x v="60"/>
    <x v="74"/>
    <x v="18"/>
    <x v="63"/>
    <x v="0"/>
  </r>
  <r>
    <x v="116"/>
    <x v="1099"/>
    <x v="4"/>
    <x v="0"/>
    <x v="3"/>
    <x v="55"/>
    <x v="66"/>
    <x v="95"/>
    <x v="57"/>
    <x v="0"/>
  </r>
  <r>
    <x v="20"/>
    <x v="1100"/>
    <x v="3"/>
    <x v="1"/>
    <x v="3"/>
    <x v="18"/>
    <x v="18"/>
    <x v="71"/>
    <x v="18"/>
    <x v="0"/>
  </r>
  <r>
    <x v="114"/>
    <x v="1101"/>
    <x v="4"/>
    <x v="0"/>
    <x v="3"/>
    <x v="32"/>
    <x v="40"/>
    <x v="30"/>
    <x v="35"/>
    <x v="0"/>
  </r>
  <r>
    <x v="237"/>
    <x v="1102"/>
    <x v="3"/>
    <x v="1"/>
    <x v="3"/>
    <x v="78"/>
    <x v="97"/>
    <x v="17"/>
    <x v="84"/>
    <x v="0"/>
  </r>
  <r>
    <x v="326"/>
    <x v="1103"/>
    <x v="1"/>
    <x v="0"/>
    <x v="1"/>
    <x v="53"/>
    <x v="64"/>
    <x v="65"/>
    <x v="55"/>
    <x v="0"/>
  </r>
  <r>
    <x v="195"/>
    <x v="1104"/>
    <x v="2"/>
    <x v="0"/>
    <x v="2"/>
    <x v="63"/>
    <x v="78"/>
    <x v="9"/>
    <x v="67"/>
    <x v="0"/>
  </r>
  <r>
    <x v="152"/>
    <x v="1105"/>
    <x v="4"/>
    <x v="0"/>
    <x v="3"/>
    <x v="47"/>
    <x v="94"/>
    <x v="65"/>
    <x v="81"/>
    <x v="0"/>
  </r>
  <r>
    <x v="45"/>
    <x v="1106"/>
    <x v="1"/>
    <x v="0"/>
    <x v="1"/>
    <x v="35"/>
    <x v="43"/>
    <x v="46"/>
    <x v="38"/>
    <x v="0"/>
  </r>
  <r>
    <x v="225"/>
    <x v="1107"/>
    <x v="2"/>
    <x v="0"/>
    <x v="2"/>
    <x v="6"/>
    <x v="6"/>
    <x v="24"/>
    <x v="6"/>
    <x v="0"/>
  </r>
  <r>
    <x v="330"/>
    <x v="1108"/>
    <x v="3"/>
    <x v="1"/>
    <x v="3"/>
    <x v="43"/>
    <x v="52"/>
    <x v="4"/>
    <x v="45"/>
    <x v="0"/>
  </r>
  <r>
    <x v="192"/>
    <x v="1109"/>
    <x v="0"/>
    <x v="0"/>
    <x v="0"/>
    <x v="8"/>
    <x v="8"/>
    <x v="38"/>
    <x v="8"/>
    <x v="0"/>
  </r>
  <r>
    <x v="125"/>
    <x v="1110"/>
    <x v="0"/>
    <x v="0"/>
    <x v="0"/>
    <x v="5"/>
    <x v="5"/>
    <x v="67"/>
    <x v="5"/>
    <x v="0"/>
  </r>
  <r>
    <x v="215"/>
    <x v="1111"/>
    <x v="2"/>
    <x v="0"/>
    <x v="2"/>
    <x v="13"/>
    <x v="13"/>
    <x v="7"/>
    <x v="13"/>
    <x v="0"/>
  </r>
  <r>
    <x v="14"/>
    <x v="1112"/>
    <x v="1"/>
    <x v="0"/>
    <x v="1"/>
    <x v="34"/>
    <x v="42"/>
    <x v="31"/>
    <x v="37"/>
    <x v="0"/>
  </r>
  <r>
    <x v="17"/>
    <x v="1113"/>
    <x v="1"/>
    <x v="0"/>
    <x v="1"/>
    <x v="53"/>
    <x v="64"/>
    <x v="37"/>
    <x v="55"/>
    <x v="0"/>
  </r>
  <r>
    <x v="84"/>
    <x v="1114"/>
    <x v="4"/>
    <x v="0"/>
    <x v="3"/>
    <x v="32"/>
    <x v="40"/>
    <x v="65"/>
    <x v="35"/>
    <x v="0"/>
  </r>
  <r>
    <x v="79"/>
    <x v="1115"/>
    <x v="1"/>
    <x v="0"/>
    <x v="1"/>
    <x v="18"/>
    <x v="63"/>
    <x v="5"/>
    <x v="6"/>
    <x v="0"/>
  </r>
  <r>
    <x v="352"/>
    <x v="1116"/>
    <x v="0"/>
    <x v="0"/>
    <x v="0"/>
    <x v="7"/>
    <x v="7"/>
    <x v="31"/>
    <x v="7"/>
    <x v="0"/>
  </r>
  <r>
    <x v="322"/>
    <x v="1117"/>
    <x v="1"/>
    <x v="0"/>
    <x v="1"/>
    <x v="72"/>
    <x v="89"/>
    <x v="62"/>
    <x v="19"/>
    <x v="0"/>
  </r>
  <r>
    <x v="260"/>
    <x v="1118"/>
    <x v="4"/>
    <x v="0"/>
    <x v="3"/>
    <x v="44"/>
    <x v="54"/>
    <x v="37"/>
    <x v="47"/>
    <x v="0"/>
  </r>
  <r>
    <x v="124"/>
    <x v="1119"/>
    <x v="4"/>
    <x v="0"/>
    <x v="3"/>
    <x v="62"/>
    <x v="77"/>
    <x v="17"/>
    <x v="66"/>
    <x v="0"/>
  </r>
  <r>
    <x v="46"/>
    <x v="1120"/>
    <x v="3"/>
    <x v="1"/>
    <x v="3"/>
    <x v="57"/>
    <x v="69"/>
    <x v="95"/>
    <x v="59"/>
    <x v="0"/>
  </r>
  <r>
    <x v="353"/>
    <x v="1121"/>
    <x v="1"/>
    <x v="0"/>
    <x v="1"/>
    <x v="40"/>
    <x v="48"/>
    <x v="54"/>
    <x v="42"/>
    <x v="0"/>
  </r>
  <r>
    <x v="85"/>
    <x v="1122"/>
    <x v="1"/>
    <x v="0"/>
    <x v="1"/>
    <x v="28"/>
    <x v="36"/>
    <x v="14"/>
    <x v="31"/>
    <x v="0"/>
  </r>
  <r>
    <x v="61"/>
    <x v="1123"/>
    <x v="1"/>
    <x v="0"/>
    <x v="1"/>
    <x v="47"/>
    <x v="57"/>
    <x v="95"/>
    <x v="49"/>
    <x v="0"/>
  </r>
  <r>
    <x v="229"/>
    <x v="1124"/>
    <x v="1"/>
    <x v="0"/>
    <x v="1"/>
    <x v="34"/>
    <x v="42"/>
    <x v="9"/>
    <x v="37"/>
    <x v="0"/>
  </r>
  <r>
    <x v="327"/>
    <x v="1125"/>
    <x v="4"/>
    <x v="0"/>
    <x v="3"/>
    <x v="5"/>
    <x v="31"/>
    <x v="62"/>
    <x v="28"/>
    <x v="0"/>
  </r>
  <r>
    <x v="106"/>
    <x v="1126"/>
    <x v="2"/>
    <x v="0"/>
    <x v="2"/>
    <x v="51"/>
    <x v="61"/>
    <x v="19"/>
    <x v="53"/>
    <x v="0"/>
  </r>
  <r>
    <x v="207"/>
    <x v="1127"/>
    <x v="2"/>
    <x v="0"/>
    <x v="2"/>
    <x v="19"/>
    <x v="27"/>
    <x v="63"/>
    <x v="24"/>
    <x v="0"/>
  </r>
  <r>
    <x v="222"/>
    <x v="1128"/>
    <x v="4"/>
    <x v="0"/>
    <x v="3"/>
    <x v="68"/>
    <x v="85"/>
    <x v="58"/>
    <x v="73"/>
    <x v="0"/>
  </r>
  <r>
    <x v="44"/>
    <x v="1129"/>
    <x v="1"/>
    <x v="0"/>
    <x v="1"/>
    <x v="18"/>
    <x v="63"/>
    <x v="15"/>
    <x v="6"/>
    <x v="0"/>
  </r>
  <r>
    <x v="259"/>
    <x v="1130"/>
    <x v="3"/>
    <x v="1"/>
    <x v="3"/>
    <x v="11"/>
    <x v="11"/>
    <x v="45"/>
    <x v="11"/>
    <x v="0"/>
  </r>
  <r>
    <x v="22"/>
    <x v="1131"/>
    <x v="4"/>
    <x v="0"/>
    <x v="3"/>
    <x v="65"/>
    <x v="80"/>
    <x v="55"/>
    <x v="69"/>
    <x v="0"/>
  </r>
  <r>
    <x v="26"/>
    <x v="1132"/>
    <x v="0"/>
    <x v="0"/>
    <x v="0"/>
    <x v="0"/>
    <x v="0"/>
    <x v="67"/>
    <x v="0"/>
    <x v="0"/>
  </r>
  <r>
    <x v="3"/>
    <x v="1133"/>
    <x v="2"/>
    <x v="0"/>
    <x v="2"/>
    <x v="14"/>
    <x v="14"/>
    <x v="84"/>
    <x v="14"/>
    <x v="0"/>
  </r>
  <r>
    <x v="216"/>
    <x v="1134"/>
    <x v="1"/>
    <x v="0"/>
    <x v="1"/>
    <x v="25"/>
    <x v="30"/>
    <x v="96"/>
    <x v="27"/>
    <x v="0"/>
  </r>
  <r>
    <x v="46"/>
    <x v="1135"/>
    <x v="3"/>
    <x v="1"/>
    <x v="3"/>
    <x v="15"/>
    <x v="15"/>
    <x v="83"/>
    <x v="15"/>
    <x v="0"/>
  </r>
  <r>
    <x v="13"/>
    <x v="1136"/>
    <x v="1"/>
    <x v="0"/>
    <x v="1"/>
    <x v="53"/>
    <x v="64"/>
    <x v="68"/>
    <x v="55"/>
    <x v="0"/>
  </r>
  <r>
    <x v="18"/>
    <x v="1137"/>
    <x v="2"/>
    <x v="0"/>
    <x v="2"/>
    <x v="2"/>
    <x v="2"/>
    <x v="5"/>
    <x v="2"/>
    <x v="0"/>
  </r>
  <r>
    <x v="335"/>
    <x v="1138"/>
    <x v="0"/>
    <x v="0"/>
    <x v="0"/>
    <x v="19"/>
    <x v="19"/>
    <x v="73"/>
    <x v="19"/>
    <x v="0"/>
  </r>
  <r>
    <x v="134"/>
    <x v="1139"/>
    <x v="3"/>
    <x v="1"/>
    <x v="3"/>
    <x v="23"/>
    <x v="83"/>
    <x v="28"/>
    <x v="71"/>
    <x v="0"/>
  </r>
  <r>
    <x v="354"/>
    <x v="1140"/>
    <x v="2"/>
    <x v="0"/>
    <x v="2"/>
    <x v="3"/>
    <x v="3"/>
    <x v="50"/>
    <x v="3"/>
    <x v="0"/>
  </r>
  <r>
    <x v="26"/>
    <x v="1141"/>
    <x v="3"/>
    <x v="1"/>
    <x v="3"/>
    <x v="1"/>
    <x v="53"/>
    <x v="69"/>
    <x v="46"/>
    <x v="0"/>
  </r>
  <r>
    <x v="256"/>
    <x v="1142"/>
    <x v="4"/>
    <x v="0"/>
    <x v="3"/>
    <x v="39"/>
    <x v="47"/>
    <x v="56"/>
    <x v="41"/>
    <x v="0"/>
  </r>
  <r>
    <x v="346"/>
    <x v="1143"/>
    <x v="0"/>
    <x v="0"/>
    <x v="0"/>
    <x v="19"/>
    <x v="19"/>
    <x v="67"/>
    <x v="19"/>
    <x v="0"/>
  </r>
  <r>
    <x v="236"/>
    <x v="1144"/>
    <x v="2"/>
    <x v="0"/>
    <x v="2"/>
    <x v="9"/>
    <x v="9"/>
    <x v="61"/>
    <x v="9"/>
    <x v="0"/>
  </r>
  <r>
    <x v="226"/>
    <x v="1145"/>
    <x v="3"/>
    <x v="1"/>
    <x v="3"/>
    <x v="18"/>
    <x v="18"/>
    <x v="72"/>
    <x v="18"/>
    <x v="0"/>
  </r>
  <r>
    <x v="70"/>
    <x v="1146"/>
    <x v="0"/>
    <x v="0"/>
    <x v="0"/>
    <x v="8"/>
    <x v="8"/>
    <x v="88"/>
    <x v="8"/>
    <x v="0"/>
  </r>
  <r>
    <x v="101"/>
    <x v="1147"/>
    <x v="2"/>
    <x v="0"/>
    <x v="2"/>
    <x v="2"/>
    <x v="2"/>
    <x v="39"/>
    <x v="2"/>
    <x v="0"/>
  </r>
  <r>
    <x v="82"/>
    <x v="1148"/>
    <x v="2"/>
    <x v="0"/>
    <x v="2"/>
    <x v="46"/>
    <x v="47"/>
    <x v="85"/>
    <x v="1"/>
    <x v="0"/>
  </r>
  <r>
    <x v="76"/>
    <x v="1149"/>
    <x v="4"/>
    <x v="0"/>
    <x v="3"/>
    <x v="5"/>
    <x v="31"/>
    <x v="58"/>
    <x v="28"/>
    <x v="0"/>
  </r>
  <r>
    <x v="38"/>
    <x v="1150"/>
    <x v="3"/>
    <x v="1"/>
    <x v="3"/>
    <x v="78"/>
    <x v="97"/>
    <x v="47"/>
    <x v="84"/>
    <x v="0"/>
  </r>
  <r>
    <x v="305"/>
    <x v="1151"/>
    <x v="0"/>
    <x v="0"/>
    <x v="0"/>
    <x v="0"/>
    <x v="0"/>
    <x v="73"/>
    <x v="0"/>
    <x v="0"/>
  </r>
  <r>
    <x v="293"/>
    <x v="1152"/>
    <x v="3"/>
    <x v="1"/>
    <x v="3"/>
    <x v="56"/>
    <x v="67"/>
    <x v="12"/>
    <x v="58"/>
    <x v="0"/>
  </r>
  <r>
    <x v="144"/>
    <x v="1153"/>
    <x v="2"/>
    <x v="0"/>
    <x v="2"/>
    <x v="22"/>
    <x v="25"/>
    <x v="1"/>
    <x v="20"/>
    <x v="0"/>
  </r>
  <r>
    <x v="243"/>
    <x v="1154"/>
    <x v="3"/>
    <x v="1"/>
    <x v="3"/>
    <x v="12"/>
    <x v="12"/>
    <x v="94"/>
    <x v="12"/>
    <x v="0"/>
  </r>
  <r>
    <x v="330"/>
    <x v="1155"/>
    <x v="0"/>
    <x v="0"/>
    <x v="0"/>
    <x v="0"/>
    <x v="0"/>
    <x v="11"/>
    <x v="0"/>
    <x v="0"/>
  </r>
  <r>
    <x v="80"/>
    <x v="1156"/>
    <x v="2"/>
    <x v="0"/>
    <x v="2"/>
    <x v="13"/>
    <x v="13"/>
    <x v="2"/>
    <x v="13"/>
    <x v="0"/>
  </r>
  <r>
    <x v="13"/>
    <x v="1157"/>
    <x v="2"/>
    <x v="0"/>
    <x v="2"/>
    <x v="19"/>
    <x v="27"/>
    <x v="50"/>
    <x v="24"/>
    <x v="0"/>
  </r>
  <r>
    <x v="102"/>
    <x v="1158"/>
    <x v="2"/>
    <x v="0"/>
    <x v="2"/>
    <x v="3"/>
    <x v="3"/>
    <x v="86"/>
    <x v="3"/>
    <x v="0"/>
  </r>
  <r>
    <x v="86"/>
    <x v="1159"/>
    <x v="4"/>
    <x v="0"/>
    <x v="3"/>
    <x v="39"/>
    <x v="47"/>
    <x v="17"/>
    <x v="41"/>
    <x v="0"/>
  </r>
  <r>
    <x v="351"/>
    <x v="1160"/>
    <x v="1"/>
    <x v="0"/>
    <x v="1"/>
    <x v="54"/>
    <x v="65"/>
    <x v="93"/>
    <x v="56"/>
    <x v="0"/>
  </r>
  <r>
    <x v="277"/>
    <x v="1161"/>
    <x v="1"/>
    <x v="0"/>
    <x v="1"/>
    <x v="60"/>
    <x v="74"/>
    <x v="13"/>
    <x v="63"/>
    <x v="0"/>
  </r>
  <r>
    <x v="306"/>
    <x v="1162"/>
    <x v="4"/>
    <x v="0"/>
    <x v="3"/>
    <x v="19"/>
    <x v="24"/>
    <x v="72"/>
    <x v="14"/>
    <x v="0"/>
  </r>
  <r>
    <x v="3"/>
    <x v="1163"/>
    <x v="0"/>
    <x v="0"/>
    <x v="0"/>
    <x v="19"/>
    <x v="19"/>
    <x v="25"/>
    <x v="19"/>
    <x v="0"/>
  </r>
  <r>
    <x v="185"/>
    <x v="1164"/>
    <x v="1"/>
    <x v="0"/>
    <x v="1"/>
    <x v="24"/>
    <x v="29"/>
    <x v="81"/>
    <x v="26"/>
    <x v="0"/>
  </r>
  <r>
    <x v="265"/>
    <x v="1165"/>
    <x v="4"/>
    <x v="0"/>
    <x v="3"/>
    <x v="73"/>
    <x v="90"/>
    <x v="43"/>
    <x v="78"/>
    <x v="0"/>
  </r>
  <r>
    <x v="130"/>
    <x v="1166"/>
    <x v="0"/>
    <x v="0"/>
    <x v="0"/>
    <x v="0"/>
    <x v="0"/>
    <x v="66"/>
    <x v="0"/>
    <x v="0"/>
  </r>
  <r>
    <x v="119"/>
    <x v="1167"/>
    <x v="2"/>
    <x v="0"/>
    <x v="2"/>
    <x v="51"/>
    <x v="61"/>
    <x v="95"/>
    <x v="53"/>
    <x v="0"/>
  </r>
  <r>
    <x v="37"/>
    <x v="1168"/>
    <x v="1"/>
    <x v="0"/>
    <x v="1"/>
    <x v="48"/>
    <x v="58"/>
    <x v="20"/>
    <x v="50"/>
    <x v="0"/>
  </r>
  <r>
    <x v="237"/>
    <x v="1169"/>
    <x v="2"/>
    <x v="0"/>
    <x v="2"/>
    <x v="9"/>
    <x v="9"/>
    <x v="35"/>
    <x v="9"/>
    <x v="0"/>
  </r>
  <r>
    <x v="120"/>
    <x v="1170"/>
    <x v="2"/>
    <x v="0"/>
    <x v="2"/>
    <x v="63"/>
    <x v="78"/>
    <x v="44"/>
    <x v="67"/>
    <x v="0"/>
  </r>
  <r>
    <x v="32"/>
    <x v="1171"/>
    <x v="4"/>
    <x v="0"/>
    <x v="3"/>
    <x v="47"/>
    <x v="94"/>
    <x v="56"/>
    <x v="81"/>
    <x v="0"/>
  </r>
  <r>
    <x v="271"/>
    <x v="1172"/>
    <x v="3"/>
    <x v="1"/>
    <x v="3"/>
    <x v="15"/>
    <x v="15"/>
    <x v="13"/>
    <x v="15"/>
    <x v="0"/>
  </r>
  <r>
    <x v="159"/>
    <x v="1173"/>
    <x v="4"/>
    <x v="0"/>
    <x v="3"/>
    <x v="17"/>
    <x v="17"/>
    <x v="1"/>
    <x v="17"/>
    <x v="0"/>
  </r>
  <r>
    <x v="325"/>
    <x v="1174"/>
    <x v="3"/>
    <x v="1"/>
    <x v="3"/>
    <x v="20"/>
    <x v="22"/>
    <x v="2"/>
    <x v="21"/>
    <x v="0"/>
  </r>
  <r>
    <x v="86"/>
    <x v="1175"/>
    <x v="0"/>
    <x v="0"/>
    <x v="0"/>
    <x v="19"/>
    <x v="19"/>
    <x v="39"/>
    <x v="19"/>
    <x v="0"/>
  </r>
  <r>
    <x v="276"/>
    <x v="1176"/>
    <x v="1"/>
    <x v="0"/>
    <x v="1"/>
    <x v="33"/>
    <x v="41"/>
    <x v="37"/>
    <x v="36"/>
    <x v="0"/>
  </r>
  <r>
    <x v="108"/>
    <x v="1177"/>
    <x v="4"/>
    <x v="0"/>
    <x v="3"/>
    <x v="30"/>
    <x v="38"/>
    <x v="7"/>
    <x v="33"/>
    <x v="0"/>
  </r>
  <r>
    <x v="124"/>
    <x v="1178"/>
    <x v="3"/>
    <x v="1"/>
    <x v="3"/>
    <x v="15"/>
    <x v="15"/>
    <x v="46"/>
    <x v="15"/>
    <x v="0"/>
  </r>
  <r>
    <x v="230"/>
    <x v="1179"/>
    <x v="2"/>
    <x v="0"/>
    <x v="2"/>
    <x v="77"/>
    <x v="96"/>
    <x v="53"/>
    <x v="83"/>
    <x v="0"/>
  </r>
  <r>
    <x v="259"/>
    <x v="1180"/>
    <x v="4"/>
    <x v="0"/>
    <x v="3"/>
    <x v="19"/>
    <x v="24"/>
    <x v="35"/>
    <x v="14"/>
    <x v="0"/>
  </r>
  <r>
    <x v="140"/>
    <x v="1181"/>
    <x v="0"/>
    <x v="0"/>
    <x v="0"/>
    <x v="5"/>
    <x v="5"/>
    <x v="0"/>
    <x v="5"/>
    <x v="0"/>
  </r>
  <r>
    <x v="91"/>
    <x v="1182"/>
    <x v="1"/>
    <x v="0"/>
    <x v="1"/>
    <x v="25"/>
    <x v="30"/>
    <x v="31"/>
    <x v="27"/>
    <x v="0"/>
  </r>
  <r>
    <x v="159"/>
    <x v="1183"/>
    <x v="0"/>
    <x v="0"/>
    <x v="0"/>
    <x v="19"/>
    <x v="19"/>
    <x v="34"/>
    <x v="19"/>
    <x v="0"/>
  </r>
  <r>
    <x v="267"/>
    <x v="1184"/>
    <x v="2"/>
    <x v="0"/>
    <x v="2"/>
    <x v="67"/>
    <x v="84"/>
    <x v="23"/>
    <x v="72"/>
    <x v="0"/>
  </r>
  <r>
    <x v="256"/>
    <x v="1185"/>
    <x v="1"/>
    <x v="0"/>
    <x v="1"/>
    <x v="4"/>
    <x v="4"/>
    <x v="34"/>
    <x v="4"/>
    <x v="0"/>
  </r>
  <r>
    <x v="134"/>
    <x v="1186"/>
    <x v="2"/>
    <x v="0"/>
    <x v="2"/>
    <x v="12"/>
    <x v="17"/>
    <x v="48"/>
    <x v="77"/>
    <x v="0"/>
  </r>
  <r>
    <x v="15"/>
    <x v="1187"/>
    <x v="0"/>
    <x v="0"/>
    <x v="0"/>
    <x v="19"/>
    <x v="19"/>
    <x v="66"/>
    <x v="19"/>
    <x v="0"/>
  </r>
  <r>
    <x v="301"/>
    <x v="1188"/>
    <x v="3"/>
    <x v="1"/>
    <x v="3"/>
    <x v="49"/>
    <x v="59"/>
    <x v="64"/>
    <x v="51"/>
    <x v="0"/>
  </r>
  <r>
    <x v="324"/>
    <x v="1189"/>
    <x v="1"/>
    <x v="0"/>
    <x v="1"/>
    <x v="40"/>
    <x v="48"/>
    <x v="34"/>
    <x v="42"/>
    <x v="0"/>
  </r>
  <r>
    <x v="160"/>
    <x v="1190"/>
    <x v="3"/>
    <x v="1"/>
    <x v="3"/>
    <x v="29"/>
    <x v="37"/>
    <x v="69"/>
    <x v="32"/>
    <x v="0"/>
  </r>
  <r>
    <x v="16"/>
    <x v="1191"/>
    <x v="1"/>
    <x v="0"/>
    <x v="1"/>
    <x v="54"/>
    <x v="65"/>
    <x v="53"/>
    <x v="56"/>
    <x v="0"/>
  </r>
  <r>
    <x v="189"/>
    <x v="1192"/>
    <x v="3"/>
    <x v="1"/>
    <x v="3"/>
    <x v="9"/>
    <x v="70"/>
    <x v="43"/>
    <x v="60"/>
    <x v="0"/>
  </r>
  <r>
    <x v="131"/>
    <x v="1193"/>
    <x v="1"/>
    <x v="0"/>
    <x v="1"/>
    <x v="24"/>
    <x v="29"/>
    <x v="83"/>
    <x v="26"/>
    <x v="0"/>
  </r>
  <r>
    <x v="109"/>
    <x v="1194"/>
    <x v="0"/>
    <x v="0"/>
    <x v="0"/>
    <x v="8"/>
    <x v="8"/>
    <x v="77"/>
    <x v="8"/>
    <x v="0"/>
  </r>
  <r>
    <x v="81"/>
    <x v="1195"/>
    <x v="2"/>
    <x v="0"/>
    <x v="2"/>
    <x v="37"/>
    <x v="45"/>
    <x v="1"/>
    <x v="39"/>
    <x v="0"/>
  </r>
  <r>
    <x v="116"/>
    <x v="1196"/>
    <x v="2"/>
    <x v="0"/>
    <x v="2"/>
    <x v="61"/>
    <x v="75"/>
    <x v="13"/>
    <x v="64"/>
    <x v="0"/>
  </r>
  <r>
    <x v="15"/>
    <x v="1197"/>
    <x v="0"/>
    <x v="0"/>
    <x v="0"/>
    <x v="5"/>
    <x v="5"/>
    <x v="92"/>
    <x v="5"/>
    <x v="0"/>
  </r>
  <r>
    <x v="197"/>
    <x v="1198"/>
    <x v="1"/>
    <x v="0"/>
    <x v="1"/>
    <x v="24"/>
    <x v="29"/>
    <x v="48"/>
    <x v="26"/>
    <x v="0"/>
  </r>
  <r>
    <x v="96"/>
    <x v="1199"/>
    <x v="1"/>
    <x v="0"/>
    <x v="1"/>
    <x v="53"/>
    <x v="64"/>
    <x v="71"/>
    <x v="55"/>
    <x v="0"/>
  </r>
  <r>
    <x v="191"/>
    <x v="1200"/>
    <x v="4"/>
    <x v="0"/>
    <x v="3"/>
    <x v="59"/>
    <x v="72"/>
    <x v="60"/>
    <x v="62"/>
    <x v="0"/>
  </r>
  <r>
    <x v="164"/>
    <x v="1201"/>
    <x v="3"/>
    <x v="1"/>
    <x v="3"/>
    <x v="19"/>
    <x v="24"/>
    <x v="32"/>
    <x v="14"/>
    <x v="0"/>
  </r>
  <r>
    <x v="114"/>
    <x v="1202"/>
    <x v="0"/>
    <x v="0"/>
    <x v="0"/>
    <x v="5"/>
    <x v="5"/>
    <x v="92"/>
    <x v="5"/>
    <x v="0"/>
  </r>
  <r>
    <x v="220"/>
    <x v="1203"/>
    <x v="3"/>
    <x v="1"/>
    <x v="3"/>
    <x v="56"/>
    <x v="67"/>
    <x v="17"/>
    <x v="58"/>
    <x v="0"/>
  </r>
  <r>
    <x v="59"/>
    <x v="1204"/>
    <x v="2"/>
    <x v="0"/>
    <x v="2"/>
    <x v="41"/>
    <x v="50"/>
    <x v="32"/>
    <x v="43"/>
    <x v="0"/>
  </r>
  <r>
    <x v="4"/>
    <x v="1205"/>
    <x v="2"/>
    <x v="0"/>
    <x v="2"/>
    <x v="36"/>
    <x v="44"/>
    <x v="45"/>
    <x v="30"/>
    <x v="0"/>
  </r>
  <r>
    <x v="288"/>
    <x v="1206"/>
    <x v="3"/>
    <x v="1"/>
    <x v="3"/>
    <x v="56"/>
    <x v="67"/>
    <x v="3"/>
    <x v="58"/>
    <x v="0"/>
  </r>
  <r>
    <x v="355"/>
    <x v="1207"/>
    <x v="1"/>
    <x v="0"/>
    <x v="1"/>
    <x v="38"/>
    <x v="46"/>
    <x v="25"/>
    <x v="40"/>
    <x v="0"/>
  </r>
  <r>
    <x v="104"/>
    <x v="1208"/>
    <x v="0"/>
    <x v="0"/>
    <x v="0"/>
    <x v="8"/>
    <x v="8"/>
    <x v="88"/>
    <x v="8"/>
    <x v="0"/>
  </r>
  <r>
    <x v="264"/>
    <x v="1209"/>
    <x v="0"/>
    <x v="0"/>
    <x v="0"/>
    <x v="0"/>
    <x v="0"/>
    <x v="82"/>
    <x v="0"/>
    <x v="0"/>
  </r>
  <r>
    <x v="186"/>
    <x v="1210"/>
    <x v="3"/>
    <x v="1"/>
    <x v="3"/>
    <x v="29"/>
    <x v="37"/>
    <x v="4"/>
    <x v="32"/>
    <x v="0"/>
  </r>
  <r>
    <x v="345"/>
    <x v="1211"/>
    <x v="2"/>
    <x v="0"/>
    <x v="2"/>
    <x v="6"/>
    <x v="6"/>
    <x v="71"/>
    <x v="6"/>
    <x v="0"/>
  </r>
  <r>
    <x v="187"/>
    <x v="1212"/>
    <x v="4"/>
    <x v="0"/>
    <x v="3"/>
    <x v="44"/>
    <x v="54"/>
    <x v="84"/>
    <x v="47"/>
    <x v="0"/>
  </r>
  <r>
    <x v="302"/>
    <x v="1213"/>
    <x v="1"/>
    <x v="0"/>
    <x v="1"/>
    <x v="16"/>
    <x v="76"/>
    <x v="58"/>
    <x v="65"/>
    <x v="0"/>
  </r>
  <r>
    <x v="282"/>
    <x v="1214"/>
    <x v="3"/>
    <x v="1"/>
    <x v="3"/>
    <x v="18"/>
    <x v="18"/>
    <x v="19"/>
    <x v="18"/>
    <x v="0"/>
  </r>
  <r>
    <x v="254"/>
    <x v="1215"/>
    <x v="1"/>
    <x v="0"/>
    <x v="1"/>
    <x v="53"/>
    <x v="64"/>
    <x v="24"/>
    <x v="55"/>
    <x v="0"/>
  </r>
  <r>
    <x v="356"/>
    <x v="1216"/>
    <x v="2"/>
    <x v="0"/>
    <x v="2"/>
    <x v="61"/>
    <x v="75"/>
    <x v="77"/>
    <x v="64"/>
    <x v="0"/>
  </r>
  <r>
    <x v="172"/>
    <x v="1217"/>
    <x v="1"/>
    <x v="0"/>
    <x v="1"/>
    <x v="19"/>
    <x v="73"/>
    <x v="81"/>
    <x v="46"/>
    <x v="0"/>
  </r>
  <r>
    <x v="45"/>
    <x v="1218"/>
    <x v="2"/>
    <x v="0"/>
    <x v="2"/>
    <x v="2"/>
    <x v="2"/>
    <x v="70"/>
    <x v="2"/>
    <x v="0"/>
  </r>
  <r>
    <x v="163"/>
    <x v="1219"/>
    <x v="3"/>
    <x v="1"/>
    <x v="3"/>
    <x v="20"/>
    <x v="22"/>
    <x v="58"/>
    <x v="21"/>
    <x v="0"/>
  </r>
  <r>
    <x v="308"/>
    <x v="1220"/>
    <x v="3"/>
    <x v="1"/>
    <x v="3"/>
    <x v="9"/>
    <x v="70"/>
    <x v="13"/>
    <x v="60"/>
    <x v="0"/>
  </r>
  <r>
    <x v="271"/>
    <x v="1221"/>
    <x v="2"/>
    <x v="0"/>
    <x v="2"/>
    <x v="42"/>
    <x v="51"/>
    <x v="20"/>
    <x v="44"/>
    <x v="0"/>
  </r>
  <r>
    <x v="357"/>
    <x v="1222"/>
    <x v="4"/>
    <x v="0"/>
    <x v="3"/>
    <x v="5"/>
    <x v="31"/>
    <x v="40"/>
    <x v="28"/>
    <x v="0"/>
  </r>
  <r>
    <x v="345"/>
    <x v="1223"/>
    <x v="0"/>
    <x v="0"/>
    <x v="0"/>
    <x v="0"/>
    <x v="0"/>
    <x v="69"/>
    <x v="0"/>
    <x v="0"/>
  </r>
  <r>
    <x v="283"/>
    <x v="1224"/>
    <x v="1"/>
    <x v="0"/>
    <x v="1"/>
    <x v="53"/>
    <x v="64"/>
    <x v="49"/>
    <x v="55"/>
    <x v="0"/>
  </r>
  <r>
    <x v="129"/>
    <x v="1225"/>
    <x v="4"/>
    <x v="0"/>
    <x v="3"/>
    <x v="73"/>
    <x v="90"/>
    <x v="23"/>
    <x v="78"/>
    <x v="0"/>
  </r>
  <r>
    <x v="279"/>
    <x v="1226"/>
    <x v="1"/>
    <x v="0"/>
    <x v="1"/>
    <x v="72"/>
    <x v="89"/>
    <x v="71"/>
    <x v="19"/>
    <x v="0"/>
  </r>
  <r>
    <x v="237"/>
    <x v="1227"/>
    <x v="0"/>
    <x v="0"/>
    <x v="0"/>
    <x v="5"/>
    <x v="5"/>
    <x v="33"/>
    <x v="5"/>
    <x v="0"/>
  </r>
  <r>
    <x v="191"/>
    <x v="1228"/>
    <x v="1"/>
    <x v="0"/>
    <x v="1"/>
    <x v="38"/>
    <x v="46"/>
    <x v="40"/>
    <x v="40"/>
    <x v="0"/>
  </r>
  <r>
    <x v="221"/>
    <x v="1229"/>
    <x v="1"/>
    <x v="0"/>
    <x v="1"/>
    <x v="40"/>
    <x v="48"/>
    <x v="58"/>
    <x v="42"/>
    <x v="0"/>
  </r>
  <r>
    <x v="294"/>
    <x v="1230"/>
    <x v="2"/>
    <x v="0"/>
    <x v="2"/>
    <x v="66"/>
    <x v="82"/>
    <x v="13"/>
    <x v="70"/>
    <x v="0"/>
  </r>
  <r>
    <x v="15"/>
    <x v="1231"/>
    <x v="4"/>
    <x v="0"/>
    <x v="3"/>
    <x v="31"/>
    <x v="39"/>
    <x v="13"/>
    <x v="34"/>
    <x v="0"/>
  </r>
  <r>
    <x v="43"/>
    <x v="1232"/>
    <x v="0"/>
    <x v="0"/>
    <x v="0"/>
    <x v="7"/>
    <x v="7"/>
    <x v="31"/>
    <x v="7"/>
    <x v="0"/>
  </r>
  <r>
    <x v="310"/>
    <x v="1233"/>
    <x v="1"/>
    <x v="0"/>
    <x v="1"/>
    <x v="0"/>
    <x v="81"/>
    <x v="83"/>
    <x v="24"/>
    <x v="0"/>
  </r>
  <r>
    <x v="253"/>
    <x v="1234"/>
    <x v="2"/>
    <x v="0"/>
    <x v="2"/>
    <x v="23"/>
    <x v="28"/>
    <x v="20"/>
    <x v="25"/>
    <x v="0"/>
  </r>
  <r>
    <x v="253"/>
    <x v="1235"/>
    <x v="1"/>
    <x v="0"/>
    <x v="1"/>
    <x v="24"/>
    <x v="29"/>
    <x v="35"/>
    <x v="26"/>
    <x v="0"/>
  </r>
  <r>
    <x v="132"/>
    <x v="1236"/>
    <x v="3"/>
    <x v="1"/>
    <x v="3"/>
    <x v="6"/>
    <x v="21"/>
    <x v="33"/>
    <x v="20"/>
    <x v="0"/>
  </r>
  <r>
    <x v="69"/>
    <x v="1237"/>
    <x v="3"/>
    <x v="1"/>
    <x v="3"/>
    <x v="2"/>
    <x v="34"/>
    <x v="13"/>
    <x v="30"/>
    <x v="0"/>
  </r>
  <r>
    <x v="97"/>
    <x v="1238"/>
    <x v="2"/>
    <x v="0"/>
    <x v="2"/>
    <x v="7"/>
    <x v="49"/>
    <x v="16"/>
    <x v="8"/>
    <x v="0"/>
  </r>
  <r>
    <x v="280"/>
    <x v="1239"/>
    <x v="4"/>
    <x v="0"/>
    <x v="3"/>
    <x v="17"/>
    <x v="17"/>
    <x v="37"/>
    <x v="17"/>
    <x v="0"/>
  </r>
  <r>
    <x v="121"/>
    <x v="1240"/>
    <x v="3"/>
    <x v="1"/>
    <x v="3"/>
    <x v="58"/>
    <x v="71"/>
    <x v="89"/>
    <x v="61"/>
    <x v="0"/>
  </r>
  <r>
    <x v="197"/>
    <x v="1241"/>
    <x v="1"/>
    <x v="0"/>
    <x v="1"/>
    <x v="60"/>
    <x v="74"/>
    <x v="49"/>
    <x v="63"/>
    <x v="0"/>
  </r>
  <r>
    <x v="355"/>
    <x v="1242"/>
    <x v="3"/>
    <x v="1"/>
    <x v="3"/>
    <x v="1"/>
    <x v="53"/>
    <x v="52"/>
    <x v="46"/>
    <x v="0"/>
  </r>
  <r>
    <x v="54"/>
    <x v="1243"/>
    <x v="4"/>
    <x v="0"/>
    <x v="3"/>
    <x v="47"/>
    <x v="94"/>
    <x v="16"/>
    <x v="81"/>
    <x v="0"/>
  </r>
  <r>
    <x v="358"/>
    <x v="1244"/>
    <x v="0"/>
    <x v="0"/>
    <x v="0"/>
    <x v="8"/>
    <x v="8"/>
    <x v="94"/>
    <x v="8"/>
    <x v="0"/>
  </r>
  <r>
    <x v="91"/>
    <x v="1245"/>
    <x v="1"/>
    <x v="0"/>
    <x v="1"/>
    <x v="16"/>
    <x v="76"/>
    <x v="59"/>
    <x v="65"/>
    <x v="0"/>
  </r>
  <r>
    <x v="162"/>
    <x v="1246"/>
    <x v="0"/>
    <x v="0"/>
    <x v="0"/>
    <x v="8"/>
    <x v="8"/>
    <x v="66"/>
    <x v="8"/>
    <x v="0"/>
  </r>
  <r>
    <x v="5"/>
    <x v="1247"/>
    <x v="0"/>
    <x v="0"/>
    <x v="0"/>
    <x v="0"/>
    <x v="0"/>
    <x v="92"/>
    <x v="0"/>
    <x v="0"/>
  </r>
  <r>
    <x v="96"/>
    <x v="1248"/>
    <x v="1"/>
    <x v="0"/>
    <x v="1"/>
    <x v="52"/>
    <x v="62"/>
    <x v="29"/>
    <x v="54"/>
    <x v="0"/>
  </r>
  <r>
    <x v="9"/>
    <x v="1249"/>
    <x v="4"/>
    <x v="0"/>
    <x v="3"/>
    <x v="58"/>
    <x v="71"/>
    <x v="56"/>
    <x v="61"/>
    <x v="0"/>
  </r>
  <r>
    <x v="65"/>
    <x v="1250"/>
    <x v="4"/>
    <x v="0"/>
    <x v="3"/>
    <x v="39"/>
    <x v="47"/>
    <x v="37"/>
    <x v="41"/>
    <x v="0"/>
  </r>
  <r>
    <x v="229"/>
    <x v="1251"/>
    <x v="4"/>
    <x v="0"/>
    <x v="3"/>
    <x v="19"/>
    <x v="24"/>
    <x v="79"/>
    <x v="14"/>
    <x v="0"/>
  </r>
  <r>
    <x v="294"/>
    <x v="1252"/>
    <x v="4"/>
    <x v="0"/>
    <x v="3"/>
    <x v="21"/>
    <x v="23"/>
    <x v="89"/>
    <x v="22"/>
    <x v="0"/>
  </r>
  <r>
    <x v="186"/>
    <x v="1253"/>
    <x v="0"/>
    <x v="0"/>
    <x v="0"/>
    <x v="8"/>
    <x v="8"/>
    <x v="38"/>
    <x v="8"/>
    <x v="0"/>
  </r>
  <r>
    <x v="81"/>
    <x v="1254"/>
    <x v="1"/>
    <x v="0"/>
    <x v="1"/>
    <x v="16"/>
    <x v="76"/>
    <x v="70"/>
    <x v="65"/>
    <x v="0"/>
  </r>
  <r>
    <x v="131"/>
    <x v="1255"/>
    <x v="3"/>
    <x v="1"/>
    <x v="3"/>
    <x v="15"/>
    <x v="15"/>
    <x v="52"/>
    <x v="15"/>
    <x v="0"/>
  </r>
  <r>
    <x v="229"/>
    <x v="1256"/>
    <x v="0"/>
    <x v="0"/>
    <x v="0"/>
    <x v="0"/>
    <x v="0"/>
    <x v="67"/>
    <x v="0"/>
    <x v="0"/>
  </r>
  <r>
    <x v="218"/>
    <x v="1257"/>
    <x v="3"/>
    <x v="1"/>
    <x v="3"/>
    <x v="26"/>
    <x v="32"/>
    <x v="79"/>
    <x v="29"/>
    <x v="0"/>
  </r>
  <r>
    <x v="232"/>
    <x v="1258"/>
    <x v="3"/>
    <x v="1"/>
    <x v="3"/>
    <x v="43"/>
    <x v="52"/>
    <x v="86"/>
    <x v="45"/>
    <x v="0"/>
  </r>
  <r>
    <x v="255"/>
    <x v="1259"/>
    <x v="4"/>
    <x v="0"/>
    <x v="3"/>
    <x v="62"/>
    <x v="77"/>
    <x v="79"/>
    <x v="66"/>
    <x v="0"/>
  </r>
  <r>
    <x v="168"/>
    <x v="1260"/>
    <x v="1"/>
    <x v="0"/>
    <x v="1"/>
    <x v="40"/>
    <x v="48"/>
    <x v="16"/>
    <x v="42"/>
    <x v="0"/>
  </r>
  <r>
    <x v="103"/>
    <x v="1261"/>
    <x v="1"/>
    <x v="0"/>
    <x v="1"/>
    <x v="25"/>
    <x v="30"/>
    <x v="32"/>
    <x v="27"/>
    <x v="0"/>
  </r>
  <r>
    <x v="325"/>
    <x v="1262"/>
    <x v="1"/>
    <x v="0"/>
    <x v="1"/>
    <x v="52"/>
    <x v="62"/>
    <x v="55"/>
    <x v="54"/>
    <x v="0"/>
  </r>
  <r>
    <x v="61"/>
    <x v="1263"/>
    <x v="0"/>
    <x v="0"/>
    <x v="0"/>
    <x v="5"/>
    <x v="5"/>
    <x v="25"/>
    <x v="5"/>
    <x v="0"/>
  </r>
  <r>
    <x v="183"/>
    <x v="1264"/>
    <x v="0"/>
    <x v="0"/>
    <x v="0"/>
    <x v="19"/>
    <x v="19"/>
    <x v="34"/>
    <x v="19"/>
    <x v="0"/>
  </r>
  <r>
    <x v="206"/>
    <x v="1265"/>
    <x v="4"/>
    <x v="0"/>
    <x v="3"/>
    <x v="56"/>
    <x v="67"/>
    <x v="59"/>
    <x v="58"/>
    <x v="0"/>
  </r>
  <r>
    <x v="220"/>
    <x v="1266"/>
    <x v="1"/>
    <x v="0"/>
    <x v="1"/>
    <x v="18"/>
    <x v="63"/>
    <x v="57"/>
    <x v="6"/>
    <x v="0"/>
  </r>
  <r>
    <x v="223"/>
    <x v="1267"/>
    <x v="0"/>
    <x v="0"/>
    <x v="0"/>
    <x v="0"/>
    <x v="0"/>
    <x v="78"/>
    <x v="0"/>
    <x v="0"/>
  </r>
  <r>
    <x v="294"/>
    <x v="1268"/>
    <x v="0"/>
    <x v="0"/>
    <x v="0"/>
    <x v="7"/>
    <x v="7"/>
    <x v="38"/>
    <x v="7"/>
    <x v="0"/>
  </r>
  <r>
    <x v="304"/>
    <x v="1269"/>
    <x v="4"/>
    <x v="0"/>
    <x v="3"/>
    <x v="74"/>
    <x v="91"/>
    <x v="68"/>
    <x v="79"/>
    <x v="0"/>
  </r>
  <r>
    <x v="160"/>
    <x v="1270"/>
    <x v="3"/>
    <x v="1"/>
    <x v="3"/>
    <x v="8"/>
    <x v="26"/>
    <x v="30"/>
    <x v="23"/>
    <x v="0"/>
  </r>
  <r>
    <x v="218"/>
    <x v="1271"/>
    <x v="2"/>
    <x v="0"/>
    <x v="2"/>
    <x v="9"/>
    <x v="9"/>
    <x v="43"/>
    <x v="9"/>
    <x v="0"/>
  </r>
  <r>
    <x v="128"/>
    <x v="1272"/>
    <x v="1"/>
    <x v="0"/>
    <x v="1"/>
    <x v="16"/>
    <x v="76"/>
    <x v="51"/>
    <x v="65"/>
    <x v="0"/>
  </r>
  <r>
    <x v="260"/>
    <x v="1273"/>
    <x v="4"/>
    <x v="0"/>
    <x v="3"/>
    <x v="32"/>
    <x v="40"/>
    <x v="7"/>
    <x v="35"/>
    <x v="0"/>
  </r>
  <r>
    <x v="350"/>
    <x v="1274"/>
    <x v="4"/>
    <x v="0"/>
    <x v="3"/>
    <x v="59"/>
    <x v="72"/>
    <x v="37"/>
    <x v="62"/>
    <x v="0"/>
  </r>
  <r>
    <x v="231"/>
    <x v="1275"/>
    <x v="1"/>
    <x v="0"/>
    <x v="1"/>
    <x v="47"/>
    <x v="57"/>
    <x v="42"/>
    <x v="49"/>
    <x v="0"/>
  </r>
  <r>
    <x v="119"/>
    <x v="1276"/>
    <x v="0"/>
    <x v="0"/>
    <x v="0"/>
    <x v="8"/>
    <x v="8"/>
    <x v="82"/>
    <x v="8"/>
    <x v="0"/>
  </r>
  <r>
    <x v="319"/>
    <x v="1277"/>
    <x v="0"/>
    <x v="0"/>
    <x v="0"/>
    <x v="5"/>
    <x v="5"/>
    <x v="74"/>
    <x v="5"/>
    <x v="0"/>
  </r>
  <r>
    <x v="137"/>
    <x v="1278"/>
    <x v="1"/>
    <x v="0"/>
    <x v="1"/>
    <x v="75"/>
    <x v="93"/>
    <x v="22"/>
    <x v="80"/>
    <x v="0"/>
  </r>
  <r>
    <x v="218"/>
    <x v="1279"/>
    <x v="2"/>
    <x v="0"/>
    <x v="2"/>
    <x v="6"/>
    <x v="6"/>
    <x v="85"/>
    <x v="6"/>
    <x v="0"/>
  </r>
  <r>
    <x v="173"/>
    <x v="1280"/>
    <x v="2"/>
    <x v="0"/>
    <x v="2"/>
    <x v="63"/>
    <x v="78"/>
    <x v="36"/>
    <x v="67"/>
    <x v="0"/>
  </r>
  <r>
    <x v="110"/>
    <x v="1281"/>
    <x v="1"/>
    <x v="0"/>
    <x v="1"/>
    <x v="75"/>
    <x v="93"/>
    <x v="48"/>
    <x v="80"/>
    <x v="0"/>
  </r>
  <r>
    <x v="343"/>
    <x v="1282"/>
    <x v="1"/>
    <x v="0"/>
    <x v="1"/>
    <x v="75"/>
    <x v="93"/>
    <x v="57"/>
    <x v="80"/>
    <x v="0"/>
  </r>
  <r>
    <x v="259"/>
    <x v="1283"/>
    <x v="4"/>
    <x v="0"/>
    <x v="3"/>
    <x v="39"/>
    <x v="47"/>
    <x v="37"/>
    <x v="41"/>
    <x v="0"/>
  </r>
  <r>
    <x v="111"/>
    <x v="1284"/>
    <x v="2"/>
    <x v="0"/>
    <x v="2"/>
    <x v="9"/>
    <x v="9"/>
    <x v="46"/>
    <x v="9"/>
    <x v="0"/>
  </r>
  <r>
    <x v="177"/>
    <x v="1285"/>
    <x v="3"/>
    <x v="1"/>
    <x v="3"/>
    <x v="2"/>
    <x v="34"/>
    <x v="55"/>
    <x v="30"/>
    <x v="0"/>
  </r>
  <r>
    <x v="354"/>
    <x v="1286"/>
    <x v="1"/>
    <x v="0"/>
    <x v="1"/>
    <x v="48"/>
    <x v="58"/>
    <x v="31"/>
    <x v="50"/>
    <x v="0"/>
  </r>
  <r>
    <x v="166"/>
    <x v="1287"/>
    <x v="2"/>
    <x v="0"/>
    <x v="2"/>
    <x v="19"/>
    <x v="27"/>
    <x v="43"/>
    <x v="24"/>
    <x v="0"/>
  </r>
  <r>
    <x v="155"/>
    <x v="1288"/>
    <x v="4"/>
    <x v="0"/>
    <x v="3"/>
    <x v="65"/>
    <x v="80"/>
    <x v="23"/>
    <x v="69"/>
    <x v="0"/>
  </r>
  <r>
    <x v="300"/>
    <x v="1289"/>
    <x v="4"/>
    <x v="0"/>
    <x v="3"/>
    <x v="7"/>
    <x v="20"/>
    <x v="4"/>
    <x v="10"/>
    <x v="0"/>
  </r>
  <r>
    <x v="194"/>
    <x v="1290"/>
    <x v="4"/>
    <x v="0"/>
    <x v="3"/>
    <x v="32"/>
    <x v="40"/>
    <x v="40"/>
    <x v="35"/>
    <x v="0"/>
  </r>
  <r>
    <x v="260"/>
    <x v="1291"/>
    <x v="0"/>
    <x v="0"/>
    <x v="0"/>
    <x v="5"/>
    <x v="5"/>
    <x v="88"/>
    <x v="5"/>
    <x v="0"/>
  </r>
  <r>
    <x v="269"/>
    <x v="1292"/>
    <x v="1"/>
    <x v="0"/>
    <x v="1"/>
    <x v="70"/>
    <x v="87"/>
    <x v="22"/>
    <x v="75"/>
    <x v="0"/>
  </r>
  <r>
    <x v="223"/>
    <x v="1293"/>
    <x v="0"/>
    <x v="0"/>
    <x v="0"/>
    <x v="7"/>
    <x v="7"/>
    <x v="39"/>
    <x v="7"/>
    <x v="0"/>
  </r>
  <r>
    <x v="353"/>
    <x v="1294"/>
    <x v="3"/>
    <x v="1"/>
    <x v="3"/>
    <x v="15"/>
    <x v="15"/>
    <x v="16"/>
    <x v="15"/>
    <x v="0"/>
  </r>
  <r>
    <x v="334"/>
    <x v="1295"/>
    <x v="1"/>
    <x v="0"/>
    <x v="1"/>
    <x v="27"/>
    <x v="33"/>
    <x v="23"/>
    <x v="5"/>
    <x v="0"/>
  </r>
  <r>
    <x v="125"/>
    <x v="1296"/>
    <x v="0"/>
    <x v="0"/>
    <x v="0"/>
    <x v="5"/>
    <x v="5"/>
    <x v="73"/>
    <x v="5"/>
    <x v="0"/>
  </r>
  <r>
    <x v="331"/>
    <x v="1297"/>
    <x v="0"/>
    <x v="0"/>
    <x v="0"/>
    <x v="7"/>
    <x v="7"/>
    <x v="33"/>
    <x v="7"/>
    <x v="0"/>
  </r>
  <r>
    <x v="178"/>
    <x v="1298"/>
    <x v="3"/>
    <x v="1"/>
    <x v="3"/>
    <x v="8"/>
    <x v="26"/>
    <x v="72"/>
    <x v="23"/>
    <x v="0"/>
  </r>
  <r>
    <x v="74"/>
    <x v="1299"/>
    <x v="4"/>
    <x v="0"/>
    <x v="3"/>
    <x v="65"/>
    <x v="80"/>
    <x v="37"/>
    <x v="69"/>
    <x v="0"/>
  </r>
  <r>
    <x v="201"/>
    <x v="1300"/>
    <x v="1"/>
    <x v="0"/>
    <x v="1"/>
    <x v="27"/>
    <x v="33"/>
    <x v="79"/>
    <x v="5"/>
    <x v="0"/>
  </r>
  <r>
    <x v="172"/>
    <x v="1301"/>
    <x v="1"/>
    <x v="0"/>
    <x v="1"/>
    <x v="27"/>
    <x v="33"/>
    <x v="12"/>
    <x v="5"/>
    <x v="0"/>
  </r>
  <r>
    <x v="104"/>
    <x v="1302"/>
    <x v="0"/>
    <x v="0"/>
    <x v="0"/>
    <x v="19"/>
    <x v="19"/>
    <x v="76"/>
    <x v="19"/>
    <x v="0"/>
  </r>
  <r>
    <x v="200"/>
    <x v="1303"/>
    <x v="3"/>
    <x v="1"/>
    <x v="3"/>
    <x v="49"/>
    <x v="59"/>
    <x v="27"/>
    <x v="51"/>
    <x v="0"/>
  </r>
  <r>
    <x v="77"/>
    <x v="1304"/>
    <x v="3"/>
    <x v="1"/>
    <x v="3"/>
    <x v="46"/>
    <x v="68"/>
    <x v="53"/>
    <x v="43"/>
    <x v="0"/>
  </r>
  <r>
    <x v="61"/>
    <x v="1305"/>
    <x v="1"/>
    <x v="0"/>
    <x v="1"/>
    <x v="72"/>
    <x v="89"/>
    <x v="29"/>
    <x v="19"/>
    <x v="0"/>
  </r>
  <r>
    <x v="191"/>
    <x v="1306"/>
    <x v="4"/>
    <x v="0"/>
    <x v="3"/>
    <x v="21"/>
    <x v="23"/>
    <x v="61"/>
    <x v="22"/>
    <x v="0"/>
  </r>
  <r>
    <x v="229"/>
    <x v="1307"/>
    <x v="0"/>
    <x v="0"/>
    <x v="0"/>
    <x v="5"/>
    <x v="5"/>
    <x v="8"/>
    <x v="5"/>
    <x v="0"/>
  </r>
  <r>
    <x v="253"/>
    <x v="1308"/>
    <x v="0"/>
    <x v="0"/>
    <x v="0"/>
    <x v="5"/>
    <x v="5"/>
    <x v="93"/>
    <x v="5"/>
    <x v="0"/>
  </r>
  <r>
    <x v="227"/>
    <x v="1309"/>
    <x v="3"/>
    <x v="1"/>
    <x v="3"/>
    <x v="23"/>
    <x v="83"/>
    <x v="19"/>
    <x v="71"/>
    <x v="0"/>
  </r>
  <r>
    <x v="136"/>
    <x v="1310"/>
    <x v="2"/>
    <x v="0"/>
    <x v="2"/>
    <x v="41"/>
    <x v="50"/>
    <x v="90"/>
    <x v="43"/>
    <x v="0"/>
  </r>
  <r>
    <x v="130"/>
    <x v="1311"/>
    <x v="2"/>
    <x v="0"/>
    <x v="2"/>
    <x v="7"/>
    <x v="49"/>
    <x v="7"/>
    <x v="8"/>
    <x v="0"/>
  </r>
  <r>
    <x v="146"/>
    <x v="1312"/>
    <x v="3"/>
    <x v="1"/>
    <x v="3"/>
    <x v="20"/>
    <x v="22"/>
    <x v="16"/>
    <x v="21"/>
    <x v="0"/>
  </r>
  <r>
    <x v="317"/>
    <x v="1313"/>
    <x v="1"/>
    <x v="0"/>
    <x v="1"/>
    <x v="72"/>
    <x v="89"/>
    <x v="36"/>
    <x v="19"/>
    <x v="0"/>
  </r>
  <r>
    <x v="199"/>
    <x v="1314"/>
    <x v="0"/>
    <x v="0"/>
    <x v="0"/>
    <x v="0"/>
    <x v="0"/>
    <x v="66"/>
    <x v="0"/>
    <x v="0"/>
  </r>
  <r>
    <x v="214"/>
    <x v="1315"/>
    <x v="3"/>
    <x v="1"/>
    <x v="3"/>
    <x v="23"/>
    <x v="83"/>
    <x v="25"/>
    <x v="71"/>
    <x v="0"/>
  </r>
  <r>
    <x v="55"/>
    <x v="1316"/>
    <x v="3"/>
    <x v="1"/>
    <x v="3"/>
    <x v="11"/>
    <x v="11"/>
    <x v="37"/>
    <x v="11"/>
    <x v="0"/>
  </r>
  <r>
    <x v="304"/>
    <x v="1317"/>
    <x v="3"/>
    <x v="1"/>
    <x v="3"/>
    <x v="23"/>
    <x v="83"/>
    <x v="17"/>
    <x v="71"/>
    <x v="0"/>
  </r>
  <r>
    <x v="345"/>
    <x v="1318"/>
    <x v="4"/>
    <x v="0"/>
    <x v="3"/>
    <x v="73"/>
    <x v="90"/>
    <x v="51"/>
    <x v="78"/>
    <x v="0"/>
  </r>
  <r>
    <x v="244"/>
    <x v="1319"/>
    <x v="1"/>
    <x v="0"/>
    <x v="1"/>
    <x v="72"/>
    <x v="89"/>
    <x v="45"/>
    <x v="19"/>
    <x v="0"/>
  </r>
  <r>
    <x v="20"/>
    <x v="1320"/>
    <x v="4"/>
    <x v="0"/>
    <x v="3"/>
    <x v="17"/>
    <x v="17"/>
    <x v="80"/>
    <x v="17"/>
    <x v="0"/>
  </r>
  <r>
    <x v="298"/>
    <x v="1321"/>
    <x v="3"/>
    <x v="1"/>
    <x v="3"/>
    <x v="20"/>
    <x v="22"/>
    <x v="72"/>
    <x v="21"/>
    <x v="0"/>
  </r>
  <r>
    <x v="0"/>
    <x v="1322"/>
    <x v="0"/>
    <x v="0"/>
    <x v="0"/>
    <x v="5"/>
    <x v="5"/>
    <x v="73"/>
    <x v="5"/>
    <x v="0"/>
  </r>
  <r>
    <x v="102"/>
    <x v="1323"/>
    <x v="4"/>
    <x v="0"/>
    <x v="3"/>
    <x v="68"/>
    <x v="85"/>
    <x v="23"/>
    <x v="73"/>
    <x v="0"/>
  </r>
  <r>
    <x v="70"/>
    <x v="1324"/>
    <x v="4"/>
    <x v="0"/>
    <x v="3"/>
    <x v="21"/>
    <x v="23"/>
    <x v="37"/>
    <x v="22"/>
    <x v="0"/>
  </r>
  <r>
    <x v="287"/>
    <x v="1325"/>
    <x v="3"/>
    <x v="1"/>
    <x v="3"/>
    <x v="7"/>
    <x v="20"/>
    <x v="83"/>
    <x v="10"/>
    <x v="0"/>
  </r>
  <r>
    <x v="344"/>
    <x v="1326"/>
    <x v="1"/>
    <x v="0"/>
    <x v="1"/>
    <x v="19"/>
    <x v="73"/>
    <x v="10"/>
    <x v="46"/>
    <x v="0"/>
  </r>
  <r>
    <x v="350"/>
    <x v="1327"/>
    <x v="4"/>
    <x v="0"/>
    <x v="3"/>
    <x v="58"/>
    <x v="71"/>
    <x v="84"/>
    <x v="61"/>
    <x v="0"/>
  </r>
  <r>
    <x v="148"/>
    <x v="1328"/>
    <x v="1"/>
    <x v="0"/>
    <x v="1"/>
    <x v="47"/>
    <x v="57"/>
    <x v="48"/>
    <x v="49"/>
    <x v="0"/>
  </r>
  <r>
    <x v="201"/>
    <x v="1329"/>
    <x v="3"/>
    <x v="1"/>
    <x v="3"/>
    <x v="19"/>
    <x v="24"/>
    <x v="28"/>
    <x v="14"/>
    <x v="0"/>
  </r>
  <r>
    <x v="139"/>
    <x v="1330"/>
    <x v="3"/>
    <x v="1"/>
    <x v="3"/>
    <x v="8"/>
    <x v="26"/>
    <x v="60"/>
    <x v="23"/>
    <x v="0"/>
  </r>
  <r>
    <x v="133"/>
    <x v="1331"/>
    <x v="3"/>
    <x v="1"/>
    <x v="3"/>
    <x v="2"/>
    <x v="34"/>
    <x v="27"/>
    <x v="30"/>
    <x v="0"/>
  </r>
  <r>
    <x v="45"/>
    <x v="1332"/>
    <x v="4"/>
    <x v="0"/>
    <x v="3"/>
    <x v="68"/>
    <x v="85"/>
    <x v="49"/>
    <x v="73"/>
    <x v="0"/>
  </r>
  <r>
    <x v="168"/>
    <x v="1333"/>
    <x v="3"/>
    <x v="1"/>
    <x v="3"/>
    <x v="56"/>
    <x v="67"/>
    <x v="3"/>
    <x v="58"/>
    <x v="0"/>
  </r>
  <r>
    <x v="76"/>
    <x v="1334"/>
    <x v="2"/>
    <x v="0"/>
    <x v="2"/>
    <x v="3"/>
    <x v="3"/>
    <x v="31"/>
    <x v="3"/>
    <x v="0"/>
  </r>
  <r>
    <x v="25"/>
    <x v="1335"/>
    <x v="4"/>
    <x v="0"/>
    <x v="3"/>
    <x v="44"/>
    <x v="54"/>
    <x v="68"/>
    <x v="47"/>
    <x v="0"/>
  </r>
  <r>
    <x v="109"/>
    <x v="1336"/>
    <x v="3"/>
    <x v="1"/>
    <x v="3"/>
    <x v="45"/>
    <x v="56"/>
    <x v="1"/>
    <x v="48"/>
    <x v="0"/>
  </r>
  <r>
    <x v="91"/>
    <x v="1337"/>
    <x v="3"/>
    <x v="1"/>
    <x v="3"/>
    <x v="7"/>
    <x v="20"/>
    <x v="96"/>
    <x v="10"/>
    <x v="0"/>
  </r>
  <r>
    <x v="124"/>
    <x v="1338"/>
    <x v="2"/>
    <x v="0"/>
    <x v="2"/>
    <x v="2"/>
    <x v="2"/>
    <x v="30"/>
    <x v="2"/>
    <x v="0"/>
  </r>
  <r>
    <x v="344"/>
    <x v="1339"/>
    <x v="3"/>
    <x v="1"/>
    <x v="3"/>
    <x v="0"/>
    <x v="55"/>
    <x v="60"/>
    <x v="8"/>
    <x v="0"/>
  </r>
  <r>
    <x v="206"/>
    <x v="1340"/>
    <x v="4"/>
    <x v="0"/>
    <x v="3"/>
    <x v="30"/>
    <x v="38"/>
    <x v="57"/>
    <x v="33"/>
    <x v="0"/>
  </r>
  <r>
    <x v="258"/>
    <x v="1341"/>
    <x v="3"/>
    <x v="1"/>
    <x v="3"/>
    <x v="58"/>
    <x v="71"/>
    <x v="58"/>
    <x v="61"/>
    <x v="0"/>
  </r>
  <r>
    <x v="207"/>
    <x v="1342"/>
    <x v="3"/>
    <x v="1"/>
    <x v="3"/>
    <x v="20"/>
    <x v="22"/>
    <x v="13"/>
    <x v="21"/>
    <x v="0"/>
  </r>
  <r>
    <x v="257"/>
    <x v="1343"/>
    <x v="2"/>
    <x v="0"/>
    <x v="2"/>
    <x v="3"/>
    <x v="3"/>
    <x v="20"/>
    <x v="3"/>
    <x v="0"/>
  </r>
  <r>
    <x v="233"/>
    <x v="1344"/>
    <x v="1"/>
    <x v="0"/>
    <x v="1"/>
    <x v="48"/>
    <x v="58"/>
    <x v="28"/>
    <x v="50"/>
    <x v="0"/>
  </r>
  <r>
    <x v="180"/>
    <x v="1345"/>
    <x v="3"/>
    <x v="1"/>
    <x v="3"/>
    <x v="18"/>
    <x v="18"/>
    <x v="40"/>
    <x v="18"/>
    <x v="0"/>
  </r>
  <r>
    <x v="180"/>
    <x v="1346"/>
    <x v="2"/>
    <x v="0"/>
    <x v="2"/>
    <x v="42"/>
    <x v="51"/>
    <x v="51"/>
    <x v="44"/>
    <x v="0"/>
  </r>
  <r>
    <x v="89"/>
    <x v="1347"/>
    <x v="0"/>
    <x v="0"/>
    <x v="0"/>
    <x v="8"/>
    <x v="8"/>
    <x v="91"/>
    <x v="8"/>
    <x v="0"/>
  </r>
  <r>
    <x v="304"/>
    <x v="1348"/>
    <x v="4"/>
    <x v="0"/>
    <x v="3"/>
    <x v="62"/>
    <x v="77"/>
    <x v="2"/>
    <x v="66"/>
    <x v="0"/>
  </r>
  <r>
    <x v="26"/>
    <x v="1349"/>
    <x v="1"/>
    <x v="0"/>
    <x v="1"/>
    <x v="60"/>
    <x v="74"/>
    <x v="33"/>
    <x v="63"/>
    <x v="0"/>
  </r>
  <r>
    <x v="24"/>
    <x v="1350"/>
    <x v="3"/>
    <x v="1"/>
    <x v="3"/>
    <x v="49"/>
    <x v="59"/>
    <x v="75"/>
    <x v="51"/>
    <x v="0"/>
  </r>
  <r>
    <x v="161"/>
    <x v="1351"/>
    <x v="3"/>
    <x v="1"/>
    <x v="3"/>
    <x v="6"/>
    <x v="21"/>
    <x v="44"/>
    <x v="20"/>
    <x v="0"/>
  </r>
  <r>
    <x v="76"/>
    <x v="1352"/>
    <x v="3"/>
    <x v="1"/>
    <x v="3"/>
    <x v="2"/>
    <x v="34"/>
    <x v="2"/>
    <x v="30"/>
    <x v="0"/>
  </r>
  <r>
    <x v="14"/>
    <x v="1353"/>
    <x v="0"/>
    <x v="0"/>
    <x v="0"/>
    <x v="5"/>
    <x v="5"/>
    <x v="31"/>
    <x v="5"/>
    <x v="0"/>
  </r>
  <r>
    <x v="346"/>
    <x v="1354"/>
    <x v="2"/>
    <x v="0"/>
    <x v="2"/>
    <x v="8"/>
    <x v="35"/>
    <x v="25"/>
    <x v="18"/>
    <x v="0"/>
  </r>
  <r>
    <x v="104"/>
    <x v="1355"/>
    <x v="3"/>
    <x v="1"/>
    <x v="3"/>
    <x v="26"/>
    <x v="32"/>
    <x v="89"/>
    <x v="29"/>
    <x v="0"/>
  </r>
  <r>
    <x v="224"/>
    <x v="1356"/>
    <x v="1"/>
    <x v="0"/>
    <x v="1"/>
    <x v="4"/>
    <x v="4"/>
    <x v="55"/>
    <x v="4"/>
    <x v="0"/>
  </r>
  <r>
    <x v="207"/>
    <x v="1357"/>
    <x v="0"/>
    <x v="0"/>
    <x v="0"/>
    <x v="8"/>
    <x v="8"/>
    <x v="82"/>
    <x v="8"/>
    <x v="0"/>
  </r>
  <r>
    <x v="105"/>
    <x v="1358"/>
    <x v="3"/>
    <x v="1"/>
    <x v="3"/>
    <x v="8"/>
    <x v="26"/>
    <x v="53"/>
    <x v="23"/>
    <x v="0"/>
  </r>
  <r>
    <x v="256"/>
    <x v="1359"/>
    <x v="2"/>
    <x v="0"/>
    <x v="2"/>
    <x v="77"/>
    <x v="96"/>
    <x v="59"/>
    <x v="83"/>
    <x v="0"/>
  </r>
  <r>
    <x v="29"/>
    <x v="1360"/>
    <x v="0"/>
    <x v="0"/>
    <x v="0"/>
    <x v="5"/>
    <x v="5"/>
    <x v="76"/>
    <x v="5"/>
    <x v="0"/>
  </r>
  <r>
    <x v="76"/>
    <x v="1361"/>
    <x v="0"/>
    <x v="0"/>
    <x v="0"/>
    <x v="8"/>
    <x v="8"/>
    <x v="0"/>
    <x v="8"/>
    <x v="0"/>
  </r>
  <r>
    <x v="143"/>
    <x v="1362"/>
    <x v="2"/>
    <x v="0"/>
    <x v="2"/>
    <x v="12"/>
    <x v="17"/>
    <x v="59"/>
    <x v="77"/>
    <x v="0"/>
  </r>
  <r>
    <x v="169"/>
    <x v="1363"/>
    <x v="0"/>
    <x v="0"/>
    <x v="0"/>
    <x v="5"/>
    <x v="5"/>
    <x v="78"/>
    <x v="5"/>
    <x v="0"/>
  </r>
  <r>
    <x v="20"/>
    <x v="1364"/>
    <x v="1"/>
    <x v="0"/>
    <x v="1"/>
    <x v="38"/>
    <x v="46"/>
    <x v="80"/>
    <x v="40"/>
    <x v="0"/>
  </r>
  <r>
    <x v="255"/>
    <x v="1365"/>
    <x v="2"/>
    <x v="0"/>
    <x v="2"/>
    <x v="37"/>
    <x v="45"/>
    <x v="72"/>
    <x v="39"/>
    <x v="0"/>
  </r>
  <r>
    <x v="316"/>
    <x v="1366"/>
    <x v="1"/>
    <x v="0"/>
    <x v="1"/>
    <x v="54"/>
    <x v="65"/>
    <x v="32"/>
    <x v="56"/>
    <x v="0"/>
  </r>
  <r>
    <x v="178"/>
    <x v="1367"/>
    <x v="0"/>
    <x v="0"/>
    <x v="0"/>
    <x v="8"/>
    <x v="8"/>
    <x v="25"/>
    <x v="8"/>
    <x v="0"/>
  </r>
  <r>
    <x v="332"/>
    <x v="1368"/>
    <x v="2"/>
    <x v="0"/>
    <x v="2"/>
    <x v="2"/>
    <x v="2"/>
    <x v="71"/>
    <x v="2"/>
    <x v="0"/>
  </r>
  <r>
    <x v="296"/>
    <x v="1369"/>
    <x v="0"/>
    <x v="0"/>
    <x v="0"/>
    <x v="8"/>
    <x v="8"/>
    <x v="73"/>
    <x v="8"/>
    <x v="0"/>
  </r>
  <r>
    <x v="267"/>
    <x v="1370"/>
    <x v="2"/>
    <x v="0"/>
    <x v="2"/>
    <x v="22"/>
    <x v="25"/>
    <x v="53"/>
    <x v="20"/>
    <x v="0"/>
  </r>
  <r>
    <x v="112"/>
    <x v="1371"/>
    <x v="4"/>
    <x v="0"/>
    <x v="3"/>
    <x v="5"/>
    <x v="31"/>
    <x v="16"/>
    <x v="28"/>
    <x v="0"/>
  </r>
  <r>
    <x v="64"/>
    <x v="1372"/>
    <x v="4"/>
    <x v="0"/>
    <x v="3"/>
    <x v="74"/>
    <x v="91"/>
    <x v="57"/>
    <x v="79"/>
    <x v="0"/>
  </r>
  <r>
    <x v="100"/>
    <x v="1373"/>
    <x v="4"/>
    <x v="0"/>
    <x v="3"/>
    <x v="16"/>
    <x v="16"/>
    <x v="51"/>
    <x v="16"/>
    <x v="0"/>
  </r>
  <r>
    <x v="97"/>
    <x v="1374"/>
    <x v="2"/>
    <x v="0"/>
    <x v="2"/>
    <x v="63"/>
    <x v="78"/>
    <x v="3"/>
    <x v="67"/>
    <x v="0"/>
  </r>
  <r>
    <x v="169"/>
    <x v="1375"/>
    <x v="4"/>
    <x v="0"/>
    <x v="3"/>
    <x v="55"/>
    <x v="66"/>
    <x v="16"/>
    <x v="57"/>
    <x v="0"/>
  </r>
  <r>
    <x v="91"/>
    <x v="1376"/>
    <x v="1"/>
    <x v="0"/>
    <x v="1"/>
    <x v="0"/>
    <x v="81"/>
    <x v="67"/>
    <x v="24"/>
    <x v="0"/>
  </r>
  <r>
    <x v="260"/>
    <x v="1377"/>
    <x v="2"/>
    <x v="0"/>
    <x v="2"/>
    <x v="51"/>
    <x v="61"/>
    <x v="12"/>
    <x v="53"/>
    <x v="0"/>
  </r>
  <r>
    <x v="327"/>
    <x v="1378"/>
    <x v="0"/>
    <x v="0"/>
    <x v="0"/>
    <x v="0"/>
    <x v="0"/>
    <x v="0"/>
    <x v="0"/>
    <x v="0"/>
  </r>
  <r>
    <x v="187"/>
    <x v="1379"/>
    <x v="3"/>
    <x v="1"/>
    <x v="3"/>
    <x v="5"/>
    <x v="31"/>
    <x v="24"/>
    <x v="28"/>
    <x v="0"/>
  </r>
  <r>
    <x v="132"/>
    <x v="1380"/>
    <x v="1"/>
    <x v="0"/>
    <x v="1"/>
    <x v="72"/>
    <x v="89"/>
    <x v="15"/>
    <x v="19"/>
    <x v="0"/>
  </r>
  <r>
    <x v="335"/>
    <x v="1381"/>
    <x v="2"/>
    <x v="0"/>
    <x v="2"/>
    <x v="42"/>
    <x v="51"/>
    <x v="57"/>
    <x v="44"/>
    <x v="0"/>
  </r>
  <r>
    <x v="247"/>
    <x v="1382"/>
    <x v="1"/>
    <x v="0"/>
    <x v="1"/>
    <x v="25"/>
    <x v="30"/>
    <x v="55"/>
    <x v="27"/>
    <x v="0"/>
  </r>
  <r>
    <x v="325"/>
    <x v="1383"/>
    <x v="4"/>
    <x v="0"/>
    <x v="3"/>
    <x v="55"/>
    <x v="66"/>
    <x v="1"/>
    <x v="57"/>
    <x v="0"/>
  </r>
  <r>
    <x v="188"/>
    <x v="1384"/>
    <x v="3"/>
    <x v="1"/>
    <x v="3"/>
    <x v="57"/>
    <x v="69"/>
    <x v="1"/>
    <x v="59"/>
    <x v="0"/>
  </r>
  <r>
    <x v="187"/>
    <x v="1385"/>
    <x v="2"/>
    <x v="0"/>
    <x v="2"/>
    <x v="61"/>
    <x v="75"/>
    <x v="81"/>
    <x v="64"/>
    <x v="0"/>
  </r>
  <r>
    <x v="337"/>
    <x v="1386"/>
    <x v="4"/>
    <x v="0"/>
    <x v="3"/>
    <x v="21"/>
    <x v="23"/>
    <x v="42"/>
    <x v="22"/>
    <x v="0"/>
  </r>
  <r>
    <x v="180"/>
    <x v="1387"/>
    <x v="1"/>
    <x v="0"/>
    <x v="1"/>
    <x v="47"/>
    <x v="57"/>
    <x v="89"/>
    <x v="49"/>
    <x v="0"/>
  </r>
  <r>
    <x v="342"/>
    <x v="1388"/>
    <x v="4"/>
    <x v="0"/>
    <x v="3"/>
    <x v="44"/>
    <x v="54"/>
    <x v="16"/>
    <x v="47"/>
    <x v="0"/>
  </r>
  <r>
    <x v="262"/>
    <x v="1389"/>
    <x v="1"/>
    <x v="0"/>
    <x v="1"/>
    <x v="27"/>
    <x v="33"/>
    <x v="95"/>
    <x v="5"/>
    <x v="0"/>
  </r>
  <r>
    <x v="37"/>
    <x v="1390"/>
    <x v="0"/>
    <x v="0"/>
    <x v="0"/>
    <x v="5"/>
    <x v="5"/>
    <x v="94"/>
    <x v="5"/>
    <x v="0"/>
  </r>
  <r>
    <x v="248"/>
    <x v="1391"/>
    <x v="3"/>
    <x v="1"/>
    <x v="3"/>
    <x v="15"/>
    <x v="15"/>
    <x v="69"/>
    <x v="15"/>
    <x v="0"/>
  </r>
  <r>
    <x v="58"/>
    <x v="1392"/>
    <x v="2"/>
    <x v="0"/>
    <x v="2"/>
    <x v="7"/>
    <x v="49"/>
    <x v="87"/>
    <x v="8"/>
    <x v="0"/>
  </r>
  <r>
    <x v="4"/>
    <x v="1393"/>
    <x v="1"/>
    <x v="0"/>
    <x v="1"/>
    <x v="53"/>
    <x v="64"/>
    <x v="75"/>
    <x v="55"/>
    <x v="0"/>
  </r>
  <r>
    <x v="141"/>
    <x v="1394"/>
    <x v="3"/>
    <x v="1"/>
    <x v="3"/>
    <x v="46"/>
    <x v="68"/>
    <x v="34"/>
    <x v="43"/>
    <x v="0"/>
  </r>
  <r>
    <x v="26"/>
    <x v="1395"/>
    <x v="3"/>
    <x v="1"/>
    <x v="3"/>
    <x v="6"/>
    <x v="21"/>
    <x v="45"/>
    <x v="20"/>
    <x v="0"/>
  </r>
  <r>
    <x v="105"/>
    <x v="1396"/>
    <x v="0"/>
    <x v="0"/>
    <x v="0"/>
    <x v="8"/>
    <x v="8"/>
    <x v="94"/>
    <x v="8"/>
    <x v="0"/>
  </r>
  <r>
    <x v="253"/>
    <x v="1397"/>
    <x v="1"/>
    <x v="0"/>
    <x v="1"/>
    <x v="27"/>
    <x v="33"/>
    <x v="21"/>
    <x v="5"/>
    <x v="0"/>
  </r>
  <r>
    <x v="123"/>
    <x v="1398"/>
    <x v="4"/>
    <x v="0"/>
    <x v="3"/>
    <x v="56"/>
    <x v="67"/>
    <x v="18"/>
    <x v="58"/>
    <x v="0"/>
  </r>
  <r>
    <x v="283"/>
    <x v="1399"/>
    <x v="3"/>
    <x v="1"/>
    <x v="3"/>
    <x v="45"/>
    <x v="56"/>
    <x v="16"/>
    <x v="48"/>
    <x v="0"/>
  </r>
  <r>
    <x v="274"/>
    <x v="1400"/>
    <x v="4"/>
    <x v="0"/>
    <x v="3"/>
    <x v="7"/>
    <x v="20"/>
    <x v="60"/>
    <x v="10"/>
    <x v="0"/>
  </r>
  <r>
    <x v="20"/>
    <x v="1401"/>
    <x v="0"/>
    <x v="0"/>
    <x v="0"/>
    <x v="5"/>
    <x v="5"/>
    <x v="0"/>
    <x v="5"/>
    <x v="0"/>
  </r>
  <r>
    <x v="112"/>
    <x v="1402"/>
    <x v="2"/>
    <x v="0"/>
    <x v="2"/>
    <x v="46"/>
    <x v="47"/>
    <x v="40"/>
    <x v="1"/>
    <x v="0"/>
  </r>
  <r>
    <x v="353"/>
    <x v="1403"/>
    <x v="1"/>
    <x v="0"/>
    <x v="1"/>
    <x v="4"/>
    <x v="4"/>
    <x v="23"/>
    <x v="4"/>
    <x v="0"/>
  </r>
  <r>
    <x v="307"/>
    <x v="1404"/>
    <x v="1"/>
    <x v="0"/>
    <x v="1"/>
    <x v="75"/>
    <x v="93"/>
    <x v="44"/>
    <x v="80"/>
    <x v="0"/>
  </r>
  <r>
    <x v="307"/>
    <x v="1405"/>
    <x v="1"/>
    <x v="0"/>
    <x v="1"/>
    <x v="0"/>
    <x v="81"/>
    <x v="51"/>
    <x v="24"/>
    <x v="0"/>
  </r>
  <r>
    <x v="266"/>
    <x v="1406"/>
    <x v="3"/>
    <x v="1"/>
    <x v="3"/>
    <x v="23"/>
    <x v="83"/>
    <x v="71"/>
    <x v="71"/>
    <x v="0"/>
  </r>
  <r>
    <x v="148"/>
    <x v="1407"/>
    <x v="4"/>
    <x v="0"/>
    <x v="3"/>
    <x v="44"/>
    <x v="54"/>
    <x v="79"/>
    <x v="47"/>
    <x v="0"/>
  </r>
  <r>
    <x v="150"/>
    <x v="1408"/>
    <x v="1"/>
    <x v="0"/>
    <x v="1"/>
    <x v="1"/>
    <x v="1"/>
    <x v="54"/>
    <x v="1"/>
    <x v="0"/>
  </r>
  <r>
    <x v="19"/>
    <x v="1409"/>
    <x v="0"/>
    <x v="0"/>
    <x v="0"/>
    <x v="7"/>
    <x v="7"/>
    <x v="6"/>
    <x v="7"/>
    <x v="0"/>
  </r>
  <r>
    <x v="304"/>
    <x v="1410"/>
    <x v="3"/>
    <x v="1"/>
    <x v="3"/>
    <x v="49"/>
    <x v="59"/>
    <x v="65"/>
    <x v="51"/>
    <x v="0"/>
  </r>
  <r>
    <x v="218"/>
    <x v="1411"/>
    <x v="0"/>
    <x v="0"/>
    <x v="0"/>
    <x v="8"/>
    <x v="8"/>
    <x v="44"/>
    <x v="8"/>
    <x v="0"/>
  </r>
  <r>
    <x v="57"/>
    <x v="1412"/>
    <x v="4"/>
    <x v="0"/>
    <x v="3"/>
    <x v="65"/>
    <x v="80"/>
    <x v="56"/>
    <x v="69"/>
    <x v="0"/>
  </r>
  <r>
    <x v="313"/>
    <x v="1413"/>
    <x v="4"/>
    <x v="0"/>
    <x v="3"/>
    <x v="74"/>
    <x v="91"/>
    <x v="2"/>
    <x v="79"/>
    <x v="0"/>
  </r>
  <r>
    <x v="43"/>
    <x v="1414"/>
    <x v="4"/>
    <x v="0"/>
    <x v="3"/>
    <x v="30"/>
    <x v="38"/>
    <x v="23"/>
    <x v="33"/>
    <x v="0"/>
  </r>
  <r>
    <x v="188"/>
    <x v="1415"/>
    <x v="1"/>
    <x v="0"/>
    <x v="1"/>
    <x v="4"/>
    <x v="4"/>
    <x v="68"/>
    <x v="4"/>
    <x v="0"/>
  </r>
  <r>
    <x v="144"/>
    <x v="1416"/>
    <x v="3"/>
    <x v="1"/>
    <x v="3"/>
    <x v="45"/>
    <x v="56"/>
    <x v="81"/>
    <x v="48"/>
    <x v="0"/>
  </r>
  <r>
    <x v="139"/>
    <x v="1417"/>
    <x v="2"/>
    <x v="0"/>
    <x v="2"/>
    <x v="22"/>
    <x v="25"/>
    <x v="2"/>
    <x v="20"/>
    <x v="0"/>
  </r>
  <r>
    <x v="153"/>
    <x v="1418"/>
    <x v="1"/>
    <x v="0"/>
    <x v="1"/>
    <x v="38"/>
    <x v="46"/>
    <x v="71"/>
    <x v="40"/>
    <x v="0"/>
  </r>
  <r>
    <x v="224"/>
    <x v="1419"/>
    <x v="0"/>
    <x v="0"/>
    <x v="0"/>
    <x v="5"/>
    <x v="5"/>
    <x v="26"/>
    <x v="5"/>
    <x v="0"/>
  </r>
  <r>
    <x v="157"/>
    <x v="1420"/>
    <x v="2"/>
    <x v="0"/>
    <x v="2"/>
    <x v="46"/>
    <x v="47"/>
    <x v="46"/>
    <x v="1"/>
    <x v="0"/>
  </r>
  <r>
    <x v="40"/>
    <x v="1421"/>
    <x v="4"/>
    <x v="0"/>
    <x v="3"/>
    <x v="55"/>
    <x v="66"/>
    <x v="17"/>
    <x v="57"/>
    <x v="0"/>
  </r>
  <r>
    <x v="177"/>
    <x v="1422"/>
    <x v="4"/>
    <x v="0"/>
    <x v="3"/>
    <x v="7"/>
    <x v="20"/>
    <x v="43"/>
    <x v="10"/>
    <x v="0"/>
  </r>
  <r>
    <x v="44"/>
    <x v="1423"/>
    <x v="1"/>
    <x v="0"/>
    <x v="1"/>
    <x v="38"/>
    <x v="46"/>
    <x v="93"/>
    <x v="40"/>
    <x v="0"/>
  </r>
  <r>
    <x v="330"/>
    <x v="1424"/>
    <x v="4"/>
    <x v="0"/>
    <x v="3"/>
    <x v="68"/>
    <x v="85"/>
    <x v="90"/>
    <x v="73"/>
    <x v="0"/>
  </r>
  <r>
    <x v="135"/>
    <x v="1425"/>
    <x v="4"/>
    <x v="0"/>
    <x v="3"/>
    <x v="7"/>
    <x v="20"/>
    <x v="7"/>
    <x v="10"/>
    <x v="0"/>
  </r>
  <r>
    <x v="134"/>
    <x v="1426"/>
    <x v="2"/>
    <x v="0"/>
    <x v="2"/>
    <x v="2"/>
    <x v="2"/>
    <x v="52"/>
    <x v="2"/>
    <x v="0"/>
  </r>
  <r>
    <x v="329"/>
    <x v="1427"/>
    <x v="4"/>
    <x v="0"/>
    <x v="3"/>
    <x v="47"/>
    <x v="94"/>
    <x v="56"/>
    <x v="81"/>
    <x v="0"/>
  </r>
  <r>
    <x v="20"/>
    <x v="1428"/>
    <x v="0"/>
    <x v="0"/>
    <x v="0"/>
    <x v="5"/>
    <x v="5"/>
    <x v="77"/>
    <x v="5"/>
    <x v="0"/>
  </r>
  <r>
    <x v="288"/>
    <x v="1429"/>
    <x v="1"/>
    <x v="0"/>
    <x v="1"/>
    <x v="18"/>
    <x v="63"/>
    <x v="7"/>
    <x v="6"/>
    <x v="0"/>
  </r>
  <r>
    <x v="301"/>
    <x v="1430"/>
    <x v="4"/>
    <x v="0"/>
    <x v="3"/>
    <x v="47"/>
    <x v="94"/>
    <x v="37"/>
    <x v="81"/>
    <x v="0"/>
  </r>
  <r>
    <x v="146"/>
    <x v="1431"/>
    <x v="0"/>
    <x v="0"/>
    <x v="0"/>
    <x v="8"/>
    <x v="8"/>
    <x v="66"/>
    <x v="8"/>
    <x v="0"/>
  </r>
  <r>
    <x v="15"/>
    <x v="1432"/>
    <x v="4"/>
    <x v="0"/>
    <x v="3"/>
    <x v="5"/>
    <x v="31"/>
    <x v="89"/>
    <x v="28"/>
    <x v="0"/>
  </r>
  <r>
    <x v="38"/>
    <x v="1433"/>
    <x v="2"/>
    <x v="0"/>
    <x v="2"/>
    <x v="67"/>
    <x v="84"/>
    <x v="14"/>
    <x v="72"/>
    <x v="0"/>
  </r>
  <r>
    <x v="338"/>
    <x v="1434"/>
    <x v="3"/>
    <x v="1"/>
    <x v="3"/>
    <x v="45"/>
    <x v="56"/>
    <x v="31"/>
    <x v="48"/>
    <x v="0"/>
  </r>
  <r>
    <x v="202"/>
    <x v="1435"/>
    <x v="0"/>
    <x v="0"/>
    <x v="0"/>
    <x v="7"/>
    <x v="7"/>
    <x v="66"/>
    <x v="7"/>
    <x v="0"/>
  </r>
  <r>
    <x v="113"/>
    <x v="1436"/>
    <x v="1"/>
    <x v="0"/>
    <x v="1"/>
    <x v="76"/>
    <x v="95"/>
    <x v="29"/>
    <x v="82"/>
    <x v="0"/>
  </r>
  <r>
    <x v="302"/>
    <x v="1437"/>
    <x v="2"/>
    <x v="0"/>
    <x v="2"/>
    <x v="13"/>
    <x v="13"/>
    <x v="55"/>
    <x v="13"/>
    <x v="0"/>
  </r>
  <r>
    <x v="311"/>
    <x v="1438"/>
    <x v="3"/>
    <x v="1"/>
    <x v="3"/>
    <x v="7"/>
    <x v="20"/>
    <x v="56"/>
    <x v="10"/>
    <x v="0"/>
  </r>
  <r>
    <x v="158"/>
    <x v="1439"/>
    <x v="3"/>
    <x v="1"/>
    <x v="3"/>
    <x v="45"/>
    <x v="56"/>
    <x v="89"/>
    <x v="48"/>
    <x v="0"/>
  </r>
  <r>
    <x v="359"/>
    <x v="1440"/>
    <x v="1"/>
    <x v="0"/>
    <x v="1"/>
    <x v="16"/>
    <x v="76"/>
    <x v="35"/>
    <x v="65"/>
    <x v="0"/>
  </r>
  <r>
    <x v="250"/>
    <x v="1441"/>
    <x v="3"/>
    <x v="1"/>
    <x v="3"/>
    <x v="0"/>
    <x v="55"/>
    <x v="79"/>
    <x v="8"/>
    <x v="0"/>
  </r>
  <r>
    <x v="350"/>
    <x v="1442"/>
    <x v="3"/>
    <x v="1"/>
    <x v="3"/>
    <x v="46"/>
    <x v="68"/>
    <x v="61"/>
    <x v="43"/>
    <x v="0"/>
  </r>
  <r>
    <x v="191"/>
    <x v="1443"/>
    <x v="1"/>
    <x v="0"/>
    <x v="1"/>
    <x v="52"/>
    <x v="62"/>
    <x v="23"/>
    <x v="54"/>
    <x v="0"/>
  </r>
  <r>
    <x v="298"/>
    <x v="1444"/>
    <x v="4"/>
    <x v="0"/>
    <x v="3"/>
    <x v="16"/>
    <x v="16"/>
    <x v="2"/>
    <x v="16"/>
    <x v="0"/>
  </r>
  <r>
    <x v="335"/>
    <x v="1445"/>
    <x v="1"/>
    <x v="0"/>
    <x v="1"/>
    <x v="72"/>
    <x v="89"/>
    <x v="48"/>
    <x v="19"/>
    <x v="0"/>
  </r>
  <r>
    <x v="105"/>
    <x v="1446"/>
    <x v="2"/>
    <x v="0"/>
    <x v="2"/>
    <x v="10"/>
    <x v="10"/>
    <x v="83"/>
    <x v="10"/>
    <x v="0"/>
  </r>
  <r>
    <x v="0"/>
    <x v="1447"/>
    <x v="1"/>
    <x v="0"/>
    <x v="1"/>
    <x v="25"/>
    <x v="30"/>
    <x v="47"/>
    <x v="27"/>
    <x v="0"/>
  </r>
  <r>
    <x v="119"/>
    <x v="1448"/>
    <x v="4"/>
    <x v="0"/>
    <x v="3"/>
    <x v="65"/>
    <x v="80"/>
    <x v="60"/>
    <x v="69"/>
    <x v="0"/>
  </r>
  <r>
    <x v="113"/>
    <x v="1449"/>
    <x v="0"/>
    <x v="0"/>
    <x v="0"/>
    <x v="19"/>
    <x v="19"/>
    <x v="31"/>
    <x v="19"/>
    <x v="0"/>
  </r>
  <r>
    <x v="50"/>
    <x v="1450"/>
    <x v="3"/>
    <x v="1"/>
    <x v="3"/>
    <x v="46"/>
    <x v="68"/>
    <x v="49"/>
    <x v="43"/>
    <x v="0"/>
  </r>
  <r>
    <x v="121"/>
    <x v="1451"/>
    <x v="3"/>
    <x v="1"/>
    <x v="3"/>
    <x v="26"/>
    <x v="32"/>
    <x v="42"/>
    <x v="29"/>
    <x v="0"/>
  </r>
  <r>
    <x v="43"/>
    <x v="1452"/>
    <x v="0"/>
    <x v="0"/>
    <x v="0"/>
    <x v="7"/>
    <x v="7"/>
    <x v="64"/>
    <x v="7"/>
    <x v="0"/>
  </r>
  <r>
    <x v="171"/>
    <x v="1453"/>
    <x v="3"/>
    <x v="1"/>
    <x v="3"/>
    <x v="45"/>
    <x v="56"/>
    <x v="30"/>
    <x v="48"/>
    <x v="0"/>
  </r>
  <r>
    <x v="32"/>
    <x v="1454"/>
    <x v="4"/>
    <x v="0"/>
    <x v="3"/>
    <x v="64"/>
    <x v="79"/>
    <x v="19"/>
    <x v="68"/>
    <x v="0"/>
  </r>
  <r>
    <x v="73"/>
    <x v="1455"/>
    <x v="1"/>
    <x v="0"/>
    <x v="1"/>
    <x v="16"/>
    <x v="76"/>
    <x v="15"/>
    <x v="65"/>
    <x v="0"/>
  </r>
  <r>
    <x v="65"/>
    <x v="1456"/>
    <x v="2"/>
    <x v="0"/>
    <x v="2"/>
    <x v="22"/>
    <x v="25"/>
    <x v="35"/>
    <x v="20"/>
    <x v="0"/>
  </r>
  <r>
    <x v="97"/>
    <x v="1457"/>
    <x v="0"/>
    <x v="0"/>
    <x v="0"/>
    <x v="8"/>
    <x v="8"/>
    <x v="73"/>
    <x v="8"/>
    <x v="0"/>
  </r>
  <r>
    <x v="158"/>
    <x v="1458"/>
    <x v="2"/>
    <x v="0"/>
    <x v="2"/>
    <x v="67"/>
    <x v="84"/>
    <x v="90"/>
    <x v="72"/>
    <x v="0"/>
  </r>
  <r>
    <x v="105"/>
    <x v="1459"/>
    <x v="4"/>
    <x v="0"/>
    <x v="3"/>
    <x v="59"/>
    <x v="72"/>
    <x v="2"/>
    <x v="62"/>
    <x v="0"/>
  </r>
  <r>
    <x v="294"/>
    <x v="1460"/>
    <x v="1"/>
    <x v="0"/>
    <x v="1"/>
    <x v="76"/>
    <x v="95"/>
    <x v="24"/>
    <x v="82"/>
    <x v="0"/>
  </r>
  <r>
    <x v="173"/>
    <x v="1461"/>
    <x v="2"/>
    <x v="0"/>
    <x v="2"/>
    <x v="13"/>
    <x v="13"/>
    <x v="15"/>
    <x v="13"/>
    <x v="0"/>
  </r>
  <r>
    <x v="214"/>
    <x v="1462"/>
    <x v="0"/>
    <x v="0"/>
    <x v="0"/>
    <x v="5"/>
    <x v="5"/>
    <x v="25"/>
    <x v="5"/>
    <x v="0"/>
  </r>
  <r>
    <x v="309"/>
    <x v="1463"/>
    <x v="1"/>
    <x v="0"/>
    <x v="1"/>
    <x v="54"/>
    <x v="65"/>
    <x v="48"/>
    <x v="56"/>
    <x v="0"/>
  </r>
  <r>
    <x v="17"/>
    <x v="1464"/>
    <x v="2"/>
    <x v="0"/>
    <x v="2"/>
    <x v="46"/>
    <x v="47"/>
    <x v="30"/>
    <x v="1"/>
    <x v="0"/>
  </r>
  <r>
    <x v="356"/>
    <x v="1465"/>
    <x v="2"/>
    <x v="0"/>
    <x v="2"/>
    <x v="51"/>
    <x v="61"/>
    <x v="30"/>
    <x v="53"/>
    <x v="0"/>
  </r>
  <r>
    <x v="333"/>
    <x v="1466"/>
    <x v="0"/>
    <x v="0"/>
    <x v="0"/>
    <x v="0"/>
    <x v="0"/>
    <x v="38"/>
    <x v="0"/>
    <x v="0"/>
  </r>
  <r>
    <x v="86"/>
    <x v="1467"/>
    <x v="4"/>
    <x v="0"/>
    <x v="3"/>
    <x v="44"/>
    <x v="54"/>
    <x v="53"/>
    <x v="47"/>
    <x v="0"/>
  </r>
  <r>
    <x v="345"/>
    <x v="1468"/>
    <x v="0"/>
    <x v="0"/>
    <x v="0"/>
    <x v="8"/>
    <x v="8"/>
    <x v="76"/>
    <x v="8"/>
    <x v="0"/>
  </r>
  <r>
    <x v="308"/>
    <x v="1469"/>
    <x v="3"/>
    <x v="1"/>
    <x v="3"/>
    <x v="2"/>
    <x v="34"/>
    <x v="57"/>
    <x v="30"/>
    <x v="0"/>
  </r>
  <r>
    <x v="222"/>
    <x v="1470"/>
    <x v="3"/>
    <x v="1"/>
    <x v="3"/>
    <x v="6"/>
    <x v="21"/>
    <x v="85"/>
    <x v="20"/>
    <x v="0"/>
  </r>
  <r>
    <x v="299"/>
    <x v="1471"/>
    <x v="2"/>
    <x v="0"/>
    <x v="2"/>
    <x v="42"/>
    <x v="51"/>
    <x v="15"/>
    <x v="44"/>
    <x v="0"/>
  </r>
  <r>
    <x v="107"/>
    <x v="1472"/>
    <x v="0"/>
    <x v="0"/>
    <x v="0"/>
    <x v="5"/>
    <x v="5"/>
    <x v="38"/>
    <x v="5"/>
    <x v="0"/>
  </r>
  <r>
    <x v="142"/>
    <x v="1473"/>
    <x v="3"/>
    <x v="1"/>
    <x v="3"/>
    <x v="57"/>
    <x v="69"/>
    <x v="46"/>
    <x v="59"/>
    <x v="0"/>
  </r>
  <r>
    <x v="152"/>
    <x v="1474"/>
    <x v="1"/>
    <x v="0"/>
    <x v="1"/>
    <x v="4"/>
    <x v="4"/>
    <x v="3"/>
    <x v="4"/>
    <x v="0"/>
  </r>
  <r>
    <x v="68"/>
    <x v="1475"/>
    <x v="3"/>
    <x v="1"/>
    <x v="3"/>
    <x v="0"/>
    <x v="55"/>
    <x v="87"/>
    <x v="8"/>
    <x v="0"/>
  </r>
  <r>
    <x v="153"/>
    <x v="1476"/>
    <x v="4"/>
    <x v="0"/>
    <x v="3"/>
    <x v="47"/>
    <x v="94"/>
    <x v="60"/>
    <x v="81"/>
    <x v="0"/>
  </r>
  <r>
    <x v="308"/>
    <x v="1477"/>
    <x v="3"/>
    <x v="1"/>
    <x v="3"/>
    <x v="23"/>
    <x v="83"/>
    <x v="62"/>
    <x v="71"/>
    <x v="0"/>
  </r>
  <r>
    <x v="64"/>
    <x v="1478"/>
    <x v="0"/>
    <x v="0"/>
    <x v="0"/>
    <x v="8"/>
    <x v="8"/>
    <x v="69"/>
    <x v="8"/>
    <x v="0"/>
  </r>
  <r>
    <x v="227"/>
    <x v="1479"/>
    <x v="1"/>
    <x v="0"/>
    <x v="1"/>
    <x v="60"/>
    <x v="74"/>
    <x v="54"/>
    <x v="63"/>
    <x v="0"/>
  </r>
  <r>
    <x v="188"/>
    <x v="1480"/>
    <x v="4"/>
    <x v="0"/>
    <x v="3"/>
    <x v="19"/>
    <x v="24"/>
    <x v="80"/>
    <x v="14"/>
    <x v="0"/>
  </r>
  <r>
    <x v="212"/>
    <x v="1481"/>
    <x v="3"/>
    <x v="1"/>
    <x v="3"/>
    <x v="18"/>
    <x v="18"/>
    <x v="4"/>
    <x v="18"/>
    <x v="0"/>
  </r>
  <r>
    <x v="348"/>
    <x v="1482"/>
    <x v="4"/>
    <x v="0"/>
    <x v="3"/>
    <x v="55"/>
    <x v="66"/>
    <x v="65"/>
    <x v="57"/>
    <x v="0"/>
  </r>
  <r>
    <x v="276"/>
    <x v="1483"/>
    <x v="3"/>
    <x v="1"/>
    <x v="3"/>
    <x v="11"/>
    <x v="11"/>
    <x v="35"/>
    <x v="11"/>
    <x v="0"/>
  </r>
  <r>
    <x v="353"/>
    <x v="1484"/>
    <x v="2"/>
    <x v="0"/>
    <x v="2"/>
    <x v="23"/>
    <x v="28"/>
    <x v="1"/>
    <x v="25"/>
    <x v="0"/>
  </r>
  <r>
    <x v="112"/>
    <x v="1485"/>
    <x v="1"/>
    <x v="0"/>
    <x v="1"/>
    <x v="0"/>
    <x v="81"/>
    <x v="20"/>
    <x v="24"/>
    <x v="0"/>
  </r>
  <r>
    <x v="69"/>
    <x v="1486"/>
    <x v="0"/>
    <x v="0"/>
    <x v="0"/>
    <x v="0"/>
    <x v="0"/>
    <x v="76"/>
    <x v="0"/>
    <x v="0"/>
  </r>
  <r>
    <x v="318"/>
    <x v="1487"/>
    <x v="0"/>
    <x v="0"/>
    <x v="0"/>
    <x v="19"/>
    <x v="19"/>
    <x v="74"/>
    <x v="19"/>
    <x v="0"/>
  </r>
  <r>
    <x v="188"/>
    <x v="1488"/>
    <x v="0"/>
    <x v="0"/>
    <x v="0"/>
    <x v="5"/>
    <x v="5"/>
    <x v="26"/>
    <x v="5"/>
    <x v="0"/>
  </r>
  <r>
    <x v="353"/>
    <x v="1489"/>
    <x v="2"/>
    <x v="0"/>
    <x v="2"/>
    <x v="66"/>
    <x v="82"/>
    <x v="56"/>
    <x v="70"/>
    <x v="0"/>
  </r>
  <r>
    <x v="314"/>
    <x v="1490"/>
    <x v="0"/>
    <x v="0"/>
    <x v="0"/>
    <x v="7"/>
    <x v="7"/>
    <x v="88"/>
    <x v="7"/>
    <x v="0"/>
  </r>
  <r>
    <x v="32"/>
    <x v="1491"/>
    <x v="2"/>
    <x v="0"/>
    <x v="2"/>
    <x v="36"/>
    <x v="44"/>
    <x v="83"/>
    <x v="30"/>
    <x v="0"/>
  </r>
  <r>
    <x v="24"/>
    <x v="1492"/>
    <x v="0"/>
    <x v="0"/>
    <x v="0"/>
    <x v="19"/>
    <x v="19"/>
    <x v="96"/>
    <x v="19"/>
    <x v="0"/>
  </r>
  <r>
    <x v="299"/>
    <x v="1493"/>
    <x v="1"/>
    <x v="0"/>
    <x v="1"/>
    <x v="0"/>
    <x v="81"/>
    <x v="83"/>
    <x v="24"/>
    <x v="0"/>
  </r>
  <r>
    <x v="265"/>
    <x v="1494"/>
    <x v="3"/>
    <x v="1"/>
    <x v="3"/>
    <x v="0"/>
    <x v="55"/>
    <x v="21"/>
    <x v="8"/>
    <x v="0"/>
  </r>
  <r>
    <x v="173"/>
    <x v="1495"/>
    <x v="1"/>
    <x v="0"/>
    <x v="1"/>
    <x v="53"/>
    <x v="64"/>
    <x v="25"/>
    <x v="55"/>
    <x v="0"/>
  </r>
  <r>
    <x v="299"/>
    <x v="1496"/>
    <x v="2"/>
    <x v="0"/>
    <x v="2"/>
    <x v="7"/>
    <x v="49"/>
    <x v="61"/>
    <x v="8"/>
    <x v="0"/>
  </r>
  <r>
    <x v="358"/>
    <x v="1497"/>
    <x v="2"/>
    <x v="0"/>
    <x v="2"/>
    <x v="41"/>
    <x v="50"/>
    <x v="13"/>
    <x v="43"/>
    <x v="0"/>
  </r>
  <r>
    <x v="80"/>
    <x v="1498"/>
    <x v="3"/>
    <x v="1"/>
    <x v="3"/>
    <x v="45"/>
    <x v="56"/>
    <x v="75"/>
    <x v="48"/>
    <x v="0"/>
  </r>
  <r>
    <x v="342"/>
    <x v="1499"/>
    <x v="0"/>
    <x v="0"/>
    <x v="0"/>
    <x v="5"/>
    <x v="5"/>
    <x v="96"/>
    <x v="5"/>
    <x v="0"/>
  </r>
  <r>
    <x v="12"/>
    <x v="1500"/>
    <x v="0"/>
    <x v="0"/>
    <x v="0"/>
    <x v="7"/>
    <x v="7"/>
    <x v="38"/>
    <x v="7"/>
    <x v="0"/>
  </r>
  <r>
    <x v="219"/>
    <x v="1501"/>
    <x v="3"/>
    <x v="1"/>
    <x v="3"/>
    <x v="49"/>
    <x v="59"/>
    <x v="68"/>
    <x v="51"/>
    <x v="0"/>
  </r>
  <r>
    <x v="80"/>
    <x v="1502"/>
    <x v="2"/>
    <x v="0"/>
    <x v="2"/>
    <x v="9"/>
    <x v="9"/>
    <x v="1"/>
    <x v="9"/>
    <x v="0"/>
  </r>
  <r>
    <x v="73"/>
    <x v="1503"/>
    <x v="1"/>
    <x v="0"/>
    <x v="1"/>
    <x v="1"/>
    <x v="1"/>
    <x v="9"/>
    <x v="1"/>
    <x v="0"/>
  </r>
  <r>
    <x v="238"/>
    <x v="1504"/>
    <x v="3"/>
    <x v="1"/>
    <x v="3"/>
    <x v="78"/>
    <x v="97"/>
    <x v="51"/>
    <x v="84"/>
    <x v="0"/>
  </r>
  <r>
    <x v="210"/>
    <x v="1505"/>
    <x v="0"/>
    <x v="0"/>
    <x v="0"/>
    <x v="7"/>
    <x v="7"/>
    <x v="74"/>
    <x v="7"/>
    <x v="0"/>
  </r>
  <r>
    <x v="252"/>
    <x v="1506"/>
    <x v="1"/>
    <x v="0"/>
    <x v="1"/>
    <x v="18"/>
    <x v="63"/>
    <x v="21"/>
    <x v="6"/>
    <x v="0"/>
  </r>
  <r>
    <x v="229"/>
    <x v="1507"/>
    <x v="3"/>
    <x v="1"/>
    <x v="3"/>
    <x v="5"/>
    <x v="31"/>
    <x v="10"/>
    <x v="28"/>
    <x v="0"/>
  </r>
  <r>
    <x v="272"/>
    <x v="1508"/>
    <x v="4"/>
    <x v="0"/>
    <x v="3"/>
    <x v="65"/>
    <x v="80"/>
    <x v="43"/>
    <x v="69"/>
    <x v="0"/>
  </r>
  <r>
    <x v="263"/>
    <x v="1509"/>
    <x v="2"/>
    <x v="0"/>
    <x v="2"/>
    <x v="51"/>
    <x v="61"/>
    <x v="29"/>
    <x v="53"/>
    <x v="0"/>
  </r>
  <r>
    <x v="165"/>
    <x v="1510"/>
    <x v="1"/>
    <x v="0"/>
    <x v="1"/>
    <x v="38"/>
    <x v="46"/>
    <x v="21"/>
    <x v="40"/>
    <x v="0"/>
  </r>
  <r>
    <x v="53"/>
    <x v="1511"/>
    <x v="3"/>
    <x v="1"/>
    <x v="3"/>
    <x v="8"/>
    <x v="26"/>
    <x v="61"/>
    <x v="23"/>
    <x v="0"/>
  </r>
  <r>
    <x v="47"/>
    <x v="1512"/>
    <x v="3"/>
    <x v="1"/>
    <x v="3"/>
    <x v="26"/>
    <x v="32"/>
    <x v="35"/>
    <x v="29"/>
    <x v="0"/>
  </r>
  <r>
    <x v="266"/>
    <x v="1513"/>
    <x v="3"/>
    <x v="1"/>
    <x v="3"/>
    <x v="57"/>
    <x v="69"/>
    <x v="77"/>
    <x v="59"/>
    <x v="0"/>
  </r>
  <r>
    <x v="57"/>
    <x v="1514"/>
    <x v="3"/>
    <x v="1"/>
    <x v="3"/>
    <x v="1"/>
    <x v="53"/>
    <x v="26"/>
    <x v="46"/>
    <x v="0"/>
  </r>
  <r>
    <x v="211"/>
    <x v="1515"/>
    <x v="0"/>
    <x v="0"/>
    <x v="0"/>
    <x v="7"/>
    <x v="7"/>
    <x v="22"/>
    <x v="7"/>
    <x v="0"/>
  </r>
  <r>
    <x v="179"/>
    <x v="1516"/>
    <x v="1"/>
    <x v="0"/>
    <x v="1"/>
    <x v="19"/>
    <x v="73"/>
    <x v="17"/>
    <x v="46"/>
    <x v="0"/>
  </r>
  <r>
    <x v="60"/>
    <x v="1517"/>
    <x v="3"/>
    <x v="1"/>
    <x v="3"/>
    <x v="5"/>
    <x v="31"/>
    <x v="30"/>
    <x v="28"/>
    <x v="0"/>
  </r>
  <r>
    <x v="165"/>
    <x v="1518"/>
    <x v="4"/>
    <x v="0"/>
    <x v="3"/>
    <x v="71"/>
    <x v="88"/>
    <x v="79"/>
    <x v="76"/>
    <x v="0"/>
  </r>
  <r>
    <x v="285"/>
    <x v="1519"/>
    <x v="4"/>
    <x v="0"/>
    <x v="3"/>
    <x v="58"/>
    <x v="71"/>
    <x v="68"/>
    <x v="61"/>
    <x v="0"/>
  </r>
  <r>
    <x v="173"/>
    <x v="1520"/>
    <x v="3"/>
    <x v="1"/>
    <x v="3"/>
    <x v="8"/>
    <x v="26"/>
    <x v="95"/>
    <x v="23"/>
    <x v="0"/>
  </r>
  <r>
    <x v="257"/>
    <x v="1521"/>
    <x v="3"/>
    <x v="1"/>
    <x v="3"/>
    <x v="57"/>
    <x v="69"/>
    <x v="37"/>
    <x v="59"/>
    <x v="0"/>
  </r>
  <r>
    <x v="179"/>
    <x v="1522"/>
    <x v="3"/>
    <x v="1"/>
    <x v="3"/>
    <x v="29"/>
    <x v="37"/>
    <x v="93"/>
    <x v="32"/>
    <x v="0"/>
  </r>
  <r>
    <x v="299"/>
    <x v="1523"/>
    <x v="3"/>
    <x v="1"/>
    <x v="3"/>
    <x v="5"/>
    <x v="31"/>
    <x v="85"/>
    <x v="28"/>
    <x v="0"/>
  </r>
  <r>
    <x v="277"/>
    <x v="1524"/>
    <x v="3"/>
    <x v="1"/>
    <x v="3"/>
    <x v="6"/>
    <x v="21"/>
    <x v="54"/>
    <x v="20"/>
    <x v="0"/>
  </r>
  <r>
    <x v="122"/>
    <x v="1525"/>
    <x v="0"/>
    <x v="0"/>
    <x v="0"/>
    <x v="8"/>
    <x v="8"/>
    <x v="33"/>
    <x v="8"/>
    <x v="0"/>
  </r>
  <r>
    <x v="355"/>
    <x v="1526"/>
    <x v="0"/>
    <x v="0"/>
    <x v="0"/>
    <x v="5"/>
    <x v="5"/>
    <x v="39"/>
    <x v="5"/>
    <x v="0"/>
  </r>
  <r>
    <x v="258"/>
    <x v="1527"/>
    <x v="2"/>
    <x v="0"/>
    <x v="2"/>
    <x v="36"/>
    <x v="44"/>
    <x v="87"/>
    <x v="30"/>
    <x v="0"/>
  </r>
  <r>
    <x v="138"/>
    <x v="1528"/>
    <x v="1"/>
    <x v="0"/>
    <x v="1"/>
    <x v="25"/>
    <x v="30"/>
    <x v="54"/>
    <x v="27"/>
    <x v="0"/>
  </r>
  <r>
    <x v="173"/>
    <x v="1529"/>
    <x v="2"/>
    <x v="0"/>
    <x v="2"/>
    <x v="22"/>
    <x v="25"/>
    <x v="63"/>
    <x v="20"/>
    <x v="0"/>
  </r>
  <r>
    <x v="342"/>
    <x v="1530"/>
    <x v="0"/>
    <x v="0"/>
    <x v="0"/>
    <x v="8"/>
    <x v="8"/>
    <x v="69"/>
    <x v="8"/>
    <x v="0"/>
  </r>
  <r>
    <x v="22"/>
    <x v="1531"/>
    <x v="1"/>
    <x v="0"/>
    <x v="1"/>
    <x v="35"/>
    <x v="43"/>
    <x v="54"/>
    <x v="38"/>
    <x v="0"/>
  </r>
  <r>
    <x v="17"/>
    <x v="1532"/>
    <x v="1"/>
    <x v="0"/>
    <x v="1"/>
    <x v="18"/>
    <x v="63"/>
    <x v="72"/>
    <x v="6"/>
    <x v="0"/>
  </r>
  <r>
    <x v="317"/>
    <x v="1533"/>
    <x v="4"/>
    <x v="0"/>
    <x v="3"/>
    <x v="39"/>
    <x v="47"/>
    <x v="18"/>
    <x v="41"/>
    <x v="0"/>
  </r>
  <r>
    <x v="148"/>
    <x v="1534"/>
    <x v="1"/>
    <x v="0"/>
    <x v="1"/>
    <x v="25"/>
    <x v="30"/>
    <x v="33"/>
    <x v="27"/>
    <x v="0"/>
  </r>
  <r>
    <x v="360"/>
    <x v="1535"/>
    <x v="0"/>
    <x v="0"/>
    <x v="0"/>
    <x v="5"/>
    <x v="5"/>
    <x v="64"/>
    <x v="5"/>
    <x v="0"/>
  </r>
  <r>
    <x v="178"/>
    <x v="1536"/>
    <x v="0"/>
    <x v="0"/>
    <x v="0"/>
    <x v="7"/>
    <x v="7"/>
    <x v="39"/>
    <x v="7"/>
    <x v="0"/>
  </r>
  <r>
    <x v="69"/>
    <x v="1537"/>
    <x v="3"/>
    <x v="1"/>
    <x v="3"/>
    <x v="49"/>
    <x v="59"/>
    <x v="48"/>
    <x v="51"/>
    <x v="0"/>
  </r>
  <r>
    <x v="175"/>
    <x v="1538"/>
    <x v="3"/>
    <x v="1"/>
    <x v="3"/>
    <x v="7"/>
    <x v="20"/>
    <x v="65"/>
    <x v="10"/>
    <x v="0"/>
  </r>
  <r>
    <x v="133"/>
    <x v="1539"/>
    <x v="1"/>
    <x v="0"/>
    <x v="1"/>
    <x v="0"/>
    <x v="81"/>
    <x v="51"/>
    <x v="24"/>
    <x v="0"/>
  </r>
  <r>
    <x v="276"/>
    <x v="1540"/>
    <x v="3"/>
    <x v="1"/>
    <x v="3"/>
    <x v="45"/>
    <x v="56"/>
    <x v="69"/>
    <x v="48"/>
    <x v="0"/>
  </r>
  <r>
    <x v="194"/>
    <x v="1541"/>
    <x v="2"/>
    <x v="0"/>
    <x v="2"/>
    <x v="2"/>
    <x v="2"/>
    <x v="23"/>
    <x v="2"/>
    <x v="0"/>
  </r>
  <r>
    <x v="9"/>
    <x v="1542"/>
    <x v="2"/>
    <x v="0"/>
    <x v="2"/>
    <x v="3"/>
    <x v="3"/>
    <x v="21"/>
    <x v="3"/>
    <x v="0"/>
  </r>
  <r>
    <x v="83"/>
    <x v="1543"/>
    <x v="4"/>
    <x v="0"/>
    <x v="3"/>
    <x v="19"/>
    <x v="24"/>
    <x v="80"/>
    <x v="14"/>
    <x v="0"/>
  </r>
  <r>
    <x v="141"/>
    <x v="1544"/>
    <x v="3"/>
    <x v="1"/>
    <x v="3"/>
    <x v="0"/>
    <x v="55"/>
    <x v="59"/>
    <x v="8"/>
    <x v="0"/>
  </r>
  <r>
    <x v="276"/>
    <x v="1545"/>
    <x v="4"/>
    <x v="0"/>
    <x v="3"/>
    <x v="7"/>
    <x v="20"/>
    <x v="72"/>
    <x v="10"/>
    <x v="0"/>
  </r>
  <r>
    <x v="274"/>
    <x v="1546"/>
    <x v="0"/>
    <x v="0"/>
    <x v="0"/>
    <x v="8"/>
    <x v="8"/>
    <x v="73"/>
    <x v="8"/>
    <x v="0"/>
  </r>
  <r>
    <x v="150"/>
    <x v="1547"/>
    <x v="1"/>
    <x v="0"/>
    <x v="1"/>
    <x v="40"/>
    <x v="48"/>
    <x v="77"/>
    <x v="42"/>
    <x v="0"/>
  </r>
  <r>
    <x v="253"/>
    <x v="1548"/>
    <x v="1"/>
    <x v="0"/>
    <x v="1"/>
    <x v="48"/>
    <x v="58"/>
    <x v="12"/>
    <x v="50"/>
    <x v="0"/>
  </r>
  <r>
    <x v="261"/>
    <x v="1549"/>
    <x v="1"/>
    <x v="0"/>
    <x v="1"/>
    <x v="54"/>
    <x v="65"/>
    <x v="57"/>
    <x v="56"/>
    <x v="0"/>
  </r>
  <r>
    <x v="353"/>
    <x v="1550"/>
    <x v="3"/>
    <x v="1"/>
    <x v="3"/>
    <x v="78"/>
    <x v="97"/>
    <x v="21"/>
    <x v="84"/>
    <x v="0"/>
  </r>
  <r>
    <x v="138"/>
    <x v="1551"/>
    <x v="3"/>
    <x v="1"/>
    <x v="3"/>
    <x v="18"/>
    <x v="18"/>
    <x v="36"/>
    <x v="18"/>
    <x v="0"/>
  </r>
  <r>
    <x v="76"/>
    <x v="1552"/>
    <x v="2"/>
    <x v="0"/>
    <x v="2"/>
    <x v="12"/>
    <x v="17"/>
    <x v="40"/>
    <x v="77"/>
    <x v="0"/>
  </r>
  <r>
    <x v="351"/>
    <x v="1553"/>
    <x v="4"/>
    <x v="0"/>
    <x v="3"/>
    <x v="21"/>
    <x v="23"/>
    <x v="61"/>
    <x v="22"/>
    <x v="0"/>
  </r>
  <r>
    <x v="171"/>
    <x v="1554"/>
    <x v="2"/>
    <x v="0"/>
    <x v="2"/>
    <x v="3"/>
    <x v="3"/>
    <x v="70"/>
    <x v="3"/>
    <x v="0"/>
  </r>
  <r>
    <x v="128"/>
    <x v="1555"/>
    <x v="2"/>
    <x v="0"/>
    <x v="2"/>
    <x v="3"/>
    <x v="3"/>
    <x v="24"/>
    <x v="3"/>
    <x v="0"/>
  </r>
  <r>
    <x v="23"/>
    <x v="1556"/>
    <x v="3"/>
    <x v="1"/>
    <x v="3"/>
    <x v="45"/>
    <x v="56"/>
    <x v="10"/>
    <x v="48"/>
    <x v="0"/>
  </r>
  <r>
    <x v="209"/>
    <x v="1557"/>
    <x v="2"/>
    <x v="0"/>
    <x v="2"/>
    <x v="3"/>
    <x v="3"/>
    <x v="55"/>
    <x v="3"/>
    <x v="0"/>
  </r>
  <r>
    <x v="180"/>
    <x v="1558"/>
    <x v="2"/>
    <x v="0"/>
    <x v="2"/>
    <x v="8"/>
    <x v="35"/>
    <x v="65"/>
    <x v="18"/>
    <x v="0"/>
  </r>
  <r>
    <x v="221"/>
    <x v="1559"/>
    <x v="3"/>
    <x v="1"/>
    <x v="3"/>
    <x v="26"/>
    <x v="32"/>
    <x v="80"/>
    <x v="29"/>
    <x v="0"/>
  </r>
  <r>
    <x v="257"/>
    <x v="1560"/>
    <x v="3"/>
    <x v="1"/>
    <x v="3"/>
    <x v="45"/>
    <x v="56"/>
    <x v="60"/>
    <x v="48"/>
    <x v="0"/>
  </r>
  <r>
    <x v="64"/>
    <x v="1561"/>
    <x v="4"/>
    <x v="0"/>
    <x v="3"/>
    <x v="17"/>
    <x v="17"/>
    <x v="30"/>
    <x v="17"/>
    <x v="0"/>
  </r>
  <r>
    <x v="78"/>
    <x v="1562"/>
    <x v="3"/>
    <x v="1"/>
    <x v="3"/>
    <x v="26"/>
    <x v="32"/>
    <x v="5"/>
    <x v="29"/>
    <x v="0"/>
  </r>
  <r>
    <x v="348"/>
    <x v="1563"/>
    <x v="4"/>
    <x v="0"/>
    <x v="3"/>
    <x v="39"/>
    <x v="47"/>
    <x v="32"/>
    <x v="41"/>
    <x v="0"/>
  </r>
  <r>
    <x v="138"/>
    <x v="1564"/>
    <x v="0"/>
    <x v="0"/>
    <x v="0"/>
    <x v="19"/>
    <x v="19"/>
    <x v="38"/>
    <x v="19"/>
    <x v="0"/>
  </r>
  <r>
    <x v="194"/>
    <x v="1565"/>
    <x v="0"/>
    <x v="0"/>
    <x v="0"/>
    <x v="7"/>
    <x v="7"/>
    <x v="73"/>
    <x v="7"/>
    <x v="0"/>
  </r>
  <r>
    <x v="140"/>
    <x v="1566"/>
    <x v="4"/>
    <x v="0"/>
    <x v="3"/>
    <x v="39"/>
    <x v="47"/>
    <x v="56"/>
    <x v="41"/>
    <x v="0"/>
  </r>
  <r>
    <x v="358"/>
    <x v="1567"/>
    <x v="0"/>
    <x v="0"/>
    <x v="0"/>
    <x v="7"/>
    <x v="7"/>
    <x v="66"/>
    <x v="7"/>
    <x v="0"/>
  </r>
  <r>
    <x v="34"/>
    <x v="1568"/>
    <x v="1"/>
    <x v="0"/>
    <x v="1"/>
    <x v="24"/>
    <x v="29"/>
    <x v="77"/>
    <x v="26"/>
    <x v="0"/>
  </r>
  <r>
    <x v="338"/>
    <x v="1569"/>
    <x v="0"/>
    <x v="0"/>
    <x v="0"/>
    <x v="5"/>
    <x v="5"/>
    <x v="74"/>
    <x v="5"/>
    <x v="0"/>
  </r>
  <r>
    <x v="293"/>
    <x v="1570"/>
    <x v="4"/>
    <x v="0"/>
    <x v="3"/>
    <x v="47"/>
    <x v="94"/>
    <x v="80"/>
    <x v="81"/>
    <x v="0"/>
  </r>
  <r>
    <x v="328"/>
    <x v="1571"/>
    <x v="3"/>
    <x v="1"/>
    <x v="3"/>
    <x v="7"/>
    <x v="20"/>
    <x v="72"/>
    <x v="10"/>
    <x v="0"/>
  </r>
  <r>
    <x v="73"/>
    <x v="1572"/>
    <x v="2"/>
    <x v="0"/>
    <x v="2"/>
    <x v="37"/>
    <x v="45"/>
    <x v="83"/>
    <x v="39"/>
    <x v="0"/>
  </r>
  <r>
    <x v="4"/>
    <x v="1573"/>
    <x v="1"/>
    <x v="0"/>
    <x v="1"/>
    <x v="28"/>
    <x v="36"/>
    <x v="48"/>
    <x v="31"/>
    <x v="0"/>
  </r>
  <r>
    <x v="69"/>
    <x v="1574"/>
    <x v="4"/>
    <x v="0"/>
    <x v="3"/>
    <x v="50"/>
    <x v="60"/>
    <x v="43"/>
    <x v="52"/>
    <x v="0"/>
  </r>
  <r>
    <x v="323"/>
    <x v="1575"/>
    <x v="2"/>
    <x v="0"/>
    <x v="2"/>
    <x v="9"/>
    <x v="9"/>
    <x v="10"/>
    <x v="9"/>
    <x v="0"/>
  </r>
  <r>
    <x v="2"/>
    <x v="1576"/>
    <x v="0"/>
    <x v="0"/>
    <x v="0"/>
    <x v="7"/>
    <x v="7"/>
    <x v="92"/>
    <x v="7"/>
    <x v="0"/>
  </r>
  <r>
    <x v="74"/>
    <x v="1577"/>
    <x v="0"/>
    <x v="0"/>
    <x v="0"/>
    <x v="7"/>
    <x v="7"/>
    <x v="26"/>
    <x v="7"/>
    <x v="0"/>
  </r>
  <r>
    <x v="28"/>
    <x v="1578"/>
    <x v="0"/>
    <x v="0"/>
    <x v="0"/>
    <x v="0"/>
    <x v="0"/>
    <x v="38"/>
    <x v="0"/>
    <x v="0"/>
  </r>
  <r>
    <x v="195"/>
    <x v="1579"/>
    <x v="0"/>
    <x v="0"/>
    <x v="0"/>
    <x v="19"/>
    <x v="19"/>
    <x v="64"/>
    <x v="19"/>
    <x v="0"/>
  </r>
  <r>
    <x v="136"/>
    <x v="1580"/>
    <x v="0"/>
    <x v="0"/>
    <x v="0"/>
    <x v="19"/>
    <x v="19"/>
    <x v="38"/>
    <x v="19"/>
    <x v="0"/>
  </r>
  <r>
    <x v="38"/>
    <x v="1581"/>
    <x v="1"/>
    <x v="0"/>
    <x v="1"/>
    <x v="53"/>
    <x v="64"/>
    <x v="13"/>
    <x v="55"/>
    <x v="0"/>
  </r>
  <r>
    <x v="139"/>
    <x v="1582"/>
    <x v="2"/>
    <x v="0"/>
    <x v="2"/>
    <x v="36"/>
    <x v="44"/>
    <x v="27"/>
    <x v="30"/>
    <x v="0"/>
  </r>
  <r>
    <x v="303"/>
    <x v="1583"/>
    <x v="0"/>
    <x v="0"/>
    <x v="0"/>
    <x v="0"/>
    <x v="0"/>
    <x v="8"/>
    <x v="0"/>
    <x v="0"/>
  </r>
  <r>
    <x v="229"/>
    <x v="1584"/>
    <x v="1"/>
    <x v="0"/>
    <x v="1"/>
    <x v="27"/>
    <x v="33"/>
    <x v="34"/>
    <x v="5"/>
    <x v="0"/>
  </r>
  <r>
    <x v="153"/>
    <x v="1585"/>
    <x v="2"/>
    <x v="0"/>
    <x v="2"/>
    <x v="8"/>
    <x v="35"/>
    <x v="79"/>
    <x v="18"/>
    <x v="0"/>
  </r>
  <r>
    <x v="40"/>
    <x v="1586"/>
    <x v="1"/>
    <x v="0"/>
    <x v="1"/>
    <x v="40"/>
    <x v="48"/>
    <x v="93"/>
    <x v="42"/>
    <x v="0"/>
  </r>
  <r>
    <x v="275"/>
    <x v="1587"/>
    <x v="1"/>
    <x v="0"/>
    <x v="1"/>
    <x v="75"/>
    <x v="93"/>
    <x v="84"/>
    <x v="80"/>
    <x v="0"/>
  </r>
  <r>
    <x v="343"/>
    <x v="1588"/>
    <x v="0"/>
    <x v="0"/>
    <x v="0"/>
    <x v="7"/>
    <x v="7"/>
    <x v="5"/>
    <x v="7"/>
    <x v="0"/>
  </r>
  <r>
    <x v="317"/>
    <x v="1589"/>
    <x v="3"/>
    <x v="1"/>
    <x v="3"/>
    <x v="20"/>
    <x v="22"/>
    <x v="21"/>
    <x v="21"/>
    <x v="0"/>
  </r>
  <r>
    <x v="21"/>
    <x v="1590"/>
    <x v="4"/>
    <x v="0"/>
    <x v="3"/>
    <x v="56"/>
    <x v="67"/>
    <x v="65"/>
    <x v="58"/>
    <x v="0"/>
  </r>
  <r>
    <x v="328"/>
    <x v="1591"/>
    <x v="0"/>
    <x v="0"/>
    <x v="0"/>
    <x v="8"/>
    <x v="8"/>
    <x v="9"/>
    <x v="8"/>
    <x v="0"/>
  </r>
  <r>
    <x v="255"/>
    <x v="1592"/>
    <x v="2"/>
    <x v="0"/>
    <x v="2"/>
    <x v="8"/>
    <x v="35"/>
    <x v="50"/>
    <x v="18"/>
    <x v="0"/>
  </r>
  <r>
    <x v="95"/>
    <x v="1593"/>
    <x v="4"/>
    <x v="0"/>
    <x v="3"/>
    <x v="74"/>
    <x v="91"/>
    <x v="13"/>
    <x v="79"/>
    <x v="0"/>
  </r>
  <r>
    <x v="279"/>
    <x v="1594"/>
    <x v="0"/>
    <x v="0"/>
    <x v="0"/>
    <x v="0"/>
    <x v="0"/>
    <x v="33"/>
    <x v="0"/>
    <x v="0"/>
  </r>
  <r>
    <x v="290"/>
    <x v="1595"/>
    <x v="2"/>
    <x v="0"/>
    <x v="2"/>
    <x v="42"/>
    <x v="51"/>
    <x v="55"/>
    <x v="44"/>
    <x v="0"/>
  </r>
  <r>
    <x v="344"/>
    <x v="1596"/>
    <x v="2"/>
    <x v="0"/>
    <x v="2"/>
    <x v="6"/>
    <x v="6"/>
    <x v="80"/>
    <x v="6"/>
    <x v="0"/>
  </r>
  <r>
    <x v="361"/>
    <x v="1597"/>
    <x v="0"/>
    <x v="0"/>
    <x v="0"/>
    <x v="5"/>
    <x v="5"/>
    <x v="76"/>
    <x v="5"/>
    <x v="0"/>
  </r>
  <r>
    <x v="345"/>
    <x v="1598"/>
    <x v="0"/>
    <x v="0"/>
    <x v="0"/>
    <x v="0"/>
    <x v="0"/>
    <x v="88"/>
    <x v="0"/>
    <x v="0"/>
  </r>
  <r>
    <x v="334"/>
    <x v="1599"/>
    <x v="1"/>
    <x v="0"/>
    <x v="1"/>
    <x v="16"/>
    <x v="76"/>
    <x v="71"/>
    <x v="65"/>
    <x v="0"/>
  </r>
  <r>
    <x v="241"/>
    <x v="1600"/>
    <x v="0"/>
    <x v="0"/>
    <x v="0"/>
    <x v="8"/>
    <x v="8"/>
    <x v="64"/>
    <x v="8"/>
    <x v="0"/>
  </r>
  <r>
    <x v="307"/>
    <x v="1601"/>
    <x v="4"/>
    <x v="0"/>
    <x v="3"/>
    <x v="16"/>
    <x v="16"/>
    <x v="84"/>
    <x v="16"/>
    <x v="0"/>
  </r>
  <r>
    <x v="14"/>
    <x v="1602"/>
    <x v="0"/>
    <x v="0"/>
    <x v="0"/>
    <x v="0"/>
    <x v="0"/>
    <x v="38"/>
    <x v="0"/>
    <x v="0"/>
  </r>
  <r>
    <x v="352"/>
    <x v="1603"/>
    <x v="3"/>
    <x v="1"/>
    <x v="3"/>
    <x v="57"/>
    <x v="69"/>
    <x v="62"/>
    <x v="59"/>
    <x v="0"/>
  </r>
  <r>
    <x v="244"/>
    <x v="1604"/>
    <x v="1"/>
    <x v="0"/>
    <x v="1"/>
    <x v="0"/>
    <x v="81"/>
    <x v="14"/>
    <x v="24"/>
    <x v="0"/>
  </r>
  <r>
    <x v="88"/>
    <x v="1605"/>
    <x v="2"/>
    <x v="0"/>
    <x v="2"/>
    <x v="77"/>
    <x v="96"/>
    <x v="69"/>
    <x v="83"/>
    <x v="0"/>
  </r>
  <r>
    <x v="243"/>
    <x v="1606"/>
    <x v="1"/>
    <x v="0"/>
    <x v="1"/>
    <x v="25"/>
    <x v="30"/>
    <x v="33"/>
    <x v="27"/>
    <x v="0"/>
  </r>
  <r>
    <x v="74"/>
    <x v="1607"/>
    <x v="0"/>
    <x v="0"/>
    <x v="0"/>
    <x v="7"/>
    <x v="7"/>
    <x v="26"/>
    <x v="7"/>
    <x v="0"/>
  </r>
  <r>
    <x v="6"/>
    <x v="1608"/>
    <x v="0"/>
    <x v="0"/>
    <x v="0"/>
    <x v="0"/>
    <x v="0"/>
    <x v="26"/>
    <x v="0"/>
    <x v="0"/>
  </r>
  <r>
    <x v="240"/>
    <x v="1609"/>
    <x v="3"/>
    <x v="1"/>
    <x v="3"/>
    <x v="26"/>
    <x v="32"/>
    <x v="35"/>
    <x v="29"/>
    <x v="0"/>
  </r>
  <r>
    <x v="229"/>
    <x v="1610"/>
    <x v="2"/>
    <x v="0"/>
    <x v="2"/>
    <x v="12"/>
    <x v="17"/>
    <x v="57"/>
    <x v="77"/>
    <x v="0"/>
  </r>
  <r>
    <x v="79"/>
    <x v="1611"/>
    <x v="3"/>
    <x v="1"/>
    <x v="3"/>
    <x v="58"/>
    <x v="71"/>
    <x v="28"/>
    <x v="61"/>
    <x v="0"/>
  </r>
  <r>
    <x v="301"/>
    <x v="1612"/>
    <x v="1"/>
    <x v="0"/>
    <x v="1"/>
    <x v="4"/>
    <x v="4"/>
    <x v="1"/>
    <x v="4"/>
    <x v="0"/>
  </r>
  <r>
    <x v="14"/>
    <x v="1613"/>
    <x v="4"/>
    <x v="0"/>
    <x v="3"/>
    <x v="59"/>
    <x v="72"/>
    <x v="89"/>
    <x v="62"/>
    <x v="0"/>
  </r>
  <r>
    <x v="252"/>
    <x v="1614"/>
    <x v="0"/>
    <x v="0"/>
    <x v="0"/>
    <x v="0"/>
    <x v="0"/>
    <x v="73"/>
    <x v="0"/>
    <x v="0"/>
  </r>
  <r>
    <x v="40"/>
    <x v="1615"/>
    <x v="0"/>
    <x v="0"/>
    <x v="0"/>
    <x v="19"/>
    <x v="19"/>
    <x v="88"/>
    <x v="19"/>
    <x v="0"/>
  </r>
  <r>
    <x v="104"/>
    <x v="1616"/>
    <x v="3"/>
    <x v="1"/>
    <x v="3"/>
    <x v="23"/>
    <x v="83"/>
    <x v="77"/>
    <x v="71"/>
    <x v="0"/>
  </r>
  <r>
    <x v="118"/>
    <x v="1617"/>
    <x v="0"/>
    <x v="0"/>
    <x v="0"/>
    <x v="0"/>
    <x v="0"/>
    <x v="26"/>
    <x v="0"/>
    <x v="0"/>
  </r>
  <r>
    <x v="277"/>
    <x v="1618"/>
    <x v="2"/>
    <x v="0"/>
    <x v="2"/>
    <x v="67"/>
    <x v="84"/>
    <x v="7"/>
    <x v="72"/>
    <x v="0"/>
  </r>
  <r>
    <x v="5"/>
    <x v="1619"/>
    <x v="4"/>
    <x v="0"/>
    <x v="3"/>
    <x v="31"/>
    <x v="39"/>
    <x v="55"/>
    <x v="34"/>
    <x v="0"/>
  </r>
  <r>
    <x v="324"/>
    <x v="1620"/>
    <x v="4"/>
    <x v="0"/>
    <x v="3"/>
    <x v="50"/>
    <x v="60"/>
    <x v="48"/>
    <x v="52"/>
    <x v="0"/>
  </r>
  <r>
    <x v="177"/>
    <x v="1621"/>
    <x v="3"/>
    <x v="1"/>
    <x v="3"/>
    <x v="43"/>
    <x v="52"/>
    <x v="86"/>
    <x v="45"/>
    <x v="0"/>
  </r>
  <r>
    <x v="259"/>
    <x v="1622"/>
    <x v="2"/>
    <x v="0"/>
    <x v="2"/>
    <x v="46"/>
    <x v="47"/>
    <x v="86"/>
    <x v="1"/>
    <x v="0"/>
  </r>
  <r>
    <x v="353"/>
    <x v="1623"/>
    <x v="2"/>
    <x v="0"/>
    <x v="2"/>
    <x v="36"/>
    <x v="44"/>
    <x v="56"/>
    <x v="30"/>
    <x v="0"/>
  </r>
  <r>
    <x v="178"/>
    <x v="1624"/>
    <x v="4"/>
    <x v="0"/>
    <x v="3"/>
    <x v="68"/>
    <x v="85"/>
    <x v="23"/>
    <x v="73"/>
    <x v="0"/>
  </r>
  <r>
    <x v="14"/>
    <x v="1625"/>
    <x v="2"/>
    <x v="0"/>
    <x v="2"/>
    <x v="61"/>
    <x v="75"/>
    <x v="60"/>
    <x v="64"/>
    <x v="0"/>
  </r>
  <r>
    <x v="175"/>
    <x v="1626"/>
    <x v="3"/>
    <x v="1"/>
    <x v="3"/>
    <x v="46"/>
    <x v="68"/>
    <x v="19"/>
    <x v="43"/>
    <x v="0"/>
  </r>
  <r>
    <x v="162"/>
    <x v="1627"/>
    <x v="1"/>
    <x v="0"/>
    <x v="1"/>
    <x v="16"/>
    <x v="76"/>
    <x v="90"/>
    <x v="65"/>
    <x v="0"/>
  </r>
  <r>
    <x v="140"/>
    <x v="1628"/>
    <x v="0"/>
    <x v="0"/>
    <x v="0"/>
    <x v="7"/>
    <x v="7"/>
    <x v="8"/>
    <x v="7"/>
    <x v="0"/>
  </r>
  <r>
    <x v="246"/>
    <x v="1629"/>
    <x v="0"/>
    <x v="0"/>
    <x v="0"/>
    <x v="19"/>
    <x v="19"/>
    <x v="26"/>
    <x v="19"/>
    <x v="0"/>
  </r>
  <r>
    <x v="120"/>
    <x v="1630"/>
    <x v="3"/>
    <x v="1"/>
    <x v="3"/>
    <x v="8"/>
    <x v="26"/>
    <x v="23"/>
    <x v="23"/>
    <x v="0"/>
  </r>
  <r>
    <x v="108"/>
    <x v="1631"/>
    <x v="2"/>
    <x v="0"/>
    <x v="2"/>
    <x v="46"/>
    <x v="47"/>
    <x v="52"/>
    <x v="1"/>
    <x v="0"/>
  </r>
  <r>
    <x v="283"/>
    <x v="1632"/>
    <x v="1"/>
    <x v="0"/>
    <x v="1"/>
    <x v="70"/>
    <x v="87"/>
    <x v="48"/>
    <x v="75"/>
    <x v="0"/>
  </r>
  <r>
    <x v="111"/>
    <x v="1633"/>
    <x v="4"/>
    <x v="0"/>
    <x v="3"/>
    <x v="16"/>
    <x v="16"/>
    <x v="83"/>
    <x v="16"/>
    <x v="0"/>
  </r>
  <r>
    <x v="56"/>
    <x v="1634"/>
    <x v="3"/>
    <x v="1"/>
    <x v="3"/>
    <x v="20"/>
    <x v="22"/>
    <x v="19"/>
    <x v="21"/>
    <x v="0"/>
  </r>
  <r>
    <x v="123"/>
    <x v="1635"/>
    <x v="4"/>
    <x v="0"/>
    <x v="3"/>
    <x v="44"/>
    <x v="54"/>
    <x v="80"/>
    <x v="47"/>
    <x v="0"/>
  </r>
  <r>
    <x v="46"/>
    <x v="1636"/>
    <x v="0"/>
    <x v="0"/>
    <x v="0"/>
    <x v="7"/>
    <x v="7"/>
    <x v="70"/>
    <x v="7"/>
    <x v="0"/>
  </r>
  <r>
    <x v="319"/>
    <x v="1637"/>
    <x v="4"/>
    <x v="0"/>
    <x v="3"/>
    <x v="59"/>
    <x v="72"/>
    <x v="59"/>
    <x v="62"/>
    <x v="0"/>
  </r>
  <r>
    <x v="299"/>
    <x v="1638"/>
    <x v="1"/>
    <x v="0"/>
    <x v="1"/>
    <x v="4"/>
    <x v="4"/>
    <x v="77"/>
    <x v="4"/>
    <x v="0"/>
  </r>
  <r>
    <x v="357"/>
    <x v="1639"/>
    <x v="2"/>
    <x v="0"/>
    <x v="2"/>
    <x v="19"/>
    <x v="27"/>
    <x v="34"/>
    <x v="24"/>
    <x v="0"/>
  </r>
  <r>
    <x v="345"/>
    <x v="1640"/>
    <x v="4"/>
    <x v="0"/>
    <x v="3"/>
    <x v="19"/>
    <x v="24"/>
    <x v="56"/>
    <x v="14"/>
    <x v="0"/>
  </r>
  <r>
    <x v="333"/>
    <x v="1641"/>
    <x v="3"/>
    <x v="1"/>
    <x v="3"/>
    <x v="19"/>
    <x v="24"/>
    <x v="56"/>
    <x v="14"/>
    <x v="0"/>
  </r>
  <r>
    <x v="268"/>
    <x v="1642"/>
    <x v="0"/>
    <x v="0"/>
    <x v="0"/>
    <x v="0"/>
    <x v="0"/>
    <x v="70"/>
    <x v="0"/>
    <x v="0"/>
  </r>
  <r>
    <x v="287"/>
    <x v="1643"/>
    <x v="1"/>
    <x v="0"/>
    <x v="1"/>
    <x v="16"/>
    <x v="76"/>
    <x v="11"/>
    <x v="65"/>
    <x v="0"/>
  </r>
  <r>
    <x v="72"/>
    <x v="1644"/>
    <x v="1"/>
    <x v="0"/>
    <x v="1"/>
    <x v="54"/>
    <x v="65"/>
    <x v="57"/>
    <x v="56"/>
    <x v="0"/>
  </r>
  <r>
    <x v="162"/>
    <x v="1645"/>
    <x v="2"/>
    <x v="0"/>
    <x v="2"/>
    <x v="12"/>
    <x v="17"/>
    <x v="1"/>
    <x v="77"/>
    <x v="0"/>
  </r>
  <r>
    <x v="344"/>
    <x v="1646"/>
    <x v="1"/>
    <x v="0"/>
    <x v="1"/>
    <x v="0"/>
    <x v="81"/>
    <x v="77"/>
    <x v="24"/>
    <x v="0"/>
  </r>
  <r>
    <x v="46"/>
    <x v="1647"/>
    <x v="1"/>
    <x v="0"/>
    <x v="1"/>
    <x v="33"/>
    <x v="41"/>
    <x v="68"/>
    <x v="36"/>
    <x v="0"/>
  </r>
  <r>
    <x v="277"/>
    <x v="1648"/>
    <x v="3"/>
    <x v="1"/>
    <x v="3"/>
    <x v="58"/>
    <x v="71"/>
    <x v="4"/>
    <x v="61"/>
    <x v="0"/>
  </r>
  <r>
    <x v="132"/>
    <x v="1649"/>
    <x v="3"/>
    <x v="1"/>
    <x v="3"/>
    <x v="1"/>
    <x v="53"/>
    <x v="81"/>
    <x v="46"/>
    <x v="0"/>
  </r>
  <r>
    <x v="241"/>
    <x v="1650"/>
    <x v="1"/>
    <x v="0"/>
    <x v="1"/>
    <x v="47"/>
    <x v="57"/>
    <x v="47"/>
    <x v="49"/>
    <x v="0"/>
  </r>
  <r>
    <x v="264"/>
    <x v="1651"/>
    <x v="3"/>
    <x v="1"/>
    <x v="3"/>
    <x v="43"/>
    <x v="52"/>
    <x v="42"/>
    <x v="45"/>
    <x v="0"/>
  </r>
  <r>
    <x v="271"/>
    <x v="1652"/>
    <x v="0"/>
    <x v="0"/>
    <x v="0"/>
    <x v="19"/>
    <x v="19"/>
    <x v="38"/>
    <x v="19"/>
    <x v="0"/>
  </r>
  <r>
    <x v="238"/>
    <x v="1653"/>
    <x v="3"/>
    <x v="1"/>
    <x v="3"/>
    <x v="6"/>
    <x v="21"/>
    <x v="40"/>
    <x v="20"/>
    <x v="0"/>
  </r>
  <r>
    <x v="116"/>
    <x v="1654"/>
    <x v="0"/>
    <x v="0"/>
    <x v="0"/>
    <x v="5"/>
    <x v="5"/>
    <x v="25"/>
    <x v="5"/>
    <x v="0"/>
  </r>
  <r>
    <x v="199"/>
    <x v="1655"/>
    <x v="4"/>
    <x v="0"/>
    <x v="3"/>
    <x v="65"/>
    <x v="80"/>
    <x v="4"/>
    <x v="69"/>
    <x v="0"/>
  </r>
  <r>
    <x v="337"/>
    <x v="1656"/>
    <x v="3"/>
    <x v="1"/>
    <x v="3"/>
    <x v="18"/>
    <x v="18"/>
    <x v="52"/>
    <x v="18"/>
    <x v="0"/>
  </r>
  <r>
    <x v="337"/>
    <x v="1657"/>
    <x v="4"/>
    <x v="0"/>
    <x v="3"/>
    <x v="55"/>
    <x v="66"/>
    <x v="53"/>
    <x v="57"/>
    <x v="0"/>
  </r>
  <r>
    <x v="5"/>
    <x v="1658"/>
    <x v="1"/>
    <x v="0"/>
    <x v="1"/>
    <x v="34"/>
    <x v="42"/>
    <x v="2"/>
    <x v="37"/>
    <x v="0"/>
  </r>
  <r>
    <x v="103"/>
    <x v="1659"/>
    <x v="0"/>
    <x v="0"/>
    <x v="0"/>
    <x v="5"/>
    <x v="5"/>
    <x v="41"/>
    <x v="5"/>
    <x v="0"/>
  </r>
  <r>
    <x v="322"/>
    <x v="1660"/>
    <x v="0"/>
    <x v="0"/>
    <x v="0"/>
    <x v="8"/>
    <x v="8"/>
    <x v="78"/>
    <x v="8"/>
    <x v="0"/>
  </r>
  <r>
    <x v="118"/>
    <x v="1661"/>
    <x v="0"/>
    <x v="0"/>
    <x v="0"/>
    <x v="0"/>
    <x v="0"/>
    <x v="6"/>
    <x v="0"/>
    <x v="0"/>
  </r>
  <r>
    <x v="338"/>
    <x v="1662"/>
    <x v="0"/>
    <x v="0"/>
    <x v="0"/>
    <x v="8"/>
    <x v="8"/>
    <x v="92"/>
    <x v="8"/>
    <x v="0"/>
  </r>
  <r>
    <x v="330"/>
    <x v="1663"/>
    <x v="3"/>
    <x v="1"/>
    <x v="3"/>
    <x v="6"/>
    <x v="21"/>
    <x v="53"/>
    <x v="20"/>
    <x v="0"/>
  </r>
  <r>
    <x v="147"/>
    <x v="1664"/>
    <x v="4"/>
    <x v="0"/>
    <x v="3"/>
    <x v="65"/>
    <x v="80"/>
    <x v="1"/>
    <x v="69"/>
    <x v="0"/>
  </r>
  <r>
    <x v="349"/>
    <x v="1665"/>
    <x v="4"/>
    <x v="0"/>
    <x v="3"/>
    <x v="32"/>
    <x v="40"/>
    <x v="37"/>
    <x v="35"/>
    <x v="0"/>
  </r>
  <r>
    <x v="351"/>
    <x v="1666"/>
    <x v="3"/>
    <x v="1"/>
    <x v="3"/>
    <x v="19"/>
    <x v="24"/>
    <x v="40"/>
    <x v="14"/>
    <x v="0"/>
  </r>
  <r>
    <x v="274"/>
    <x v="1667"/>
    <x v="4"/>
    <x v="0"/>
    <x v="3"/>
    <x v="73"/>
    <x v="90"/>
    <x v="60"/>
    <x v="78"/>
    <x v="0"/>
  </r>
  <r>
    <x v="216"/>
    <x v="1668"/>
    <x v="3"/>
    <x v="1"/>
    <x v="3"/>
    <x v="7"/>
    <x v="20"/>
    <x v="17"/>
    <x v="10"/>
    <x v="0"/>
  </r>
  <r>
    <x v="279"/>
    <x v="1669"/>
    <x v="4"/>
    <x v="0"/>
    <x v="3"/>
    <x v="62"/>
    <x v="77"/>
    <x v="48"/>
    <x v="66"/>
    <x v="0"/>
  </r>
  <r>
    <x v="35"/>
    <x v="1670"/>
    <x v="2"/>
    <x v="0"/>
    <x v="2"/>
    <x v="19"/>
    <x v="27"/>
    <x v="63"/>
    <x v="24"/>
    <x v="0"/>
  </r>
  <r>
    <x v="309"/>
    <x v="1671"/>
    <x v="1"/>
    <x v="0"/>
    <x v="1"/>
    <x v="4"/>
    <x v="4"/>
    <x v="59"/>
    <x v="4"/>
    <x v="0"/>
  </r>
  <r>
    <x v="8"/>
    <x v="1672"/>
    <x v="4"/>
    <x v="0"/>
    <x v="3"/>
    <x v="59"/>
    <x v="72"/>
    <x v="61"/>
    <x v="62"/>
    <x v="0"/>
  </r>
  <r>
    <x v="83"/>
    <x v="1673"/>
    <x v="0"/>
    <x v="0"/>
    <x v="0"/>
    <x v="5"/>
    <x v="5"/>
    <x v="92"/>
    <x v="5"/>
    <x v="0"/>
  </r>
  <r>
    <x v="60"/>
    <x v="1674"/>
    <x v="4"/>
    <x v="0"/>
    <x v="3"/>
    <x v="21"/>
    <x v="23"/>
    <x v="35"/>
    <x v="22"/>
    <x v="0"/>
  </r>
  <r>
    <x v="205"/>
    <x v="1675"/>
    <x v="4"/>
    <x v="0"/>
    <x v="3"/>
    <x v="68"/>
    <x v="85"/>
    <x v="46"/>
    <x v="73"/>
    <x v="0"/>
  </r>
  <r>
    <x v="34"/>
    <x v="1676"/>
    <x v="0"/>
    <x v="0"/>
    <x v="0"/>
    <x v="0"/>
    <x v="0"/>
    <x v="88"/>
    <x v="0"/>
    <x v="0"/>
  </r>
  <r>
    <x v="66"/>
    <x v="1677"/>
    <x v="1"/>
    <x v="0"/>
    <x v="1"/>
    <x v="38"/>
    <x v="46"/>
    <x v="40"/>
    <x v="40"/>
    <x v="0"/>
  </r>
  <r>
    <x v="339"/>
    <x v="1678"/>
    <x v="2"/>
    <x v="0"/>
    <x v="2"/>
    <x v="51"/>
    <x v="61"/>
    <x v="10"/>
    <x v="53"/>
    <x v="0"/>
  </r>
  <r>
    <x v="212"/>
    <x v="1679"/>
    <x v="3"/>
    <x v="1"/>
    <x v="3"/>
    <x v="20"/>
    <x v="22"/>
    <x v="17"/>
    <x v="21"/>
    <x v="0"/>
  </r>
  <r>
    <x v="168"/>
    <x v="1680"/>
    <x v="2"/>
    <x v="0"/>
    <x v="2"/>
    <x v="41"/>
    <x v="50"/>
    <x v="43"/>
    <x v="43"/>
    <x v="0"/>
  </r>
  <r>
    <x v="183"/>
    <x v="1681"/>
    <x v="3"/>
    <x v="1"/>
    <x v="3"/>
    <x v="45"/>
    <x v="56"/>
    <x v="4"/>
    <x v="48"/>
    <x v="0"/>
  </r>
  <r>
    <x v="156"/>
    <x v="1682"/>
    <x v="4"/>
    <x v="0"/>
    <x v="3"/>
    <x v="32"/>
    <x v="40"/>
    <x v="1"/>
    <x v="35"/>
    <x v="0"/>
  </r>
  <r>
    <x v="290"/>
    <x v="1683"/>
    <x v="4"/>
    <x v="0"/>
    <x v="3"/>
    <x v="5"/>
    <x v="31"/>
    <x v="90"/>
    <x v="28"/>
    <x v="0"/>
  </r>
  <r>
    <x v="144"/>
    <x v="1684"/>
    <x v="4"/>
    <x v="0"/>
    <x v="3"/>
    <x v="30"/>
    <x v="38"/>
    <x v="43"/>
    <x v="33"/>
    <x v="0"/>
  </r>
  <r>
    <x v="334"/>
    <x v="1685"/>
    <x v="2"/>
    <x v="0"/>
    <x v="2"/>
    <x v="61"/>
    <x v="75"/>
    <x v="48"/>
    <x v="64"/>
    <x v="0"/>
  </r>
  <r>
    <x v="2"/>
    <x v="1686"/>
    <x v="4"/>
    <x v="0"/>
    <x v="3"/>
    <x v="59"/>
    <x v="72"/>
    <x v="55"/>
    <x v="62"/>
    <x v="0"/>
  </r>
  <r>
    <x v="87"/>
    <x v="1687"/>
    <x v="3"/>
    <x v="1"/>
    <x v="3"/>
    <x v="5"/>
    <x v="31"/>
    <x v="59"/>
    <x v="28"/>
    <x v="0"/>
  </r>
  <r>
    <x v="11"/>
    <x v="1688"/>
    <x v="4"/>
    <x v="0"/>
    <x v="3"/>
    <x v="65"/>
    <x v="80"/>
    <x v="51"/>
    <x v="69"/>
    <x v="0"/>
  </r>
  <r>
    <x v="152"/>
    <x v="1689"/>
    <x v="2"/>
    <x v="0"/>
    <x v="2"/>
    <x v="19"/>
    <x v="27"/>
    <x v="5"/>
    <x v="24"/>
    <x v="0"/>
  </r>
  <r>
    <x v="70"/>
    <x v="1690"/>
    <x v="1"/>
    <x v="0"/>
    <x v="1"/>
    <x v="75"/>
    <x v="93"/>
    <x v="37"/>
    <x v="80"/>
    <x v="0"/>
  </r>
  <r>
    <x v="209"/>
    <x v="1691"/>
    <x v="2"/>
    <x v="0"/>
    <x v="2"/>
    <x v="6"/>
    <x v="6"/>
    <x v="7"/>
    <x v="6"/>
    <x v="0"/>
  </r>
  <r>
    <x v="196"/>
    <x v="1692"/>
    <x v="0"/>
    <x v="0"/>
    <x v="0"/>
    <x v="0"/>
    <x v="0"/>
    <x v="78"/>
    <x v="0"/>
    <x v="0"/>
  </r>
  <r>
    <x v="148"/>
    <x v="1693"/>
    <x v="0"/>
    <x v="0"/>
    <x v="0"/>
    <x v="0"/>
    <x v="0"/>
    <x v="66"/>
    <x v="0"/>
    <x v="0"/>
  </r>
  <r>
    <x v="67"/>
    <x v="1694"/>
    <x v="4"/>
    <x v="0"/>
    <x v="3"/>
    <x v="47"/>
    <x v="94"/>
    <x v="56"/>
    <x v="81"/>
    <x v="0"/>
  </r>
  <r>
    <x v="219"/>
    <x v="1695"/>
    <x v="3"/>
    <x v="1"/>
    <x v="3"/>
    <x v="0"/>
    <x v="55"/>
    <x v="13"/>
    <x v="8"/>
    <x v="0"/>
  </r>
  <r>
    <x v="302"/>
    <x v="1696"/>
    <x v="1"/>
    <x v="0"/>
    <x v="1"/>
    <x v="35"/>
    <x v="43"/>
    <x v="45"/>
    <x v="38"/>
    <x v="0"/>
  </r>
  <r>
    <x v="161"/>
    <x v="1697"/>
    <x v="1"/>
    <x v="0"/>
    <x v="1"/>
    <x v="34"/>
    <x v="42"/>
    <x v="12"/>
    <x v="37"/>
    <x v="0"/>
  </r>
  <r>
    <x v="353"/>
    <x v="1698"/>
    <x v="3"/>
    <x v="1"/>
    <x v="3"/>
    <x v="18"/>
    <x v="18"/>
    <x v="16"/>
    <x v="18"/>
    <x v="0"/>
  </r>
  <r>
    <x v="89"/>
    <x v="1699"/>
    <x v="3"/>
    <x v="1"/>
    <x v="3"/>
    <x v="23"/>
    <x v="83"/>
    <x v="10"/>
    <x v="71"/>
    <x v="0"/>
  </r>
  <r>
    <x v="113"/>
    <x v="1700"/>
    <x v="4"/>
    <x v="0"/>
    <x v="3"/>
    <x v="55"/>
    <x v="66"/>
    <x v="48"/>
    <x v="57"/>
    <x v="0"/>
  </r>
  <r>
    <x v="82"/>
    <x v="1701"/>
    <x v="0"/>
    <x v="0"/>
    <x v="0"/>
    <x v="7"/>
    <x v="7"/>
    <x v="34"/>
    <x v="7"/>
    <x v="0"/>
  </r>
  <r>
    <x v="75"/>
    <x v="1702"/>
    <x v="4"/>
    <x v="0"/>
    <x v="3"/>
    <x v="19"/>
    <x v="24"/>
    <x v="62"/>
    <x v="14"/>
    <x v="0"/>
  </r>
  <r>
    <x v="98"/>
    <x v="1703"/>
    <x v="4"/>
    <x v="0"/>
    <x v="3"/>
    <x v="50"/>
    <x v="60"/>
    <x v="81"/>
    <x v="52"/>
    <x v="0"/>
  </r>
  <r>
    <x v="221"/>
    <x v="1704"/>
    <x v="3"/>
    <x v="1"/>
    <x v="3"/>
    <x v="58"/>
    <x v="71"/>
    <x v="44"/>
    <x v="61"/>
    <x v="0"/>
  </r>
  <r>
    <x v="350"/>
    <x v="1705"/>
    <x v="1"/>
    <x v="0"/>
    <x v="1"/>
    <x v="48"/>
    <x v="58"/>
    <x v="12"/>
    <x v="50"/>
    <x v="0"/>
  </r>
  <r>
    <x v="302"/>
    <x v="1706"/>
    <x v="4"/>
    <x v="0"/>
    <x v="3"/>
    <x v="74"/>
    <x v="91"/>
    <x v="65"/>
    <x v="79"/>
    <x v="0"/>
  </r>
  <r>
    <x v="128"/>
    <x v="1707"/>
    <x v="2"/>
    <x v="0"/>
    <x v="2"/>
    <x v="36"/>
    <x v="44"/>
    <x v="45"/>
    <x v="30"/>
    <x v="0"/>
  </r>
  <r>
    <x v="252"/>
    <x v="1708"/>
    <x v="4"/>
    <x v="0"/>
    <x v="3"/>
    <x v="31"/>
    <x v="39"/>
    <x v="13"/>
    <x v="34"/>
    <x v="0"/>
  </r>
  <r>
    <x v="31"/>
    <x v="1709"/>
    <x v="2"/>
    <x v="0"/>
    <x v="2"/>
    <x v="22"/>
    <x v="25"/>
    <x v="46"/>
    <x v="20"/>
    <x v="0"/>
  </r>
  <r>
    <x v="113"/>
    <x v="1710"/>
    <x v="0"/>
    <x v="0"/>
    <x v="0"/>
    <x v="8"/>
    <x v="8"/>
    <x v="25"/>
    <x v="8"/>
    <x v="0"/>
  </r>
  <r>
    <x v="276"/>
    <x v="1711"/>
    <x v="4"/>
    <x v="0"/>
    <x v="3"/>
    <x v="64"/>
    <x v="79"/>
    <x v="55"/>
    <x v="68"/>
    <x v="0"/>
  </r>
  <r>
    <x v="332"/>
    <x v="1712"/>
    <x v="4"/>
    <x v="0"/>
    <x v="3"/>
    <x v="16"/>
    <x v="16"/>
    <x v="37"/>
    <x v="16"/>
    <x v="0"/>
  </r>
  <r>
    <x v="316"/>
    <x v="1713"/>
    <x v="2"/>
    <x v="0"/>
    <x v="2"/>
    <x v="41"/>
    <x v="50"/>
    <x v="70"/>
    <x v="43"/>
    <x v="0"/>
  </r>
  <r>
    <x v="50"/>
    <x v="1714"/>
    <x v="0"/>
    <x v="0"/>
    <x v="0"/>
    <x v="0"/>
    <x v="0"/>
    <x v="92"/>
    <x v="0"/>
    <x v="0"/>
  </r>
  <r>
    <x v="282"/>
    <x v="1715"/>
    <x v="4"/>
    <x v="0"/>
    <x v="3"/>
    <x v="64"/>
    <x v="79"/>
    <x v="30"/>
    <x v="68"/>
    <x v="0"/>
  </r>
  <r>
    <x v="101"/>
    <x v="1716"/>
    <x v="4"/>
    <x v="0"/>
    <x v="3"/>
    <x v="39"/>
    <x v="47"/>
    <x v="16"/>
    <x v="41"/>
    <x v="0"/>
  </r>
  <r>
    <x v="161"/>
    <x v="1717"/>
    <x v="3"/>
    <x v="1"/>
    <x v="3"/>
    <x v="49"/>
    <x v="59"/>
    <x v="21"/>
    <x v="51"/>
    <x v="0"/>
  </r>
  <r>
    <x v="200"/>
    <x v="1718"/>
    <x v="1"/>
    <x v="0"/>
    <x v="1"/>
    <x v="54"/>
    <x v="65"/>
    <x v="52"/>
    <x v="56"/>
    <x v="0"/>
  </r>
  <r>
    <x v="253"/>
    <x v="1719"/>
    <x v="2"/>
    <x v="0"/>
    <x v="2"/>
    <x v="77"/>
    <x v="96"/>
    <x v="36"/>
    <x v="83"/>
    <x v="0"/>
  </r>
  <r>
    <x v="105"/>
    <x v="1720"/>
    <x v="3"/>
    <x v="1"/>
    <x v="3"/>
    <x v="2"/>
    <x v="34"/>
    <x v="65"/>
    <x v="30"/>
    <x v="0"/>
  </r>
  <r>
    <x v="184"/>
    <x v="1721"/>
    <x v="2"/>
    <x v="0"/>
    <x v="2"/>
    <x v="10"/>
    <x v="10"/>
    <x v="61"/>
    <x v="10"/>
    <x v="0"/>
  </r>
  <r>
    <x v="338"/>
    <x v="1722"/>
    <x v="0"/>
    <x v="0"/>
    <x v="0"/>
    <x v="0"/>
    <x v="0"/>
    <x v="66"/>
    <x v="0"/>
    <x v="0"/>
  </r>
  <r>
    <x v="171"/>
    <x v="1723"/>
    <x v="0"/>
    <x v="0"/>
    <x v="0"/>
    <x v="7"/>
    <x v="7"/>
    <x v="77"/>
    <x v="7"/>
    <x v="0"/>
  </r>
  <r>
    <x v="298"/>
    <x v="1724"/>
    <x v="2"/>
    <x v="0"/>
    <x v="2"/>
    <x v="63"/>
    <x v="78"/>
    <x v="32"/>
    <x v="67"/>
    <x v="0"/>
  </r>
  <r>
    <x v="161"/>
    <x v="1725"/>
    <x v="1"/>
    <x v="0"/>
    <x v="1"/>
    <x v="0"/>
    <x v="81"/>
    <x v="3"/>
    <x v="24"/>
    <x v="0"/>
  </r>
  <r>
    <x v="293"/>
    <x v="1726"/>
    <x v="1"/>
    <x v="0"/>
    <x v="1"/>
    <x v="48"/>
    <x v="58"/>
    <x v="85"/>
    <x v="50"/>
    <x v="0"/>
  </r>
  <r>
    <x v="153"/>
    <x v="1727"/>
    <x v="3"/>
    <x v="1"/>
    <x v="3"/>
    <x v="26"/>
    <x v="32"/>
    <x v="1"/>
    <x v="29"/>
    <x v="0"/>
  </r>
  <r>
    <x v="105"/>
    <x v="1728"/>
    <x v="3"/>
    <x v="1"/>
    <x v="3"/>
    <x v="26"/>
    <x v="32"/>
    <x v="40"/>
    <x v="29"/>
    <x v="0"/>
  </r>
  <r>
    <x v="37"/>
    <x v="1729"/>
    <x v="3"/>
    <x v="1"/>
    <x v="3"/>
    <x v="23"/>
    <x v="83"/>
    <x v="3"/>
    <x v="71"/>
    <x v="0"/>
  </r>
  <r>
    <x v="295"/>
    <x v="1730"/>
    <x v="1"/>
    <x v="0"/>
    <x v="1"/>
    <x v="35"/>
    <x v="43"/>
    <x v="79"/>
    <x v="38"/>
    <x v="0"/>
  </r>
  <r>
    <x v="172"/>
    <x v="1731"/>
    <x v="3"/>
    <x v="1"/>
    <x v="3"/>
    <x v="58"/>
    <x v="71"/>
    <x v="75"/>
    <x v="61"/>
    <x v="0"/>
  </r>
  <r>
    <x v="6"/>
    <x v="1732"/>
    <x v="2"/>
    <x v="0"/>
    <x v="2"/>
    <x v="37"/>
    <x v="45"/>
    <x v="57"/>
    <x v="39"/>
    <x v="0"/>
  </r>
  <r>
    <x v="308"/>
    <x v="1733"/>
    <x v="4"/>
    <x v="0"/>
    <x v="3"/>
    <x v="21"/>
    <x v="23"/>
    <x v="30"/>
    <x v="22"/>
    <x v="0"/>
  </r>
  <r>
    <x v="284"/>
    <x v="1734"/>
    <x v="0"/>
    <x v="0"/>
    <x v="0"/>
    <x v="5"/>
    <x v="5"/>
    <x v="64"/>
    <x v="5"/>
    <x v="0"/>
  </r>
  <r>
    <x v="247"/>
    <x v="1735"/>
    <x v="4"/>
    <x v="0"/>
    <x v="3"/>
    <x v="30"/>
    <x v="38"/>
    <x v="49"/>
    <x v="33"/>
    <x v="0"/>
  </r>
  <r>
    <x v="148"/>
    <x v="1736"/>
    <x v="2"/>
    <x v="0"/>
    <x v="2"/>
    <x v="41"/>
    <x v="50"/>
    <x v="1"/>
    <x v="43"/>
    <x v="0"/>
  </r>
  <r>
    <x v="352"/>
    <x v="1737"/>
    <x v="3"/>
    <x v="1"/>
    <x v="3"/>
    <x v="1"/>
    <x v="53"/>
    <x v="36"/>
    <x v="46"/>
    <x v="0"/>
  </r>
  <r>
    <x v="264"/>
    <x v="1738"/>
    <x v="1"/>
    <x v="0"/>
    <x v="1"/>
    <x v="54"/>
    <x v="65"/>
    <x v="48"/>
    <x v="56"/>
    <x v="0"/>
  </r>
  <r>
    <x v="174"/>
    <x v="1739"/>
    <x v="4"/>
    <x v="0"/>
    <x v="3"/>
    <x v="19"/>
    <x v="24"/>
    <x v="1"/>
    <x v="14"/>
    <x v="0"/>
  </r>
  <r>
    <x v="233"/>
    <x v="1740"/>
    <x v="1"/>
    <x v="0"/>
    <x v="1"/>
    <x v="24"/>
    <x v="29"/>
    <x v="57"/>
    <x v="26"/>
    <x v="0"/>
  </r>
  <r>
    <x v="211"/>
    <x v="1741"/>
    <x v="1"/>
    <x v="0"/>
    <x v="1"/>
    <x v="28"/>
    <x v="36"/>
    <x v="77"/>
    <x v="31"/>
    <x v="0"/>
  </r>
  <r>
    <x v="157"/>
    <x v="1742"/>
    <x v="1"/>
    <x v="0"/>
    <x v="1"/>
    <x v="28"/>
    <x v="36"/>
    <x v="29"/>
    <x v="31"/>
    <x v="0"/>
  </r>
  <r>
    <x v="307"/>
    <x v="1743"/>
    <x v="2"/>
    <x v="0"/>
    <x v="2"/>
    <x v="5"/>
    <x v="92"/>
    <x v="22"/>
    <x v="46"/>
    <x v="0"/>
  </r>
  <r>
    <x v="352"/>
    <x v="1744"/>
    <x v="3"/>
    <x v="1"/>
    <x v="3"/>
    <x v="12"/>
    <x v="12"/>
    <x v="30"/>
    <x v="12"/>
    <x v="0"/>
  </r>
  <r>
    <x v="349"/>
    <x v="1745"/>
    <x v="0"/>
    <x v="0"/>
    <x v="0"/>
    <x v="7"/>
    <x v="7"/>
    <x v="10"/>
    <x v="7"/>
    <x v="0"/>
  </r>
  <r>
    <x v="111"/>
    <x v="1746"/>
    <x v="0"/>
    <x v="0"/>
    <x v="0"/>
    <x v="0"/>
    <x v="0"/>
    <x v="69"/>
    <x v="0"/>
    <x v="0"/>
  </r>
  <r>
    <x v="155"/>
    <x v="1747"/>
    <x v="0"/>
    <x v="0"/>
    <x v="0"/>
    <x v="0"/>
    <x v="0"/>
    <x v="41"/>
    <x v="0"/>
    <x v="0"/>
  </r>
  <r>
    <x v="77"/>
    <x v="1748"/>
    <x v="0"/>
    <x v="0"/>
    <x v="0"/>
    <x v="0"/>
    <x v="0"/>
    <x v="38"/>
    <x v="0"/>
    <x v="0"/>
  </r>
  <r>
    <x v="48"/>
    <x v="1749"/>
    <x v="2"/>
    <x v="0"/>
    <x v="2"/>
    <x v="8"/>
    <x v="35"/>
    <x v="19"/>
    <x v="18"/>
    <x v="0"/>
  </r>
  <r>
    <x v="109"/>
    <x v="1750"/>
    <x v="3"/>
    <x v="1"/>
    <x v="3"/>
    <x v="19"/>
    <x v="24"/>
    <x v="86"/>
    <x v="14"/>
    <x v="0"/>
  </r>
  <r>
    <x v="104"/>
    <x v="1751"/>
    <x v="2"/>
    <x v="0"/>
    <x v="2"/>
    <x v="2"/>
    <x v="2"/>
    <x v="67"/>
    <x v="2"/>
    <x v="0"/>
  </r>
  <r>
    <x v="215"/>
    <x v="1752"/>
    <x v="1"/>
    <x v="0"/>
    <x v="1"/>
    <x v="35"/>
    <x v="43"/>
    <x v="60"/>
    <x v="38"/>
    <x v="0"/>
  </r>
  <r>
    <x v="362"/>
    <x v="1753"/>
    <x v="0"/>
    <x v="0"/>
    <x v="0"/>
    <x v="5"/>
    <x v="5"/>
    <x v="67"/>
    <x v="5"/>
    <x v="0"/>
  </r>
  <r>
    <x v="201"/>
    <x v="1754"/>
    <x v="0"/>
    <x v="0"/>
    <x v="0"/>
    <x v="5"/>
    <x v="5"/>
    <x v="82"/>
    <x v="5"/>
    <x v="0"/>
  </r>
  <r>
    <x v="202"/>
    <x v="1755"/>
    <x v="0"/>
    <x v="0"/>
    <x v="0"/>
    <x v="0"/>
    <x v="0"/>
    <x v="39"/>
    <x v="0"/>
    <x v="0"/>
  </r>
  <r>
    <x v="319"/>
    <x v="1756"/>
    <x v="3"/>
    <x v="1"/>
    <x v="3"/>
    <x v="57"/>
    <x v="69"/>
    <x v="7"/>
    <x v="59"/>
    <x v="0"/>
  </r>
  <r>
    <x v="322"/>
    <x v="1757"/>
    <x v="3"/>
    <x v="1"/>
    <x v="3"/>
    <x v="20"/>
    <x v="22"/>
    <x v="12"/>
    <x v="21"/>
    <x v="0"/>
  </r>
  <r>
    <x v="178"/>
    <x v="1758"/>
    <x v="1"/>
    <x v="0"/>
    <x v="1"/>
    <x v="75"/>
    <x v="93"/>
    <x v="40"/>
    <x v="80"/>
    <x v="0"/>
  </r>
  <r>
    <x v="290"/>
    <x v="1759"/>
    <x v="0"/>
    <x v="0"/>
    <x v="0"/>
    <x v="5"/>
    <x v="5"/>
    <x v="9"/>
    <x v="5"/>
    <x v="0"/>
  </r>
  <r>
    <x v="310"/>
    <x v="1760"/>
    <x v="3"/>
    <x v="1"/>
    <x v="3"/>
    <x v="43"/>
    <x v="52"/>
    <x v="17"/>
    <x v="45"/>
    <x v="0"/>
  </r>
  <r>
    <x v="12"/>
    <x v="1761"/>
    <x v="2"/>
    <x v="0"/>
    <x v="2"/>
    <x v="9"/>
    <x v="9"/>
    <x v="83"/>
    <x v="9"/>
    <x v="0"/>
  </r>
  <r>
    <x v="143"/>
    <x v="1762"/>
    <x v="2"/>
    <x v="0"/>
    <x v="2"/>
    <x v="61"/>
    <x v="75"/>
    <x v="50"/>
    <x v="64"/>
    <x v="0"/>
  </r>
  <r>
    <x v="65"/>
    <x v="1763"/>
    <x v="4"/>
    <x v="0"/>
    <x v="3"/>
    <x v="11"/>
    <x v="11"/>
    <x v="40"/>
    <x v="11"/>
    <x v="0"/>
  </r>
  <r>
    <x v="192"/>
    <x v="1764"/>
    <x v="3"/>
    <x v="1"/>
    <x v="3"/>
    <x v="9"/>
    <x v="70"/>
    <x v="34"/>
    <x v="60"/>
    <x v="0"/>
  </r>
  <r>
    <x v="43"/>
    <x v="1765"/>
    <x v="2"/>
    <x v="0"/>
    <x v="2"/>
    <x v="3"/>
    <x v="3"/>
    <x v="13"/>
    <x v="3"/>
    <x v="0"/>
  </r>
  <r>
    <x v="59"/>
    <x v="1766"/>
    <x v="2"/>
    <x v="0"/>
    <x v="2"/>
    <x v="63"/>
    <x v="78"/>
    <x v="24"/>
    <x v="67"/>
    <x v="0"/>
  </r>
  <r>
    <x v="77"/>
    <x v="1767"/>
    <x v="4"/>
    <x v="0"/>
    <x v="3"/>
    <x v="32"/>
    <x v="40"/>
    <x v="12"/>
    <x v="35"/>
    <x v="0"/>
  </r>
  <r>
    <x v="111"/>
    <x v="1768"/>
    <x v="3"/>
    <x v="1"/>
    <x v="3"/>
    <x v="56"/>
    <x v="67"/>
    <x v="50"/>
    <x v="58"/>
    <x v="0"/>
  </r>
  <r>
    <x v="160"/>
    <x v="1769"/>
    <x v="0"/>
    <x v="0"/>
    <x v="0"/>
    <x v="7"/>
    <x v="7"/>
    <x v="92"/>
    <x v="7"/>
    <x v="0"/>
  </r>
  <r>
    <x v="299"/>
    <x v="1770"/>
    <x v="1"/>
    <x v="0"/>
    <x v="1"/>
    <x v="53"/>
    <x v="64"/>
    <x v="61"/>
    <x v="55"/>
    <x v="0"/>
  </r>
  <r>
    <x v="297"/>
    <x v="1771"/>
    <x v="0"/>
    <x v="0"/>
    <x v="0"/>
    <x v="5"/>
    <x v="5"/>
    <x v="6"/>
    <x v="5"/>
    <x v="0"/>
  </r>
  <r>
    <x v="39"/>
    <x v="1772"/>
    <x v="2"/>
    <x v="0"/>
    <x v="2"/>
    <x v="37"/>
    <x v="45"/>
    <x v="54"/>
    <x v="39"/>
    <x v="0"/>
  </r>
  <r>
    <x v="286"/>
    <x v="1773"/>
    <x v="1"/>
    <x v="0"/>
    <x v="1"/>
    <x v="35"/>
    <x v="43"/>
    <x v="16"/>
    <x v="38"/>
    <x v="0"/>
  </r>
  <r>
    <x v="227"/>
    <x v="1774"/>
    <x v="3"/>
    <x v="1"/>
    <x v="3"/>
    <x v="23"/>
    <x v="83"/>
    <x v="15"/>
    <x v="71"/>
    <x v="0"/>
  </r>
  <r>
    <x v="111"/>
    <x v="1775"/>
    <x v="0"/>
    <x v="0"/>
    <x v="0"/>
    <x v="19"/>
    <x v="19"/>
    <x v="70"/>
    <x v="19"/>
    <x v="0"/>
  </r>
  <r>
    <x v="205"/>
    <x v="1776"/>
    <x v="2"/>
    <x v="0"/>
    <x v="2"/>
    <x v="51"/>
    <x v="61"/>
    <x v="55"/>
    <x v="53"/>
    <x v="0"/>
  </r>
  <r>
    <x v="76"/>
    <x v="1777"/>
    <x v="1"/>
    <x v="0"/>
    <x v="1"/>
    <x v="18"/>
    <x v="63"/>
    <x v="7"/>
    <x v="6"/>
    <x v="0"/>
  </r>
  <r>
    <x v="202"/>
    <x v="1778"/>
    <x v="4"/>
    <x v="0"/>
    <x v="3"/>
    <x v="74"/>
    <x v="91"/>
    <x v="23"/>
    <x v="79"/>
    <x v="0"/>
  </r>
  <r>
    <x v="166"/>
    <x v="1779"/>
    <x v="0"/>
    <x v="0"/>
    <x v="0"/>
    <x v="8"/>
    <x v="8"/>
    <x v="64"/>
    <x v="8"/>
    <x v="0"/>
  </r>
  <r>
    <x v="55"/>
    <x v="1780"/>
    <x v="3"/>
    <x v="1"/>
    <x v="3"/>
    <x v="5"/>
    <x v="31"/>
    <x v="75"/>
    <x v="28"/>
    <x v="0"/>
  </r>
  <r>
    <x v="335"/>
    <x v="1781"/>
    <x v="1"/>
    <x v="0"/>
    <x v="1"/>
    <x v="47"/>
    <x v="57"/>
    <x v="64"/>
    <x v="49"/>
    <x v="0"/>
  </r>
  <r>
    <x v="312"/>
    <x v="1782"/>
    <x v="4"/>
    <x v="0"/>
    <x v="3"/>
    <x v="74"/>
    <x v="91"/>
    <x v="90"/>
    <x v="79"/>
    <x v="0"/>
  </r>
  <r>
    <x v="317"/>
    <x v="1783"/>
    <x v="1"/>
    <x v="0"/>
    <x v="1"/>
    <x v="40"/>
    <x v="48"/>
    <x v="55"/>
    <x v="42"/>
    <x v="0"/>
  </r>
  <r>
    <x v="346"/>
    <x v="1784"/>
    <x v="4"/>
    <x v="0"/>
    <x v="3"/>
    <x v="5"/>
    <x v="31"/>
    <x v="55"/>
    <x v="28"/>
    <x v="0"/>
  </r>
  <r>
    <x v="104"/>
    <x v="1785"/>
    <x v="1"/>
    <x v="0"/>
    <x v="1"/>
    <x v="70"/>
    <x v="87"/>
    <x v="14"/>
    <x v="75"/>
    <x v="0"/>
  </r>
  <r>
    <x v="133"/>
    <x v="1786"/>
    <x v="2"/>
    <x v="0"/>
    <x v="2"/>
    <x v="7"/>
    <x v="49"/>
    <x v="85"/>
    <x v="8"/>
    <x v="0"/>
  </r>
  <r>
    <x v="104"/>
    <x v="1787"/>
    <x v="1"/>
    <x v="0"/>
    <x v="1"/>
    <x v="72"/>
    <x v="89"/>
    <x v="21"/>
    <x v="19"/>
    <x v="0"/>
  </r>
  <r>
    <x v="240"/>
    <x v="1788"/>
    <x v="4"/>
    <x v="0"/>
    <x v="3"/>
    <x v="31"/>
    <x v="39"/>
    <x v="2"/>
    <x v="34"/>
    <x v="0"/>
  </r>
  <r>
    <x v="185"/>
    <x v="1789"/>
    <x v="4"/>
    <x v="0"/>
    <x v="3"/>
    <x v="74"/>
    <x v="91"/>
    <x v="43"/>
    <x v="79"/>
    <x v="0"/>
  </r>
  <r>
    <x v="331"/>
    <x v="1790"/>
    <x v="3"/>
    <x v="1"/>
    <x v="3"/>
    <x v="45"/>
    <x v="56"/>
    <x v="53"/>
    <x v="48"/>
    <x v="0"/>
  </r>
  <r>
    <x v="230"/>
    <x v="1791"/>
    <x v="2"/>
    <x v="0"/>
    <x v="2"/>
    <x v="13"/>
    <x v="13"/>
    <x v="14"/>
    <x v="13"/>
    <x v="0"/>
  </r>
  <r>
    <x v="255"/>
    <x v="1792"/>
    <x v="1"/>
    <x v="0"/>
    <x v="1"/>
    <x v="40"/>
    <x v="48"/>
    <x v="81"/>
    <x v="42"/>
    <x v="0"/>
  </r>
  <r>
    <x v="98"/>
    <x v="1793"/>
    <x v="1"/>
    <x v="0"/>
    <x v="1"/>
    <x v="38"/>
    <x v="46"/>
    <x v="22"/>
    <x v="40"/>
    <x v="0"/>
  </r>
  <r>
    <x v="92"/>
    <x v="1794"/>
    <x v="1"/>
    <x v="0"/>
    <x v="1"/>
    <x v="72"/>
    <x v="89"/>
    <x v="63"/>
    <x v="19"/>
    <x v="0"/>
  </r>
  <r>
    <x v="85"/>
    <x v="1795"/>
    <x v="2"/>
    <x v="0"/>
    <x v="2"/>
    <x v="5"/>
    <x v="92"/>
    <x v="30"/>
    <x v="46"/>
    <x v="0"/>
  </r>
  <r>
    <x v="296"/>
    <x v="1796"/>
    <x v="4"/>
    <x v="0"/>
    <x v="3"/>
    <x v="39"/>
    <x v="47"/>
    <x v="7"/>
    <x v="41"/>
    <x v="0"/>
  </r>
  <r>
    <x v="318"/>
    <x v="1797"/>
    <x v="2"/>
    <x v="0"/>
    <x v="2"/>
    <x v="22"/>
    <x v="25"/>
    <x v="75"/>
    <x v="20"/>
    <x v="0"/>
  </r>
  <r>
    <x v="187"/>
    <x v="1798"/>
    <x v="2"/>
    <x v="0"/>
    <x v="2"/>
    <x v="3"/>
    <x v="3"/>
    <x v="12"/>
    <x v="3"/>
    <x v="0"/>
  </r>
  <r>
    <x v="338"/>
    <x v="1799"/>
    <x v="0"/>
    <x v="0"/>
    <x v="0"/>
    <x v="8"/>
    <x v="8"/>
    <x v="66"/>
    <x v="8"/>
    <x v="0"/>
  </r>
  <r>
    <x v="268"/>
    <x v="1800"/>
    <x v="3"/>
    <x v="1"/>
    <x v="3"/>
    <x v="2"/>
    <x v="34"/>
    <x v="35"/>
    <x v="30"/>
    <x v="0"/>
  </r>
  <r>
    <x v="297"/>
    <x v="1801"/>
    <x v="4"/>
    <x v="0"/>
    <x v="3"/>
    <x v="31"/>
    <x v="39"/>
    <x v="55"/>
    <x v="34"/>
    <x v="0"/>
  </r>
  <r>
    <x v="313"/>
    <x v="1802"/>
    <x v="3"/>
    <x v="1"/>
    <x v="3"/>
    <x v="78"/>
    <x v="97"/>
    <x v="93"/>
    <x v="84"/>
    <x v="0"/>
  </r>
  <r>
    <x v="191"/>
    <x v="1803"/>
    <x v="2"/>
    <x v="0"/>
    <x v="2"/>
    <x v="8"/>
    <x v="35"/>
    <x v="35"/>
    <x v="18"/>
    <x v="0"/>
  </r>
  <r>
    <x v="154"/>
    <x v="1804"/>
    <x v="0"/>
    <x v="0"/>
    <x v="0"/>
    <x v="19"/>
    <x v="19"/>
    <x v="91"/>
    <x v="19"/>
    <x v="0"/>
  </r>
  <r>
    <x v="90"/>
    <x v="1805"/>
    <x v="2"/>
    <x v="0"/>
    <x v="2"/>
    <x v="67"/>
    <x v="84"/>
    <x v="55"/>
    <x v="72"/>
    <x v="0"/>
  </r>
  <r>
    <x v="22"/>
    <x v="1806"/>
    <x v="2"/>
    <x v="0"/>
    <x v="2"/>
    <x v="10"/>
    <x v="10"/>
    <x v="63"/>
    <x v="10"/>
    <x v="0"/>
  </r>
  <r>
    <x v="238"/>
    <x v="1807"/>
    <x v="0"/>
    <x v="0"/>
    <x v="0"/>
    <x v="19"/>
    <x v="19"/>
    <x v="8"/>
    <x v="19"/>
    <x v="0"/>
  </r>
  <r>
    <x v="204"/>
    <x v="1808"/>
    <x v="4"/>
    <x v="0"/>
    <x v="3"/>
    <x v="21"/>
    <x v="23"/>
    <x v="68"/>
    <x v="22"/>
    <x v="0"/>
  </r>
  <r>
    <x v="21"/>
    <x v="1809"/>
    <x v="2"/>
    <x v="0"/>
    <x v="2"/>
    <x v="63"/>
    <x v="78"/>
    <x v="45"/>
    <x v="67"/>
    <x v="0"/>
  </r>
  <r>
    <x v="329"/>
    <x v="1810"/>
    <x v="2"/>
    <x v="0"/>
    <x v="2"/>
    <x v="5"/>
    <x v="92"/>
    <x v="71"/>
    <x v="46"/>
    <x v="0"/>
  </r>
  <r>
    <x v="169"/>
    <x v="1811"/>
    <x v="1"/>
    <x v="0"/>
    <x v="1"/>
    <x v="0"/>
    <x v="81"/>
    <x v="62"/>
    <x v="24"/>
    <x v="0"/>
  </r>
  <r>
    <x v="310"/>
    <x v="1812"/>
    <x v="2"/>
    <x v="0"/>
    <x v="2"/>
    <x v="13"/>
    <x v="13"/>
    <x v="1"/>
    <x v="13"/>
    <x v="0"/>
  </r>
  <r>
    <x v="236"/>
    <x v="1813"/>
    <x v="0"/>
    <x v="0"/>
    <x v="0"/>
    <x v="19"/>
    <x v="19"/>
    <x v="22"/>
    <x v="19"/>
    <x v="0"/>
  </r>
  <r>
    <x v="153"/>
    <x v="1814"/>
    <x v="2"/>
    <x v="0"/>
    <x v="2"/>
    <x v="36"/>
    <x v="44"/>
    <x v="79"/>
    <x v="30"/>
    <x v="0"/>
  </r>
  <r>
    <x v="49"/>
    <x v="1815"/>
    <x v="4"/>
    <x v="0"/>
    <x v="3"/>
    <x v="59"/>
    <x v="72"/>
    <x v="18"/>
    <x v="62"/>
    <x v="0"/>
  </r>
  <r>
    <x v="18"/>
    <x v="1816"/>
    <x v="4"/>
    <x v="0"/>
    <x v="3"/>
    <x v="16"/>
    <x v="16"/>
    <x v="57"/>
    <x v="16"/>
    <x v="0"/>
  </r>
  <r>
    <x v="85"/>
    <x v="1817"/>
    <x v="1"/>
    <x v="0"/>
    <x v="1"/>
    <x v="72"/>
    <x v="89"/>
    <x v="44"/>
    <x v="19"/>
    <x v="0"/>
  </r>
  <r>
    <x v="139"/>
    <x v="1818"/>
    <x v="4"/>
    <x v="0"/>
    <x v="3"/>
    <x v="55"/>
    <x v="66"/>
    <x v="56"/>
    <x v="57"/>
    <x v="0"/>
  </r>
  <r>
    <x v="25"/>
    <x v="1819"/>
    <x v="0"/>
    <x v="0"/>
    <x v="0"/>
    <x v="19"/>
    <x v="19"/>
    <x v="25"/>
    <x v="19"/>
    <x v="0"/>
  </r>
  <r>
    <x v="246"/>
    <x v="1820"/>
    <x v="0"/>
    <x v="0"/>
    <x v="0"/>
    <x v="7"/>
    <x v="7"/>
    <x v="9"/>
    <x v="7"/>
    <x v="0"/>
  </r>
  <r>
    <x v="185"/>
    <x v="1821"/>
    <x v="4"/>
    <x v="0"/>
    <x v="3"/>
    <x v="68"/>
    <x v="85"/>
    <x v="16"/>
    <x v="73"/>
    <x v="0"/>
  </r>
  <r>
    <x v="344"/>
    <x v="1822"/>
    <x v="4"/>
    <x v="0"/>
    <x v="3"/>
    <x v="50"/>
    <x v="60"/>
    <x v="57"/>
    <x v="52"/>
    <x v="0"/>
  </r>
  <r>
    <x v="319"/>
    <x v="1823"/>
    <x v="1"/>
    <x v="0"/>
    <x v="1"/>
    <x v="76"/>
    <x v="95"/>
    <x v="40"/>
    <x v="82"/>
    <x v="0"/>
  </r>
  <r>
    <x v="301"/>
    <x v="1824"/>
    <x v="1"/>
    <x v="0"/>
    <x v="1"/>
    <x v="34"/>
    <x v="42"/>
    <x v="81"/>
    <x v="37"/>
    <x v="0"/>
  </r>
  <r>
    <x v="216"/>
    <x v="1825"/>
    <x v="4"/>
    <x v="0"/>
    <x v="3"/>
    <x v="62"/>
    <x v="77"/>
    <x v="72"/>
    <x v="66"/>
    <x v="0"/>
  </r>
  <r>
    <x v="128"/>
    <x v="1826"/>
    <x v="1"/>
    <x v="0"/>
    <x v="1"/>
    <x v="38"/>
    <x v="46"/>
    <x v="43"/>
    <x v="40"/>
    <x v="0"/>
  </r>
  <r>
    <x v="246"/>
    <x v="1827"/>
    <x v="2"/>
    <x v="0"/>
    <x v="2"/>
    <x v="7"/>
    <x v="49"/>
    <x v="30"/>
    <x v="8"/>
    <x v="0"/>
  </r>
  <r>
    <x v="271"/>
    <x v="1828"/>
    <x v="1"/>
    <x v="0"/>
    <x v="1"/>
    <x v="24"/>
    <x v="29"/>
    <x v="60"/>
    <x v="26"/>
    <x v="0"/>
  </r>
  <r>
    <x v="140"/>
    <x v="1829"/>
    <x v="1"/>
    <x v="0"/>
    <x v="1"/>
    <x v="76"/>
    <x v="95"/>
    <x v="21"/>
    <x v="82"/>
    <x v="0"/>
  </r>
  <r>
    <x v="288"/>
    <x v="1830"/>
    <x v="2"/>
    <x v="0"/>
    <x v="2"/>
    <x v="3"/>
    <x v="3"/>
    <x v="15"/>
    <x v="3"/>
    <x v="0"/>
  </r>
  <r>
    <x v="126"/>
    <x v="1831"/>
    <x v="2"/>
    <x v="0"/>
    <x v="2"/>
    <x v="63"/>
    <x v="78"/>
    <x v="20"/>
    <x v="67"/>
    <x v="0"/>
  </r>
  <r>
    <x v="37"/>
    <x v="1832"/>
    <x v="0"/>
    <x v="0"/>
    <x v="0"/>
    <x v="7"/>
    <x v="7"/>
    <x v="38"/>
    <x v="7"/>
    <x v="0"/>
  </r>
  <r>
    <x v="19"/>
    <x v="1833"/>
    <x v="3"/>
    <x v="1"/>
    <x v="3"/>
    <x v="20"/>
    <x v="22"/>
    <x v="84"/>
    <x v="21"/>
    <x v="0"/>
  </r>
  <r>
    <x v="51"/>
    <x v="1834"/>
    <x v="4"/>
    <x v="0"/>
    <x v="3"/>
    <x v="55"/>
    <x v="66"/>
    <x v="62"/>
    <x v="57"/>
    <x v="0"/>
  </r>
  <r>
    <x v="194"/>
    <x v="1835"/>
    <x v="0"/>
    <x v="0"/>
    <x v="0"/>
    <x v="0"/>
    <x v="0"/>
    <x v="67"/>
    <x v="0"/>
    <x v="0"/>
  </r>
  <r>
    <x v="204"/>
    <x v="1836"/>
    <x v="1"/>
    <x v="0"/>
    <x v="1"/>
    <x v="28"/>
    <x v="36"/>
    <x v="67"/>
    <x v="31"/>
    <x v="0"/>
  </r>
  <r>
    <x v="0"/>
    <x v="1837"/>
    <x v="0"/>
    <x v="0"/>
    <x v="0"/>
    <x v="8"/>
    <x v="8"/>
    <x v="39"/>
    <x v="8"/>
    <x v="0"/>
  </r>
  <r>
    <x v="80"/>
    <x v="1838"/>
    <x v="4"/>
    <x v="0"/>
    <x v="3"/>
    <x v="50"/>
    <x v="60"/>
    <x v="29"/>
    <x v="52"/>
    <x v="0"/>
  </r>
  <r>
    <x v="220"/>
    <x v="1839"/>
    <x v="3"/>
    <x v="1"/>
    <x v="3"/>
    <x v="15"/>
    <x v="15"/>
    <x v="36"/>
    <x v="15"/>
    <x v="0"/>
  </r>
  <r>
    <x v="208"/>
    <x v="1840"/>
    <x v="3"/>
    <x v="1"/>
    <x v="3"/>
    <x v="18"/>
    <x v="18"/>
    <x v="96"/>
    <x v="18"/>
    <x v="0"/>
  </r>
  <r>
    <x v="211"/>
    <x v="1841"/>
    <x v="2"/>
    <x v="0"/>
    <x v="2"/>
    <x v="23"/>
    <x v="28"/>
    <x v="80"/>
    <x v="25"/>
    <x v="0"/>
  </r>
  <r>
    <x v="212"/>
    <x v="1842"/>
    <x v="2"/>
    <x v="0"/>
    <x v="2"/>
    <x v="63"/>
    <x v="78"/>
    <x v="18"/>
    <x v="67"/>
    <x v="0"/>
  </r>
  <r>
    <x v="48"/>
    <x v="1843"/>
    <x v="0"/>
    <x v="0"/>
    <x v="0"/>
    <x v="7"/>
    <x v="7"/>
    <x v="25"/>
    <x v="7"/>
    <x v="0"/>
  </r>
  <r>
    <x v="111"/>
    <x v="1844"/>
    <x v="2"/>
    <x v="0"/>
    <x v="2"/>
    <x v="19"/>
    <x v="27"/>
    <x v="13"/>
    <x v="24"/>
    <x v="0"/>
  </r>
  <r>
    <x v="204"/>
    <x v="1845"/>
    <x v="3"/>
    <x v="1"/>
    <x v="3"/>
    <x v="6"/>
    <x v="21"/>
    <x v="59"/>
    <x v="20"/>
    <x v="0"/>
  </r>
  <r>
    <x v="137"/>
    <x v="1846"/>
    <x v="1"/>
    <x v="0"/>
    <x v="1"/>
    <x v="35"/>
    <x v="43"/>
    <x v="48"/>
    <x v="38"/>
    <x v="0"/>
  </r>
  <r>
    <x v="144"/>
    <x v="1847"/>
    <x v="2"/>
    <x v="0"/>
    <x v="2"/>
    <x v="13"/>
    <x v="13"/>
    <x v="3"/>
    <x v="13"/>
    <x v="0"/>
  </r>
  <r>
    <x v="339"/>
    <x v="1848"/>
    <x v="2"/>
    <x v="0"/>
    <x v="2"/>
    <x v="36"/>
    <x v="44"/>
    <x v="44"/>
    <x v="30"/>
    <x v="0"/>
  </r>
  <r>
    <x v="300"/>
    <x v="1849"/>
    <x v="3"/>
    <x v="1"/>
    <x v="3"/>
    <x v="9"/>
    <x v="70"/>
    <x v="67"/>
    <x v="60"/>
    <x v="0"/>
  </r>
  <r>
    <x v="131"/>
    <x v="1850"/>
    <x v="1"/>
    <x v="0"/>
    <x v="1"/>
    <x v="75"/>
    <x v="93"/>
    <x v="27"/>
    <x v="80"/>
    <x v="0"/>
  </r>
  <r>
    <x v="67"/>
    <x v="1851"/>
    <x v="3"/>
    <x v="1"/>
    <x v="3"/>
    <x v="78"/>
    <x v="97"/>
    <x v="83"/>
    <x v="84"/>
    <x v="0"/>
  </r>
  <r>
    <x v="66"/>
    <x v="1852"/>
    <x v="0"/>
    <x v="0"/>
    <x v="0"/>
    <x v="5"/>
    <x v="5"/>
    <x v="70"/>
    <x v="5"/>
    <x v="0"/>
  </r>
  <r>
    <x v="309"/>
    <x v="1853"/>
    <x v="4"/>
    <x v="0"/>
    <x v="3"/>
    <x v="65"/>
    <x v="80"/>
    <x v="72"/>
    <x v="69"/>
    <x v="0"/>
  </r>
  <r>
    <x v="36"/>
    <x v="1854"/>
    <x v="0"/>
    <x v="0"/>
    <x v="0"/>
    <x v="19"/>
    <x v="19"/>
    <x v="25"/>
    <x v="19"/>
    <x v="0"/>
  </r>
  <r>
    <x v="9"/>
    <x v="1855"/>
    <x v="4"/>
    <x v="0"/>
    <x v="3"/>
    <x v="44"/>
    <x v="54"/>
    <x v="23"/>
    <x v="47"/>
    <x v="0"/>
  </r>
  <r>
    <x v="87"/>
    <x v="1856"/>
    <x v="2"/>
    <x v="0"/>
    <x v="2"/>
    <x v="10"/>
    <x v="10"/>
    <x v="56"/>
    <x v="10"/>
    <x v="0"/>
  </r>
  <r>
    <x v="349"/>
    <x v="1857"/>
    <x v="2"/>
    <x v="0"/>
    <x v="2"/>
    <x v="14"/>
    <x v="14"/>
    <x v="53"/>
    <x v="14"/>
    <x v="0"/>
  </r>
  <r>
    <x v="88"/>
    <x v="1858"/>
    <x v="2"/>
    <x v="0"/>
    <x v="2"/>
    <x v="22"/>
    <x v="25"/>
    <x v="5"/>
    <x v="20"/>
    <x v="0"/>
  </r>
  <r>
    <x v="241"/>
    <x v="1859"/>
    <x v="2"/>
    <x v="0"/>
    <x v="2"/>
    <x v="10"/>
    <x v="10"/>
    <x v="72"/>
    <x v="10"/>
    <x v="0"/>
  </r>
  <r>
    <x v="210"/>
    <x v="1860"/>
    <x v="4"/>
    <x v="0"/>
    <x v="3"/>
    <x v="55"/>
    <x v="66"/>
    <x v="89"/>
    <x v="57"/>
    <x v="0"/>
  </r>
  <r>
    <x v="270"/>
    <x v="1861"/>
    <x v="2"/>
    <x v="0"/>
    <x v="2"/>
    <x v="7"/>
    <x v="49"/>
    <x v="94"/>
    <x v="8"/>
    <x v="0"/>
  </r>
  <r>
    <x v="181"/>
    <x v="1862"/>
    <x v="1"/>
    <x v="0"/>
    <x v="1"/>
    <x v="25"/>
    <x v="30"/>
    <x v="23"/>
    <x v="27"/>
    <x v="0"/>
  </r>
  <r>
    <x v="294"/>
    <x v="1863"/>
    <x v="3"/>
    <x v="1"/>
    <x v="3"/>
    <x v="5"/>
    <x v="31"/>
    <x v="95"/>
    <x v="28"/>
    <x v="0"/>
  </r>
  <r>
    <x v="131"/>
    <x v="1864"/>
    <x v="4"/>
    <x v="0"/>
    <x v="3"/>
    <x v="64"/>
    <x v="79"/>
    <x v="89"/>
    <x v="68"/>
    <x v="0"/>
  </r>
  <r>
    <x v="135"/>
    <x v="1865"/>
    <x v="1"/>
    <x v="0"/>
    <x v="1"/>
    <x v="18"/>
    <x v="63"/>
    <x v="23"/>
    <x v="6"/>
    <x v="0"/>
  </r>
  <r>
    <x v="214"/>
    <x v="1866"/>
    <x v="0"/>
    <x v="0"/>
    <x v="0"/>
    <x v="7"/>
    <x v="7"/>
    <x v="41"/>
    <x v="7"/>
    <x v="0"/>
  </r>
  <r>
    <x v="126"/>
    <x v="1867"/>
    <x v="4"/>
    <x v="0"/>
    <x v="3"/>
    <x v="11"/>
    <x v="11"/>
    <x v="72"/>
    <x v="11"/>
    <x v="0"/>
  </r>
  <r>
    <x v="218"/>
    <x v="1868"/>
    <x v="0"/>
    <x v="0"/>
    <x v="0"/>
    <x v="8"/>
    <x v="8"/>
    <x v="0"/>
    <x v="8"/>
    <x v="0"/>
  </r>
  <r>
    <x v="68"/>
    <x v="1869"/>
    <x v="2"/>
    <x v="0"/>
    <x v="2"/>
    <x v="10"/>
    <x v="10"/>
    <x v="33"/>
    <x v="10"/>
    <x v="0"/>
  </r>
  <r>
    <x v="300"/>
    <x v="1870"/>
    <x v="2"/>
    <x v="0"/>
    <x v="2"/>
    <x v="9"/>
    <x v="9"/>
    <x v="49"/>
    <x v="9"/>
    <x v="0"/>
  </r>
  <r>
    <x v="189"/>
    <x v="1871"/>
    <x v="3"/>
    <x v="1"/>
    <x v="3"/>
    <x v="20"/>
    <x v="22"/>
    <x v="84"/>
    <x v="21"/>
    <x v="0"/>
  </r>
  <r>
    <x v="241"/>
    <x v="1872"/>
    <x v="0"/>
    <x v="0"/>
    <x v="0"/>
    <x v="7"/>
    <x v="7"/>
    <x v="11"/>
    <x v="7"/>
    <x v="0"/>
  </r>
  <r>
    <x v="103"/>
    <x v="1873"/>
    <x v="4"/>
    <x v="0"/>
    <x v="3"/>
    <x v="58"/>
    <x v="71"/>
    <x v="85"/>
    <x v="61"/>
    <x v="0"/>
  </r>
  <r>
    <x v="251"/>
    <x v="1874"/>
    <x v="1"/>
    <x v="0"/>
    <x v="1"/>
    <x v="40"/>
    <x v="48"/>
    <x v="52"/>
    <x v="42"/>
    <x v="0"/>
  </r>
  <r>
    <x v="66"/>
    <x v="1875"/>
    <x v="2"/>
    <x v="0"/>
    <x v="2"/>
    <x v="51"/>
    <x v="61"/>
    <x v="54"/>
    <x v="53"/>
    <x v="0"/>
  </r>
  <r>
    <x v="348"/>
    <x v="1876"/>
    <x v="3"/>
    <x v="1"/>
    <x v="3"/>
    <x v="26"/>
    <x v="32"/>
    <x v="79"/>
    <x v="29"/>
    <x v="0"/>
  </r>
  <r>
    <x v="190"/>
    <x v="1877"/>
    <x v="4"/>
    <x v="0"/>
    <x v="3"/>
    <x v="16"/>
    <x v="16"/>
    <x v="4"/>
    <x v="16"/>
    <x v="0"/>
  </r>
  <r>
    <x v="113"/>
    <x v="1878"/>
    <x v="3"/>
    <x v="1"/>
    <x v="3"/>
    <x v="29"/>
    <x v="37"/>
    <x v="20"/>
    <x v="32"/>
    <x v="0"/>
  </r>
  <r>
    <x v="234"/>
    <x v="1879"/>
    <x v="3"/>
    <x v="1"/>
    <x v="3"/>
    <x v="0"/>
    <x v="55"/>
    <x v="44"/>
    <x v="8"/>
    <x v="0"/>
  </r>
  <r>
    <x v="111"/>
    <x v="1880"/>
    <x v="1"/>
    <x v="0"/>
    <x v="1"/>
    <x v="25"/>
    <x v="30"/>
    <x v="36"/>
    <x v="27"/>
    <x v="0"/>
  </r>
  <r>
    <x v="50"/>
    <x v="1881"/>
    <x v="2"/>
    <x v="0"/>
    <x v="2"/>
    <x v="23"/>
    <x v="28"/>
    <x v="63"/>
    <x v="25"/>
    <x v="0"/>
  </r>
  <r>
    <x v="360"/>
    <x v="1882"/>
    <x v="2"/>
    <x v="0"/>
    <x v="2"/>
    <x v="61"/>
    <x v="75"/>
    <x v="96"/>
    <x v="64"/>
    <x v="0"/>
  </r>
  <r>
    <x v="245"/>
    <x v="1883"/>
    <x v="1"/>
    <x v="0"/>
    <x v="1"/>
    <x v="1"/>
    <x v="1"/>
    <x v="33"/>
    <x v="1"/>
    <x v="0"/>
  </r>
  <r>
    <x v="113"/>
    <x v="1884"/>
    <x v="2"/>
    <x v="0"/>
    <x v="2"/>
    <x v="63"/>
    <x v="78"/>
    <x v="60"/>
    <x v="67"/>
    <x v="0"/>
  </r>
  <r>
    <x v="148"/>
    <x v="1885"/>
    <x v="1"/>
    <x v="0"/>
    <x v="1"/>
    <x v="48"/>
    <x v="58"/>
    <x v="44"/>
    <x v="50"/>
    <x v="0"/>
  </r>
  <r>
    <x v="91"/>
    <x v="1886"/>
    <x v="3"/>
    <x v="1"/>
    <x v="3"/>
    <x v="46"/>
    <x v="68"/>
    <x v="43"/>
    <x v="43"/>
    <x v="0"/>
  </r>
  <r>
    <x v="143"/>
    <x v="1887"/>
    <x v="3"/>
    <x v="1"/>
    <x v="3"/>
    <x v="5"/>
    <x v="31"/>
    <x v="52"/>
    <x v="28"/>
    <x v="0"/>
  </r>
  <r>
    <x v="287"/>
    <x v="1888"/>
    <x v="4"/>
    <x v="0"/>
    <x v="3"/>
    <x v="59"/>
    <x v="72"/>
    <x v="68"/>
    <x v="62"/>
    <x v="0"/>
  </r>
  <r>
    <x v="185"/>
    <x v="1889"/>
    <x v="4"/>
    <x v="0"/>
    <x v="3"/>
    <x v="31"/>
    <x v="39"/>
    <x v="24"/>
    <x v="34"/>
    <x v="0"/>
  </r>
  <r>
    <x v="67"/>
    <x v="1890"/>
    <x v="1"/>
    <x v="0"/>
    <x v="1"/>
    <x v="60"/>
    <x v="74"/>
    <x v="23"/>
    <x v="63"/>
    <x v="0"/>
  </r>
  <r>
    <x v="222"/>
    <x v="1891"/>
    <x v="0"/>
    <x v="0"/>
    <x v="0"/>
    <x v="5"/>
    <x v="5"/>
    <x v="92"/>
    <x v="5"/>
    <x v="0"/>
  </r>
  <r>
    <x v="102"/>
    <x v="1892"/>
    <x v="1"/>
    <x v="0"/>
    <x v="1"/>
    <x v="19"/>
    <x v="73"/>
    <x v="59"/>
    <x v="46"/>
    <x v="0"/>
  </r>
  <r>
    <x v="16"/>
    <x v="1893"/>
    <x v="1"/>
    <x v="0"/>
    <x v="1"/>
    <x v="0"/>
    <x v="81"/>
    <x v="63"/>
    <x v="24"/>
    <x v="0"/>
  </r>
  <r>
    <x v="233"/>
    <x v="1894"/>
    <x v="4"/>
    <x v="0"/>
    <x v="3"/>
    <x v="71"/>
    <x v="88"/>
    <x v="4"/>
    <x v="76"/>
    <x v="0"/>
  </r>
  <r>
    <x v="31"/>
    <x v="1895"/>
    <x v="2"/>
    <x v="0"/>
    <x v="2"/>
    <x v="14"/>
    <x v="14"/>
    <x v="72"/>
    <x v="14"/>
    <x v="0"/>
  </r>
  <r>
    <x v="213"/>
    <x v="1896"/>
    <x v="2"/>
    <x v="0"/>
    <x v="2"/>
    <x v="36"/>
    <x v="44"/>
    <x v="51"/>
    <x v="30"/>
    <x v="0"/>
  </r>
  <r>
    <x v="182"/>
    <x v="1897"/>
    <x v="3"/>
    <x v="1"/>
    <x v="3"/>
    <x v="1"/>
    <x v="53"/>
    <x v="27"/>
    <x v="46"/>
    <x v="0"/>
  </r>
  <r>
    <x v="138"/>
    <x v="1898"/>
    <x v="4"/>
    <x v="0"/>
    <x v="3"/>
    <x v="5"/>
    <x v="31"/>
    <x v="85"/>
    <x v="28"/>
    <x v="0"/>
  </r>
  <r>
    <x v="340"/>
    <x v="1899"/>
    <x v="0"/>
    <x v="0"/>
    <x v="0"/>
    <x v="8"/>
    <x v="8"/>
    <x v="74"/>
    <x v="8"/>
    <x v="0"/>
  </r>
  <r>
    <x v="180"/>
    <x v="1900"/>
    <x v="4"/>
    <x v="0"/>
    <x v="3"/>
    <x v="65"/>
    <x v="80"/>
    <x v="62"/>
    <x v="69"/>
    <x v="0"/>
  </r>
  <r>
    <x v="133"/>
    <x v="1901"/>
    <x v="0"/>
    <x v="0"/>
    <x v="0"/>
    <x v="19"/>
    <x v="19"/>
    <x v="78"/>
    <x v="19"/>
    <x v="0"/>
  </r>
  <r>
    <x v="247"/>
    <x v="1902"/>
    <x v="4"/>
    <x v="0"/>
    <x v="3"/>
    <x v="73"/>
    <x v="90"/>
    <x v="55"/>
    <x v="78"/>
    <x v="0"/>
  </r>
  <r>
    <x v="0"/>
    <x v="1903"/>
    <x v="4"/>
    <x v="0"/>
    <x v="3"/>
    <x v="31"/>
    <x v="39"/>
    <x v="72"/>
    <x v="34"/>
    <x v="0"/>
  </r>
  <r>
    <x v="54"/>
    <x v="1904"/>
    <x v="1"/>
    <x v="0"/>
    <x v="1"/>
    <x v="4"/>
    <x v="4"/>
    <x v="71"/>
    <x v="4"/>
    <x v="0"/>
  </r>
  <r>
    <x v="348"/>
    <x v="1905"/>
    <x v="3"/>
    <x v="1"/>
    <x v="3"/>
    <x v="0"/>
    <x v="55"/>
    <x v="54"/>
    <x v="8"/>
    <x v="0"/>
  </r>
  <r>
    <x v="162"/>
    <x v="1906"/>
    <x v="0"/>
    <x v="0"/>
    <x v="0"/>
    <x v="7"/>
    <x v="7"/>
    <x v="41"/>
    <x v="7"/>
    <x v="0"/>
  </r>
  <r>
    <x v="115"/>
    <x v="1907"/>
    <x v="4"/>
    <x v="0"/>
    <x v="3"/>
    <x v="59"/>
    <x v="72"/>
    <x v="35"/>
    <x v="62"/>
    <x v="0"/>
  </r>
  <r>
    <x v="102"/>
    <x v="1908"/>
    <x v="0"/>
    <x v="0"/>
    <x v="0"/>
    <x v="8"/>
    <x v="8"/>
    <x v="76"/>
    <x v="8"/>
    <x v="0"/>
  </r>
  <r>
    <x v="204"/>
    <x v="1909"/>
    <x v="4"/>
    <x v="0"/>
    <x v="3"/>
    <x v="31"/>
    <x v="39"/>
    <x v="80"/>
    <x v="34"/>
    <x v="0"/>
  </r>
  <r>
    <x v="67"/>
    <x v="1910"/>
    <x v="3"/>
    <x v="1"/>
    <x v="3"/>
    <x v="43"/>
    <x v="52"/>
    <x v="21"/>
    <x v="45"/>
    <x v="0"/>
  </r>
  <r>
    <x v="127"/>
    <x v="1911"/>
    <x v="3"/>
    <x v="1"/>
    <x v="3"/>
    <x v="20"/>
    <x v="22"/>
    <x v="95"/>
    <x v="21"/>
    <x v="0"/>
  </r>
  <r>
    <x v="14"/>
    <x v="1912"/>
    <x v="1"/>
    <x v="0"/>
    <x v="1"/>
    <x v="25"/>
    <x v="30"/>
    <x v="52"/>
    <x v="27"/>
    <x v="0"/>
  </r>
  <r>
    <x v="273"/>
    <x v="1913"/>
    <x v="4"/>
    <x v="0"/>
    <x v="3"/>
    <x v="19"/>
    <x v="24"/>
    <x v="56"/>
    <x v="14"/>
    <x v="0"/>
  </r>
  <r>
    <x v="89"/>
    <x v="1914"/>
    <x v="1"/>
    <x v="0"/>
    <x v="1"/>
    <x v="4"/>
    <x v="4"/>
    <x v="79"/>
    <x v="4"/>
    <x v="0"/>
  </r>
  <r>
    <x v="290"/>
    <x v="1915"/>
    <x v="4"/>
    <x v="0"/>
    <x v="3"/>
    <x v="47"/>
    <x v="94"/>
    <x v="80"/>
    <x v="81"/>
    <x v="0"/>
  </r>
  <r>
    <x v="209"/>
    <x v="1916"/>
    <x v="4"/>
    <x v="0"/>
    <x v="3"/>
    <x v="31"/>
    <x v="39"/>
    <x v="43"/>
    <x v="34"/>
    <x v="0"/>
  </r>
  <r>
    <x v="272"/>
    <x v="1917"/>
    <x v="2"/>
    <x v="0"/>
    <x v="2"/>
    <x v="61"/>
    <x v="75"/>
    <x v="40"/>
    <x v="64"/>
    <x v="0"/>
  </r>
  <r>
    <x v="65"/>
    <x v="1918"/>
    <x v="3"/>
    <x v="1"/>
    <x v="3"/>
    <x v="12"/>
    <x v="12"/>
    <x v="52"/>
    <x v="12"/>
    <x v="0"/>
  </r>
  <r>
    <x v="127"/>
    <x v="1919"/>
    <x v="1"/>
    <x v="0"/>
    <x v="1"/>
    <x v="47"/>
    <x v="57"/>
    <x v="63"/>
    <x v="49"/>
    <x v="0"/>
  </r>
  <r>
    <x v="135"/>
    <x v="1920"/>
    <x v="0"/>
    <x v="0"/>
    <x v="0"/>
    <x v="8"/>
    <x v="8"/>
    <x v="73"/>
    <x v="8"/>
    <x v="0"/>
  </r>
  <r>
    <x v="180"/>
    <x v="1921"/>
    <x v="0"/>
    <x v="0"/>
    <x v="0"/>
    <x v="19"/>
    <x v="19"/>
    <x v="74"/>
    <x v="19"/>
    <x v="0"/>
  </r>
  <r>
    <x v="90"/>
    <x v="1922"/>
    <x v="0"/>
    <x v="0"/>
    <x v="0"/>
    <x v="8"/>
    <x v="8"/>
    <x v="77"/>
    <x v="8"/>
    <x v="0"/>
  </r>
  <r>
    <x v="186"/>
    <x v="1923"/>
    <x v="0"/>
    <x v="0"/>
    <x v="0"/>
    <x v="19"/>
    <x v="19"/>
    <x v="70"/>
    <x v="19"/>
    <x v="0"/>
  </r>
  <r>
    <x v="199"/>
    <x v="1924"/>
    <x v="0"/>
    <x v="0"/>
    <x v="0"/>
    <x v="8"/>
    <x v="8"/>
    <x v="9"/>
    <x v="8"/>
    <x v="0"/>
  </r>
  <r>
    <x v="356"/>
    <x v="1925"/>
    <x v="3"/>
    <x v="1"/>
    <x v="3"/>
    <x v="78"/>
    <x v="97"/>
    <x v="16"/>
    <x v="84"/>
    <x v="0"/>
  </r>
  <r>
    <x v="95"/>
    <x v="1926"/>
    <x v="2"/>
    <x v="0"/>
    <x v="2"/>
    <x v="51"/>
    <x v="61"/>
    <x v="61"/>
    <x v="53"/>
    <x v="0"/>
  </r>
  <r>
    <x v="253"/>
    <x v="1927"/>
    <x v="0"/>
    <x v="0"/>
    <x v="0"/>
    <x v="5"/>
    <x v="5"/>
    <x v="70"/>
    <x v="5"/>
    <x v="0"/>
  </r>
  <r>
    <x v="291"/>
    <x v="1928"/>
    <x v="3"/>
    <x v="1"/>
    <x v="3"/>
    <x v="46"/>
    <x v="68"/>
    <x v="15"/>
    <x v="43"/>
    <x v="0"/>
  </r>
  <r>
    <x v="187"/>
    <x v="1929"/>
    <x v="4"/>
    <x v="0"/>
    <x v="3"/>
    <x v="55"/>
    <x v="66"/>
    <x v="29"/>
    <x v="57"/>
    <x v="0"/>
  </r>
  <r>
    <x v="48"/>
    <x v="1930"/>
    <x v="4"/>
    <x v="0"/>
    <x v="3"/>
    <x v="69"/>
    <x v="86"/>
    <x v="36"/>
    <x v="74"/>
    <x v="0"/>
  </r>
  <r>
    <x v="237"/>
    <x v="1931"/>
    <x v="1"/>
    <x v="0"/>
    <x v="1"/>
    <x v="72"/>
    <x v="89"/>
    <x v="85"/>
    <x v="19"/>
    <x v="0"/>
  </r>
  <r>
    <x v="248"/>
    <x v="1932"/>
    <x v="0"/>
    <x v="0"/>
    <x v="0"/>
    <x v="7"/>
    <x v="7"/>
    <x v="38"/>
    <x v="7"/>
    <x v="0"/>
  </r>
  <r>
    <x v="293"/>
    <x v="1933"/>
    <x v="2"/>
    <x v="0"/>
    <x v="2"/>
    <x v="3"/>
    <x v="3"/>
    <x v="14"/>
    <x v="3"/>
    <x v="0"/>
  </r>
  <r>
    <x v="353"/>
    <x v="1934"/>
    <x v="0"/>
    <x v="0"/>
    <x v="0"/>
    <x v="8"/>
    <x v="8"/>
    <x v="33"/>
    <x v="8"/>
    <x v="0"/>
  </r>
  <r>
    <x v="339"/>
    <x v="1935"/>
    <x v="4"/>
    <x v="0"/>
    <x v="3"/>
    <x v="59"/>
    <x v="72"/>
    <x v="72"/>
    <x v="62"/>
    <x v="0"/>
  </r>
  <r>
    <x v="301"/>
    <x v="1936"/>
    <x v="1"/>
    <x v="0"/>
    <x v="1"/>
    <x v="18"/>
    <x v="63"/>
    <x v="86"/>
    <x v="6"/>
    <x v="0"/>
  </r>
  <r>
    <x v="179"/>
    <x v="1937"/>
    <x v="0"/>
    <x v="0"/>
    <x v="0"/>
    <x v="0"/>
    <x v="0"/>
    <x v="64"/>
    <x v="0"/>
    <x v="0"/>
  </r>
  <r>
    <x v="207"/>
    <x v="1938"/>
    <x v="1"/>
    <x v="0"/>
    <x v="1"/>
    <x v="4"/>
    <x v="4"/>
    <x v="4"/>
    <x v="4"/>
    <x v="0"/>
  </r>
  <r>
    <x v="178"/>
    <x v="1939"/>
    <x v="4"/>
    <x v="0"/>
    <x v="3"/>
    <x v="62"/>
    <x v="77"/>
    <x v="2"/>
    <x v="66"/>
    <x v="0"/>
  </r>
  <r>
    <x v="352"/>
    <x v="1940"/>
    <x v="3"/>
    <x v="1"/>
    <x v="3"/>
    <x v="43"/>
    <x v="52"/>
    <x v="28"/>
    <x v="45"/>
    <x v="0"/>
  </r>
  <r>
    <x v="192"/>
    <x v="1941"/>
    <x v="2"/>
    <x v="0"/>
    <x v="2"/>
    <x v="46"/>
    <x v="47"/>
    <x v="29"/>
    <x v="1"/>
    <x v="0"/>
  </r>
  <r>
    <x v="47"/>
    <x v="1942"/>
    <x v="1"/>
    <x v="0"/>
    <x v="1"/>
    <x v="47"/>
    <x v="57"/>
    <x v="67"/>
    <x v="49"/>
    <x v="0"/>
  </r>
  <r>
    <x v="117"/>
    <x v="1943"/>
    <x v="4"/>
    <x v="0"/>
    <x v="3"/>
    <x v="47"/>
    <x v="94"/>
    <x v="40"/>
    <x v="81"/>
    <x v="0"/>
  </r>
  <r>
    <x v="274"/>
    <x v="1944"/>
    <x v="1"/>
    <x v="0"/>
    <x v="1"/>
    <x v="38"/>
    <x v="46"/>
    <x v="32"/>
    <x v="40"/>
    <x v="0"/>
  </r>
  <r>
    <x v="102"/>
    <x v="1945"/>
    <x v="1"/>
    <x v="0"/>
    <x v="1"/>
    <x v="16"/>
    <x v="76"/>
    <x v="85"/>
    <x v="65"/>
    <x v="0"/>
  </r>
  <r>
    <x v="17"/>
    <x v="1946"/>
    <x v="4"/>
    <x v="0"/>
    <x v="3"/>
    <x v="19"/>
    <x v="24"/>
    <x v="79"/>
    <x v="14"/>
    <x v="0"/>
  </r>
  <r>
    <x v="134"/>
    <x v="1947"/>
    <x v="1"/>
    <x v="0"/>
    <x v="1"/>
    <x v="54"/>
    <x v="65"/>
    <x v="45"/>
    <x v="56"/>
    <x v="0"/>
  </r>
  <r>
    <x v="198"/>
    <x v="1948"/>
    <x v="3"/>
    <x v="1"/>
    <x v="3"/>
    <x v="23"/>
    <x v="83"/>
    <x v="84"/>
    <x v="71"/>
    <x v="0"/>
  </r>
  <r>
    <x v="360"/>
    <x v="1949"/>
    <x v="0"/>
    <x v="0"/>
    <x v="0"/>
    <x v="7"/>
    <x v="7"/>
    <x v="78"/>
    <x v="7"/>
    <x v="0"/>
  </r>
  <r>
    <x v="125"/>
    <x v="1950"/>
    <x v="4"/>
    <x v="0"/>
    <x v="3"/>
    <x v="19"/>
    <x v="24"/>
    <x v="49"/>
    <x v="14"/>
    <x v="0"/>
  </r>
  <r>
    <x v="207"/>
    <x v="1951"/>
    <x v="2"/>
    <x v="0"/>
    <x v="2"/>
    <x v="9"/>
    <x v="9"/>
    <x v="44"/>
    <x v="9"/>
    <x v="0"/>
  </r>
  <r>
    <x v="126"/>
    <x v="1952"/>
    <x v="4"/>
    <x v="0"/>
    <x v="3"/>
    <x v="50"/>
    <x v="60"/>
    <x v="55"/>
    <x v="52"/>
    <x v="0"/>
  </r>
  <r>
    <x v="341"/>
    <x v="1953"/>
    <x v="3"/>
    <x v="1"/>
    <x v="3"/>
    <x v="7"/>
    <x v="20"/>
    <x v="32"/>
    <x v="10"/>
    <x v="0"/>
  </r>
  <r>
    <x v="26"/>
    <x v="1954"/>
    <x v="2"/>
    <x v="0"/>
    <x v="2"/>
    <x v="46"/>
    <x v="47"/>
    <x v="42"/>
    <x v="1"/>
    <x v="0"/>
  </r>
  <r>
    <x v="73"/>
    <x v="1955"/>
    <x v="4"/>
    <x v="0"/>
    <x v="3"/>
    <x v="58"/>
    <x v="71"/>
    <x v="21"/>
    <x v="61"/>
    <x v="0"/>
  </r>
  <r>
    <x v="256"/>
    <x v="1956"/>
    <x v="3"/>
    <x v="1"/>
    <x v="3"/>
    <x v="20"/>
    <x v="22"/>
    <x v="50"/>
    <x v="21"/>
    <x v="0"/>
  </r>
  <r>
    <x v="33"/>
    <x v="1957"/>
    <x v="3"/>
    <x v="1"/>
    <x v="3"/>
    <x v="49"/>
    <x v="59"/>
    <x v="28"/>
    <x v="51"/>
    <x v="0"/>
  </r>
  <r>
    <x v="87"/>
    <x v="1958"/>
    <x v="3"/>
    <x v="1"/>
    <x v="3"/>
    <x v="18"/>
    <x v="18"/>
    <x v="16"/>
    <x v="18"/>
    <x v="0"/>
  </r>
  <r>
    <x v="225"/>
    <x v="1959"/>
    <x v="1"/>
    <x v="0"/>
    <x v="1"/>
    <x v="34"/>
    <x v="42"/>
    <x v="1"/>
    <x v="37"/>
    <x v="0"/>
  </r>
  <r>
    <x v="142"/>
    <x v="1960"/>
    <x v="2"/>
    <x v="0"/>
    <x v="2"/>
    <x v="14"/>
    <x v="14"/>
    <x v="90"/>
    <x v="14"/>
    <x v="0"/>
  </r>
  <r>
    <x v="40"/>
    <x v="1961"/>
    <x v="0"/>
    <x v="0"/>
    <x v="0"/>
    <x v="7"/>
    <x v="7"/>
    <x v="88"/>
    <x v="7"/>
    <x v="0"/>
  </r>
  <r>
    <x v="144"/>
    <x v="1962"/>
    <x v="3"/>
    <x v="1"/>
    <x v="3"/>
    <x v="2"/>
    <x v="34"/>
    <x v="75"/>
    <x v="30"/>
    <x v="0"/>
  </r>
  <r>
    <x v="246"/>
    <x v="1963"/>
    <x v="4"/>
    <x v="0"/>
    <x v="3"/>
    <x v="21"/>
    <x v="23"/>
    <x v="23"/>
    <x v="22"/>
    <x v="0"/>
  </r>
  <r>
    <x v="287"/>
    <x v="1964"/>
    <x v="4"/>
    <x v="0"/>
    <x v="3"/>
    <x v="56"/>
    <x v="67"/>
    <x v="7"/>
    <x v="58"/>
    <x v="0"/>
  </r>
  <r>
    <x v="292"/>
    <x v="1965"/>
    <x v="1"/>
    <x v="0"/>
    <x v="1"/>
    <x v="28"/>
    <x v="36"/>
    <x v="19"/>
    <x v="31"/>
    <x v="0"/>
  </r>
  <r>
    <x v="247"/>
    <x v="1966"/>
    <x v="0"/>
    <x v="0"/>
    <x v="0"/>
    <x v="7"/>
    <x v="7"/>
    <x v="41"/>
    <x v="7"/>
    <x v="0"/>
  </r>
  <r>
    <x v="178"/>
    <x v="1967"/>
    <x v="2"/>
    <x v="0"/>
    <x v="2"/>
    <x v="3"/>
    <x v="3"/>
    <x v="32"/>
    <x v="3"/>
    <x v="0"/>
  </r>
  <r>
    <x v="111"/>
    <x v="1968"/>
    <x v="3"/>
    <x v="1"/>
    <x v="3"/>
    <x v="2"/>
    <x v="34"/>
    <x v="2"/>
    <x v="30"/>
    <x v="0"/>
  </r>
  <r>
    <x v="255"/>
    <x v="1969"/>
    <x v="0"/>
    <x v="0"/>
    <x v="0"/>
    <x v="5"/>
    <x v="5"/>
    <x v="39"/>
    <x v="5"/>
    <x v="0"/>
  </r>
  <r>
    <x v="12"/>
    <x v="1970"/>
    <x v="0"/>
    <x v="0"/>
    <x v="0"/>
    <x v="19"/>
    <x v="19"/>
    <x v="38"/>
    <x v="19"/>
    <x v="0"/>
  </r>
  <r>
    <x v="44"/>
    <x v="1971"/>
    <x v="2"/>
    <x v="0"/>
    <x v="2"/>
    <x v="67"/>
    <x v="84"/>
    <x v="65"/>
    <x v="72"/>
    <x v="0"/>
  </r>
  <r>
    <x v="229"/>
    <x v="1972"/>
    <x v="4"/>
    <x v="0"/>
    <x v="3"/>
    <x v="65"/>
    <x v="80"/>
    <x v="46"/>
    <x v="69"/>
    <x v="0"/>
  </r>
  <r>
    <x v="242"/>
    <x v="1973"/>
    <x v="4"/>
    <x v="0"/>
    <x v="3"/>
    <x v="68"/>
    <x v="85"/>
    <x v="43"/>
    <x v="73"/>
    <x v="0"/>
  </r>
  <r>
    <x v="212"/>
    <x v="1974"/>
    <x v="4"/>
    <x v="0"/>
    <x v="3"/>
    <x v="58"/>
    <x v="71"/>
    <x v="23"/>
    <x v="61"/>
    <x v="0"/>
  </r>
  <r>
    <x v="268"/>
    <x v="1975"/>
    <x v="2"/>
    <x v="0"/>
    <x v="2"/>
    <x v="19"/>
    <x v="27"/>
    <x v="29"/>
    <x v="24"/>
    <x v="0"/>
  </r>
  <r>
    <x v="306"/>
    <x v="1976"/>
    <x v="0"/>
    <x v="0"/>
    <x v="0"/>
    <x v="19"/>
    <x v="19"/>
    <x v="76"/>
    <x v="19"/>
    <x v="0"/>
  </r>
  <r>
    <x v="51"/>
    <x v="1977"/>
    <x v="2"/>
    <x v="0"/>
    <x v="2"/>
    <x v="3"/>
    <x v="3"/>
    <x v="17"/>
    <x v="3"/>
    <x v="0"/>
  </r>
  <r>
    <x v="63"/>
    <x v="1978"/>
    <x v="3"/>
    <x v="1"/>
    <x v="3"/>
    <x v="0"/>
    <x v="55"/>
    <x v="86"/>
    <x v="8"/>
    <x v="0"/>
  </r>
  <r>
    <x v="21"/>
    <x v="1979"/>
    <x v="0"/>
    <x v="0"/>
    <x v="0"/>
    <x v="19"/>
    <x v="19"/>
    <x v="5"/>
    <x v="19"/>
    <x v="0"/>
  </r>
  <r>
    <x v="262"/>
    <x v="1980"/>
    <x v="4"/>
    <x v="0"/>
    <x v="3"/>
    <x v="65"/>
    <x v="80"/>
    <x v="1"/>
    <x v="69"/>
    <x v="0"/>
  </r>
  <r>
    <x v="40"/>
    <x v="1981"/>
    <x v="4"/>
    <x v="0"/>
    <x v="3"/>
    <x v="69"/>
    <x v="86"/>
    <x v="48"/>
    <x v="74"/>
    <x v="0"/>
  </r>
  <r>
    <x v="193"/>
    <x v="1982"/>
    <x v="4"/>
    <x v="0"/>
    <x v="3"/>
    <x v="50"/>
    <x v="60"/>
    <x v="59"/>
    <x v="52"/>
    <x v="0"/>
  </r>
  <r>
    <x v="145"/>
    <x v="1983"/>
    <x v="1"/>
    <x v="0"/>
    <x v="1"/>
    <x v="76"/>
    <x v="95"/>
    <x v="18"/>
    <x v="82"/>
    <x v="0"/>
  </r>
  <r>
    <x v="0"/>
    <x v="1984"/>
    <x v="0"/>
    <x v="0"/>
    <x v="0"/>
    <x v="8"/>
    <x v="8"/>
    <x v="82"/>
    <x v="8"/>
    <x v="0"/>
  </r>
  <r>
    <x v="133"/>
    <x v="1985"/>
    <x v="4"/>
    <x v="0"/>
    <x v="3"/>
    <x v="69"/>
    <x v="86"/>
    <x v="35"/>
    <x v="74"/>
    <x v="0"/>
  </r>
  <r>
    <x v="177"/>
    <x v="1986"/>
    <x v="2"/>
    <x v="0"/>
    <x v="2"/>
    <x v="42"/>
    <x v="51"/>
    <x v="19"/>
    <x v="44"/>
    <x v="0"/>
  </r>
  <r>
    <x v="198"/>
    <x v="1987"/>
    <x v="4"/>
    <x v="0"/>
    <x v="3"/>
    <x v="7"/>
    <x v="20"/>
    <x v="55"/>
    <x v="10"/>
    <x v="0"/>
  </r>
  <r>
    <x v="143"/>
    <x v="1988"/>
    <x v="3"/>
    <x v="1"/>
    <x v="3"/>
    <x v="29"/>
    <x v="37"/>
    <x v="47"/>
    <x v="32"/>
    <x v="0"/>
  </r>
  <r>
    <x v="90"/>
    <x v="1989"/>
    <x v="3"/>
    <x v="1"/>
    <x v="3"/>
    <x v="15"/>
    <x v="15"/>
    <x v="46"/>
    <x v="15"/>
    <x v="0"/>
  </r>
  <r>
    <x v="19"/>
    <x v="1990"/>
    <x v="0"/>
    <x v="0"/>
    <x v="0"/>
    <x v="7"/>
    <x v="7"/>
    <x v="26"/>
    <x v="7"/>
    <x v="0"/>
  </r>
  <r>
    <x v="59"/>
    <x v="1991"/>
    <x v="4"/>
    <x v="0"/>
    <x v="3"/>
    <x v="69"/>
    <x v="86"/>
    <x v="2"/>
    <x v="74"/>
    <x v="0"/>
  </r>
  <r>
    <x v="290"/>
    <x v="1992"/>
    <x v="4"/>
    <x v="0"/>
    <x v="3"/>
    <x v="73"/>
    <x v="90"/>
    <x v="56"/>
    <x v="78"/>
    <x v="0"/>
  </r>
  <r>
    <x v="196"/>
    <x v="1993"/>
    <x v="1"/>
    <x v="0"/>
    <x v="1"/>
    <x v="33"/>
    <x v="41"/>
    <x v="40"/>
    <x v="36"/>
    <x v="0"/>
  </r>
  <r>
    <x v="55"/>
    <x v="1994"/>
    <x v="1"/>
    <x v="0"/>
    <x v="1"/>
    <x v="40"/>
    <x v="48"/>
    <x v="3"/>
    <x v="42"/>
    <x v="0"/>
  </r>
  <r>
    <x v="251"/>
    <x v="1995"/>
    <x v="4"/>
    <x v="0"/>
    <x v="3"/>
    <x v="55"/>
    <x v="66"/>
    <x v="60"/>
    <x v="57"/>
    <x v="0"/>
  </r>
  <r>
    <x v="154"/>
    <x v="1996"/>
    <x v="2"/>
    <x v="0"/>
    <x v="2"/>
    <x v="67"/>
    <x v="84"/>
    <x v="57"/>
    <x v="72"/>
    <x v="0"/>
  </r>
  <r>
    <x v="53"/>
    <x v="1997"/>
    <x v="0"/>
    <x v="0"/>
    <x v="0"/>
    <x v="7"/>
    <x v="7"/>
    <x v="33"/>
    <x v="7"/>
    <x v="0"/>
  </r>
  <r>
    <x v="267"/>
    <x v="1998"/>
    <x v="4"/>
    <x v="0"/>
    <x v="3"/>
    <x v="73"/>
    <x v="90"/>
    <x v="37"/>
    <x v="78"/>
    <x v="0"/>
  </r>
  <r>
    <x v="190"/>
    <x v="1999"/>
    <x v="4"/>
    <x v="0"/>
    <x v="3"/>
    <x v="50"/>
    <x v="60"/>
    <x v="13"/>
    <x v="52"/>
    <x v="0"/>
  </r>
  <r>
    <x v="76"/>
    <x v="2000"/>
    <x v="4"/>
    <x v="0"/>
    <x v="3"/>
    <x v="55"/>
    <x v="66"/>
    <x v="56"/>
    <x v="57"/>
    <x v="0"/>
  </r>
  <r>
    <x v="157"/>
    <x v="2001"/>
    <x v="0"/>
    <x v="0"/>
    <x v="0"/>
    <x v="8"/>
    <x v="8"/>
    <x v="70"/>
    <x v="8"/>
    <x v="0"/>
  </r>
  <r>
    <x v="191"/>
    <x v="2002"/>
    <x v="3"/>
    <x v="1"/>
    <x v="3"/>
    <x v="5"/>
    <x v="31"/>
    <x v="86"/>
    <x v="28"/>
    <x v="0"/>
  </r>
  <r>
    <x v="44"/>
    <x v="2003"/>
    <x v="2"/>
    <x v="0"/>
    <x v="2"/>
    <x v="77"/>
    <x v="96"/>
    <x v="46"/>
    <x v="83"/>
    <x v="0"/>
  </r>
  <r>
    <x v="92"/>
    <x v="2004"/>
    <x v="4"/>
    <x v="0"/>
    <x v="3"/>
    <x v="58"/>
    <x v="71"/>
    <x v="13"/>
    <x v="61"/>
    <x v="0"/>
  </r>
  <r>
    <x v="60"/>
    <x v="2005"/>
    <x v="3"/>
    <x v="1"/>
    <x v="3"/>
    <x v="56"/>
    <x v="67"/>
    <x v="11"/>
    <x v="58"/>
    <x v="0"/>
  </r>
  <r>
    <x v="139"/>
    <x v="2006"/>
    <x v="4"/>
    <x v="0"/>
    <x v="3"/>
    <x v="64"/>
    <x v="79"/>
    <x v="36"/>
    <x v="68"/>
    <x v="0"/>
  </r>
  <r>
    <x v="39"/>
    <x v="2007"/>
    <x v="3"/>
    <x v="1"/>
    <x v="3"/>
    <x v="11"/>
    <x v="11"/>
    <x v="57"/>
    <x v="11"/>
    <x v="0"/>
  </r>
  <r>
    <x v="288"/>
    <x v="2008"/>
    <x v="1"/>
    <x v="0"/>
    <x v="1"/>
    <x v="35"/>
    <x v="43"/>
    <x v="3"/>
    <x v="38"/>
    <x v="0"/>
  </r>
  <r>
    <x v="204"/>
    <x v="2009"/>
    <x v="3"/>
    <x v="1"/>
    <x v="3"/>
    <x v="45"/>
    <x v="56"/>
    <x v="79"/>
    <x v="48"/>
    <x v="0"/>
  </r>
  <r>
    <x v="358"/>
    <x v="2010"/>
    <x v="3"/>
    <x v="1"/>
    <x v="3"/>
    <x v="6"/>
    <x v="21"/>
    <x v="12"/>
    <x v="20"/>
    <x v="0"/>
  </r>
  <r>
    <x v="152"/>
    <x v="2011"/>
    <x v="3"/>
    <x v="1"/>
    <x v="3"/>
    <x v="45"/>
    <x v="56"/>
    <x v="17"/>
    <x v="48"/>
    <x v="0"/>
  </r>
  <r>
    <x v="28"/>
    <x v="2012"/>
    <x v="0"/>
    <x v="0"/>
    <x v="0"/>
    <x v="8"/>
    <x v="8"/>
    <x v="8"/>
    <x v="8"/>
    <x v="0"/>
  </r>
  <r>
    <x v="183"/>
    <x v="2013"/>
    <x v="2"/>
    <x v="0"/>
    <x v="2"/>
    <x v="3"/>
    <x v="3"/>
    <x v="75"/>
    <x v="3"/>
    <x v="0"/>
  </r>
  <r>
    <x v="96"/>
    <x v="2014"/>
    <x v="2"/>
    <x v="0"/>
    <x v="2"/>
    <x v="5"/>
    <x v="92"/>
    <x v="84"/>
    <x v="46"/>
    <x v="0"/>
  </r>
  <r>
    <x v="305"/>
    <x v="2015"/>
    <x v="0"/>
    <x v="0"/>
    <x v="0"/>
    <x v="0"/>
    <x v="0"/>
    <x v="5"/>
    <x v="0"/>
    <x v="0"/>
  </r>
  <r>
    <x v="45"/>
    <x v="2016"/>
    <x v="3"/>
    <x v="1"/>
    <x v="3"/>
    <x v="6"/>
    <x v="21"/>
    <x v="85"/>
    <x v="20"/>
    <x v="0"/>
  </r>
  <r>
    <x v="278"/>
    <x v="2017"/>
    <x v="1"/>
    <x v="0"/>
    <x v="1"/>
    <x v="60"/>
    <x v="74"/>
    <x v="85"/>
    <x v="63"/>
    <x v="0"/>
  </r>
  <r>
    <x v="133"/>
    <x v="2018"/>
    <x v="0"/>
    <x v="0"/>
    <x v="0"/>
    <x v="19"/>
    <x v="19"/>
    <x v="6"/>
    <x v="19"/>
    <x v="0"/>
  </r>
  <r>
    <x v="183"/>
    <x v="2019"/>
    <x v="2"/>
    <x v="0"/>
    <x v="2"/>
    <x v="8"/>
    <x v="35"/>
    <x v="65"/>
    <x v="18"/>
    <x v="0"/>
  </r>
  <r>
    <x v="39"/>
    <x v="2020"/>
    <x v="1"/>
    <x v="0"/>
    <x v="1"/>
    <x v="33"/>
    <x v="41"/>
    <x v="17"/>
    <x v="36"/>
    <x v="0"/>
  </r>
  <r>
    <x v="309"/>
    <x v="2021"/>
    <x v="4"/>
    <x v="0"/>
    <x v="3"/>
    <x v="32"/>
    <x v="40"/>
    <x v="58"/>
    <x v="35"/>
    <x v="0"/>
  </r>
  <r>
    <x v="216"/>
    <x v="2022"/>
    <x v="3"/>
    <x v="1"/>
    <x v="3"/>
    <x v="43"/>
    <x v="52"/>
    <x v="13"/>
    <x v="45"/>
    <x v="0"/>
  </r>
  <r>
    <x v="161"/>
    <x v="2023"/>
    <x v="2"/>
    <x v="0"/>
    <x v="2"/>
    <x v="19"/>
    <x v="27"/>
    <x v="59"/>
    <x v="24"/>
    <x v="0"/>
  </r>
  <r>
    <x v="306"/>
    <x v="2024"/>
    <x v="3"/>
    <x v="1"/>
    <x v="3"/>
    <x v="46"/>
    <x v="68"/>
    <x v="45"/>
    <x v="43"/>
    <x v="0"/>
  </r>
  <r>
    <x v="348"/>
    <x v="2025"/>
    <x v="3"/>
    <x v="1"/>
    <x v="3"/>
    <x v="23"/>
    <x v="83"/>
    <x v="63"/>
    <x v="71"/>
    <x v="0"/>
  </r>
  <r>
    <x v="194"/>
    <x v="2026"/>
    <x v="1"/>
    <x v="0"/>
    <x v="1"/>
    <x v="48"/>
    <x v="58"/>
    <x v="3"/>
    <x v="50"/>
    <x v="0"/>
  </r>
  <r>
    <x v="280"/>
    <x v="2027"/>
    <x v="0"/>
    <x v="0"/>
    <x v="0"/>
    <x v="8"/>
    <x v="8"/>
    <x v="63"/>
    <x v="8"/>
    <x v="0"/>
  </r>
  <r>
    <x v="248"/>
    <x v="2028"/>
    <x v="4"/>
    <x v="0"/>
    <x v="3"/>
    <x v="31"/>
    <x v="39"/>
    <x v="13"/>
    <x v="34"/>
    <x v="0"/>
  </r>
  <r>
    <x v="327"/>
    <x v="2029"/>
    <x v="4"/>
    <x v="0"/>
    <x v="3"/>
    <x v="16"/>
    <x v="16"/>
    <x v="46"/>
    <x v="16"/>
    <x v="0"/>
  </r>
  <r>
    <x v="263"/>
    <x v="2030"/>
    <x v="4"/>
    <x v="0"/>
    <x v="3"/>
    <x v="55"/>
    <x v="66"/>
    <x v="7"/>
    <x v="57"/>
    <x v="0"/>
  </r>
  <r>
    <x v="145"/>
    <x v="2031"/>
    <x v="3"/>
    <x v="1"/>
    <x v="3"/>
    <x v="15"/>
    <x v="15"/>
    <x v="7"/>
    <x v="15"/>
    <x v="0"/>
  </r>
  <r>
    <x v="112"/>
    <x v="2032"/>
    <x v="0"/>
    <x v="0"/>
    <x v="0"/>
    <x v="19"/>
    <x v="19"/>
    <x v="78"/>
    <x v="19"/>
    <x v="0"/>
  </r>
  <r>
    <x v="283"/>
    <x v="2033"/>
    <x v="3"/>
    <x v="1"/>
    <x v="3"/>
    <x v="49"/>
    <x v="59"/>
    <x v="2"/>
    <x v="51"/>
    <x v="0"/>
  </r>
  <r>
    <x v="269"/>
    <x v="2034"/>
    <x v="3"/>
    <x v="1"/>
    <x v="3"/>
    <x v="7"/>
    <x v="20"/>
    <x v="80"/>
    <x v="10"/>
    <x v="0"/>
  </r>
  <r>
    <x v="312"/>
    <x v="2035"/>
    <x v="3"/>
    <x v="1"/>
    <x v="3"/>
    <x v="9"/>
    <x v="70"/>
    <x v="83"/>
    <x v="60"/>
    <x v="0"/>
  </r>
  <r>
    <x v="182"/>
    <x v="2036"/>
    <x v="3"/>
    <x v="1"/>
    <x v="3"/>
    <x v="7"/>
    <x v="20"/>
    <x v="35"/>
    <x v="10"/>
    <x v="0"/>
  </r>
  <r>
    <x v="28"/>
    <x v="2037"/>
    <x v="0"/>
    <x v="0"/>
    <x v="0"/>
    <x v="5"/>
    <x v="5"/>
    <x v="67"/>
    <x v="5"/>
    <x v="0"/>
  </r>
  <r>
    <x v="183"/>
    <x v="2038"/>
    <x v="1"/>
    <x v="0"/>
    <x v="1"/>
    <x v="27"/>
    <x v="33"/>
    <x v="51"/>
    <x v="5"/>
    <x v="0"/>
  </r>
  <r>
    <x v="268"/>
    <x v="2039"/>
    <x v="4"/>
    <x v="0"/>
    <x v="3"/>
    <x v="56"/>
    <x v="67"/>
    <x v="61"/>
    <x v="58"/>
    <x v="0"/>
  </r>
  <r>
    <x v="260"/>
    <x v="2040"/>
    <x v="1"/>
    <x v="0"/>
    <x v="1"/>
    <x v="70"/>
    <x v="87"/>
    <x v="1"/>
    <x v="75"/>
    <x v="0"/>
  </r>
  <r>
    <x v="183"/>
    <x v="2041"/>
    <x v="0"/>
    <x v="0"/>
    <x v="0"/>
    <x v="5"/>
    <x v="5"/>
    <x v="67"/>
    <x v="5"/>
    <x v="0"/>
  </r>
  <r>
    <x v="279"/>
    <x v="2042"/>
    <x v="0"/>
    <x v="0"/>
    <x v="0"/>
    <x v="19"/>
    <x v="19"/>
    <x v="88"/>
    <x v="19"/>
    <x v="0"/>
  </r>
  <r>
    <x v="345"/>
    <x v="2043"/>
    <x v="4"/>
    <x v="0"/>
    <x v="3"/>
    <x v="16"/>
    <x v="16"/>
    <x v="90"/>
    <x v="16"/>
    <x v="0"/>
  </r>
  <r>
    <x v="13"/>
    <x v="2044"/>
    <x v="4"/>
    <x v="0"/>
    <x v="3"/>
    <x v="56"/>
    <x v="67"/>
    <x v="80"/>
    <x v="58"/>
    <x v="0"/>
  </r>
  <r>
    <x v="87"/>
    <x v="2045"/>
    <x v="1"/>
    <x v="0"/>
    <x v="1"/>
    <x v="60"/>
    <x v="74"/>
    <x v="5"/>
    <x v="63"/>
    <x v="0"/>
  </r>
  <r>
    <x v="116"/>
    <x v="2046"/>
    <x v="4"/>
    <x v="0"/>
    <x v="3"/>
    <x v="5"/>
    <x v="31"/>
    <x v="49"/>
    <x v="28"/>
    <x v="0"/>
  </r>
  <r>
    <x v="284"/>
    <x v="2047"/>
    <x v="1"/>
    <x v="0"/>
    <x v="1"/>
    <x v="38"/>
    <x v="46"/>
    <x v="30"/>
    <x v="40"/>
    <x v="0"/>
  </r>
  <r>
    <x v="201"/>
    <x v="2048"/>
    <x v="2"/>
    <x v="0"/>
    <x v="2"/>
    <x v="8"/>
    <x v="35"/>
    <x v="40"/>
    <x v="18"/>
    <x v="0"/>
  </r>
  <r>
    <x v="217"/>
    <x v="2049"/>
    <x v="0"/>
    <x v="0"/>
    <x v="0"/>
    <x v="0"/>
    <x v="0"/>
    <x v="25"/>
    <x v="0"/>
    <x v="0"/>
  </r>
  <r>
    <x v="353"/>
    <x v="2050"/>
    <x v="3"/>
    <x v="1"/>
    <x v="3"/>
    <x v="7"/>
    <x v="20"/>
    <x v="18"/>
    <x v="10"/>
    <x v="0"/>
  </r>
  <r>
    <x v="30"/>
    <x v="2051"/>
    <x v="1"/>
    <x v="0"/>
    <x v="1"/>
    <x v="54"/>
    <x v="65"/>
    <x v="48"/>
    <x v="56"/>
    <x v="0"/>
  </r>
  <r>
    <x v="188"/>
    <x v="2052"/>
    <x v="2"/>
    <x v="0"/>
    <x v="2"/>
    <x v="42"/>
    <x v="51"/>
    <x v="62"/>
    <x v="44"/>
    <x v="0"/>
  </r>
  <r>
    <x v="97"/>
    <x v="2053"/>
    <x v="4"/>
    <x v="0"/>
    <x v="3"/>
    <x v="68"/>
    <x v="85"/>
    <x v="16"/>
    <x v="73"/>
    <x v="0"/>
  </r>
  <r>
    <x v="293"/>
    <x v="2054"/>
    <x v="0"/>
    <x v="0"/>
    <x v="0"/>
    <x v="8"/>
    <x v="8"/>
    <x v="78"/>
    <x v="8"/>
    <x v="0"/>
  </r>
  <r>
    <x v="350"/>
    <x v="2055"/>
    <x v="2"/>
    <x v="0"/>
    <x v="2"/>
    <x v="2"/>
    <x v="2"/>
    <x v="17"/>
    <x v="2"/>
    <x v="0"/>
  </r>
  <r>
    <x v="168"/>
    <x v="2056"/>
    <x v="4"/>
    <x v="0"/>
    <x v="3"/>
    <x v="69"/>
    <x v="86"/>
    <x v="7"/>
    <x v="74"/>
    <x v="0"/>
  </r>
  <r>
    <x v="287"/>
    <x v="2057"/>
    <x v="0"/>
    <x v="0"/>
    <x v="0"/>
    <x v="7"/>
    <x v="7"/>
    <x v="25"/>
    <x v="7"/>
    <x v="0"/>
  </r>
  <r>
    <x v="342"/>
    <x v="2058"/>
    <x v="3"/>
    <x v="1"/>
    <x v="3"/>
    <x v="57"/>
    <x v="69"/>
    <x v="36"/>
    <x v="59"/>
    <x v="0"/>
  </r>
  <r>
    <x v="308"/>
    <x v="2059"/>
    <x v="4"/>
    <x v="0"/>
    <x v="3"/>
    <x v="11"/>
    <x v="11"/>
    <x v="23"/>
    <x v="11"/>
    <x v="0"/>
  </r>
  <r>
    <x v="176"/>
    <x v="2060"/>
    <x v="4"/>
    <x v="0"/>
    <x v="3"/>
    <x v="47"/>
    <x v="94"/>
    <x v="7"/>
    <x v="81"/>
    <x v="0"/>
  </r>
  <r>
    <x v="307"/>
    <x v="2061"/>
    <x v="3"/>
    <x v="1"/>
    <x v="3"/>
    <x v="0"/>
    <x v="55"/>
    <x v="3"/>
    <x v="8"/>
    <x v="0"/>
  </r>
  <r>
    <x v="9"/>
    <x v="2062"/>
    <x v="0"/>
    <x v="0"/>
    <x v="0"/>
    <x v="7"/>
    <x v="7"/>
    <x v="22"/>
    <x v="7"/>
    <x v="0"/>
  </r>
  <r>
    <x v="1"/>
    <x v="2063"/>
    <x v="1"/>
    <x v="0"/>
    <x v="1"/>
    <x v="70"/>
    <x v="87"/>
    <x v="58"/>
    <x v="75"/>
    <x v="0"/>
  </r>
  <r>
    <x v="237"/>
    <x v="2064"/>
    <x v="4"/>
    <x v="0"/>
    <x v="3"/>
    <x v="44"/>
    <x v="54"/>
    <x v="18"/>
    <x v="47"/>
    <x v="0"/>
  </r>
  <r>
    <x v="153"/>
    <x v="2065"/>
    <x v="4"/>
    <x v="0"/>
    <x v="3"/>
    <x v="71"/>
    <x v="88"/>
    <x v="46"/>
    <x v="76"/>
    <x v="0"/>
  </r>
  <r>
    <x v="162"/>
    <x v="2066"/>
    <x v="3"/>
    <x v="1"/>
    <x v="3"/>
    <x v="46"/>
    <x v="68"/>
    <x v="58"/>
    <x v="43"/>
    <x v="0"/>
  </r>
  <r>
    <x v="231"/>
    <x v="2067"/>
    <x v="1"/>
    <x v="0"/>
    <x v="1"/>
    <x v="40"/>
    <x v="48"/>
    <x v="48"/>
    <x v="42"/>
    <x v="0"/>
  </r>
  <r>
    <x v="70"/>
    <x v="2068"/>
    <x v="3"/>
    <x v="1"/>
    <x v="3"/>
    <x v="43"/>
    <x v="52"/>
    <x v="28"/>
    <x v="45"/>
    <x v="0"/>
  </r>
  <r>
    <x v="151"/>
    <x v="2069"/>
    <x v="0"/>
    <x v="0"/>
    <x v="0"/>
    <x v="7"/>
    <x v="7"/>
    <x v="75"/>
    <x v="7"/>
    <x v="0"/>
  </r>
  <r>
    <x v="293"/>
    <x v="2070"/>
    <x v="4"/>
    <x v="0"/>
    <x v="3"/>
    <x v="59"/>
    <x v="72"/>
    <x v="18"/>
    <x v="62"/>
    <x v="0"/>
  </r>
  <r>
    <x v="362"/>
    <x v="2071"/>
    <x v="1"/>
    <x v="0"/>
    <x v="1"/>
    <x v="4"/>
    <x v="4"/>
    <x v="15"/>
    <x v="4"/>
    <x v="0"/>
  </r>
  <r>
    <x v="169"/>
    <x v="2072"/>
    <x v="2"/>
    <x v="0"/>
    <x v="2"/>
    <x v="7"/>
    <x v="49"/>
    <x v="10"/>
    <x v="8"/>
    <x v="0"/>
  </r>
  <r>
    <x v="150"/>
    <x v="2073"/>
    <x v="2"/>
    <x v="0"/>
    <x v="2"/>
    <x v="66"/>
    <x v="82"/>
    <x v="37"/>
    <x v="70"/>
    <x v="0"/>
  </r>
  <r>
    <x v="151"/>
    <x v="2074"/>
    <x v="3"/>
    <x v="1"/>
    <x v="3"/>
    <x v="20"/>
    <x v="22"/>
    <x v="12"/>
    <x v="21"/>
    <x v="0"/>
  </r>
  <r>
    <x v="363"/>
    <x v="2075"/>
    <x v="1"/>
    <x v="0"/>
    <x v="1"/>
    <x v="25"/>
    <x v="30"/>
    <x v="94"/>
    <x v="27"/>
    <x v="0"/>
  </r>
  <r>
    <x v="31"/>
    <x v="2076"/>
    <x v="4"/>
    <x v="0"/>
    <x v="3"/>
    <x v="65"/>
    <x v="80"/>
    <x v="13"/>
    <x v="69"/>
    <x v="0"/>
  </r>
  <r>
    <x v="41"/>
    <x v="2077"/>
    <x v="1"/>
    <x v="0"/>
    <x v="1"/>
    <x v="52"/>
    <x v="62"/>
    <x v="90"/>
    <x v="54"/>
    <x v="0"/>
  </r>
  <r>
    <x v="161"/>
    <x v="2078"/>
    <x v="2"/>
    <x v="0"/>
    <x v="2"/>
    <x v="61"/>
    <x v="75"/>
    <x v="24"/>
    <x v="64"/>
    <x v="0"/>
  </r>
  <r>
    <x v="294"/>
    <x v="2079"/>
    <x v="3"/>
    <x v="1"/>
    <x v="3"/>
    <x v="46"/>
    <x v="68"/>
    <x v="58"/>
    <x v="43"/>
    <x v="0"/>
  </r>
  <r>
    <x v="131"/>
    <x v="2080"/>
    <x v="1"/>
    <x v="0"/>
    <x v="1"/>
    <x v="40"/>
    <x v="48"/>
    <x v="1"/>
    <x v="42"/>
    <x v="0"/>
  </r>
  <r>
    <x v="292"/>
    <x v="2081"/>
    <x v="0"/>
    <x v="0"/>
    <x v="0"/>
    <x v="19"/>
    <x v="19"/>
    <x v="6"/>
    <x v="19"/>
    <x v="0"/>
  </r>
  <r>
    <x v="243"/>
    <x v="2082"/>
    <x v="0"/>
    <x v="0"/>
    <x v="0"/>
    <x v="5"/>
    <x v="5"/>
    <x v="38"/>
    <x v="5"/>
    <x v="0"/>
  </r>
  <r>
    <x v="160"/>
    <x v="2083"/>
    <x v="2"/>
    <x v="0"/>
    <x v="2"/>
    <x v="36"/>
    <x v="44"/>
    <x v="5"/>
    <x v="30"/>
    <x v="0"/>
  </r>
  <r>
    <x v="269"/>
    <x v="2084"/>
    <x v="3"/>
    <x v="1"/>
    <x v="3"/>
    <x v="43"/>
    <x v="52"/>
    <x v="24"/>
    <x v="45"/>
    <x v="0"/>
  </r>
  <r>
    <x v="307"/>
    <x v="2085"/>
    <x v="4"/>
    <x v="0"/>
    <x v="3"/>
    <x v="5"/>
    <x v="31"/>
    <x v="68"/>
    <x v="28"/>
    <x v="0"/>
  </r>
  <r>
    <x v="292"/>
    <x v="2086"/>
    <x v="2"/>
    <x v="0"/>
    <x v="2"/>
    <x v="22"/>
    <x v="25"/>
    <x v="32"/>
    <x v="20"/>
    <x v="0"/>
  </r>
  <r>
    <x v="15"/>
    <x v="2087"/>
    <x v="3"/>
    <x v="1"/>
    <x v="3"/>
    <x v="20"/>
    <x v="22"/>
    <x v="81"/>
    <x v="21"/>
    <x v="0"/>
  </r>
  <r>
    <x v="179"/>
    <x v="2088"/>
    <x v="3"/>
    <x v="1"/>
    <x v="3"/>
    <x v="12"/>
    <x v="12"/>
    <x v="79"/>
    <x v="12"/>
    <x v="0"/>
  </r>
  <r>
    <x v="86"/>
    <x v="2089"/>
    <x v="0"/>
    <x v="0"/>
    <x v="0"/>
    <x v="5"/>
    <x v="5"/>
    <x v="66"/>
    <x v="5"/>
    <x v="0"/>
  </r>
  <r>
    <x v="35"/>
    <x v="2090"/>
    <x v="0"/>
    <x v="0"/>
    <x v="0"/>
    <x v="19"/>
    <x v="19"/>
    <x v="73"/>
    <x v="19"/>
    <x v="0"/>
  </r>
  <r>
    <x v="317"/>
    <x v="2091"/>
    <x v="1"/>
    <x v="0"/>
    <x v="1"/>
    <x v="25"/>
    <x v="30"/>
    <x v="47"/>
    <x v="27"/>
    <x v="0"/>
  </r>
  <r>
    <x v="353"/>
    <x v="2092"/>
    <x v="2"/>
    <x v="0"/>
    <x v="2"/>
    <x v="67"/>
    <x v="84"/>
    <x v="17"/>
    <x v="72"/>
    <x v="0"/>
  </r>
  <r>
    <x v="229"/>
    <x v="2093"/>
    <x v="3"/>
    <x v="1"/>
    <x v="3"/>
    <x v="20"/>
    <x v="22"/>
    <x v="47"/>
    <x v="21"/>
    <x v="0"/>
  </r>
  <r>
    <x v="259"/>
    <x v="2094"/>
    <x v="4"/>
    <x v="0"/>
    <x v="3"/>
    <x v="11"/>
    <x v="11"/>
    <x v="85"/>
    <x v="11"/>
    <x v="0"/>
  </r>
  <r>
    <x v="301"/>
    <x v="2095"/>
    <x v="0"/>
    <x v="0"/>
    <x v="0"/>
    <x v="5"/>
    <x v="5"/>
    <x v="8"/>
    <x v="5"/>
    <x v="0"/>
  </r>
  <r>
    <x v="134"/>
    <x v="2096"/>
    <x v="4"/>
    <x v="0"/>
    <x v="3"/>
    <x v="73"/>
    <x v="90"/>
    <x v="30"/>
    <x v="78"/>
    <x v="0"/>
  </r>
  <r>
    <x v="311"/>
    <x v="2097"/>
    <x v="3"/>
    <x v="1"/>
    <x v="3"/>
    <x v="0"/>
    <x v="55"/>
    <x v="80"/>
    <x v="8"/>
    <x v="0"/>
  </r>
  <r>
    <x v="158"/>
    <x v="2098"/>
    <x v="1"/>
    <x v="0"/>
    <x v="1"/>
    <x v="52"/>
    <x v="62"/>
    <x v="52"/>
    <x v="54"/>
    <x v="0"/>
  </r>
  <r>
    <x v="9"/>
    <x v="2099"/>
    <x v="4"/>
    <x v="0"/>
    <x v="3"/>
    <x v="64"/>
    <x v="79"/>
    <x v="84"/>
    <x v="68"/>
    <x v="0"/>
  </r>
  <r>
    <x v="360"/>
    <x v="2100"/>
    <x v="0"/>
    <x v="0"/>
    <x v="0"/>
    <x v="7"/>
    <x v="7"/>
    <x v="26"/>
    <x v="7"/>
    <x v="0"/>
  </r>
  <r>
    <x v="257"/>
    <x v="2101"/>
    <x v="2"/>
    <x v="0"/>
    <x v="2"/>
    <x v="37"/>
    <x v="45"/>
    <x v="7"/>
    <x v="39"/>
    <x v="0"/>
  </r>
  <r>
    <x v="27"/>
    <x v="2102"/>
    <x v="2"/>
    <x v="0"/>
    <x v="2"/>
    <x v="22"/>
    <x v="25"/>
    <x v="93"/>
    <x v="20"/>
    <x v="0"/>
  </r>
  <r>
    <x v="139"/>
    <x v="2103"/>
    <x v="1"/>
    <x v="0"/>
    <x v="1"/>
    <x v="19"/>
    <x v="73"/>
    <x v="1"/>
    <x v="46"/>
    <x v="0"/>
  </r>
  <r>
    <x v="347"/>
    <x v="2104"/>
    <x v="0"/>
    <x v="0"/>
    <x v="0"/>
    <x v="7"/>
    <x v="7"/>
    <x v="94"/>
    <x v="7"/>
    <x v="0"/>
  </r>
  <r>
    <x v="205"/>
    <x v="2105"/>
    <x v="2"/>
    <x v="0"/>
    <x v="2"/>
    <x v="23"/>
    <x v="28"/>
    <x v="35"/>
    <x v="25"/>
    <x v="0"/>
  </r>
  <r>
    <x v="273"/>
    <x v="2106"/>
    <x v="1"/>
    <x v="0"/>
    <x v="1"/>
    <x v="27"/>
    <x v="33"/>
    <x v="83"/>
    <x v="5"/>
    <x v="0"/>
  </r>
  <r>
    <x v="230"/>
    <x v="2107"/>
    <x v="2"/>
    <x v="0"/>
    <x v="2"/>
    <x v="13"/>
    <x v="13"/>
    <x v="34"/>
    <x v="13"/>
    <x v="0"/>
  </r>
  <r>
    <x v="274"/>
    <x v="2108"/>
    <x v="4"/>
    <x v="0"/>
    <x v="3"/>
    <x v="39"/>
    <x v="47"/>
    <x v="46"/>
    <x v="41"/>
    <x v="0"/>
  </r>
  <r>
    <x v="273"/>
    <x v="2109"/>
    <x v="4"/>
    <x v="0"/>
    <x v="3"/>
    <x v="30"/>
    <x v="38"/>
    <x v="85"/>
    <x v="33"/>
    <x v="0"/>
  </r>
  <r>
    <x v="9"/>
    <x v="2110"/>
    <x v="0"/>
    <x v="0"/>
    <x v="0"/>
    <x v="7"/>
    <x v="7"/>
    <x v="74"/>
    <x v="7"/>
    <x v="0"/>
  </r>
  <r>
    <x v="166"/>
    <x v="2111"/>
    <x v="0"/>
    <x v="0"/>
    <x v="0"/>
    <x v="7"/>
    <x v="7"/>
    <x v="34"/>
    <x v="7"/>
    <x v="0"/>
  </r>
  <r>
    <x v="251"/>
    <x v="2112"/>
    <x v="0"/>
    <x v="0"/>
    <x v="0"/>
    <x v="7"/>
    <x v="7"/>
    <x v="41"/>
    <x v="7"/>
    <x v="0"/>
  </r>
  <r>
    <x v="164"/>
    <x v="2113"/>
    <x v="4"/>
    <x v="0"/>
    <x v="3"/>
    <x v="39"/>
    <x v="47"/>
    <x v="13"/>
    <x v="41"/>
    <x v="0"/>
  </r>
  <r>
    <x v="23"/>
    <x v="2114"/>
    <x v="4"/>
    <x v="0"/>
    <x v="3"/>
    <x v="30"/>
    <x v="38"/>
    <x v="43"/>
    <x v="33"/>
    <x v="0"/>
  </r>
  <r>
    <x v="114"/>
    <x v="2115"/>
    <x v="3"/>
    <x v="1"/>
    <x v="3"/>
    <x v="56"/>
    <x v="67"/>
    <x v="16"/>
    <x v="58"/>
    <x v="0"/>
  </r>
  <r>
    <x v="47"/>
    <x v="2116"/>
    <x v="4"/>
    <x v="0"/>
    <x v="3"/>
    <x v="17"/>
    <x v="17"/>
    <x v="23"/>
    <x v="17"/>
    <x v="0"/>
  </r>
  <r>
    <x v="178"/>
    <x v="2117"/>
    <x v="2"/>
    <x v="0"/>
    <x v="2"/>
    <x v="9"/>
    <x v="9"/>
    <x v="21"/>
    <x v="9"/>
    <x v="0"/>
  </r>
  <r>
    <x v="81"/>
    <x v="2118"/>
    <x v="2"/>
    <x v="0"/>
    <x v="2"/>
    <x v="46"/>
    <x v="47"/>
    <x v="1"/>
    <x v="1"/>
    <x v="0"/>
  </r>
  <r>
    <x v="65"/>
    <x v="2119"/>
    <x v="0"/>
    <x v="0"/>
    <x v="0"/>
    <x v="8"/>
    <x v="8"/>
    <x v="33"/>
    <x v="8"/>
    <x v="0"/>
  </r>
  <r>
    <x v="32"/>
    <x v="2120"/>
    <x v="1"/>
    <x v="0"/>
    <x v="1"/>
    <x v="47"/>
    <x v="57"/>
    <x v="72"/>
    <x v="49"/>
    <x v="0"/>
  </r>
  <r>
    <x v="15"/>
    <x v="2121"/>
    <x v="1"/>
    <x v="0"/>
    <x v="1"/>
    <x v="47"/>
    <x v="57"/>
    <x v="56"/>
    <x v="49"/>
    <x v="0"/>
  </r>
  <r>
    <x v="354"/>
    <x v="2122"/>
    <x v="1"/>
    <x v="0"/>
    <x v="1"/>
    <x v="54"/>
    <x v="65"/>
    <x v="59"/>
    <x v="56"/>
    <x v="0"/>
  </r>
  <r>
    <x v="76"/>
    <x v="2123"/>
    <x v="3"/>
    <x v="1"/>
    <x v="3"/>
    <x v="56"/>
    <x v="67"/>
    <x v="44"/>
    <x v="58"/>
    <x v="0"/>
  </r>
  <r>
    <x v="123"/>
    <x v="2124"/>
    <x v="3"/>
    <x v="1"/>
    <x v="3"/>
    <x v="15"/>
    <x v="15"/>
    <x v="51"/>
    <x v="15"/>
    <x v="0"/>
  </r>
  <r>
    <x v="179"/>
    <x v="2125"/>
    <x v="3"/>
    <x v="1"/>
    <x v="3"/>
    <x v="9"/>
    <x v="70"/>
    <x v="4"/>
    <x v="60"/>
    <x v="0"/>
  </r>
  <r>
    <x v="82"/>
    <x v="2126"/>
    <x v="4"/>
    <x v="0"/>
    <x v="3"/>
    <x v="47"/>
    <x v="94"/>
    <x v="37"/>
    <x v="81"/>
    <x v="0"/>
  </r>
  <r>
    <x v="312"/>
    <x v="2127"/>
    <x v="3"/>
    <x v="1"/>
    <x v="3"/>
    <x v="6"/>
    <x v="21"/>
    <x v="12"/>
    <x v="20"/>
    <x v="0"/>
  </r>
  <r>
    <x v="323"/>
    <x v="2128"/>
    <x v="1"/>
    <x v="0"/>
    <x v="1"/>
    <x v="34"/>
    <x v="42"/>
    <x v="90"/>
    <x v="37"/>
    <x v="0"/>
  </r>
  <r>
    <x v="30"/>
    <x v="2129"/>
    <x v="4"/>
    <x v="0"/>
    <x v="3"/>
    <x v="73"/>
    <x v="90"/>
    <x v="21"/>
    <x v="78"/>
    <x v="0"/>
  </r>
  <r>
    <x v="107"/>
    <x v="2130"/>
    <x v="4"/>
    <x v="0"/>
    <x v="3"/>
    <x v="55"/>
    <x v="66"/>
    <x v="79"/>
    <x v="57"/>
    <x v="0"/>
  </r>
  <r>
    <x v="241"/>
    <x v="2131"/>
    <x v="1"/>
    <x v="0"/>
    <x v="1"/>
    <x v="54"/>
    <x v="65"/>
    <x v="25"/>
    <x v="56"/>
    <x v="0"/>
  </r>
  <r>
    <x v="220"/>
    <x v="2132"/>
    <x v="4"/>
    <x v="0"/>
    <x v="3"/>
    <x v="30"/>
    <x v="38"/>
    <x v="60"/>
    <x v="33"/>
    <x v="0"/>
  </r>
  <r>
    <x v="198"/>
    <x v="2133"/>
    <x v="1"/>
    <x v="0"/>
    <x v="1"/>
    <x v="24"/>
    <x v="29"/>
    <x v="25"/>
    <x v="26"/>
    <x v="0"/>
  </r>
  <r>
    <x v="230"/>
    <x v="2134"/>
    <x v="3"/>
    <x v="1"/>
    <x v="3"/>
    <x v="0"/>
    <x v="55"/>
    <x v="21"/>
    <x v="8"/>
    <x v="0"/>
  </r>
  <r>
    <x v="254"/>
    <x v="2135"/>
    <x v="3"/>
    <x v="1"/>
    <x v="3"/>
    <x v="1"/>
    <x v="53"/>
    <x v="52"/>
    <x v="46"/>
    <x v="0"/>
  </r>
  <r>
    <x v="322"/>
    <x v="2136"/>
    <x v="0"/>
    <x v="0"/>
    <x v="0"/>
    <x v="19"/>
    <x v="19"/>
    <x v="82"/>
    <x v="19"/>
    <x v="0"/>
  </r>
  <r>
    <x v="26"/>
    <x v="2137"/>
    <x v="2"/>
    <x v="0"/>
    <x v="2"/>
    <x v="23"/>
    <x v="28"/>
    <x v="1"/>
    <x v="25"/>
    <x v="0"/>
  </r>
  <r>
    <x v="341"/>
    <x v="2138"/>
    <x v="3"/>
    <x v="1"/>
    <x v="3"/>
    <x v="19"/>
    <x v="24"/>
    <x v="63"/>
    <x v="14"/>
    <x v="0"/>
  </r>
  <r>
    <x v="20"/>
    <x v="2139"/>
    <x v="4"/>
    <x v="0"/>
    <x v="3"/>
    <x v="56"/>
    <x v="67"/>
    <x v="18"/>
    <x v="58"/>
    <x v="0"/>
  </r>
  <r>
    <x v="232"/>
    <x v="2140"/>
    <x v="1"/>
    <x v="0"/>
    <x v="1"/>
    <x v="25"/>
    <x v="30"/>
    <x v="45"/>
    <x v="27"/>
    <x v="0"/>
  </r>
  <r>
    <x v="56"/>
    <x v="2141"/>
    <x v="3"/>
    <x v="1"/>
    <x v="3"/>
    <x v="11"/>
    <x v="11"/>
    <x v="72"/>
    <x v="11"/>
    <x v="0"/>
  </r>
  <r>
    <x v="341"/>
    <x v="2142"/>
    <x v="2"/>
    <x v="0"/>
    <x v="2"/>
    <x v="13"/>
    <x v="13"/>
    <x v="59"/>
    <x v="13"/>
    <x v="0"/>
  </r>
  <r>
    <x v="100"/>
    <x v="2143"/>
    <x v="1"/>
    <x v="0"/>
    <x v="1"/>
    <x v="4"/>
    <x v="4"/>
    <x v="71"/>
    <x v="4"/>
    <x v="0"/>
  </r>
  <r>
    <x v="310"/>
    <x v="2144"/>
    <x v="3"/>
    <x v="1"/>
    <x v="3"/>
    <x v="49"/>
    <x v="59"/>
    <x v="18"/>
    <x v="51"/>
    <x v="0"/>
  </r>
  <r>
    <x v="47"/>
    <x v="2145"/>
    <x v="4"/>
    <x v="0"/>
    <x v="3"/>
    <x v="47"/>
    <x v="94"/>
    <x v="16"/>
    <x v="81"/>
    <x v="0"/>
  </r>
  <r>
    <x v="342"/>
    <x v="2146"/>
    <x v="4"/>
    <x v="0"/>
    <x v="3"/>
    <x v="5"/>
    <x v="31"/>
    <x v="68"/>
    <x v="28"/>
    <x v="0"/>
  </r>
  <r>
    <x v="304"/>
    <x v="2147"/>
    <x v="3"/>
    <x v="1"/>
    <x v="3"/>
    <x v="78"/>
    <x v="97"/>
    <x v="62"/>
    <x v="84"/>
    <x v="0"/>
  </r>
  <r>
    <x v="146"/>
    <x v="2148"/>
    <x v="0"/>
    <x v="0"/>
    <x v="0"/>
    <x v="7"/>
    <x v="7"/>
    <x v="76"/>
    <x v="7"/>
    <x v="0"/>
  </r>
  <r>
    <x v="267"/>
    <x v="2149"/>
    <x v="0"/>
    <x v="0"/>
    <x v="0"/>
    <x v="5"/>
    <x v="5"/>
    <x v="82"/>
    <x v="5"/>
    <x v="0"/>
  </r>
  <r>
    <x v="140"/>
    <x v="2150"/>
    <x v="3"/>
    <x v="1"/>
    <x v="3"/>
    <x v="29"/>
    <x v="37"/>
    <x v="80"/>
    <x v="32"/>
    <x v="0"/>
  </r>
  <r>
    <x v="223"/>
    <x v="2151"/>
    <x v="0"/>
    <x v="0"/>
    <x v="0"/>
    <x v="19"/>
    <x v="19"/>
    <x v="38"/>
    <x v="19"/>
    <x v="0"/>
  </r>
  <r>
    <x v="153"/>
    <x v="2152"/>
    <x v="0"/>
    <x v="0"/>
    <x v="0"/>
    <x v="0"/>
    <x v="0"/>
    <x v="67"/>
    <x v="0"/>
    <x v="0"/>
  </r>
  <r>
    <x v="91"/>
    <x v="2153"/>
    <x v="3"/>
    <x v="1"/>
    <x v="3"/>
    <x v="20"/>
    <x v="22"/>
    <x v="65"/>
    <x v="21"/>
    <x v="0"/>
  </r>
  <r>
    <x v="159"/>
    <x v="2154"/>
    <x v="2"/>
    <x v="0"/>
    <x v="2"/>
    <x v="63"/>
    <x v="78"/>
    <x v="24"/>
    <x v="67"/>
    <x v="0"/>
  </r>
  <r>
    <x v="30"/>
    <x v="2155"/>
    <x v="1"/>
    <x v="0"/>
    <x v="1"/>
    <x v="25"/>
    <x v="30"/>
    <x v="44"/>
    <x v="27"/>
    <x v="0"/>
  </r>
  <r>
    <x v="191"/>
    <x v="2156"/>
    <x v="3"/>
    <x v="1"/>
    <x v="3"/>
    <x v="18"/>
    <x v="18"/>
    <x v="43"/>
    <x v="18"/>
    <x v="0"/>
  </r>
  <r>
    <x v="240"/>
    <x v="2157"/>
    <x v="2"/>
    <x v="0"/>
    <x v="2"/>
    <x v="8"/>
    <x v="35"/>
    <x v="68"/>
    <x v="18"/>
    <x v="0"/>
  </r>
  <r>
    <x v="162"/>
    <x v="2158"/>
    <x v="2"/>
    <x v="0"/>
    <x v="2"/>
    <x v="2"/>
    <x v="2"/>
    <x v="37"/>
    <x v="2"/>
    <x v="0"/>
  </r>
  <r>
    <x v="34"/>
    <x v="2159"/>
    <x v="1"/>
    <x v="0"/>
    <x v="1"/>
    <x v="27"/>
    <x v="33"/>
    <x v="2"/>
    <x v="5"/>
    <x v="0"/>
  </r>
  <r>
    <x v="163"/>
    <x v="2160"/>
    <x v="2"/>
    <x v="0"/>
    <x v="2"/>
    <x v="14"/>
    <x v="14"/>
    <x v="87"/>
    <x v="14"/>
    <x v="0"/>
  </r>
  <r>
    <x v="118"/>
    <x v="2161"/>
    <x v="2"/>
    <x v="0"/>
    <x v="2"/>
    <x v="9"/>
    <x v="9"/>
    <x v="83"/>
    <x v="9"/>
    <x v="0"/>
  </r>
  <r>
    <x v="279"/>
    <x v="2162"/>
    <x v="0"/>
    <x v="0"/>
    <x v="0"/>
    <x v="8"/>
    <x v="8"/>
    <x v="64"/>
    <x v="8"/>
    <x v="0"/>
  </r>
  <r>
    <x v="26"/>
    <x v="2163"/>
    <x v="3"/>
    <x v="1"/>
    <x v="3"/>
    <x v="11"/>
    <x v="11"/>
    <x v="68"/>
    <x v="11"/>
    <x v="0"/>
  </r>
  <r>
    <x v="62"/>
    <x v="2164"/>
    <x v="2"/>
    <x v="0"/>
    <x v="2"/>
    <x v="8"/>
    <x v="35"/>
    <x v="12"/>
    <x v="18"/>
    <x v="0"/>
  </r>
  <r>
    <x v="109"/>
    <x v="2165"/>
    <x v="4"/>
    <x v="0"/>
    <x v="3"/>
    <x v="68"/>
    <x v="85"/>
    <x v="18"/>
    <x v="73"/>
    <x v="0"/>
  </r>
  <r>
    <x v="297"/>
    <x v="2166"/>
    <x v="0"/>
    <x v="0"/>
    <x v="0"/>
    <x v="5"/>
    <x v="5"/>
    <x v="82"/>
    <x v="5"/>
    <x v="0"/>
  </r>
  <r>
    <x v="275"/>
    <x v="2167"/>
    <x v="0"/>
    <x v="0"/>
    <x v="0"/>
    <x v="8"/>
    <x v="8"/>
    <x v="38"/>
    <x v="8"/>
    <x v="0"/>
  </r>
  <r>
    <x v="266"/>
    <x v="2168"/>
    <x v="0"/>
    <x v="0"/>
    <x v="0"/>
    <x v="5"/>
    <x v="5"/>
    <x v="31"/>
    <x v="5"/>
    <x v="0"/>
  </r>
  <r>
    <x v="288"/>
    <x v="2169"/>
    <x v="3"/>
    <x v="1"/>
    <x v="3"/>
    <x v="49"/>
    <x v="59"/>
    <x v="22"/>
    <x v="51"/>
    <x v="0"/>
  </r>
  <r>
    <x v="208"/>
    <x v="2170"/>
    <x v="4"/>
    <x v="0"/>
    <x v="3"/>
    <x v="56"/>
    <x v="67"/>
    <x v="12"/>
    <x v="58"/>
    <x v="0"/>
  </r>
  <r>
    <x v="69"/>
    <x v="2171"/>
    <x v="1"/>
    <x v="0"/>
    <x v="1"/>
    <x v="24"/>
    <x v="29"/>
    <x v="70"/>
    <x v="26"/>
    <x v="0"/>
  </r>
  <r>
    <x v="273"/>
    <x v="2172"/>
    <x v="0"/>
    <x v="0"/>
    <x v="0"/>
    <x v="8"/>
    <x v="8"/>
    <x v="76"/>
    <x v="8"/>
    <x v="0"/>
  </r>
  <r>
    <x v="125"/>
    <x v="2173"/>
    <x v="0"/>
    <x v="0"/>
    <x v="0"/>
    <x v="8"/>
    <x v="8"/>
    <x v="91"/>
    <x v="8"/>
    <x v="0"/>
  </r>
  <r>
    <x v="19"/>
    <x v="2174"/>
    <x v="2"/>
    <x v="0"/>
    <x v="2"/>
    <x v="7"/>
    <x v="49"/>
    <x v="95"/>
    <x v="8"/>
    <x v="0"/>
  </r>
  <r>
    <x v="25"/>
    <x v="2175"/>
    <x v="1"/>
    <x v="0"/>
    <x v="1"/>
    <x v="35"/>
    <x v="43"/>
    <x v="60"/>
    <x v="38"/>
    <x v="0"/>
  </r>
  <r>
    <x v="89"/>
    <x v="2176"/>
    <x v="2"/>
    <x v="0"/>
    <x v="2"/>
    <x v="36"/>
    <x v="44"/>
    <x v="87"/>
    <x v="30"/>
    <x v="0"/>
  </r>
  <r>
    <x v="103"/>
    <x v="2177"/>
    <x v="3"/>
    <x v="1"/>
    <x v="3"/>
    <x v="49"/>
    <x v="59"/>
    <x v="3"/>
    <x v="51"/>
    <x v="0"/>
  </r>
  <r>
    <x v="346"/>
    <x v="2178"/>
    <x v="3"/>
    <x v="1"/>
    <x v="3"/>
    <x v="19"/>
    <x v="24"/>
    <x v="20"/>
    <x v="14"/>
    <x v="0"/>
  </r>
  <r>
    <x v="222"/>
    <x v="2179"/>
    <x v="1"/>
    <x v="0"/>
    <x v="1"/>
    <x v="75"/>
    <x v="93"/>
    <x v="72"/>
    <x v="80"/>
    <x v="0"/>
  </r>
  <r>
    <x v="194"/>
    <x v="2180"/>
    <x v="3"/>
    <x v="1"/>
    <x v="3"/>
    <x v="0"/>
    <x v="55"/>
    <x v="43"/>
    <x v="8"/>
    <x v="0"/>
  </r>
  <r>
    <x v="231"/>
    <x v="2181"/>
    <x v="1"/>
    <x v="0"/>
    <x v="1"/>
    <x v="40"/>
    <x v="48"/>
    <x v="20"/>
    <x v="42"/>
    <x v="0"/>
  </r>
  <r>
    <x v="129"/>
    <x v="2182"/>
    <x v="4"/>
    <x v="0"/>
    <x v="3"/>
    <x v="69"/>
    <x v="86"/>
    <x v="81"/>
    <x v="74"/>
    <x v="0"/>
  </r>
  <r>
    <x v="118"/>
    <x v="2183"/>
    <x v="0"/>
    <x v="0"/>
    <x v="0"/>
    <x v="19"/>
    <x v="19"/>
    <x v="70"/>
    <x v="19"/>
    <x v="0"/>
  </r>
  <r>
    <x v="125"/>
    <x v="2184"/>
    <x v="4"/>
    <x v="0"/>
    <x v="3"/>
    <x v="68"/>
    <x v="85"/>
    <x v="55"/>
    <x v="73"/>
    <x v="0"/>
  </r>
  <r>
    <x v="91"/>
    <x v="2185"/>
    <x v="1"/>
    <x v="0"/>
    <x v="1"/>
    <x v="47"/>
    <x v="57"/>
    <x v="10"/>
    <x v="49"/>
    <x v="0"/>
  </r>
  <r>
    <x v="243"/>
    <x v="2186"/>
    <x v="1"/>
    <x v="0"/>
    <x v="1"/>
    <x v="24"/>
    <x v="29"/>
    <x v="57"/>
    <x v="26"/>
    <x v="0"/>
  </r>
  <r>
    <x v="264"/>
    <x v="2187"/>
    <x v="1"/>
    <x v="0"/>
    <x v="1"/>
    <x v="0"/>
    <x v="81"/>
    <x v="30"/>
    <x v="24"/>
    <x v="0"/>
  </r>
  <r>
    <x v="28"/>
    <x v="2188"/>
    <x v="2"/>
    <x v="0"/>
    <x v="2"/>
    <x v="19"/>
    <x v="27"/>
    <x v="50"/>
    <x v="24"/>
    <x v="0"/>
  </r>
  <r>
    <x v="345"/>
    <x v="2189"/>
    <x v="4"/>
    <x v="0"/>
    <x v="3"/>
    <x v="56"/>
    <x v="67"/>
    <x v="55"/>
    <x v="58"/>
    <x v="0"/>
  </r>
  <r>
    <x v="283"/>
    <x v="2190"/>
    <x v="1"/>
    <x v="0"/>
    <x v="1"/>
    <x v="1"/>
    <x v="1"/>
    <x v="64"/>
    <x v="1"/>
    <x v="0"/>
  </r>
  <r>
    <x v="344"/>
    <x v="2191"/>
    <x v="1"/>
    <x v="0"/>
    <x v="1"/>
    <x v="53"/>
    <x v="64"/>
    <x v="4"/>
    <x v="55"/>
    <x v="0"/>
  </r>
  <r>
    <x v="214"/>
    <x v="2192"/>
    <x v="1"/>
    <x v="0"/>
    <x v="1"/>
    <x v="48"/>
    <x v="58"/>
    <x v="80"/>
    <x v="50"/>
    <x v="0"/>
  </r>
  <r>
    <x v="231"/>
    <x v="2193"/>
    <x v="2"/>
    <x v="0"/>
    <x v="2"/>
    <x v="41"/>
    <x v="50"/>
    <x v="37"/>
    <x v="43"/>
    <x v="0"/>
  </r>
  <r>
    <x v="245"/>
    <x v="2194"/>
    <x v="3"/>
    <x v="1"/>
    <x v="3"/>
    <x v="12"/>
    <x v="12"/>
    <x v="30"/>
    <x v="12"/>
    <x v="0"/>
  </r>
  <r>
    <x v="249"/>
    <x v="2195"/>
    <x v="2"/>
    <x v="0"/>
    <x v="2"/>
    <x v="37"/>
    <x v="45"/>
    <x v="24"/>
    <x v="39"/>
    <x v="0"/>
  </r>
  <r>
    <x v="126"/>
    <x v="2196"/>
    <x v="3"/>
    <x v="1"/>
    <x v="3"/>
    <x v="1"/>
    <x v="53"/>
    <x v="15"/>
    <x v="46"/>
    <x v="0"/>
  </r>
  <r>
    <x v="166"/>
    <x v="2197"/>
    <x v="3"/>
    <x v="1"/>
    <x v="3"/>
    <x v="1"/>
    <x v="53"/>
    <x v="16"/>
    <x v="46"/>
    <x v="0"/>
  </r>
  <r>
    <x v="164"/>
    <x v="2198"/>
    <x v="3"/>
    <x v="1"/>
    <x v="3"/>
    <x v="57"/>
    <x v="69"/>
    <x v="15"/>
    <x v="59"/>
    <x v="0"/>
  </r>
  <r>
    <x v="242"/>
    <x v="2199"/>
    <x v="3"/>
    <x v="1"/>
    <x v="3"/>
    <x v="57"/>
    <x v="69"/>
    <x v="87"/>
    <x v="59"/>
    <x v="0"/>
  </r>
  <r>
    <x v="320"/>
    <x v="2200"/>
    <x v="1"/>
    <x v="0"/>
    <x v="1"/>
    <x v="40"/>
    <x v="48"/>
    <x v="48"/>
    <x v="42"/>
    <x v="0"/>
  </r>
  <r>
    <x v="66"/>
    <x v="2201"/>
    <x v="3"/>
    <x v="1"/>
    <x v="3"/>
    <x v="23"/>
    <x v="83"/>
    <x v="48"/>
    <x v="71"/>
    <x v="0"/>
  </r>
  <r>
    <x v="85"/>
    <x v="2202"/>
    <x v="4"/>
    <x v="0"/>
    <x v="3"/>
    <x v="71"/>
    <x v="88"/>
    <x v="57"/>
    <x v="76"/>
    <x v="0"/>
  </r>
  <r>
    <x v="69"/>
    <x v="2203"/>
    <x v="1"/>
    <x v="0"/>
    <x v="1"/>
    <x v="4"/>
    <x v="4"/>
    <x v="26"/>
    <x v="4"/>
    <x v="0"/>
  </r>
  <r>
    <x v="175"/>
    <x v="2204"/>
    <x v="4"/>
    <x v="0"/>
    <x v="3"/>
    <x v="71"/>
    <x v="88"/>
    <x v="40"/>
    <x v="76"/>
    <x v="0"/>
  </r>
  <r>
    <x v="131"/>
    <x v="2205"/>
    <x v="3"/>
    <x v="1"/>
    <x v="3"/>
    <x v="78"/>
    <x v="97"/>
    <x v="35"/>
    <x v="84"/>
    <x v="0"/>
  </r>
  <r>
    <x v="346"/>
    <x v="2206"/>
    <x v="1"/>
    <x v="0"/>
    <x v="1"/>
    <x v="48"/>
    <x v="58"/>
    <x v="48"/>
    <x v="50"/>
    <x v="0"/>
  </r>
  <r>
    <x v="210"/>
    <x v="2207"/>
    <x v="4"/>
    <x v="0"/>
    <x v="3"/>
    <x v="59"/>
    <x v="72"/>
    <x v="48"/>
    <x v="62"/>
    <x v="0"/>
  </r>
  <r>
    <x v="352"/>
    <x v="2208"/>
    <x v="4"/>
    <x v="0"/>
    <x v="3"/>
    <x v="58"/>
    <x v="71"/>
    <x v="59"/>
    <x v="61"/>
    <x v="0"/>
  </r>
  <r>
    <x v="12"/>
    <x v="2209"/>
    <x v="3"/>
    <x v="1"/>
    <x v="3"/>
    <x v="1"/>
    <x v="53"/>
    <x v="31"/>
    <x v="46"/>
    <x v="0"/>
  </r>
  <r>
    <x v="82"/>
    <x v="2210"/>
    <x v="4"/>
    <x v="0"/>
    <x v="3"/>
    <x v="21"/>
    <x v="23"/>
    <x v="2"/>
    <x v="22"/>
    <x v="0"/>
  </r>
  <r>
    <x v="20"/>
    <x v="2211"/>
    <x v="3"/>
    <x v="1"/>
    <x v="3"/>
    <x v="11"/>
    <x v="11"/>
    <x v="12"/>
    <x v="11"/>
    <x v="0"/>
  </r>
  <r>
    <x v="110"/>
    <x v="2212"/>
    <x v="1"/>
    <x v="0"/>
    <x v="1"/>
    <x v="34"/>
    <x v="42"/>
    <x v="47"/>
    <x v="37"/>
    <x v="0"/>
  </r>
  <r>
    <x v="295"/>
    <x v="2213"/>
    <x v="1"/>
    <x v="0"/>
    <x v="1"/>
    <x v="27"/>
    <x v="33"/>
    <x v="51"/>
    <x v="5"/>
    <x v="0"/>
  </r>
  <r>
    <x v="362"/>
    <x v="2214"/>
    <x v="1"/>
    <x v="0"/>
    <x v="1"/>
    <x v="33"/>
    <x v="41"/>
    <x v="44"/>
    <x v="36"/>
    <x v="0"/>
  </r>
  <r>
    <x v="193"/>
    <x v="2215"/>
    <x v="2"/>
    <x v="0"/>
    <x v="2"/>
    <x v="77"/>
    <x v="96"/>
    <x v="67"/>
    <x v="83"/>
    <x v="0"/>
  </r>
  <r>
    <x v="69"/>
    <x v="2216"/>
    <x v="3"/>
    <x v="1"/>
    <x v="3"/>
    <x v="1"/>
    <x v="53"/>
    <x v="89"/>
    <x v="46"/>
    <x v="0"/>
  </r>
  <r>
    <x v="174"/>
    <x v="2217"/>
    <x v="0"/>
    <x v="0"/>
    <x v="0"/>
    <x v="19"/>
    <x v="19"/>
    <x v="10"/>
    <x v="19"/>
    <x v="0"/>
  </r>
  <r>
    <x v="1"/>
    <x v="2218"/>
    <x v="4"/>
    <x v="0"/>
    <x v="3"/>
    <x v="71"/>
    <x v="88"/>
    <x v="53"/>
    <x v="76"/>
    <x v="0"/>
  </r>
  <r>
    <x v="233"/>
    <x v="2219"/>
    <x v="3"/>
    <x v="1"/>
    <x v="3"/>
    <x v="8"/>
    <x v="26"/>
    <x v="4"/>
    <x v="23"/>
    <x v="0"/>
  </r>
  <r>
    <x v="207"/>
    <x v="2220"/>
    <x v="0"/>
    <x v="0"/>
    <x v="0"/>
    <x v="7"/>
    <x v="7"/>
    <x v="76"/>
    <x v="7"/>
    <x v="0"/>
  </r>
  <r>
    <x v="114"/>
    <x v="2221"/>
    <x v="2"/>
    <x v="0"/>
    <x v="2"/>
    <x v="22"/>
    <x v="25"/>
    <x v="5"/>
    <x v="20"/>
    <x v="0"/>
  </r>
  <r>
    <x v="352"/>
    <x v="2222"/>
    <x v="1"/>
    <x v="0"/>
    <x v="1"/>
    <x v="33"/>
    <x v="41"/>
    <x v="85"/>
    <x v="36"/>
    <x v="0"/>
  </r>
  <r>
    <x v="217"/>
    <x v="2223"/>
    <x v="3"/>
    <x v="1"/>
    <x v="3"/>
    <x v="12"/>
    <x v="12"/>
    <x v="72"/>
    <x v="12"/>
    <x v="0"/>
  </r>
  <r>
    <x v="351"/>
    <x v="2224"/>
    <x v="4"/>
    <x v="0"/>
    <x v="3"/>
    <x v="64"/>
    <x v="79"/>
    <x v="4"/>
    <x v="68"/>
    <x v="0"/>
  </r>
  <r>
    <x v="213"/>
    <x v="2225"/>
    <x v="1"/>
    <x v="0"/>
    <x v="1"/>
    <x v="38"/>
    <x v="46"/>
    <x v="54"/>
    <x v="40"/>
    <x v="0"/>
  </r>
  <r>
    <x v="319"/>
    <x v="2226"/>
    <x v="4"/>
    <x v="0"/>
    <x v="3"/>
    <x v="16"/>
    <x v="16"/>
    <x v="32"/>
    <x v="16"/>
    <x v="0"/>
  </r>
  <r>
    <x v="167"/>
    <x v="2227"/>
    <x v="2"/>
    <x v="0"/>
    <x v="2"/>
    <x v="2"/>
    <x v="2"/>
    <x v="68"/>
    <x v="2"/>
    <x v="0"/>
  </r>
  <r>
    <x v="81"/>
    <x v="2228"/>
    <x v="4"/>
    <x v="0"/>
    <x v="3"/>
    <x v="74"/>
    <x v="91"/>
    <x v="13"/>
    <x v="79"/>
    <x v="0"/>
  </r>
  <r>
    <x v="167"/>
    <x v="2229"/>
    <x v="3"/>
    <x v="1"/>
    <x v="3"/>
    <x v="6"/>
    <x v="21"/>
    <x v="57"/>
    <x v="20"/>
    <x v="0"/>
  </r>
  <r>
    <x v="311"/>
    <x v="2230"/>
    <x v="2"/>
    <x v="0"/>
    <x v="2"/>
    <x v="51"/>
    <x v="61"/>
    <x v="15"/>
    <x v="53"/>
    <x v="0"/>
  </r>
  <r>
    <x v="291"/>
    <x v="2231"/>
    <x v="4"/>
    <x v="0"/>
    <x v="3"/>
    <x v="73"/>
    <x v="90"/>
    <x v="62"/>
    <x v="78"/>
    <x v="0"/>
  </r>
  <r>
    <x v="82"/>
    <x v="2232"/>
    <x v="4"/>
    <x v="0"/>
    <x v="3"/>
    <x v="44"/>
    <x v="54"/>
    <x v="65"/>
    <x v="47"/>
    <x v="0"/>
  </r>
  <r>
    <x v="15"/>
    <x v="2233"/>
    <x v="4"/>
    <x v="0"/>
    <x v="3"/>
    <x v="50"/>
    <x v="60"/>
    <x v="65"/>
    <x v="52"/>
    <x v="0"/>
  </r>
  <r>
    <x v="319"/>
    <x v="2234"/>
    <x v="4"/>
    <x v="0"/>
    <x v="3"/>
    <x v="65"/>
    <x v="80"/>
    <x v="16"/>
    <x v="69"/>
    <x v="0"/>
  </r>
  <r>
    <x v="106"/>
    <x v="2235"/>
    <x v="0"/>
    <x v="0"/>
    <x v="0"/>
    <x v="8"/>
    <x v="8"/>
    <x v="41"/>
    <x v="8"/>
    <x v="0"/>
  </r>
  <r>
    <x v="180"/>
    <x v="2236"/>
    <x v="3"/>
    <x v="1"/>
    <x v="3"/>
    <x v="46"/>
    <x v="68"/>
    <x v="26"/>
    <x v="43"/>
    <x v="0"/>
  </r>
  <r>
    <x v="150"/>
    <x v="2237"/>
    <x v="0"/>
    <x v="0"/>
    <x v="0"/>
    <x v="8"/>
    <x v="8"/>
    <x v="5"/>
    <x v="8"/>
    <x v="0"/>
  </r>
  <r>
    <x v="195"/>
    <x v="2238"/>
    <x v="3"/>
    <x v="1"/>
    <x v="3"/>
    <x v="19"/>
    <x v="24"/>
    <x v="42"/>
    <x v="14"/>
    <x v="0"/>
  </r>
  <r>
    <x v="337"/>
    <x v="2239"/>
    <x v="1"/>
    <x v="0"/>
    <x v="1"/>
    <x v="27"/>
    <x v="33"/>
    <x v="45"/>
    <x v="5"/>
    <x v="0"/>
  </r>
  <r>
    <x v="327"/>
    <x v="2240"/>
    <x v="4"/>
    <x v="0"/>
    <x v="3"/>
    <x v="69"/>
    <x v="86"/>
    <x v="16"/>
    <x v="74"/>
    <x v="0"/>
  </r>
  <r>
    <x v="47"/>
    <x v="2241"/>
    <x v="3"/>
    <x v="1"/>
    <x v="3"/>
    <x v="9"/>
    <x v="70"/>
    <x v="28"/>
    <x v="60"/>
    <x v="0"/>
  </r>
  <r>
    <x v="149"/>
    <x v="2242"/>
    <x v="2"/>
    <x v="0"/>
    <x v="2"/>
    <x v="61"/>
    <x v="75"/>
    <x v="48"/>
    <x v="64"/>
    <x v="0"/>
  </r>
  <r>
    <x v="11"/>
    <x v="2243"/>
    <x v="4"/>
    <x v="0"/>
    <x v="3"/>
    <x v="55"/>
    <x v="66"/>
    <x v="59"/>
    <x v="57"/>
    <x v="0"/>
  </r>
  <r>
    <x v="227"/>
    <x v="2244"/>
    <x v="3"/>
    <x v="1"/>
    <x v="3"/>
    <x v="45"/>
    <x v="56"/>
    <x v="81"/>
    <x v="48"/>
    <x v="0"/>
  </r>
  <r>
    <x v="152"/>
    <x v="2245"/>
    <x v="1"/>
    <x v="0"/>
    <x v="1"/>
    <x v="0"/>
    <x v="81"/>
    <x v="71"/>
    <x v="24"/>
    <x v="0"/>
  </r>
  <r>
    <x v="101"/>
    <x v="2246"/>
    <x v="1"/>
    <x v="0"/>
    <x v="1"/>
    <x v="28"/>
    <x v="36"/>
    <x v="1"/>
    <x v="31"/>
    <x v="0"/>
  </r>
  <r>
    <x v="103"/>
    <x v="2247"/>
    <x v="4"/>
    <x v="0"/>
    <x v="3"/>
    <x v="5"/>
    <x v="31"/>
    <x v="12"/>
    <x v="28"/>
    <x v="0"/>
  </r>
  <r>
    <x v="124"/>
    <x v="2248"/>
    <x v="3"/>
    <x v="1"/>
    <x v="3"/>
    <x v="56"/>
    <x v="67"/>
    <x v="55"/>
    <x v="58"/>
    <x v="0"/>
  </r>
  <r>
    <x v="286"/>
    <x v="2249"/>
    <x v="3"/>
    <x v="1"/>
    <x v="3"/>
    <x v="57"/>
    <x v="69"/>
    <x v="44"/>
    <x v="59"/>
    <x v="0"/>
  </r>
  <r>
    <x v="219"/>
    <x v="2250"/>
    <x v="0"/>
    <x v="0"/>
    <x v="0"/>
    <x v="0"/>
    <x v="0"/>
    <x v="25"/>
    <x v="0"/>
    <x v="0"/>
  </r>
  <r>
    <x v="362"/>
    <x v="2251"/>
    <x v="4"/>
    <x v="0"/>
    <x v="3"/>
    <x v="59"/>
    <x v="72"/>
    <x v="89"/>
    <x v="62"/>
    <x v="0"/>
  </r>
  <r>
    <x v="16"/>
    <x v="2252"/>
    <x v="1"/>
    <x v="0"/>
    <x v="1"/>
    <x v="72"/>
    <x v="89"/>
    <x v="46"/>
    <x v="19"/>
    <x v="0"/>
  </r>
  <r>
    <x v="345"/>
    <x v="2253"/>
    <x v="4"/>
    <x v="0"/>
    <x v="3"/>
    <x v="73"/>
    <x v="90"/>
    <x v="61"/>
    <x v="78"/>
    <x v="0"/>
  </r>
  <r>
    <x v="303"/>
    <x v="2254"/>
    <x v="3"/>
    <x v="1"/>
    <x v="3"/>
    <x v="9"/>
    <x v="70"/>
    <x v="65"/>
    <x v="60"/>
    <x v="0"/>
  </r>
  <r>
    <x v="289"/>
    <x v="2255"/>
    <x v="1"/>
    <x v="0"/>
    <x v="1"/>
    <x v="70"/>
    <x v="87"/>
    <x v="49"/>
    <x v="75"/>
    <x v="0"/>
  </r>
  <r>
    <x v="153"/>
    <x v="2256"/>
    <x v="2"/>
    <x v="0"/>
    <x v="2"/>
    <x v="22"/>
    <x v="25"/>
    <x v="42"/>
    <x v="20"/>
    <x v="0"/>
  </r>
  <r>
    <x v="322"/>
    <x v="2257"/>
    <x v="0"/>
    <x v="0"/>
    <x v="0"/>
    <x v="0"/>
    <x v="0"/>
    <x v="9"/>
    <x v="0"/>
    <x v="0"/>
  </r>
  <r>
    <x v="338"/>
    <x v="2258"/>
    <x v="4"/>
    <x v="0"/>
    <x v="3"/>
    <x v="16"/>
    <x v="16"/>
    <x v="53"/>
    <x v="16"/>
    <x v="0"/>
  </r>
  <r>
    <x v="189"/>
    <x v="2259"/>
    <x v="1"/>
    <x v="0"/>
    <x v="1"/>
    <x v="76"/>
    <x v="95"/>
    <x v="39"/>
    <x v="82"/>
    <x v="0"/>
  </r>
  <r>
    <x v="249"/>
    <x v="2260"/>
    <x v="3"/>
    <x v="1"/>
    <x v="3"/>
    <x v="7"/>
    <x v="20"/>
    <x v="18"/>
    <x v="10"/>
    <x v="0"/>
  </r>
  <r>
    <x v="326"/>
    <x v="2261"/>
    <x v="0"/>
    <x v="0"/>
    <x v="0"/>
    <x v="0"/>
    <x v="0"/>
    <x v="78"/>
    <x v="0"/>
    <x v="0"/>
  </r>
  <r>
    <x v="336"/>
    <x v="2262"/>
    <x v="0"/>
    <x v="0"/>
    <x v="0"/>
    <x v="5"/>
    <x v="5"/>
    <x v="76"/>
    <x v="5"/>
    <x v="0"/>
  </r>
  <r>
    <x v="190"/>
    <x v="2263"/>
    <x v="3"/>
    <x v="1"/>
    <x v="3"/>
    <x v="15"/>
    <x v="15"/>
    <x v="67"/>
    <x v="15"/>
    <x v="0"/>
  </r>
  <r>
    <x v="319"/>
    <x v="2264"/>
    <x v="1"/>
    <x v="0"/>
    <x v="1"/>
    <x v="28"/>
    <x v="36"/>
    <x v="10"/>
    <x v="31"/>
    <x v="0"/>
  </r>
  <r>
    <x v="338"/>
    <x v="2265"/>
    <x v="3"/>
    <x v="1"/>
    <x v="3"/>
    <x v="46"/>
    <x v="68"/>
    <x v="28"/>
    <x v="43"/>
    <x v="0"/>
  </r>
  <r>
    <x v="324"/>
    <x v="2266"/>
    <x v="2"/>
    <x v="0"/>
    <x v="2"/>
    <x v="51"/>
    <x v="61"/>
    <x v="19"/>
    <x v="53"/>
    <x v="0"/>
  </r>
  <r>
    <x v="102"/>
    <x v="2267"/>
    <x v="4"/>
    <x v="0"/>
    <x v="3"/>
    <x v="11"/>
    <x v="11"/>
    <x v="28"/>
    <x v="11"/>
    <x v="0"/>
  </r>
  <r>
    <x v="332"/>
    <x v="2268"/>
    <x v="0"/>
    <x v="0"/>
    <x v="0"/>
    <x v="7"/>
    <x v="7"/>
    <x v="64"/>
    <x v="7"/>
    <x v="0"/>
  </r>
  <r>
    <x v="275"/>
    <x v="2269"/>
    <x v="1"/>
    <x v="0"/>
    <x v="1"/>
    <x v="16"/>
    <x v="76"/>
    <x v="39"/>
    <x v="65"/>
    <x v="0"/>
  </r>
  <r>
    <x v="264"/>
    <x v="2270"/>
    <x v="3"/>
    <x v="1"/>
    <x v="3"/>
    <x v="0"/>
    <x v="55"/>
    <x v="34"/>
    <x v="8"/>
    <x v="0"/>
  </r>
  <r>
    <x v="361"/>
    <x v="2271"/>
    <x v="2"/>
    <x v="0"/>
    <x v="2"/>
    <x v="14"/>
    <x v="14"/>
    <x v="13"/>
    <x v="14"/>
    <x v="0"/>
  </r>
  <r>
    <x v="251"/>
    <x v="2272"/>
    <x v="4"/>
    <x v="0"/>
    <x v="3"/>
    <x v="11"/>
    <x v="11"/>
    <x v="95"/>
    <x v="11"/>
    <x v="0"/>
  </r>
  <r>
    <x v="197"/>
    <x v="2273"/>
    <x v="0"/>
    <x v="0"/>
    <x v="0"/>
    <x v="19"/>
    <x v="19"/>
    <x v="6"/>
    <x v="19"/>
    <x v="0"/>
  </r>
  <r>
    <x v="128"/>
    <x v="2274"/>
    <x v="1"/>
    <x v="0"/>
    <x v="1"/>
    <x v="16"/>
    <x v="76"/>
    <x v="56"/>
    <x v="65"/>
    <x v="0"/>
  </r>
  <r>
    <x v="114"/>
    <x v="2275"/>
    <x v="0"/>
    <x v="0"/>
    <x v="0"/>
    <x v="0"/>
    <x v="0"/>
    <x v="71"/>
    <x v="0"/>
    <x v="0"/>
  </r>
  <r>
    <x v="89"/>
    <x v="2276"/>
    <x v="2"/>
    <x v="0"/>
    <x v="2"/>
    <x v="37"/>
    <x v="45"/>
    <x v="65"/>
    <x v="39"/>
    <x v="0"/>
  </r>
  <r>
    <x v="64"/>
    <x v="2277"/>
    <x v="3"/>
    <x v="1"/>
    <x v="3"/>
    <x v="26"/>
    <x v="32"/>
    <x v="77"/>
    <x v="29"/>
    <x v="0"/>
  </r>
  <r>
    <x v="95"/>
    <x v="2278"/>
    <x v="2"/>
    <x v="0"/>
    <x v="2"/>
    <x v="22"/>
    <x v="25"/>
    <x v="25"/>
    <x v="20"/>
    <x v="0"/>
  </r>
  <r>
    <x v="158"/>
    <x v="2279"/>
    <x v="0"/>
    <x v="0"/>
    <x v="0"/>
    <x v="7"/>
    <x v="7"/>
    <x v="76"/>
    <x v="7"/>
    <x v="0"/>
  </r>
  <r>
    <x v="243"/>
    <x v="2280"/>
    <x v="0"/>
    <x v="0"/>
    <x v="0"/>
    <x v="5"/>
    <x v="5"/>
    <x v="38"/>
    <x v="5"/>
    <x v="0"/>
  </r>
  <r>
    <x v="167"/>
    <x v="2281"/>
    <x v="0"/>
    <x v="0"/>
    <x v="0"/>
    <x v="7"/>
    <x v="7"/>
    <x v="38"/>
    <x v="7"/>
    <x v="0"/>
  </r>
  <r>
    <x v="32"/>
    <x v="2282"/>
    <x v="1"/>
    <x v="0"/>
    <x v="1"/>
    <x v="1"/>
    <x v="1"/>
    <x v="57"/>
    <x v="1"/>
    <x v="0"/>
  </r>
  <r>
    <x v="72"/>
    <x v="2283"/>
    <x v="1"/>
    <x v="0"/>
    <x v="1"/>
    <x v="4"/>
    <x v="4"/>
    <x v="29"/>
    <x v="4"/>
    <x v="0"/>
  </r>
  <r>
    <x v="140"/>
    <x v="2284"/>
    <x v="0"/>
    <x v="0"/>
    <x v="0"/>
    <x v="8"/>
    <x v="8"/>
    <x v="41"/>
    <x v="8"/>
    <x v="0"/>
  </r>
  <r>
    <x v="355"/>
    <x v="2285"/>
    <x v="0"/>
    <x v="0"/>
    <x v="0"/>
    <x v="5"/>
    <x v="5"/>
    <x v="33"/>
    <x v="5"/>
    <x v="0"/>
  </r>
  <r>
    <x v="200"/>
    <x v="2286"/>
    <x v="1"/>
    <x v="0"/>
    <x v="1"/>
    <x v="16"/>
    <x v="76"/>
    <x v="1"/>
    <x v="65"/>
    <x v="0"/>
  </r>
  <r>
    <x v="197"/>
    <x v="2287"/>
    <x v="4"/>
    <x v="0"/>
    <x v="3"/>
    <x v="47"/>
    <x v="94"/>
    <x v="1"/>
    <x v="81"/>
    <x v="0"/>
  </r>
  <r>
    <x v="135"/>
    <x v="2288"/>
    <x v="1"/>
    <x v="0"/>
    <x v="1"/>
    <x v="28"/>
    <x v="36"/>
    <x v="60"/>
    <x v="31"/>
    <x v="0"/>
  </r>
  <r>
    <x v="340"/>
    <x v="2289"/>
    <x v="2"/>
    <x v="0"/>
    <x v="2"/>
    <x v="12"/>
    <x v="17"/>
    <x v="70"/>
    <x v="77"/>
    <x v="0"/>
  </r>
  <r>
    <x v="39"/>
    <x v="2290"/>
    <x v="0"/>
    <x v="0"/>
    <x v="0"/>
    <x v="7"/>
    <x v="7"/>
    <x v="41"/>
    <x v="7"/>
    <x v="0"/>
  </r>
  <r>
    <x v="319"/>
    <x v="2291"/>
    <x v="4"/>
    <x v="0"/>
    <x v="3"/>
    <x v="59"/>
    <x v="72"/>
    <x v="62"/>
    <x v="62"/>
    <x v="0"/>
  </r>
  <r>
    <x v="49"/>
    <x v="2292"/>
    <x v="1"/>
    <x v="0"/>
    <x v="1"/>
    <x v="38"/>
    <x v="46"/>
    <x v="23"/>
    <x v="40"/>
    <x v="0"/>
  </r>
  <r>
    <x v="116"/>
    <x v="2293"/>
    <x v="3"/>
    <x v="1"/>
    <x v="3"/>
    <x v="45"/>
    <x v="56"/>
    <x v="40"/>
    <x v="48"/>
    <x v="0"/>
  </r>
  <r>
    <x v="56"/>
    <x v="2294"/>
    <x v="1"/>
    <x v="0"/>
    <x v="1"/>
    <x v="1"/>
    <x v="1"/>
    <x v="67"/>
    <x v="1"/>
    <x v="0"/>
  </r>
  <r>
    <x v="331"/>
    <x v="2295"/>
    <x v="1"/>
    <x v="0"/>
    <x v="1"/>
    <x v="4"/>
    <x v="4"/>
    <x v="37"/>
    <x v="4"/>
    <x v="0"/>
  </r>
  <r>
    <x v="125"/>
    <x v="2296"/>
    <x v="3"/>
    <x v="1"/>
    <x v="3"/>
    <x v="56"/>
    <x v="67"/>
    <x v="40"/>
    <x v="58"/>
    <x v="0"/>
  </r>
  <r>
    <x v="310"/>
    <x v="2297"/>
    <x v="3"/>
    <x v="1"/>
    <x v="3"/>
    <x v="15"/>
    <x v="15"/>
    <x v="42"/>
    <x v="15"/>
    <x v="0"/>
  </r>
  <r>
    <x v="216"/>
    <x v="2298"/>
    <x v="2"/>
    <x v="0"/>
    <x v="2"/>
    <x v="14"/>
    <x v="14"/>
    <x v="50"/>
    <x v="14"/>
    <x v="0"/>
  </r>
  <r>
    <x v="340"/>
    <x v="2299"/>
    <x v="4"/>
    <x v="0"/>
    <x v="3"/>
    <x v="31"/>
    <x v="39"/>
    <x v="2"/>
    <x v="34"/>
    <x v="0"/>
  </r>
  <r>
    <x v="331"/>
    <x v="2300"/>
    <x v="4"/>
    <x v="0"/>
    <x v="3"/>
    <x v="71"/>
    <x v="88"/>
    <x v="72"/>
    <x v="76"/>
    <x v="0"/>
  </r>
  <r>
    <x v="71"/>
    <x v="2301"/>
    <x v="3"/>
    <x v="1"/>
    <x v="3"/>
    <x v="18"/>
    <x v="18"/>
    <x v="3"/>
    <x v="18"/>
    <x v="0"/>
  </r>
  <r>
    <x v="359"/>
    <x v="2302"/>
    <x v="3"/>
    <x v="1"/>
    <x v="3"/>
    <x v="23"/>
    <x v="83"/>
    <x v="13"/>
    <x v="71"/>
    <x v="0"/>
  </r>
  <r>
    <x v="204"/>
    <x v="2303"/>
    <x v="1"/>
    <x v="0"/>
    <x v="1"/>
    <x v="1"/>
    <x v="1"/>
    <x v="17"/>
    <x v="1"/>
    <x v="0"/>
  </r>
  <r>
    <x v="185"/>
    <x v="2304"/>
    <x v="0"/>
    <x v="0"/>
    <x v="0"/>
    <x v="8"/>
    <x v="8"/>
    <x v="77"/>
    <x v="8"/>
    <x v="0"/>
  </r>
  <r>
    <x v="344"/>
    <x v="2305"/>
    <x v="1"/>
    <x v="0"/>
    <x v="1"/>
    <x v="0"/>
    <x v="81"/>
    <x v="14"/>
    <x v="24"/>
    <x v="0"/>
  </r>
  <r>
    <x v="133"/>
    <x v="2306"/>
    <x v="4"/>
    <x v="0"/>
    <x v="3"/>
    <x v="19"/>
    <x v="24"/>
    <x v="19"/>
    <x v="14"/>
    <x v="0"/>
  </r>
  <r>
    <x v="332"/>
    <x v="2307"/>
    <x v="2"/>
    <x v="0"/>
    <x v="2"/>
    <x v="36"/>
    <x v="44"/>
    <x v="85"/>
    <x v="30"/>
    <x v="0"/>
  </r>
  <r>
    <x v="220"/>
    <x v="2308"/>
    <x v="1"/>
    <x v="0"/>
    <x v="1"/>
    <x v="35"/>
    <x v="43"/>
    <x v="39"/>
    <x v="38"/>
    <x v="0"/>
  </r>
  <r>
    <x v="98"/>
    <x v="2309"/>
    <x v="4"/>
    <x v="0"/>
    <x v="3"/>
    <x v="62"/>
    <x v="77"/>
    <x v="30"/>
    <x v="66"/>
    <x v="0"/>
  </r>
  <r>
    <x v="1"/>
    <x v="2310"/>
    <x v="0"/>
    <x v="0"/>
    <x v="0"/>
    <x v="0"/>
    <x v="0"/>
    <x v="9"/>
    <x v="0"/>
    <x v="0"/>
  </r>
  <r>
    <x v="341"/>
    <x v="2311"/>
    <x v="4"/>
    <x v="0"/>
    <x v="3"/>
    <x v="7"/>
    <x v="20"/>
    <x v="62"/>
    <x v="10"/>
    <x v="0"/>
  </r>
  <r>
    <x v="289"/>
    <x v="2312"/>
    <x v="4"/>
    <x v="0"/>
    <x v="3"/>
    <x v="47"/>
    <x v="94"/>
    <x v="36"/>
    <x v="81"/>
    <x v="0"/>
  </r>
  <r>
    <x v="261"/>
    <x v="2313"/>
    <x v="2"/>
    <x v="0"/>
    <x v="2"/>
    <x v="6"/>
    <x v="6"/>
    <x v="40"/>
    <x v="6"/>
    <x v="0"/>
  </r>
  <r>
    <x v="257"/>
    <x v="2314"/>
    <x v="1"/>
    <x v="0"/>
    <x v="1"/>
    <x v="34"/>
    <x v="42"/>
    <x v="71"/>
    <x v="37"/>
    <x v="0"/>
  </r>
  <r>
    <x v="63"/>
    <x v="2315"/>
    <x v="0"/>
    <x v="0"/>
    <x v="0"/>
    <x v="8"/>
    <x v="8"/>
    <x v="63"/>
    <x v="8"/>
    <x v="0"/>
  </r>
  <r>
    <x v="266"/>
    <x v="2316"/>
    <x v="1"/>
    <x v="0"/>
    <x v="1"/>
    <x v="16"/>
    <x v="76"/>
    <x v="47"/>
    <x v="65"/>
    <x v="0"/>
  </r>
  <r>
    <x v="241"/>
    <x v="2317"/>
    <x v="2"/>
    <x v="0"/>
    <x v="2"/>
    <x v="42"/>
    <x v="51"/>
    <x v="34"/>
    <x v="44"/>
    <x v="0"/>
  </r>
  <r>
    <x v="331"/>
    <x v="2318"/>
    <x v="4"/>
    <x v="0"/>
    <x v="3"/>
    <x v="65"/>
    <x v="80"/>
    <x v="13"/>
    <x v="69"/>
    <x v="0"/>
  </r>
  <r>
    <x v="293"/>
    <x v="2319"/>
    <x v="4"/>
    <x v="0"/>
    <x v="3"/>
    <x v="44"/>
    <x v="54"/>
    <x v="54"/>
    <x v="47"/>
    <x v="0"/>
  </r>
  <r>
    <x v="128"/>
    <x v="2320"/>
    <x v="3"/>
    <x v="1"/>
    <x v="3"/>
    <x v="46"/>
    <x v="68"/>
    <x v="50"/>
    <x v="43"/>
    <x v="0"/>
  </r>
  <r>
    <x v="134"/>
    <x v="2321"/>
    <x v="3"/>
    <x v="1"/>
    <x v="3"/>
    <x v="57"/>
    <x v="69"/>
    <x v="90"/>
    <x v="59"/>
    <x v="0"/>
  </r>
  <r>
    <x v="134"/>
    <x v="2322"/>
    <x v="4"/>
    <x v="0"/>
    <x v="3"/>
    <x v="50"/>
    <x v="60"/>
    <x v="80"/>
    <x v="52"/>
    <x v="0"/>
  </r>
  <r>
    <x v="212"/>
    <x v="2323"/>
    <x v="2"/>
    <x v="0"/>
    <x v="2"/>
    <x v="66"/>
    <x v="82"/>
    <x v="27"/>
    <x v="70"/>
    <x v="0"/>
  </r>
  <r>
    <x v="235"/>
    <x v="2324"/>
    <x v="2"/>
    <x v="0"/>
    <x v="2"/>
    <x v="36"/>
    <x v="44"/>
    <x v="49"/>
    <x v="30"/>
    <x v="0"/>
  </r>
  <r>
    <x v="23"/>
    <x v="2325"/>
    <x v="4"/>
    <x v="0"/>
    <x v="3"/>
    <x v="64"/>
    <x v="79"/>
    <x v="21"/>
    <x v="68"/>
    <x v="0"/>
  </r>
  <r>
    <x v="19"/>
    <x v="2326"/>
    <x v="3"/>
    <x v="1"/>
    <x v="3"/>
    <x v="23"/>
    <x v="83"/>
    <x v="24"/>
    <x v="71"/>
    <x v="0"/>
  </r>
  <r>
    <x v="65"/>
    <x v="2327"/>
    <x v="3"/>
    <x v="1"/>
    <x v="3"/>
    <x v="1"/>
    <x v="53"/>
    <x v="21"/>
    <x v="46"/>
    <x v="0"/>
  </r>
  <r>
    <x v="143"/>
    <x v="2328"/>
    <x v="4"/>
    <x v="0"/>
    <x v="3"/>
    <x v="65"/>
    <x v="80"/>
    <x v="1"/>
    <x v="69"/>
    <x v="0"/>
  </r>
  <r>
    <x v="265"/>
    <x v="2329"/>
    <x v="1"/>
    <x v="0"/>
    <x v="1"/>
    <x v="0"/>
    <x v="81"/>
    <x v="57"/>
    <x v="24"/>
    <x v="0"/>
  </r>
  <r>
    <x v="17"/>
    <x v="2330"/>
    <x v="2"/>
    <x v="0"/>
    <x v="2"/>
    <x v="41"/>
    <x v="50"/>
    <x v="69"/>
    <x v="43"/>
    <x v="0"/>
  </r>
  <r>
    <x v="301"/>
    <x v="2331"/>
    <x v="4"/>
    <x v="0"/>
    <x v="3"/>
    <x v="39"/>
    <x v="47"/>
    <x v="40"/>
    <x v="41"/>
    <x v="0"/>
  </r>
  <r>
    <x v="241"/>
    <x v="2332"/>
    <x v="1"/>
    <x v="0"/>
    <x v="1"/>
    <x v="54"/>
    <x v="65"/>
    <x v="51"/>
    <x v="56"/>
    <x v="0"/>
  </r>
  <r>
    <x v="211"/>
    <x v="2333"/>
    <x v="2"/>
    <x v="0"/>
    <x v="2"/>
    <x v="51"/>
    <x v="61"/>
    <x v="59"/>
    <x v="53"/>
    <x v="0"/>
  </r>
  <r>
    <x v="269"/>
    <x v="2334"/>
    <x v="0"/>
    <x v="0"/>
    <x v="0"/>
    <x v="19"/>
    <x v="19"/>
    <x v="10"/>
    <x v="19"/>
    <x v="0"/>
  </r>
  <r>
    <x v="262"/>
    <x v="2335"/>
    <x v="2"/>
    <x v="0"/>
    <x v="2"/>
    <x v="63"/>
    <x v="78"/>
    <x v="35"/>
    <x v="67"/>
    <x v="0"/>
  </r>
  <r>
    <x v="232"/>
    <x v="2336"/>
    <x v="1"/>
    <x v="0"/>
    <x v="1"/>
    <x v="72"/>
    <x v="89"/>
    <x v="30"/>
    <x v="19"/>
    <x v="0"/>
  </r>
  <r>
    <x v="108"/>
    <x v="2337"/>
    <x v="1"/>
    <x v="0"/>
    <x v="1"/>
    <x v="34"/>
    <x v="42"/>
    <x v="16"/>
    <x v="37"/>
    <x v="0"/>
  </r>
  <r>
    <x v="239"/>
    <x v="2338"/>
    <x v="3"/>
    <x v="1"/>
    <x v="3"/>
    <x v="23"/>
    <x v="83"/>
    <x v="2"/>
    <x v="71"/>
    <x v="0"/>
  </r>
  <r>
    <x v="356"/>
    <x v="2339"/>
    <x v="2"/>
    <x v="0"/>
    <x v="2"/>
    <x v="13"/>
    <x v="13"/>
    <x v="52"/>
    <x v="13"/>
    <x v="0"/>
  </r>
  <r>
    <x v="40"/>
    <x v="2340"/>
    <x v="4"/>
    <x v="0"/>
    <x v="3"/>
    <x v="50"/>
    <x v="60"/>
    <x v="18"/>
    <x v="52"/>
    <x v="0"/>
  </r>
  <r>
    <x v="31"/>
    <x v="2341"/>
    <x v="4"/>
    <x v="0"/>
    <x v="3"/>
    <x v="50"/>
    <x v="60"/>
    <x v="40"/>
    <x v="52"/>
    <x v="0"/>
  </r>
  <r>
    <x v="138"/>
    <x v="2342"/>
    <x v="4"/>
    <x v="0"/>
    <x v="3"/>
    <x v="74"/>
    <x v="91"/>
    <x v="43"/>
    <x v="79"/>
    <x v="0"/>
  </r>
  <r>
    <x v="215"/>
    <x v="2343"/>
    <x v="3"/>
    <x v="1"/>
    <x v="3"/>
    <x v="12"/>
    <x v="12"/>
    <x v="71"/>
    <x v="12"/>
    <x v="0"/>
  </r>
  <r>
    <x v="181"/>
    <x v="2344"/>
    <x v="0"/>
    <x v="0"/>
    <x v="0"/>
    <x v="19"/>
    <x v="19"/>
    <x v="74"/>
    <x v="19"/>
    <x v="0"/>
  </r>
  <r>
    <x v="254"/>
    <x v="2345"/>
    <x v="4"/>
    <x v="0"/>
    <x v="3"/>
    <x v="55"/>
    <x v="66"/>
    <x v="17"/>
    <x v="57"/>
    <x v="0"/>
  </r>
  <r>
    <x v="235"/>
    <x v="2346"/>
    <x v="4"/>
    <x v="0"/>
    <x v="3"/>
    <x v="5"/>
    <x v="31"/>
    <x v="40"/>
    <x v="28"/>
    <x v="0"/>
  </r>
  <r>
    <x v="334"/>
    <x v="2347"/>
    <x v="4"/>
    <x v="0"/>
    <x v="3"/>
    <x v="74"/>
    <x v="91"/>
    <x v="80"/>
    <x v="79"/>
    <x v="0"/>
  </r>
  <r>
    <x v="291"/>
    <x v="2348"/>
    <x v="2"/>
    <x v="0"/>
    <x v="2"/>
    <x v="6"/>
    <x v="6"/>
    <x v="63"/>
    <x v="6"/>
    <x v="0"/>
  </r>
  <r>
    <x v="63"/>
    <x v="2349"/>
    <x v="4"/>
    <x v="0"/>
    <x v="3"/>
    <x v="69"/>
    <x v="86"/>
    <x v="18"/>
    <x v="74"/>
    <x v="0"/>
  </r>
  <r>
    <x v="162"/>
    <x v="2350"/>
    <x v="0"/>
    <x v="0"/>
    <x v="0"/>
    <x v="8"/>
    <x v="8"/>
    <x v="70"/>
    <x v="8"/>
    <x v="0"/>
  </r>
  <r>
    <x v="307"/>
    <x v="2351"/>
    <x v="3"/>
    <x v="1"/>
    <x v="3"/>
    <x v="23"/>
    <x v="83"/>
    <x v="30"/>
    <x v="71"/>
    <x v="0"/>
  </r>
  <r>
    <x v="254"/>
    <x v="2352"/>
    <x v="2"/>
    <x v="0"/>
    <x v="2"/>
    <x v="22"/>
    <x v="25"/>
    <x v="4"/>
    <x v="20"/>
    <x v="0"/>
  </r>
  <r>
    <x v="266"/>
    <x v="2353"/>
    <x v="3"/>
    <x v="1"/>
    <x v="3"/>
    <x v="9"/>
    <x v="70"/>
    <x v="44"/>
    <x v="60"/>
    <x v="0"/>
  </r>
  <r>
    <x v="343"/>
    <x v="2354"/>
    <x v="3"/>
    <x v="1"/>
    <x v="3"/>
    <x v="6"/>
    <x v="21"/>
    <x v="20"/>
    <x v="20"/>
    <x v="0"/>
  </r>
  <r>
    <x v="243"/>
    <x v="2355"/>
    <x v="0"/>
    <x v="0"/>
    <x v="0"/>
    <x v="7"/>
    <x v="7"/>
    <x v="11"/>
    <x v="7"/>
    <x v="0"/>
  </r>
  <r>
    <x v="298"/>
    <x v="2356"/>
    <x v="2"/>
    <x v="0"/>
    <x v="2"/>
    <x v="67"/>
    <x v="84"/>
    <x v="22"/>
    <x v="72"/>
    <x v="0"/>
  </r>
  <r>
    <x v="239"/>
    <x v="2357"/>
    <x v="0"/>
    <x v="0"/>
    <x v="0"/>
    <x v="19"/>
    <x v="19"/>
    <x v="76"/>
    <x v="19"/>
    <x v="0"/>
  </r>
  <r>
    <x v="70"/>
    <x v="2358"/>
    <x v="1"/>
    <x v="0"/>
    <x v="1"/>
    <x v="52"/>
    <x v="62"/>
    <x v="31"/>
    <x v="54"/>
    <x v="0"/>
  </r>
  <r>
    <x v="285"/>
    <x v="2359"/>
    <x v="1"/>
    <x v="0"/>
    <x v="1"/>
    <x v="27"/>
    <x v="33"/>
    <x v="48"/>
    <x v="5"/>
    <x v="0"/>
  </r>
  <r>
    <x v="326"/>
    <x v="2360"/>
    <x v="0"/>
    <x v="0"/>
    <x v="0"/>
    <x v="7"/>
    <x v="7"/>
    <x v="73"/>
    <x v="7"/>
    <x v="0"/>
  </r>
  <r>
    <x v="164"/>
    <x v="2361"/>
    <x v="2"/>
    <x v="0"/>
    <x v="2"/>
    <x v="46"/>
    <x v="47"/>
    <x v="50"/>
    <x v="1"/>
    <x v="0"/>
  </r>
  <r>
    <x v="151"/>
    <x v="2362"/>
    <x v="2"/>
    <x v="0"/>
    <x v="2"/>
    <x v="61"/>
    <x v="75"/>
    <x v="52"/>
    <x v="64"/>
    <x v="0"/>
  </r>
  <r>
    <x v="115"/>
    <x v="2363"/>
    <x v="1"/>
    <x v="0"/>
    <x v="1"/>
    <x v="19"/>
    <x v="73"/>
    <x v="39"/>
    <x v="46"/>
    <x v="0"/>
  </r>
  <r>
    <x v="65"/>
    <x v="2364"/>
    <x v="0"/>
    <x v="0"/>
    <x v="0"/>
    <x v="19"/>
    <x v="19"/>
    <x v="9"/>
    <x v="19"/>
    <x v="0"/>
  </r>
  <r>
    <x v="113"/>
    <x v="2365"/>
    <x v="1"/>
    <x v="0"/>
    <x v="1"/>
    <x v="76"/>
    <x v="95"/>
    <x v="56"/>
    <x v="82"/>
    <x v="0"/>
  </r>
  <r>
    <x v="287"/>
    <x v="2366"/>
    <x v="0"/>
    <x v="0"/>
    <x v="0"/>
    <x v="7"/>
    <x v="7"/>
    <x v="92"/>
    <x v="7"/>
    <x v="0"/>
  </r>
  <r>
    <x v="108"/>
    <x v="2367"/>
    <x v="0"/>
    <x v="0"/>
    <x v="0"/>
    <x v="7"/>
    <x v="7"/>
    <x v="39"/>
    <x v="7"/>
    <x v="0"/>
  </r>
  <r>
    <x v="310"/>
    <x v="2368"/>
    <x v="1"/>
    <x v="0"/>
    <x v="1"/>
    <x v="1"/>
    <x v="1"/>
    <x v="84"/>
    <x v="1"/>
    <x v="0"/>
  </r>
  <r>
    <x v="183"/>
    <x v="2369"/>
    <x v="0"/>
    <x v="0"/>
    <x v="0"/>
    <x v="7"/>
    <x v="7"/>
    <x v="69"/>
    <x v="7"/>
    <x v="0"/>
  </r>
  <r>
    <x v="66"/>
    <x v="2370"/>
    <x v="1"/>
    <x v="0"/>
    <x v="1"/>
    <x v="27"/>
    <x v="33"/>
    <x v="37"/>
    <x v="5"/>
    <x v="0"/>
  </r>
  <r>
    <x v="79"/>
    <x v="2371"/>
    <x v="1"/>
    <x v="0"/>
    <x v="1"/>
    <x v="25"/>
    <x v="30"/>
    <x v="79"/>
    <x v="27"/>
    <x v="0"/>
  </r>
  <r>
    <x v="290"/>
    <x v="2372"/>
    <x v="3"/>
    <x v="1"/>
    <x v="3"/>
    <x v="8"/>
    <x v="26"/>
    <x v="20"/>
    <x v="23"/>
    <x v="0"/>
  </r>
  <r>
    <x v="163"/>
    <x v="2373"/>
    <x v="3"/>
    <x v="1"/>
    <x v="3"/>
    <x v="9"/>
    <x v="70"/>
    <x v="34"/>
    <x v="60"/>
    <x v="0"/>
  </r>
  <r>
    <x v="223"/>
    <x v="2374"/>
    <x v="2"/>
    <x v="0"/>
    <x v="2"/>
    <x v="8"/>
    <x v="35"/>
    <x v="17"/>
    <x v="18"/>
    <x v="0"/>
  </r>
  <r>
    <x v="254"/>
    <x v="2375"/>
    <x v="4"/>
    <x v="0"/>
    <x v="3"/>
    <x v="74"/>
    <x v="91"/>
    <x v="53"/>
    <x v="79"/>
    <x v="0"/>
  </r>
  <r>
    <x v="342"/>
    <x v="2376"/>
    <x v="1"/>
    <x v="0"/>
    <x v="1"/>
    <x v="40"/>
    <x v="48"/>
    <x v="83"/>
    <x v="42"/>
    <x v="0"/>
  </r>
  <r>
    <x v="349"/>
    <x v="2377"/>
    <x v="3"/>
    <x v="1"/>
    <x v="3"/>
    <x v="43"/>
    <x v="52"/>
    <x v="14"/>
    <x v="45"/>
    <x v="0"/>
  </r>
  <r>
    <x v="307"/>
    <x v="2378"/>
    <x v="0"/>
    <x v="0"/>
    <x v="0"/>
    <x v="7"/>
    <x v="7"/>
    <x v="41"/>
    <x v="7"/>
    <x v="0"/>
  </r>
  <r>
    <x v="291"/>
    <x v="2379"/>
    <x v="0"/>
    <x v="0"/>
    <x v="0"/>
    <x v="0"/>
    <x v="0"/>
    <x v="78"/>
    <x v="0"/>
    <x v="0"/>
  </r>
  <r>
    <x v="15"/>
    <x v="2380"/>
    <x v="0"/>
    <x v="0"/>
    <x v="0"/>
    <x v="19"/>
    <x v="19"/>
    <x v="34"/>
    <x v="19"/>
    <x v="0"/>
  </r>
  <r>
    <x v="45"/>
    <x v="2381"/>
    <x v="0"/>
    <x v="0"/>
    <x v="0"/>
    <x v="5"/>
    <x v="5"/>
    <x v="64"/>
    <x v="5"/>
    <x v="0"/>
  </r>
  <r>
    <x v="238"/>
    <x v="2382"/>
    <x v="3"/>
    <x v="1"/>
    <x v="3"/>
    <x v="20"/>
    <x v="22"/>
    <x v="10"/>
    <x v="21"/>
    <x v="0"/>
  </r>
  <r>
    <x v="328"/>
    <x v="2383"/>
    <x v="3"/>
    <x v="1"/>
    <x v="3"/>
    <x v="11"/>
    <x v="11"/>
    <x v="55"/>
    <x v="11"/>
    <x v="0"/>
  </r>
  <r>
    <x v="24"/>
    <x v="2384"/>
    <x v="0"/>
    <x v="0"/>
    <x v="0"/>
    <x v="5"/>
    <x v="5"/>
    <x v="70"/>
    <x v="5"/>
    <x v="0"/>
  </r>
  <r>
    <x v="181"/>
    <x v="2385"/>
    <x v="2"/>
    <x v="0"/>
    <x v="2"/>
    <x v="12"/>
    <x v="17"/>
    <x v="69"/>
    <x v="77"/>
    <x v="0"/>
  </r>
  <r>
    <x v="19"/>
    <x v="2386"/>
    <x v="1"/>
    <x v="0"/>
    <x v="1"/>
    <x v="0"/>
    <x v="81"/>
    <x v="3"/>
    <x v="24"/>
    <x v="0"/>
  </r>
  <r>
    <x v="355"/>
    <x v="2387"/>
    <x v="0"/>
    <x v="0"/>
    <x v="0"/>
    <x v="0"/>
    <x v="0"/>
    <x v="74"/>
    <x v="0"/>
    <x v="0"/>
  </r>
  <r>
    <x v="95"/>
    <x v="2388"/>
    <x v="3"/>
    <x v="1"/>
    <x v="3"/>
    <x v="78"/>
    <x v="97"/>
    <x v="51"/>
    <x v="84"/>
    <x v="0"/>
  </r>
  <r>
    <x v="55"/>
    <x v="2389"/>
    <x v="4"/>
    <x v="0"/>
    <x v="3"/>
    <x v="69"/>
    <x v="86"/>
    <x v="29"/>
    <x v="74"/>
    <x v="0"/>
  </r>
  <r>
    <x v="14"/>
    <x v="2390"/>
    <x v="0"/>
    <x v="0"/>
    <x v="0"/>
    <x v="7"/>
    <x v="7"/>
    <x v="15"/>
    <x v="7"/>
    <x v="0"/>
  </r>
  <r>
    <x v="102"/>
    <x v="2391"/>
    <x v="4"/>
    <x v="0"/>
    <x v="3"/>
    <x v="17"/>
    <x v="17"/>
    <x v="36"/>
    <x v="17"/>
    <x v="0"/>
  </r>
  <r>
    <x v="166"/>
    <x v="2392"/>
    <x v="3"/>
    <x v="1"/>
    <x v="3"/>
    <x v="11"/>
    <x v="11"/>
    <x v="16"/>
    <x v="11"/>
    <x v="0"/>
  </r>
  <r>
    <x v="76"/>
    <x v="2393"/>
    <x v="3"/>
    <x v="1"/>
    <x v="3"/>
    <x v="57"/>
    <x v="69"/>
    <x v="12"/>
    <x v="59"/>
    <x v="0"/>
  </r>
  <r>
    <x v="196"/>
    <x v="2394"/>
    <x v="0"/>
    <x v="0"/>
    <x v="0"/>
    <x v="5"/>
    <x v="5"/>
    <x v="41"/>
    <x v="5"/>
    <x v="0"/>
  </r>
  <r>
    <x v="229"/>
    <x v="2395"/>
    <x v="3"/>
    <x v="1"/>
    <x v="3"/>
    <x v="11"/>
    <x v="11"/>
    <x v="35"/>
    <x v="11"/>
    <x v="0"/>
  </r>
  <r>
    <x v="72"/>
    <x v="2396"/>
    <x v="1"/>
    <x v="0"/>
    <x v="1"/>
    <x v="33"/>
    <x v="41"/>
    <x v="35"/>
    <x v="36"/>
    <x v="0"/>
  </r>
  <r>
    <x v="67"/>
    <x v="2397"/>
    <x v="2"/>
    <x v="0"/>
    <x v="2"/>
    <x v="67"/>
    <x v="84"/>
    <x v="11"/>
    <x v="72"/>
    <x v="0"/>
  </r>
  <r>
    <x v="357"/>
    <x v="2398"/>
    <x v="0"/>
    <x v="0"/>
    <x v="0"/>
    <x v="7"/>
    <x v="7"/>
    <x v="0"/>
    <x v="7"/>
    <x v="0"/>
  </r>
  <r>
    <x v="133"/>
    <x v="2399"/>
    <x v="0"/>
    <x v="0"/>
    <x v="0"/>
    <x v="19"/>
    <x v="19"/>
    <x v="69"/>
    <x v="19"/>
    <x v="0"/>
  </r>
  <r>
    <x v="13"/>
    <x v="2400"/>
    <x v="3"/>
    <x v="1"/>
    <x v="3"/>
    <x v="20"/>
    <x v="22"/>
    <x v="30"/>
    <x v="21"/>
    <x v="0"/>
  </r>
  <r>
    <x v="189"/>
    <x v="2401"/>
    <x v="3"/>
    <x v="1"/>
    <x v="3"/>
    <x v="15"/>
    <x v="15"/>
    <x v="77"/>
    <x v="15"/>
    <x v="0"/>
  </r>
  <r>
    <x v="85"/>
    <x v="2402"/>
    <x v="1"/>
    <x v="0"/>
    <x v="1"/>
    <x v="27"/>
    <x v="33"/>
    <x v="61"/>
    <x v="5"/>
    <x v="0"/>
  </r>
  <r>
    <x v="325"/>
    <x v="2403"/>
    <x v="4"/>
    <x v="0"/>
    <x v="3"/>
    <x v="64"/>
    <x v="79"/>
    <x v="56"/>
    <x v="68"/>
    <x v="0"/>
  </r>
  <r>
    <x v="228"/>
    <x v="2404"/>
    <x v="3"/>
    <x v="1"/>
    <x v="3"/>
    <x v="12"/>
    <x v="12"/>
    <x v="33"/>
    <x v="12"/>
    <x v="0"/>
  </r>
  <r>
    <x v="274"/>
    <x v="2405"/>
    <x v="1"/>
    <x v="0"/>
    <x v="1"/>
    <x v="34"/>
    <x v="42"/>
    <x v="11"/>
    <x v="37"/>
    <x v="0"/>
  </r>
  <r>
    <x v="89"/>
    <x v="2406"/>
    <x v="3"/>
    <x v="1"/>
    <x v="3"/>
    <x v="7"/>
    <x v="20"/>
    <x v="23"/>
    <x v="10"/>
    <x v="0"/>
  </r>
  <r>
    <x v="174"/>
    <x v="2407"/>
    <x v="1"/>
    <x v="0"/>
    <x v="1"/>
    <x v="24"/>
    <x v="29"/>
    <x v="2"/>
    <x v="26"/>
    <x v="0"/>
  </r>
  <r>
    <x v="158"/>
    <x v="2408"/>
    <x v="3"/>
    <x v="1"/>
    <x v="3"/>
    <x v="78"/>
    <x v="97"/>
    <x v="44"/>
    <x v="84"/>
    <x v="0"/>
  </r>
  <r>
    <x v="306"/>
    <x v="2409"/>
    <x v="1"/>
    <x v="0"/>
    <x v="1"/>
    <x v="16"/>
    <x v="76"/>
    <x v="56"/>
    <x v="65"/>
    <x v="0"/>
  </r>
  <r>
    <x v="259"/>
    <x v="2410"/>
    <x v="3"/>
    <x v="1"/>
    <x v="3"/>
    <x v="19"/>
    <x v="24"/>
    <x v="21"/>
    <x v="14"/>
    <x v="0"/>
  </r>
  <r>
    <x v="330"/>
    <x v="2411"/>
    <x v="2"/>
    <x v="0"/>
    <x v="2"/>
    <x v="8"/>
    <x v="35"/>
    <x v="31"/>
    <x v="18"/>
    <x v="0"/>
  </r>
  <r>
    <x v="272"/>
    <x v="2412"/>
    <x v="4"/>
    <x v="0"/>
    <x v="3"/>
    <x v="64"/>
    <x v="79"/>
    <x v="53"/>
    <x v="68"/>
    <x v="0"/>
  </r>
  <r>
    <x v="153"/>
    <x v="2413"/>
    <x v="0"/>
    <x v="0"/>
    <x v="0"/>
    <x v="0"/>
    <x v="0"/>
    <x v="34"/>
    <x v="0"/>
    <x v="0"/>
  </r>
  <r>
    <x v="169"/>
    <x v="2414"/>
    <x v="4"/>
    <x v="0"/>
    <x v="3"/>
    <x v="5"/>
    <x v="31"/>
    <x v="29"/>
    <x v="28"/>
    <x v="0"/>
  </r>
  <r>
    <x v="276"/>
    <x v="2415"/>
    <x v="2"/>
    <x v="0"/>
    <x v="2"/>
    <x v="2"/>
    <x v="2"/>
    <x v="2"/>
    <x v="2"/>
    <x v="0"/>
  </r>
  <r>
    <x v="103"/>
    <x v="2416"/>
    <x v="2"/>
    <x v="0"/>
    <x v="2"/>
    <x v="42"/>
    <x v="51"/>
    <x v="17"/>
    <x v="44"/>
    <x v="0"/>
  </r>
  <r>
    <x v="351"/>
    <x v="2417"/>
    <x v="0"/>
    <x v="0"/>
    <x v="0"/>
    <x v="19"/>
    <x v="19"/>
    <x v="63"/>
    <x v="19"/>
    <x v="0"/>
  </r>
  <r>
    <x v="9"/>
    <x v="2418"/>
    <x v="4"/>
    <x v="0"/>
    <x v="3"/>
    <x v="55"/>
    <x v="66"/>
    <x v="43"/>
    <x v="57"/>
    <x v="0"/>
  </r>
  <r>
    <x v="351"/>
    <x v="2419"/>
    <x v="4"/>
    <x v="0"/>
    <x v="3"/>
    <x v="59"/>
    <x v="72"/>
    <x v="65"/>
    <x v="62"/>
    <x v="0"/>
  </r>
  <r>
    <x v="221"/>
    <x v="2420"/>
    <x v="1"/>
    <x v="0"/>
    <x v="1"/>
    <x v="60"/>
    <x v="74"/>
    <x v="21"/>
    <x v="63"/>
    <x v="0"/>
  </r>
  <r>
    <x v="199"/>
    <x v="2421"/>
    <x v="2"/>
    <x v="0"/>
    <x v="2"/>
    <x v="61"/>
    <x v="75"/>
    <x v="59"/>
    <x v="64"/>
    <x v="0"/>
  </r>
  <r>
    <x v="116"/>
    <x v="2422"/>
    <x v="0"/>
    <x v="0"/>
    <x v="0"/>
    <x v="0"/>
    <x v="0"/>
    <x v="74"/>
    <x v="0"/>
    <x v="0"/>
  </r>
  <r>
    <x v="154"/>
    <x v="2423"/>
    <x v="0"/>
    <x v="0"/>
    <x v="0"/>
    <x v="19"/>
    <x v="19"/>
    <x v="88"/>
    <x v="19"/>
    <x v="0"/>
  </r>
  <r>
    <x v="279"/>
    <x v="2424"/>
    <x v="3"/>
    <x v="1"/>
    <x v="3"/>
    <x v="6"/>
    <x v="21"/>
    <x v="58"/>
    <x v="20"/>
    <x v="0"/>
  </r>
  <r>
    <x v="343"/>
    <x v="2425"/>
    <x v="1"/>
    <x v="0"/>
    <x v="1"/>
    <x v="1"/>
    <x v="1"/>
    <x v="5"/>
    <x v="1"/>
    <x v="0"/>
  </r>
  <r>
    <x v="48"/>
    <x v="2426"/>
    <x v="3"/>
    <x v="1"/>
    <x v="3"/>
    <x v="11"/>
    <x v="11"/>
    <x v="25"/>
    <x v="11"/>
    <x v="0"/>
  </r>
  <r>
    <x v="200"/>
    <x v="2427"/>
    <x v="0"/>
    <x v="0"/>
    <x v="0"/>
    <x v="8"/>
    <x v="8"/>
    <x v="69"/>
    <x v="8"/>
    <x v="0"/>
  </r>
  <r>
    <x v="103"/>
    <x v="2428"/>
    <x v="2"/>
    <x v="0"/>
    <x v="2"/>
    <x v="77"/>
    <x v="96"/>
    <x v="37"/>
    <x v="83"/>
    <x v="0"/>
  </r>
  <r>
    <x v="157"/>
    <x v="2429"/>
    <x v="0"/>
    <x v="0"/>
    <x v="0"/>
    <x v="5"/>
    <x v="5"/>
    <x v="77"/>
    <x v="5"/>
    <x v="0"/>
  </r>
  <r>
    <x v="89"/>
    <x v="2430"/>
    <x v="4"/>
    <x v="0"/>
    <x v="3"/>
    <x v="30"/>
    <x v="38"/>
    <x v="43"/>
    <x v="33"/>
    <x v="0"/>
  </r>
  <r>
    <x v="45"/>
    <x v="2431"/>
    <x v="0"/>
    <x v="0"/>
    <x v="0"/>
    <x v="19"/>
    <x v="19"/>
    <x v="78"/>
    <x v="19"/>
    <x v="0"/>
  </r>
  <r>
    <x v="329"/>
    <x v="2432"/>
    <x v="1"/>
    <x v="0"/>
    <x v="1"/>
    <x v="19"/>
    <x v="73"/>
    <x v="12"/>
    <x v="46"/>
    <x v="0"/>
  </r>
  <r>
    <x v="144"/>
    <x v="2433"/>
    <x v="1"/>
    <x v="0"/>
    <x v="1"/>
    <x v="70"/>
    <x v="87"/>
    <x v="12"/>
    <x v="75"/>
    <x v="0"/>
  </r>
  <r>
    <x v="152"/>
    <x v="2434"/>
    <x v="2"/>
    <x v="0"/>
    <x v="2"/>
    <x v="7"/>
    <x v="49"/>
    <x v="96"/>
    <x v="8"/>
    <x v="0"/>
  </r>
  <r>
    <x v="45"/>
    <x v="2435"/>
    <x v="3"/>
    <x v="1"/>
    <x v="3"/>
    <x v="78"/>
    <x v="97"/>
    <x v="59"/>
    <x v="84"/>
    <x v="0"/>
  </r>
  <r>
    <x v="76"/>
    <x v="2436"/>
    <x v="1"/>
    <x v="0"/>
    <x v="1"/>
    <x v="33"/>
    <x v="41"/>
    <x v="20"/>
    <x v="36"/>
    <x v="0"/>
  </r>
  <r>
    <x v="278"/>
    <x v="2437"/>
    <x v="0"/>
    <x v="0"/>
    <x v="0"/>
    <x v="0"/>
    <x v="0"/>
    <x v="74"/>
    <x v="0"/>
    <x v="0"/>
  </r>
  <r>
    <x v="348"/>
    <x v="2438"/>
    <x v="3"/>
    <x v="1"/>
    <x v="3"/>
    <x v="0"/>
    <x v="55"/>
    <x v="58"/>
    <x v="8"/>
    <x v="0"/>
  </r>
  <r>
    <x v="231"/>
    <x v="2439"/>
    <x v="1"/>
    <x v="0"/>
    <x v="1"/>
    <x v="18"/>
    <x v="63"/>
    <x v="56"/>
    <x v="6"/>
    <x v="0"/>
  </r>
  <r>
    <x v="53"/>
    <x v="2440"/>
    <x v="1"/>
    <x v="0"/>
    <x v="1"/>
    <x v="35"/>
    <x v="43"/>
    <x v="84"/>
    <x v="38"/>
    <x v="0"/>
  </r>
  <r>
    <x v="353"/>
    <x v="2441"/>
    <x v="2"/>
    <x v="0"/>
    <x v="2"/>
    <x v="10"/>
    <x v="10"/>
    <x v="25"/>
    <x v="10"/>
    <x v="0"/>
  </r>
  <r>
    <x v="53"/>
    <x v="2442"/>
    <x v="4"/>
    <x v="0"/>
    <x v="3"/>
    <x v="31"/>
    <x v="39"/>
    <x v="89"/>
    <x v="34"/>
    <x v="0"/>
  </r>
  <r>
    <x v="319"/>
    <x v="2443"/>
    <x v="1"/>
    <x v="0"/>
    <x v="1"/>
    <x v="28"/>
    <x v="36"/>
    <x v="9"/>
    <x v="31"/>
    <x v="0"/>
  </r>
  <r>
    <x v="342"/>
    <x v="2444"/>
    <x v="4"/>
    <x v="0"/>
    <x v="3"/>
    <x v="62"/>
    <x v="77"/>
    <x v="23"/>
    <x v="66"/>
    <x v="0"/>
  </r>
  <r>
    <x v="208"/>
    <x v="2445"/>
    <x v="0"/>
    <x v="0"/>
    <x v="0"/>
    <x v="7"/>
    <x v="7"/>
    <x v="91"/>
    <x v="7"/>
    <x v="0"/>
  </r>
  <r>
    <x v="317"/>
    <x v="2446"/>
    <x v="1"/>
    <x v="0"/>
    <x v="1"/>
    <x v="47"/>
    <x v="57"/>
    <x v="51"/>
    <x v="49"/>
    <x v="0"/>
  </r>
  <r>
    <x v="289"/>
    <x v="2447"/>
    <x v="0"/>
    <x v="0"/>
    <x v="0"/>
    <x v="19"/>
    <x v="19"/>
    <x v="25"/>
    <x v="19"/>
    <x v="0"/>
  </r>
  <r>
    <x v="44"/>
    <x v="2448"/>
    <x v="4"/>
    <x v="0"/>
    <x v="3"/>
    <x v="44"/>
    <x v="54"/>
    <x v="16"/>
    <x v="47"/>
    <x v="0"/>
  </r>
  <r>
    <x v="65"/>
    <x v="2449"/>
    <x v="1"/>
    <x v="0"/>
    <x v="1"/>
    <x v="33"/>
    <x v="41"/>
    <x v="64"/>
    <x v="36"/>
    <x v="0"/>
  </r>
  <r>
    <x v="338"/>
    <x v="2450"/>
    <x v="4"/>
    <x v="0"/>
    <x v="3"/>
    <x v="21"/>
    <x v="23"/>
    <x v="40"/>
    <x v="22"/>
    <x v="0"/>
  </r>
  <r>
    <x v="334"/>
    <x v="2451"/>
    <x v="1"/>
    <x v="0"/>
    <x v="1"/>
    <x v="1"/>
    <x v="1"/>
    <x v="93"/>
    <x v="1"/>
    <x v="0"/>
  </r>
  <r>
    <x v="298"/>
    <x v="2452"/>
    <x v="1"/>
    <x v="0"/>
    <x v="1"/>
    <x v="76"/>
    <x v="95"/>
    <x v="80"/>
    <x v="82"/>
    <x v="0"/>
  </r>
  <r>
    <x v="104"/>
    <x v="2453"/>
    <x v="0"/>
    <x v="0"/>
    <x v="0"/>
    <x v="8"/>
    <x v="8"/>
    <x v="76"/>
    <x v="8"/>
    <x v="0"/>
  </r>
  <r>
    <x v="342"/>
    <x v="2454"/>
    <x v="1"/>
    <x v="0"/>
    <x v="1"/>
    <x v="27"/>
    <x v="33"/>
    <x v="45"/>
    <x v="5"/>
    <x v="0"/>
  </r>
  <r>
    <x v="257"/>
    <x v="2455"/>
    <x v="0"/>
    <x v="0"/>
    <x v="0"/>
    <x v="0"/>
    <x v="0"/>
    <x v="22"/>
    <x v="0"/>
    <x v="0"/>
  </r>
  <r>
    <x v="269"/>
    <x v="2456"/>
    <x v="3"/>
    <x v="1"/>
    <x v="3"/>
    <x v="12"/>
    <x v="12"/>
    <x v="25"/>
    <x v="12"/>
    <x v="0"/>
  </r>
  <r>
    <x v="68"/>
    <x v="2457"/>
    <x v="1"/>
    <x v="0"/>
    <x v="1"/>
    <x v="28"/>
    <x v="36"/>
    <x v="22"/>
    <x v="31"/>
    <x v="0"/>
  </r>
  <r>
    <x v="198"/>
    <x v="2458"/>
    <x v="4"/>
    <x v="0"/>
    <x v="3"/>
    <x v="69"/>
    <x v="86"/>
    <x v="54"/>
    <x v="74"/>
    <x v="0"/>
  </r>
  <r>
    <x v="234"/>
    <x v="2459"/>
    <x v="4"/>
    <x v="0"/>
    <x v="3"/>
    <x v="31"/>
    <x v="39"/>
    <x v="90"/>
    <x v="34"/>
    <x v="0"/>
  </r>
  <r>
    <x v="81"/>
    <x v="2460"/>
    <x v="2"/>
    <x v="0"/>
    <x v="2"/>
    <x v="61"/>
    <x v="75"/>
    <x v="61"/>
    <x v="64"/>
    <x v="0"/>
  </r>
  <r>
    <x v="266"/>
    <x v="2461"/>
    <x v="1"/>
    <x v="0"/>
    <x v="1"/>
    <x v="4"/>
    <x v="4"/>
    <x v="23"/>
    <x v="4"/>
    <x v="0"/>
  </r>
  <r>
    <x v="279"/>
    <x v="2462"/>
    <x v="1"/>
    <x v="0"/>
    <x v="1"/>
    <x v="16"/>
    <x v="76"/>
    <x v="46"/>
    <x v="65"/>
    <x v="0"/>
  </r>
  <r>
    <x v="126"/>
    <x v="2463"/>
    <x v="0"/>
    <x v="0"/>
    <x v="0"/>
    <x v="8"/>
    <x v="8"/>
    <x v="64"/>
    <x v="8"/>
    <x v="0"/>
  </r>
  <r>
    <x v="44"/>
    <x v="2464"/>
    <x v="4"/>
    <x v="0"/>
    <x v="3"/>
    <x v="16"/>
    <x v="16"/>
    <x v="29"/>
    <x v="16"/>
    <x v="0"/>
  </r>
  <r>
    <x v="197"/>
    <x v="2465"/>
    <x v="0"/>
    <x v="0"/>
    <x v="0"/>
    <x v="8"/>
    <x v="8"/>
    <x v="9"/>
    <x v="8"/>
    <x v="0"/>
  </r>
  <r>
    <x v="65"/>
    <x v="2466"/>
    <x v="0"/>
    <x v="0"/>
    <x v="0"/>
    <x v="8"/>
    <x v="8"/>
    <x v="33"/>
    <x v="8"/>
    <x v="0"/>
  </r>
  <r>
    <x v="135"/>
    <x v="2467"/>
    <x v="4"/>
    <x v="0"/>
    <x v="3"/>
    <x v="50"/>
    <x v="60"/>
    <x v="60"/>
    <x v="52"/>
    <x v="0"/>
  </r>
  <r>
    <x v="157"/>
    <x v="2468"/>
    <x v="3"/>
    <x v="1"/>
    <x v="3"/>
    <x v="15"/>
    <x v="15"/>
    <x v="85"/>
    <x v="15"/>
    <x v="0"/>
  </r>
  <r>
    <x v="41"/>
    <x v="2469"/>
    <x v="4"/>
    <x v="0"/>
    <x v="3"/>
    <x v="64"/>
    <x v="79"/>
    <x v="84"/>
    <x v="68"/>
    <x v="0"/>
  </r>
  <r>
    <x v="302"/>
    <x v="2470"/>
    <x v="2"/>
    <x v="0"/>
    <x v="2"/>
    <x v="7"/>
    <x v="49"/>
    <x v="49"/>
    <x v="8"/>
    <x v="0"/>
  </r>
  <r>
    <x v="126"/>
    <x v="2471"/>
    <x v="4"/>
    <x v="0"/>
    <x v="3"/>
    <x v="50"/>
    <x v="60"/>
    <x v="68"/>
    <x v="52"/>
    <x v="0"/>
  </r>
  <r>
    <x v="169"/>
    <x v="2472"/>
    <x v="3"/>
    <x v="1"/>
    <x v="3"/>
    <x v="1"/>
    <x v="53"/>
    <x v="44"/>
    <x v="46"/>
    <x v="0"/>
  </r>
  <r>
    <x v="267"/>
    <x v="2473"/>
    <x v="2"/>
    <x v="0"/>
    <x v="2"/>
    <x v="22"/>
    <x v="25"/>
    <x v="12"/>
    <x v="20"/>
    <x v="0"/>
  </r>
  <r>
    <x v="138"/>
    <x v="2474"/>
    <x v="2"/>
    <x v="0"/>
    <x v="2"/>
    <x v="5"/>
    <x v="92"/>
    <x v="7"/>
    <x v="46"/>
    <x v="0"/>
  </r>
  <r>
    <x v="177"/>
    <x v="2475"/>
    <x v="4"/>
    <x v="0"/>
    <x v="3"/>
    <x v="32"/>
    <x v="40"/>
    <x v="12"/>
    <x v="35"/>
    <x v="0"/>
  </r>
  <r>
    <x v="148"/>
    <x v="2476"/>
    <x v="2"/>
    <x v="0"/>
    <x v="2"/>
    <x v="42"/>
    <x v="51"/>
    <x v="72"/>
    <x v="44"/>
    <x v="0"/>
  </r>
  <r>
    <x v="99"/>
    <x v="2477"/>
    <x v="0"/>
    <x v="0"/>
    <x v="0"/>
    <x v="8"/>
    <x v="8"/>
    <x v="22"/>
    <x v="8"/>
    <x v="0"/>
  </r>
  <r>
    <x v="333"/>
    <x v="2478"/>
    <x v="3"/>
    <x v="1"/>
    <x v="3"/>
    <x v="11"/>
    <x v="11"/>
    <x v="90"/>
    <x v="11"/>
    <x v="0"/>
  </r>
  <r>
    <x v="0"/>
    <x v="2479"/>
    <x v="0"/>
    <x v="0"/>
    <x v="0"/>
    <x v="8"/>
    <x v="8"/>
    <x v="77"/>
    <x v="8"/>
    <x v="0"/>
  </r>
  <r>
    <x v="94"/>
    <x v="2480"/>
    <x v="2"/>
    <x v="0"/>
    <x v="2"/>
    <x v="77"/>
    <x v="96"/>
    <x v="39"/>
    <x v="83"/>
    <x v="0"/>
  </r>
  <r>
    <x v="159"/>
    <x v="2481"/>
    <x v="1"/>
    <x v="0"/>
    <x v="1"/>
    <x v="25"/>
    <x v="30"/>
    <x v="45"/>
    <x v="27"/>
    <x v="0"/>
  </r>
  <r>
    <x v="288"/>
    <x v="2482"/>
    <x v="3"/>
    <x v="1"/>
    <x v="3"/>
    <x v="5"/>
    <x v="31"/>
    <x v="5"/>
    <x v="28"/>
    <x v="0"/>
  </r>
  <r>
    <x v="256"/>
    <x v="2483"/>
    <x v="3"/>
    <x v="1"/>
    <x v="3"/>
    <x v="8"/>
    <x v="26"/>
    <x v="1"/>
    <x v="23"/>
    <x v="0"/>
  </r>
  <r>
    <x v="132"/>
    <x v="2484"/>
    <x v="2"/>
    <x v="0"/>
    <x v="2"/>
    <x v="61"/>
    <x v="75"/>
    <x v="2"/>
    <x v="64"/>
    <x v="0"/>
  </r>
  <r>
    <x v="11"/>
    <x v="2485"/>
    <x v="2"/>
    <x v="0"/>
    <x v="2"/>
    <x v="77"/>
    <x v="96"/>
    <x v="59"/>
    <x v="83"/>
    <x v="0"/>
  </r>
  <r>
    <x v="99"/>
    <x v="2486"/>
    <x v="1"/>
    <x v="0"/>
    <x v="1"/>
    <x v="47"/>
    <x v="57"/>
    <x v="42"/>
    <x v="49"/>
    <x v="0"/>
  </r>
  <r>
    <x v="229"/>
    <x v="2487"/>
    <x v="4"/>
    <x v="0"/>
    <x v="3"/>
    <x v="16"/>
    <x v="16"/>
    <x v="13"/>
    <x v="16"/>
    <x v="0"/>
  </r>
  <r>
    <x v="325"/>
    <x v="2488"/>
    <x v="2"/>
    <x v="0"/>
    <x v="2"/>
    <x v="2"/>
    <x v="2"/>
    <x v="12"/>
    <x v="2"/>
    <x v="0"/>
  </r>
  <r>
    <x v="250"/>
    <x v="2489"/>
    <x v="2"/>
    <x v="0"/>
    <x v="2"/>
    <x v="67"/>
    <x v="84"/>
    <x v="80"/>
    <x v="72"/>
    <x v="0"/>
  </r>
  <r>
    <x v="155"/>
    <x v="2490"/>
    <x v="1"/>
    <x v="0"/>
    <x v="1"/>
    <x v="16"/>
    <x v="76"/>
    <x v="10"/>
    <x v="65"/>
    <x v="0"/>
  </r>
  <r>
    <x v="141"/>
    <x v="2491"/>
    <x v="2"/>
    <x v="0"/>
    <x v="2"/>
    <x v="41"/>
    <x v="50"/>
    <x v="80"/>
    <x v="43"/>
    <x v="0"/>
  </r>
  <r>
    <x v="73"/>
    <x v="2492"/>
    <x v="0"/>
    <x v="0"/>
    <x v="0"/>
    <x v="7"/>
    <x v="7"/>
    <x v="96"/>
    <x v="7"/>
    <x v="0"/>
  </r>
  <r>
    <x v="62"/>
    <x v="2493"/>
    <x v="3"/>
    <x v="1"/>
    <x v="3"/>
    <x v="0"/>
    <x v="55"/>
    <x v="61"/>
    <x v="8"/>
    <x v="0"/>
  </r>
  <r>
    <x v="258"/>
    <x v="2494"/>
    <x v="3"/>
    <x v="1"/>
    <x v="3"/>
    <x v="5"/>
    <x v="31"/>
    <x v="55"/>
    <x v="28"/>
    <x v="0"/>
  </r>
  <r>
    <x v="92"/>
    <x v="2495"/>
    <x v="2"/>
    <x v="0"/>
    <x v="2"/>
    <x v="41"/>
    <x v="50"/>
    <x v="40"/>
    <x v="43"/>
    <x v="0"/>
  </r>
  <r>
    <x v="75"/>
    <x v="2496"/>
    <x v="3"/>
    <x v="1"/>
    <x v="3"/>
    <x v="9"/>
    <x v="70"/>
    <x v="54"/>
    <x v="60"/>
    <x v="0"/>
  </r>
  <r>
    <x v="351"/>
    <x v="2497"/>
    <x v="2"/>
    <x v="0"/>
    <x v="2"/>
    <x v="6"/>
    <x v="6"/>
    <x v="49"/>
    <x v="6"/>
    <x v="0"/>
  </r>
  <r>
    <x v="39"/>
    <x v="2498"/>
    <x v="2"/>
    <x v="0"/>
    <x v="2"/>
    <x v="14"/>
    <x v="14"/>
    <x v="62"/>
    <x v="14"/>
    <x v="0"/>
  </r>
  <r>
    <x v="158"/>
    <x v="2499"/>
    <x v="0"/>
    <x v="0"/>
    <x v="0"/>
    <x v="19"/>
    <x v="19"/>
    <x v="50"/>
    <x v="19"/>
    <x v="0"/>
  </r>
  <r>
    <x v="28"/>
    <x v="2500"/>
    <x v="3"/>
    <x v="1"/>
    <x v="3"/>
    <x v="29"/>
    <x v="37"/>
    <x v="14"/>
    <x v="32"/>
    <x v="0"/>
  </r>
  <r>
    <x v="118"/>
    <x v="2501"/>
    <x v="4"/>
    <x v="0"/>
    <x v="3"/>
    <x v="50"/>
    <x v="60"/>
    <x v="2"/>
    <x v="52"/>
    <x v="0"/>
  </r>
  <r>
    <x v="52"/>
    <x v="2502"/>
    <x v="3"/>
    <x v="1"/>
    <x v="3"/>
    <x v="45"/>
    <x v="56"/>
    <x v="23"/>
    <x v="48"/>
    <x v="0"/>
  </r>
  <r>
    <x v="135"/>
    <x v="2503"/>
    <x v="3"/>
    <x v="1"/>
    <x v="3"/>
    <x v="45"/>
    <x v="56"/>
    <x v="50"/>
    <x v="48"/>
    <x v="0"/>
  </r>
  <r>
    <x v="94"/>
    <x v="2504"/>
    <x v="3"/>
    <x v="1"/>
    <x v="3"/>
    <x v="15"/>
    <x v="15"/>
    <x v="25"/>
    <x v="15"/>
    <x v="0"/>
  </r>
  <r>
    <x v="50"/>
    <x v="2505"/>
    <x v="2"/>
    <x v="0"/>
    <x v="2"/>
    <x v="14"/>
    <x v="14"/>
    <x v="48"/>
    <x v="14"/>
    <x v="0"/>
  </r>
  <r>
    <x v="28"/>
    <x v="2506"/>
    <x v="3"/>
    <x v="1"/>
    <x v="3"/>
    <x v="23"/>
    <x v="83"/>
    <x v="54"/>
    <x v="71"/>
    <x v="0"/>
  </r>
  <r>
    <x v="333"/>
    <x v="2507"/>
    <x v="1"/>
    <x v="0"/>
    <x v="1"/>
    <x v="54"/>
    <x v="65"/>
    <x v="68"/>
    <x v="56"/>
    <x v="0"/>
  </r>
  <r>
    <x v="207"/>
    <x v="2508"/>
    <x v="3"/>
    <x v="1"/>
    <x v="3"/>
    <x v="23"/>
    <x v="83"/>
    <x v="63"/>
    <x v="71"/>
    <x v="0"/>
  </r>
  <r>
    <x v="310"/>
    <x v="2509"/>
    <x v="0"/>
    <x v="0"/>
    <x v="0"/>
    <x v="0"/>
    <x v="0"/>
    <x v="31"/>
    <x v="0"/>
    <x v="0"/>
  </r>
  <r>
    <x v="191"/>
    <x v="2510"/>
    <x v="4"/>
    <x v="0"/>
    <x v="3"/>
    <x v="69"/>
    <x v="86"/>
    <x v="58"/>
    <x v="74"/>
    <x v="0"/>
  </r>
  <r>
    <x v="193"/>
    <x v="2511"/>
    <x v="1"/>
    <x v="0"/>
    <x v="1"/>
    <x v="48"/>
    <x v="58"/>
    <x v="43"/>
    <x v="50"/>
    <x v="0"/>
  </r>
  <r>
    <x v="328"/>
    <x v="2512"/>
    <x v="1"/>
    <x v="0"/>
    <x v="1"/>
    <x v="19"/>
    <x v="73"/>
    <x v="16"/>
    <x v="46"/>
    <x v="0"/>
  </r>
  <r>
    <x v="76"/>
    <x v="2513"/>
    <x v="4"/>
    <x v="0"/>
    <x v="3"/>
    <x v="69"/>
    <x v="86"/>
    <x v="43"/>
    <x v="74"/>
    <x v="0"/>
  </r>
  <r>
    <x v="330"/>
    <x v="2514"/>
    <x v="4"/>
    <x v="0"/>
    <x v="3"/>
    <x v="56"/>
    <x v="67"/>
    <x v="40"/>
    <x v="58"/>
    <x v="0"/>
  </r>
  <r>
    <x v="220"/>
    <x v="2515"/>
    <x v="3"/>
    <x v="1"/>
    <x v="3"/>
    <x v="11"/>
    <x v="11"/>
    <x v="31"/>
    <x v="11"/>
    <x v="0"/>
  </r>
  <r>
    <x v="302"/>
    <x v="2516"/>
    <x v="3"/>
    <x v="1"/>
    <x v="3"/>
    <x v="57"/>
    <x v="69"/>
    <x v="86"/>
    <x v="59"/>
    <x v="0"/>
  </r>
  <r>
    <x v="291"/>
    <x v="2517"/>
    <x v="1"/>
    <x v="0"/>
    <x v="1"/>
    <x v="19"/>
    <x v="73"/>
    <x v="10"/>
    <x v="46"/>
    <x v="0"/>
  </r>
  <r>
    <x v="119"/>
    <x v="2518"/>
    <x v="1"/>
    <x v="0"/>
    <x v="1"/>
    <x v="27"/>
    <x v="33"/>
    <x v="42"/>
    <x v="5"/>
    <x v="0"/>
  </r>
  <r>
    <x v="298"/>
    <x v="2519"/>
    <x v="4"/>
    <x v="0"/>
    <x v="3"/>
    <x v="11"/>
    <x v="11"/>
    <x v="24"/>
    <x v="11"/>
    <x v="0"/>
  </r>
  <r>
    <x v="183"/>
    <x v="2520"/>
    <x v="0"/>
    <x v="0"/>
    <x v="0"/>
    <x v="5"/>
    <x v="5"/>
    <x v="39"/>
    <x v="5"/>
    <x v="0"/>
  </r>
  <r>
    <x v="324"/>
    <x v="2521"/>
    <x v="0"/>
    <x v="0"/>
    <x v="0"/>
    <x v="5"/>
    <x v="5"/>
    <x v="64"/>
    <x v="5"/>
    <x v="0"/>
  </r>
  <r>
    <x v="189"/>
    <x v="2522"/>
    <x v="2"/>
    <x v="0"/>
    <x v="2"/>
    <x v="13"/>
    <x v="13"/>
    <x v="77"/>
    <x v="13"/>
    <x v="0"/>
  </r>
  <r>
    <x v="291"/>
    <x v="2523"/>
    <x v="0"/>
    <x v="0"/>
    <x v="0"/>
    <x v="7"/>
    <x v="7"/>
    <x v="44"/>
    <x v="7"/>
    <x v="0"/>
  </r>
  <r>
    <x v="249"/>
    <x v="2524"/>
    <x v="4"/>
    <x v="0"/>
    <x v="3"/>
    <x v="7"/>
    <x v="20"/>
    <x v="2"/>
    <x v="10"/>
    <x v="0"/>
  </r>
  <r>
    <x v="84"/>
    <x v="2525"/>
    <x v="1"/>
    <x v="0"/>
    <x v="1"/>
    <x v="72"/>
    <x v="89"/>
    <x v="21"/>
    <x v="19"/>
    <x v="0"/>
  </r>
  <r>
    <x v="240"/>
    <x v="2526"/>
    <x v="2"/>
    <x v="0"/>
    <x v="2"/>
    <x v="23"/>
    <x v="28"/>
    <x v="58"/>
    <x v="25"/>
    <x v="0"/>
  </r>
  <r>
    <x v="100"/>
    <x v="2527"/>
    <x v="4"/>
    <x v="0"/>
    <x v="3"/>
    <x v="58"/>
    <x v="71"/>
    <x v="56"/>
    <x v="61"/>
    <x v="0"/>
  </r>
  <r>
    <x v="222"/>
    <x v="2528"/>
    <x v="1"/>
    <x v="0"/>
    <x v="1"/>
    <x v="52"/>
    <x v="62"/>
    <x v="55"/>
    <x v="54"/>
    <x v="0"/>
  </r>
  <r>
    <x v="176"/>
    <x v="2529"/>
    <x v="0"/>
    <x v="0"/>
    <x v="0"/>
    <x v="7"/>
    <x v="7"/>
    <x v="5"/>
    <x v="7"/>
    <x v="0"/>
  </r>
  <r>
    <x v="26"/>
    <x v="2530"/>
    <x v="4"/>
    <x v="0"/>
    <x v="3"/>
    <x v="71"/>
    <x v="88"/>
    <x v="21"/>
    <x v="76"/>
    <x v="0"/>
  </r>
  <r>
    <x v="24"/>
    <x v="2531"/>
    <x v="2"/>
    <x v="0"/>
    <x v="2"/>
    <x v="2"/>
    <x v="2"/>
    <x v="14"/>
    <x v="2"/>
    <x v="0"/>
  </r>
  <r>
    <x v="285"/>
    <x v="2532"/>
    <x v="1"/>
    <x v="0"/>
    <x v="1"/>
    <x v="38"/>
    <x v="46"/>
    <x v="30"/>
    <x v="40"/>
    <x v="0"/>
  </r>
  <r>
    <x v="262"/>
    <x v="2533"/>
    <x v="3"/>
    <x v="1"/>
    <x v="3"/>
    <x v="49"/>
    <x v="59"/>
    <x v="32"/>
    <x v="51"/>
    <x v="0"/>
  </r>
  <r>
    <x v="359"/>
    <x v="2534"/>
    <x v="3"/>
    <x v="1"/>
    <x v="3"/>
    <x v="5"/>
    <x v="31"/>
    <x v="3"/>
    <x v="28"/>
    <x v="0"/>
  </r>
  <r>
    <x v="41"/>
    <x v="2535"/>
    <x v="0"/>
    <x v="0"/>
    <x v="0"/>
    <x v="7"/>
    <x v="7"/>
    <x v="74"/>
    <x v="7"/>
    <x v="0"/>
  </r>
  <r>
    <x v="281"/>
    <x v="2536"/>
    <x v="3"/>
    <x v="1"/>
    <x v="3"/>
    <x v="58"/>
    <x v="71"/>
    <x v="46"/>
    <x v="61"/>
    <x v="0"/>
  </r>
  <r>
    <x v="236"/>
    <x v="2537"/>
    <x v="0"/>
    <x v="0"/>
    <x v="0"/>
    <x v="0"/>
    <x v="0"/>
    <x v="33"/>
    <x v="0"/>
    <x v="0"/>
  </r>
  <r>
    <x v="122"/>
    <x v="2538"/>
    <x v="0"/>
    <x v="0"/>
    <x v="0"/>
    <x v="5"/>
    <x v="5"/>
    <x v="86"/>
    <x v="5"/>
    <x v="0"/>
  </r>
  <r>
    <x v="54"/>
    <x v="2539"/>
    <x v="2"/>
    <x v="0"/>
    <x v="2"/>
    <x v="7"/>
    <x v="49"/>
    <x v="32"/>
    <x v="8"/>
    <x v="0"/>
  </r>
  <r>
    <x v="84"/>
    <x v="2540"/>
    <x v="3"/>
    <x v="1"/>
    <x v="3"/>
    <x v="8"/>
    <x v="26"/>
    <x v="53"/>
    <x v="23"/>
    <x v="0"/>
  </r>
  <r>
    <x v="285"/>
    <x v="2541"/>
    <x v="1"/>
    <x v="0"/>
    <x v="1"/>
    <x v="53"/>
    <x v="64"/>
    <x v="23"/>
    <x v="55"/>
    <x v="0"/>
  </r>
  <r>
    <x v="321"/>
    <x v="2542"/>
    <x v="4"/>
    <x v="0"/>
    <x v="3"/>
    <x v="64"/>
    <x v="79"/>
    <x v="16"/>
    <x v="68"/>
    <x v="0"/>
  </r>
  <r>
    <x v="191"/>
    <x v="2543"/>
    <x v="2"/>
    <x v="0"/>
    <x v="2"/>
    <x v="13"/>
    <x v="13"/>
    <x v="12"/>
    <x v="13"/>
    <x v="0"/>
  </r>
  <r>
    <x v="180"/>
    <x v="2544"/>
    <x v="4"/>
    <x v="0"/>
    <x v="3"/>
    <x v="21"/>
    <x v="23"/>
    <x v="79"/>
    <x v="22"/>
    <x v="0"/>
  </r>
  <r>
    <x v="89"/>
    <x v="2545"/>
    <x v="3"/>
    <x v="1"/>
    <x v="3"/>
    <x v="6"/>
    <x v="21"/>
    <x v="90"/>
    <x v="20"/>
    <x v="0"/>
  </r>
  <r>
    <x v="119"/>
    <x v="2546"/>
    <x v="3"/>
    <x v="1"/>
    <x v="3"/>
    <x v="57"/>
    <x v="69"/>
    <x v="46"/>
    <x v="59"/>
    <x v="0"/>
  </r>
  <r>
    <x v="292"/>
    <x v="2547"/>
    <x v="3"/>
    <x v="1"/>
    <x v="3"/>
    <x v="18"/>
    <x v="18"/>
    <x v="80"/>
    <x v="18"/>
    <x v="0"/>
  </r>
  <r>
    <x v="228"/>
    <x v="2548"/>
    <x v="3"/>
    <x v="1"/>
    <x v="3"/>
    <x v="0"/>
    <x v="55"/>
    <x v="62"/>
    <x v="8"/>
    <x v="0"/>
  </r>
  <r>
    <x v="308"/>
    <x v="2549"/>
    <x v="3"/>
    <x v="1"/>
    <x v="3"/>
    <x v="8"/>
    <x v="26"/>
    <x v="83"/>
    <x v="23"/>
    <x v="0"/>
  </r>
  <r>
    <x v="131"/>
    <x v="2550"/>
    <x v="3"/>
    <x v="1"/>
    <x v="3"/>
    <x v="57"/>
    <x v="69"/>
    <x v="24"/>
    <x v="59"/>
    <x v="0"/>
  </r>
  <r>
    <x v="350"/>
    <x v="2551"/>
    <x v="4"/>
    <x v="0"/>
    <x v="3"/>
    <x v="21"/>
    <x v="23"/>
    <x v="56"/>
    <x v="22"/>
    <x v="0"/>
  </r>
  <r>
    <x v="139"/>
    <x v="2552"/>
    <x v="0"/>
    <x v="0"/>
    <x v="0"/>
    <x v="19"/>
    <x v="19"/>
    <x v="86"/>
    <x v="19"/>
    <x v="0"/>
  </r>
  <r>
    <x v="24"/>
    <x v="2553"/>
    <x v="3"/>
    <x v="1"/>
    <x v="3"/>
    <x v="5"/>
    <x v="31"/>
    <x v="84"/>
    <x v="28"/>
    <x v="0"/>
  </r>
  <r>
    <x v="250"/>
    <x v="2554"/>
    <x v="2"/>
    <x v="0"/>
    <x v="2"/>
    <x v="6"/>
    <x v="6"/>
    <x v="34"/>
    <x v="6"/>
    <x v="0"/>
  </r>
  <r>
    <x v="93"/>
    <x v="2555"/>
    <x v="4"/>
    <x v="0"/>
    <x v="3"/>
    <x v="59"/>
    <x v="72"/>
    <x v="89"/>
    <x v="62"/>
    <x v="0"/>
  </r>
  <r>
    <x v="83"/>
    <x v="2556"/>
    <x v="2"/>
    <x v="0"/>
    <x v="2"/>
    <x v="41"/>
    <x v="50"/>
    <x v="36"/>
    <x v="43"/>
    <x v="0"/>
  </r>
  <r>
    <x v="316"/>
    <x v="2557"/>
    <x v="4"/>
    <x v="0"/>
    <x v="3"/>
    <x v="44"/>
    <x v="54"/>
    <x v="81"/>
    <x v="47"/>
    <x v="0"/>
  </r>
  <r>
    <x v="327"/>
    <x v="2558"/>
    <x v="1"/>
    <x v="0"/>
    <x v="1"/>
    <x v="0"/>
    <x v="81"/>
    <x v="48"/>
    <x v="24"/>
    <x v="0"/>
  </r>
  <r>
    <x v="285"/>
    <x v="2559"/>
    <x v="3"/>
    <x v="1"/>
    <x v="3"/>
    <x v="58"/>
    <x v="71"/>
    <x v="48"/>
    <x v="61"/>
    <x v="0"/>
  </r>
  <r>
    <x v="168"/>
    <x v="2560"/>
    <x v="0"/>
    <x v="0"/>
    <x v="0"/>
    <x v="8"/>
    <x v="8"/>
    <x v="78"/>
    <x v="8"/>
    <x v="0"/>
  </r>
  <r>
    <x v="57"/>
    <x v="2561"/>
    <x v="4"/>
    <x v="0"/>
    <x v="3"/>
    <x v="56"/>
    <x v="67"/>
    <x v="18"/>
    <x v="58"/>
    <x v="0"/>
  </r>
  <r>
    <x v="334"/>
    <x v="2562"/>
    <x v="4"/>
    <x v="0"/>
    <x v="3"/>
    <x v="21"/>
    <x v="23"/>
    <x v="17"/>
    <x v="22"/>
    <x v="0"/>
  </r>
  <r>
    <x v="80"/>
    <x v="2563"/>
    <x v="3"/>
    <x v="1"/>
    <x v="3"/>
    <x v="23"/>
    <x v="83"/>
    <x v="35"/>
    <x v="71"/>
    <x v="0"/>
  </r>
  <r>
    <x v="323"/>
    <x v="2564"/>
    <x v="4"/>
    <x v="0"/>
    <x v="3"/>
    <x v="16"/>
    <x v="16"/>
    <x v="35"/>
    <x v="16"/>
    <x v="0"/>
  </r>
  <r>
    <x v="294"/>
    <x v="2565"/>
    <x v="1"/>
    <x v="0"/>
    <x v="1"/>
    <x v="0"/>
    <x v="81"/>
    <x v="24"/>
    <x v="24"/>
    <x v="0"/>
  </r>
  <r>
    <x v="153"/>
    <x v="2566"/>
    <x v="2"/>
    <x v="0"/>
    <x v="2"/>
    <x v="63"/>
    <x v="78"/>
    <x v="79"/>
    <x v="67"/>
    <x v="0"/>
  </r>
  <r>
    <x v="307"/>
    <x v="2567"/>
    <x v="0"/>
    <x v="0"/>
    <x v="0"/>
    <x v="7"/>
    <x v="7"/>
    <x v="34"/>
    <x v="7"/>
    <x v="0"/>
  </r>
  <r>
    <x v="274"/>
    <x v="2568"/>
    <x v="3"/>
    <x v="1"/>
    <x v="3"/>
    <x v="15"/>
    <x v="15"/>
    <x v="96"/>
    <x v="15"/>
    <x v="0"/>
  </r>
  <r>
    <x v="155"/>
    <x v="2569"/>
    <x v="0"/>
    <x v="0"/>
    <x v="0"/>
    <x v="0"/>
    <x v="0"/>
    <x v="22"/>
    <x v="0"/>
    <x v="0"/>
  </r>
  <r>
    <x v="263"/>
    <x v="2570"/>
    <x v="0"/>
    <x v="0"/>
    <x v="0"/>
    <x v="5"/>
    <x v="5"/>
    <x v="10"/>
    <x v="5"/>
    <x v="0"/>
  </r>
  <r>
    <x v="201"/>
    <x v="2571"/>
    <x v="2"/>
    <x v="0"/>
    <x v="2"/>
    <x v="7"/>
    <x v="49"/>
    <x v="14"/>
    <x v="8"/>
    <x v="0"/>
  </r>
  <r>
    <x v="89"/>
    <x v="2572"/>
    <x v="4"/>
    <x v="0"/>
    <x v="3"/>
    <x v="5"/>
    <x v="31"/>
    <x v="40"/>
    <x v="28"/>
    <x v="0"/>
  </r>
  <r>
    <x v="28"/>
    <x v="2573"/>
    <x v="2"/>
    <x v="0"/>
    <x v="2"/>
    <x v="10"/>
    <x v="10"/>
    <x v="57"/>
    <x v="10"/>
    <x v="0"/>
  </r>
  <r>
    <x v="136"/>
    <x v="2574"/>
    <x v="3"/>
    <x v="1"/>
    <x v="3"/>
    <x v="57"/>
    <x v="69"/>
    <x v="90"/>
    <x v="59"/>
    <x v="0"/>
  </r>
  <r>
    <x v="65"/>
    <x v="2575"/>
    <x v="0"/>
    <x v="0"/>
    <x v="0"/>
    <x v="0"/>
    <x v="0"/>
    <x v="9"/>
    <x v="0"/>
    <x v="0"/>
  </r>
  <r>
    <x v="66"/>
    <x v="2576"/>
    <x v="0"/>
    <x v="0"/>
    <x v="0"/>
    <x v="7"/>
    <x v="7"/>
    <x v="92"/>
    <x v="7"/>
    <x v="0"/>
  </r>
  <r>
    <x v="236"/>
    <x v="2577"/>
    <x v="3"/>
    <x v="1"/>
    <x v="3"/>
    <x v="19"/>
    <x v="24"/>
    <x v="65"/>
    <x v="14"/>
    <x v="0"/>
  </r>
  <r>
    <x v="91"/>
    <x v="2578"/>
    <x v="2"/>
    <x v="0"/>
    <x v="2"/>
    <x v="2"/>
    <x v="2"/>
    <x v="5"/>
    <x v="2"/>
    <x v="0"/>
  </r>
  <r>
    <x v="364"/>
    <x v="2579"/>
    <x v="1"/>
    <x v="0"/>
    <x v="1"/>
    <x v="4"/>
    <x v="4"/>
    <x v="80"/>
    <x v="4"/>
    <x v="0"/>
  </r>
  <r>
    <x v="106"/>
    <x v="2580"/>
    <x v="1"/>
    <x v="0"/>
    <x v="1"/>
    <x v="19"/>
    <x v="73"/>
    <x v="28"/>
    <x v="46"/>
    <x v="0"/>
  </r>
  <r>
    <x v="220"/>
    <x v="2581"/>
    <x v="2"/>
    <x v="0"/>
    <x v="2"/>
    <x v="8"/>
    <x v="35"/>
    <x v="35"/>
    <x v="18"/>
    <x v="0"/>
  </r>
  <r>
    <x v="169"/>
    <x v="2582"/>
    <x v="1"/>
    <x v="0"/>
    <x v="1"/>
    <x v="75"/>
    <x v="93"/>
    <x v="13"/>
    <x v="80"/>
    <x v="0"/>
  </r>
  <r>
    <x v="361"/>
    <x v="2583"/>
    <x v="1"/>
    <x v="0"/>
    <x v="1"/>
    <x v="25"/>
    <x v="30"/>
    <x v="35"/>
    <x v="27"/>
    <x v="0"/>
  </r>
  <r>
    <x v="252"/>
    <x v="2584"/>
    <x v="4"/>
    <x v="0"/>
    <x v="3"/>
    <x v="17"/>
    <x v="17"/>
    <x v="79"/>
    <x v="17"/>
    <x v="0"/>
  </r>
  <r>
    <x v="31"/>
    <x v="2585"/>
    <x v="4"/>
    <x v="0"/>
    <x v="3"/>
    <x v="59"/>
    <x v="72"/>
    <x v="55"/>
    <x v="62"/>
    <x v="0"/>
  </r>
  <r>
    <x v="234"/>
    <x v="2586"/>
    <x v="3"/>
    <x v="1"/>
    <x v="3"/>
    <x v="46"/>
    <x v="68"/>
    <x v="51"/>
    <x v="43"/>
    <x v="0"/>
  </r>
  <r>
    <x v="200"/>
    <x v="2587"/>
    <x v="0"/>
    <x v="0"/>
    <x v="0"/>
    <x v="19"/>
    <x v="19"/>
    <x v="6"/>
    <x v="19"/>
    <x v="0"/>
  </r>
  <r>
    <x v="72"/>
    <x v="2588"/>
    <x v="4"/>
    <x v="0"/>
    <x v="3"/>
    <x v="16"/>
    <x v="16"/>
    <x v="59"/>
    <x v="16"/>
    <x v="0"/>
  </r>
  <r>
    <x v="186"/>
    <x v="2589"/>
    <x v="1"/>
    <x v="0"/>
    <x v="1"/>
    <x v="60"/>
    <x v="74"/>
    <x v="1"/>
    <x v="63"/>
    <x v="0"/>
  </r>
  <r>
    <x v="19"/>
    <x v="2590"/>
    <x v="3"/>
    <x v="1"/>
    <x v="3"/>
    <x v="20"/>
    <x v="22"/>
    <x v="46"/>
    <x v="21"/>
    <x v="0"/>
  </r>
  <r>
    <x v="109"/>
    <x v="2591"/>
    <x v="0"/>
    <x v="0"/>
    <x v="0"/>
    <x v="0"/>
    <x v="0"/>
    <x v="9"/>
    <x v="0"/>
    <x v="0"/>
  </r>
  <r>
    <x v="341"/>
    <x v="2592"/>
    <x v="4"/>
    <x v="0"/>
    <x v="3"/>
    <x v="11"/>
    <x v="11"/>
    <x v="36"/>
    <x v="11"/>
    <x v="0"/>
  </r>
  <r>
    <x v="61"/>
    <x v="2593"/>
    <x v="1"/>
    <x v="0"/>
    <x v="1"/>
    <x v="34"/>
    <x v="42"/>
    <x v="28"/>
    <x v="37"/>
    <x v="0"/>
  </r>
  <r>
    <x v="32"/>
    <x v="2594"/>
    <x v="4"/>
    <x v="0"/>
    <x v="3"/>
    <x v="30"/>
    <x v="38"/>
    <x v="23"/>
    <x v="33"/>
    <x v="0"/>
  </r>
  <r>
    <x v="149"/>
    <x v="2595"/>
    <x v="0"/>
    <x v="0"/>
    <x v="0"/>
    <x v="5"/>
    <x v="5"/>
    <x v="41"/>
    <x v="5"/>
    <x v="0"/>
  </r>
  <r>
    <x v="86"/>
    <x v="2596"/>
    <x v="3"/>
    <x v="1"/>
    <x v="3"/>
    <x v="23"/>
    <x v="83"/>
    <x v="22"/>
    <x v="71"/>
    <x v="0"/>
  </r>
  <r>
    <x v="42"/>
    <x v="2597"/>
    <x v="2"/>
    <x v="0"/>
    <x v="2"/>
    <x v="61"/>
    <x v="75"/>
    <x v="90"/>
    <x v="64"/>
    <x v="0"/>
  </r>
  <r>
    <x v="317"/>
    <x v="2598"/>
    <x v="1"/>
    <x v="0"/>
    <x v="1"/>
    <x v="1"/>
    <x v="1"/>
    <x v="22"/>
    <x v="1"/>
    <x v="0"/>
  </r>
  <r>
    <x v="358"/>
    <x v="2599"/>
    <x v="2"/>
    <x v="0"/>
    <x v="2"/>
    <x v="61"/>
    <x v="75"/>
    <x v="71"/>
    <x v="64"/>
    <x v="0"/>
  </r>
  <r>
    <x v="246"/>
    <x v="2600"/>
    <x v="1"/>
    <x v="0"/>
    <x v="1"/>
    <x v="53"/>
    <x v="64"/>
    <x v="23"/>
    <x v="55"/>
    <x v="0"/>
  </r>
  <r>
    <x v="230"/>
    <x v="2601"/>
    <x v="2"/>
    <x v="0"/>
    <x v="2"/>
    <x v="10"/>
    <x v="10"/>
    <x v="30"/>
    <x v="10"/>
    <x v="0"/>
  </r>
  <r>
    <x v="146"/>
    <x v="2602"/>
    <x v="2"/>
    <x v="0"/>
    <x v="2"/>
    <x v="22"/>
    <x v="25"/>
    <x v="52"/>
    <x v="20"/>
    <x v="0"/>
  </r>
  <r>
    <x v="90"/>
    <x v="2603"/>
    <x v="0"/>
    <x v="0"/>
    <x v="0"/>
    <x v="8"/>
    <x v="8"/>
    <x v="74"/>
    <x v="8"/>
    <x v="0"/>
  </r>
  <r>
    <x v="100"/>
    <x v="2604"/>
    <x v="3"/>
    <x v="1"/>
    <x v="3"/>
    <x v="5"/>
    <x v="31"/>
    <x v="3"/>
    <x v="28"/>
    <x v="0"/>
  </r>
  <r>
    <x v="275"/>
    <x v="2605"/>
    <x v="4"/>
    <x v="0"/>
    <x v="3"/>
    <x v="5"/>
    <x v="31"/>
    <x v="35"/>
    <x v="28"/>
    <x v="0"/>
  </r>
  <r>
    <x v="351"/>
    <x v="2606"/>
    <x v="3"/>
    <x v="1"/>
    <x v="3"/>
    <x v="1"/>
    <x v="53"/>
    <x v="4"/>
    <x v="46"/>
    <x v="0"/>
  </r>
  <r>
    <x v="22"/>
    <x v="2607"/>
    <x v="1"/>
    <x v="0"/>
    <x v="1"/>
    <x v="27"/>
    <x v="33"/>
    <x v="81"/>
    <x v="5"/>
    <x v="0"/>
  </r>
  <r>
    <x v="76"/>
    <x v="2608"/>
    <x v="4"/>
    <x v="0"/>
    <x v="3"/>
    <x v="30"/>
    <x v="38"/>
    <x v="84"/>
    <x v="33"/>
    <x v="0"/>
  </r>
  <r>
    <x v="363"/>
    <x v="2609"/>
    <x v="4"/>
    <x v="0"/>
    <x v="3"/>
    <x v="7"/>
    <x v="20"/>
    <x v="35"/>
    <x v="10"/>
    <x v="0"/>
  </r>
  <r>
    <x v="325"/>
    <x v="2610"/>
    <x v="2"/>
    <x v="0"/>
    <x v="2"/>
    <x v="7"/>
    <x v="49"/>
    <x v="39"/>
    <x v="8"/>
    <x v="0"/>
  </r>
  <r>
    <x v="121"/>
    <x v="2611"/>
    <x v="2"/>
    <x v="0"/>
    <x v="2"/>
    <x v="41"/>
    <x v="50"/>
    <x v="65"/>
    <x v="43"/>
    <x v="0"/>
  </r>
  <r>
    <x v="263"/>
    <x v="2612"/>
    <x v="1"/>
    <x v="0"/>
    <x v="1"/>
    <x v="47"/>
    <x v="57"/>
    <x v="24"/>
    <x v="49"/>
    <x v="0"/>
  </r>
  <r>
    <x v="76"/>
    <x v="2613"/>
    <x v="0"/>
    <x v="0"/>
    <x v="0"/>
    <x v="19"/>
    <x v="19"/>
    <x v="73"/>
    <x v="19"/>
    <x v="0"/>
  </r>
  <r>
    <x v="356"/>
    <x v="2614"/>
    <x v="4"/>
    <x v="0"/>
    <x v="3"/>
    <x v="64"/>
    <x v="79"/>
    <x v="89"/>
    <x v="68"/>
    <x v="0"/>
  </r>
  <r>
    <x v="324"/>
    <x v="2615"/>
    <x v="4"/>
    <x v="0"/>
    <x v="3"/>
    <x v="44"/>
    <x v="54"/>
    <x v="89"/>
    <x v="47"/>
    <x v="0"/>
  </r>
  <r>
    <x v="243"/>
    <x v="2616"/>
    <x v="1"/>
    <x v="0"/>
    <x v="1"/>
    <x v="27"/>
    <x v="33"/>
    <x v="20"/>
    <x v="5"/>
    <x v="0"/>
  </r>
  <r>
    <x v="137"/>
    <x v="2617"/>
    <x v="0"/>
    <x v="0"/>
    <x v="0"/>
    <x v="8"/>
    <x v="8"/>
    <x v="67"/>
    <x v="8"/>
    <x v="0"/>
  </r>
  <r>
    <x v="321"/>
    <x v="2618"/>
    <x v="0"/>
    <x v="0"/>
    <x v="0"/>
    <x v="8"/>
    <x v="8"/>
    <x v="6"/>
    <x v="8"/>
    <x v="0"/>
  </r>
  <r>
    <x v="249"/>
    <x v="2619"/>
    <x v="0"/>
    <x v="0"/>
    <x v="0"/>
    <x v="7"/>
    <x v="7"/>
    <x v="25"/>
    <x v="7"/>
    <x v="0"/>
  </r>
  <r>
    <x v="274"/>
    <x v="2620"/>
    <x v="0"/>
    <x v="0"/>
    <x v="0"/>
    <x v="7"/>
    <x v="7"/>
    <x v="76"/>
    <x v="7"/>
    <x v="0"/>
  </r>
  <r>
    <x v="6"/>
    <x v="2621"/>
    <x v="4"/>
    <x v="0"/>
    <x v="3"/>
    <x v="7"/>
    <x v="20"/>
    <x v="18"/>
    <x v="10"/>
    <x v="0"/>
  </r>
  <r>
    <x v="283"/>
    <x v="2622"/>
    <x v="2"/>
    <x v="0"/>
    <x v="2"/>
    <x v="37"/>
    <x v="45"/>
    <x v="24"/>
    <x v="39"/>
    <x v="0"/>
  </r>
  <r>
    <x v="279"/>
    <x v="2623"/>
    <x v="2"/>
    <x v="0"/>
    <x v="2"/>
    <x v="46"/>
    <x v="47"/>
    <x v="42"/>
    <x v="1"/>
    <x v="0"/>
  </r>
  <r>
    <x v="301"/>
    <x v="2624"/>
    <x v="3"/>
    <x v="1"/>
    <x v="3"/>
    <x v="1"/>
    <x v="53"/>
    <x v="72"/>
    <x v="46"/>
    <x v="0"/>
  </r>
  <r>
    <x v="143"/>
    <x v="2625"/>
    <x v="1"/>
    <x v="0"/>
    <x v="1"/>
    <x v="1"/>
    <x v="1"/>
    <x v="59"/>
    <x v="1"/>
    <x v="0"/>
  </r>
  <r>
    <x v="89"/>
    <x v="2626"/>
    <x v="4"/>
    <x v="0"/>
    <x v="3"/>
    <x v="44"/>
    <x v="54"/>
    <x v="89"/>
    <x v="47"/>
    <x v="0"/>
  </r>
  <r>
    <x v="268"/>
    <x v="2627"/>
    <x v="3"/>
    <x v="1"/>
    <x v="3"/>
    <x v="1"/>
    <x v="53"/>
    <x v="54"/>
    <x v="46"/>
    <x v="0"/>
  </r>
  <r>
    <x v="1"/>
    <x v="2628"/>
    <x v="2"/>
    <x v="0"/>
    <x v="2"/>
    <x v="9"/>
    <x v="9"/>
    <x v="93"/>
    <x v="9"/>
    <x v="0"/>
  </r>
  <r>
    <x v="80"/>
    <x v="2629"/>
    <x v="4"/>
    <x v="0"/>
    <x v="3"/>
    <x v="59"/>
    <x v="72"/>
    <x v="55"/>
    <x v="62"/>
    <x v="0"/>
  </r>
  <r>
    <x v="195"/>
    <x v="2630"/>
    <x v="4"/>
    <x v="0"/>
    <x v="3"/>
    <x v="56"/>
    <x v="67"/>
    <x v="23"/>
    <x v="58"/>
    <x v="0"/>
  </r>
  <r>
    <x v="169"/>
    <x v="2631"/>
    <x v="4"/>
    <x v="0"/>
    <x v="3"/>
    <x v="31"/>
    <x v="39"/>
    <x v="2"/>
    <x v="34"/>
    <x v="0"/>
  </r>
  <r>
    <x v="319"/>
    <x v="2632"/>
    <x v="4"/>
    <x v="0"/>
    <x v="3"/>
    <x v="69"/>
    <x v="86"/>
    <x v="55"/>
    <x v="74"/>
    <x v="0"/>
  </r>
  <r>
    <x v="182"/>
    <x v="2633"/>
    <x v="3"/>
    <x v="1"/>
    <x v="3"/>
    <x v="43"/>
    <x v="52"/>
    <x v="23"/>
    <x v="45"/>
    <x v="0"/>
  </r>
  <r>
    <x v="351"/>
    <x v="2634"/>
    <x v="4"/>
    <x v="0"/>
    <x v="3"/>
    <x v="16"/>
    <x v="16"/>
    <x v="49"/>
    <x v="16"/>
    <x v="0"/>
  </r>
  <r>
    <x v="17"/>
    <x v="2635"/>
    <x v="3"/>
    <x v="1"/>
    <x v="3"/>
    <x v="45"/>
    <x v="56"/>
    <x v="86"/>
    <x v="48"/>
    <x v="0"/>
  </r>
  <r>
    <x v="125"/>
    <x v="2636"/>
    <x v="4"/>
    <x v="0"/>
    <x v="3"/>
    <x v="64"/>
    <x v="79"/>
    <x v="40"/>
    <x v="68"/>
    <x v="0"/>
  </r>
  <r>
    <x v="221"/>
    <x v="2637"/>
    <x v="1"/>
    <x v="0"/>
    <x v="1"/>
    <x v="40"/>
    <x v="48"/>
    <x v="1"/>
    <x v="42"/>
    <x v="0"/>
  </r>
  <r>
    <x v="311"/>
    <x v="2638"/>
    <x v="4"/>
    <x v="0"/>
    <x v="3"/>
    <x v="32"/>
    <x v="40"/>
    <x v="59"/>
    <x v="35"/>
    <x v="0"/>
  </r>
  <r>
    <x v="89"/>
    <x v="2639"/>
    <x v="1"/>
    <x v="0"/>
    <x v="1"/>
    <x v="52"/>
    <x v="62"/>
    <x v="72"/>
    <x v="54"/>
    <x v="0"/>
  </r>
  <r>
    <x v="159"/>
    <x v="2640"/>
    <x v="3"/>
    <x v="1"/>
    <x v="3"/>
    <x v="8"/>
    <x v="26"/>
    <x v="27"/>
    <x v="23"/>
    <x v="0"/>
  </r>
  <r>
    <x v="254"/>
    <x v="2641"/>
    <x v="1"/>
    <x v="0"/>
    <x v="1"/>
    <x v="25"/>
    <x v="30"/>
    <x v="13"/>
    <x v="27"/>
    <x v="0"/>
  </r>
  <r>
    <x v="64"/>
    <x v="2642"/>
    <x v="0"/>
    <x v="0"/>
    <x v="0"/>
    <x v="5"/>
    <x v="5"/>
    <x v="88"/>
    <x v="5"/>
    <x v="0"/>
  </r>
  <r>
    <x v="248"/>
    <x v="2643"/>
    <x v="4"/>
    <x v="0"/>
    <x v="3"/>
    <x v="59"/>
    <x v="72"/>
    <x v="60"/>
    <x v="62"/>
    <x v="0"/>
  </r>
  <r>
    <x v="165"/>
    <x v="2644"/>
    <x v="3"/>
    <x v="1"/>
    <x v="3"/>
    <x v="20"/>
    <x v="22"/>
    <x v="85"/>
    <x v="21"/>
    <x v="0"/>
  </r>
  <r>
    <x v="141"/>
    <x v="2645"/>
    <x v="3"/>
    <x v="1"/>
    <x v="3"/>
    <x v="8"/>
    <x v="26"/>
    <x v="95"/>
    <x v="23"/>
    <x v="0"/>
  </r>
  <r>
    <x v="362"/>
    <x v="2646"/>
    <x v="0"/>
    <x v="0"/>
    <x v="0"/>
    <x v="0"/>
    <x v="0"/>
    <x v="8"/>
    <x v="0"/>
    <x v="0"/>
  </r>
  <r>
    <x v="252"/>
    <x v="2647"/>
    <x v="3"/>
    <x v="1"/>
    <x v="3"/>
    <x v="58"/>
    <x v="71"/>
    <x v="86"/>
    <x v="61"/>
    <x v="0"/>
  </r>
  <r>
    <x v="23"/>
    <x v="2648"/>
    <x v="4"/>
    <x v="0"/>
    <x v="3"/>
    <x v="59"/>
    <x v="72"/>
    <x v="95"/>
    <x v="62"/>
    <x v="0"/>
  </r>
  <r>
    <x v="185"/>
    <x v="2649"/>
    <x v="0"/>
    <x v="0"/>
    <x v="0"/>
    <x v="19"/>
    <x v="19"/>
    <x v="47"/>
    <x v="19"/>
    <x v="0"/>
  </r>
  <r>
    <x v="39"/>
    <x v="2650"/>
    <x v="0"/>
    <x v="0"/>
    <x v="0"/>
    <x v="0"/>
    <x v="0"/>
    <x v="88"/>
    <x v="0"/>
    <x v="0"/>
  </r>
  <r>
    <x v="334"/>
    <x v="2651"/>
    <x v="4"/>
    <x v="0"/>
    <x v="3"/>
    <x v="58"/>
    <x v="71"/>
    <x v="46"/>
    <x v="61"/>
    <x v="0"/>
  </r>
  <r>
    <x v="196"/>
    <x v="2652"/>
    <x v="2"/>
    <x v="0"/>
    <x v="2"/>
    <x v="51"/>
    <x v="61"/>
    <x v="28"/>
    <x v="53"/>
    <x v="0"/>
  </r>
  <r>
    <x v="83"/>
    <x v="2653"/>
    <x v="4"/>
    <x v="0"/>
    <x v="3"/>
    <x v="17"/>
    <x v="17"/>
    <x v="35"/>
    <x v="17"/>
    <x v="0"/>
  </r>
  <r>
    <x v="94"/>
    <x v="2654"/>
    <x v="4"/>
    <x v="0"/>
    <x v="3"/>
    <x v="71"/>
    <x v="88"/>
    <x v="13"/>
    <x v="76"/>
    <x v="0"/>
  </r>
  <r>
    <x v="287"/>
    <x v="2655"/>
    <x v="4"/>
    <x v="0"/>
    <x v="3"/>
    <x v="32"/>
    <x v="40"/>
    <x v="56"/>
    <x v="35"/>
    <x v="0"/>
  </r>
  <r>
    <x v="18"/>
    <x v="2656"/>
    <x v="4"/>
    <x v="0"/>
    <x v="3"/>
    <x v="16"/>
    <x v="16"/>
    <x v="62"/>
    <x v="16"/>
    <x v="0"/>
  </r>
  <r>
    <x v="150"/>
    <x v="2657"/>
    <x v="0"/>
    <x v="0"/>
    <x v="0"/>
    <x v="0"/>
    <x v="0"/>
    <x v="66"/>
    <x v="0"/>
    <x v="0"/>
  </r>
  <r>
    <x v="249"/>
    <x v="2658"/>
    <x v="4"/>
    <x v="0"/>
    <x v="3"/>
    <x v="32"/>
    <x v="40"/>
    <x v="36"/>
    <x v="35"/>
    <x v="0"/>
  </r>
  <r>
    <x v="228"/>
    <x v="2659"/>
    <x v="4"/>
    <x v="0"/>
    <x v="3"/>
    <x v="71"/>
    <x v="88"/>
    <x v="68"/>
    <x v="76"/>
    <x v="0"/>
  </r>
  <r>
    <x v="31"/>
    <x v="2660"/>
    <x v="3"/>
    <x v="1"/>
    <x v="3"/>
    <x v="11"/>
    <x v="11"/>
    <x v="81"/>
    <x v="11"/>
    <x v="0"/>
  </r>
  <r>
    <x v="148"/>
    <x v="2661"/>
    <x v="1"/>
    <x v="0"/>
    <x v="1"/>
    <x v="76"/>
    <x v="95"/>
    <x v="22"/>
    <x v="82"/>
    <x v="0"/>
  </r>
  <r>
    <x v="48"/>
    <x v="2662"/>
    <x v="0"/>
    <x v="0"/>
    <x v="0"/>
    <x v="5"/>
    <x v="5"/>
    <x v="11"/>
    <x v="5"/>
    <x v="0"/>
  </r>
  <r>
    <x v="245"/>
    <x v="2663"/>
    <x v="3"/>
    <x v="1"/>
    <x v="3"/>
    <x v="6"/>
    <x v="21"/>
    <x v="47"/>
    <x v="20"/>
    <x v="0"/>
  </r>
  <r>
    <x v="121"/>
    <x v="2664"/>
    <x v="4"/>
    <x v="0"/>
    <x v="3"/>
    <x v="16"/>
    <x v="16"/>
    <x v="35"/>
    <x v="16"/>
    <x v="0"/>
  </r>
  <r>
    <x v="344"/>
    <x v="2665"/>
    <x v="2"/>
    <x v="0"/>
    <x v="2"/>
    <x v="14"/>
    <x v="14"/>
    <x v="29"/>
    <x v="14"/>
    <x v="0"/>
  </r>
  <r>
    <x v="260"/>
    <x v="2666"/>
    <x v="0"/>
    <x v="0"/>
    <x v="0"/>
    <x v="5"/>
    <x v="5"/>
    <x v="41"/>
    <x v="5"/>
    <x v="0"/>
  </r>
  <r>
    <x v="292"/>
    <x v="2667"/>
    <x v="1"/>
    <x v="0"/>
    <x v="1"/>
    <x v="33"/>
    <x v="41"/>
    <x v="57"/>
    <x v="36"/>
    <x v="0"/>
  </r>
  <r>
    <x v="74"/>
    <x v="2668"/>
    <x v="4"/>
    <x v="0"/>
    <x v="3"/>
    <x v="58"/>
    <x v="71"/>
    <x v="43"/>
    <x v="61"/>
    <x v="0"/>
  </r>
  <r>
    <x v="176"/>
    <x v="2669"/>
    <x v="1"/>
    <x v="0"/>
    <x v="1"/>
    <x v="25"/>
    <x v="30"/>
    <x v="85"/>
    <x v="27"/>
    <x v="0"/>
  </r>
  <r>
    <x v="359"/>
    <x v="2670"/>
    <x v="3"/>
    <x v="1"/>
    <x v="3"/>
    <x v="58"/>
    <x v="71"/>
    <x v="37"/>
    <x v="61"/>
    <x v="0"/>
  </r>
  <r>
    <x v="320"/>
    <x v="2671"/>
    <x v="3"/>
    <x v="1"/>
    <x v="3"/>
    <x v="0"/>
    <x v="55"/>
    <x v="4"/>
    <x v="8"/>
    <x v="0"/>
  </r>
  <r>
    <x v="115"/>
    <x v="2672"/>
    <x v="0"/>
    <x v="0"/>
    <x v="0"/>
    <x v="0"/>
    <x v="0"/>
    <x v="92"/>
    <x v="0"/>
    <x v="0"/>
  </r>
  <r>
    <x v="159"/>
    <x v="2673"/>
    <x v="3"/>
    <x v="1"/>
    <x v="3"/>
    <x v="45"/>
    <x v="56"/>
    <x v="35"/>
    <x v="48"/>
    <x v="0"/>
  </r>
  <r>
    <x v="193"/>
    <x v="2674"/>
    <x v="3"/>
    <x v="1"/>
    <x v="3"/>
    <x v="20"/>
    <x v="22"/>
    <x v="3"/>
    <x v="21"/>
    <x v="0"/>
  </r>
  <r>
    <x v="63"/>
    <x v="2675"/>
    <x v="3"/>
    <x v="1"/>
    <x v="3"/>
    <x v="23"/>
    <x v="83"/>
    <x v="37"/>
    <x v="71"/>
    <x v="0"/>
  </r>
  <r>
    <x v="350"/>
    <x v="2676"/>
    <x v="0"/>
    <x v="0"/>
    <x v="0"/>
    <x v="7"/>
    <x v="7"/>
    <x v="93"/>
    <x v="7"/>
    <x v="0"/>
  </r>
  <r>
    <x v="328"/>
    <x v="2677"/>
    <x v="1"/>
    <x v="0"/>
    <x v="1"/>
    <x v="53"/>
    <x v="64"/>
    <x v="86"/>
    <x v="55"/>
    <x v="0"/>
  </r>
  <r>
    <x v="356"/>
    <x v="2678"/>
    <x v="4"/>
    <x v="0"/>
    <x v="3"/>
    <x v="71"/>
    <x v="88"/>
    <x v="95"/>
    <x v="76"/>
    <x v="0"/>
  </r>
  <r>
    <x v="104"/>
    <x v="2679"/>
    <x v="3"/>
    <x v="1"/>
    <x v="3"/>
    <x v="49"/>
    <x v="59"/>
    <x v="4"/>
    <x v="51"/>
    <x v="0"/>
  </r>
  <r>
    <x v="251"/>
    <x v="2680"/>
    <x v="0"/>
    <x v="0"/>
    <x v="0"/>
    <x v="8"/>
    <x v="8"/>
    <x v="66"/>
    <x v="8"/>
    <x v="0"/>
  </r>
  <r>
    <x v="97"/>
    <x v="2681"/>
    <x v="4"/>
    <x v="0"/>
    <x v="3"/>
    <x v="44"/>
    <x v="54"/>
    <x v="4"/>
    <x v="47"/>
    <x v="0"/>
  </r>
  <r>
    <x v="231"/>
    <x v="2682"/>
    <x v="2"/>
    <x v="0"/>
    <x v="2"/>
    <x v="5"/>
    <x v="92"/>
    <x v="70"/>
    <x v="46"/>
    <x v="0"/>
  </r>
  <r>
    <x v="184"/>
    <x v="2683"/>
    <x v="4"/>
    <x v="0"/>
    <x v="3"/>
    <x v="56"/>
    <x v="67"/>
    <x v="16"/>
    <x v="58"/>
    <x v="0"/>
  </r>
  <r>
    <x v="91"/>
    <x v="2684"/>
    <x v="3"/>
    <x v="1"/>
    <x v="3"/>
    <x v="2"/>
    <x v="34"/>
    <x v="16"/>
    <x v="30"/>
    <x v="0"/>
  </r>
  <r>
    <x v="6"/>
    <x v="2685"/>
    <x v="3"/>
    <x v="1"/>
    <x v="3"/>
    <x v="18"/>
    <x v="18"/>
    <x v="49"/>
    <x v="18"/>
    <x v="0"/>
  </r>
  <r>
    <x v="72"/>
    <x v="2686"/>
    <x v="4"/>
    <x v="0"/>
    <x v="3"/>
    <x v="39"/>
    <x v="47"/>
    <x v="36"/>
    <x v="41"/>
    <x v="0"/>
  </r>
  <r>
    <x v="295"/>
    <x v="2687"/>
    <x v="1"/>
    <x v="0"/>
    <x v="1"/>
    <x v="0"/>
    <x v="81"/>
    <x v="44"/>
    <x v="24"/>
    <x v="0"/>
  </r>
  <r>
    <x v="287"/>
    <x v="2688"/>
    <x v="3"/>
    <x v="1"/>
    <x v="3"/>
    <x v="7"/>
    <x v="20"/>
    <x v="79"/>
    <x v="10"/>
    <x v="0"/>
  </r>
  <r>
    <x v="219"/>
    <x v="2689"/>
    <x v="4"/>
    <x v="0"/>
    <x v="3"/>
    <x v="17"/>
    <x v="17"/>
    <x v="18"/>
    <x v="17"/>
    <x v="0"/>
  </r>
  <r>
    <x v="357"/>
    <x v="2690"/>
    <x v="0"/>
    <x v="0"/>
    <x v="0"/>
    <x v="8"/>
    <x v="8"/>
    <x v="9"/>
    <x v="8"/>
    <x v="0"/>
  </r>
  <r>
    <x v="50"/>
    <x v="2691"/>
    <x v="3"/>
    <x v="1"/>
    <x v="3"/>
    <x v="43"/>
    <x v="52"/>
    <x v="2"/>
    <x v="45"/>
    <x v="0"/>
  </r>
  <r>
    <x v="238"/>
    <x v="2692"/>
    <x v="2"/>
    <x v="0"/>
    <x v="2"/>
    <x v="6"/>
    <x v="6"/>
    <x v="79"/>
    <x v="6"/>
    <x v="0"/>
  </r>
  <r>
    <x v="259"/>
    <x v="2693"/>
    <x v="3"/>
    <x v="1"/>
    <x v="3"/>
    <x v="46"/>
    <x v="68"/>
    <x v="10"/>
    <x v="43"/>
    <x v="0"/>
  </r>
  <r>
    <x v="85"/>
    <x v="2694"/>
    <x v="2"/>
    <x v="0"/>
    <x v="2"/>
    <x v="3"/>
    <x v="3"/>
    <x v="84"/>
    <x v="3"/>
    <x v="0"/>
  </r>
  <r>
    <x v="333"/>
    <x v="2695"/>
    <x v="0"/>
    <x v="0"/>
    <x v="0"/>
    <x v="7"/>
    <x v="7"/>
    <x v="92"/>
    <x v="7"/>
    <x v="0"/>
  </r>
  <r>
    <x v="334"/>
    <x v="2696"/>
    <x v="2"/>
    <x v="0"/>
    <x v="2"/>
    <x v="13"/>
    <x v="13"/>
    <x v="50"/>
    <x v="13"/>
    <x v="0"/>
  </r>
  <r>
    <x v="337"/>
    <x v="2697"/>
    <x v="4"/>
    <x v="0"/>
    <x v="3"/>
    <x v="71"/>
    <x v="88"/>
    <x v="36"/>
    <x v="76"/>
    <x v="0"/>
  </r>
  <r>
    <x v="355"/>
    <x v="2698"/>
    <x v="4"/>
    <x v="0"/>
    <x v="3"/>
    <x v="74"/>
    <x v="91"/>
    <x v="58"/>
    <x v="79"/>
    <x v="0"/>
  </r>
  <r>
    <x v="137"/>
    <x v="2699"/>
    <x v="1"/>
    <x v="0"/>
    <x v="1"/>
    <x v="47"/>
    <x v="57"/>
    <x v="60"/>
    <x v="49"/>
    <x v="0"/>
  </r>
  <r>
    <x v="335"/>
    <x v="2700"/>
    <x v="3"/>
    <x v="1"/>
    <x v="3"/>
    <x v="7"/>
    <x v="20"/>
    <x v="1"/>
    <x v="10"/>
    <x v="0"/>
  </r>
  <r>
    <x v="221"/>
    <x v="2701"/>
    <x v="1"/>
    <x v="0"/>
    <x v="1"/>
    <x v="16"/>
    <x v="76"/>
    <x v="7"/>
    <x v="65"/>
    <x v="0"/>
  </r>
  <r>
    <x v="281"/>
    <x v="2702"/>
    <x v="0"/>
    <x v="0"/>
    <x v="0"/>
    <x v="0"/>
    <x v="0"/>
    <x v="39"/>
    <x v="0"/>
    <x v="0"/>
  </r>
  <r>
    <x v="36"/>
    <x v="2703"/>
    <x v="1"/>
    <x v="0"/>
    <x v="1"/>
    <x v="34"/>
    <x v="42"/>
    <x v="20"/>
    <x v="37"/>
    <x v="0"/>
  </r>
  <r>
    <x v="329"/>
    <x v="2704"/>
    <x v="2"/>
    <x v="0"/>
    <x v="2"/>
    <x v="46"/>
    <x v="47"/>
    <x v="75"/>
    <x v="1"/>
    <x v="0"/>
  </r>
  <r>
    <x v="261"/>
    <x v="2705"/>
    <x v="4"/>
    <x v="0"/>
    <x v="3"/>
    <x v="65"/>
    <x v="80"/>
    <x v="46"/>
    <x v="69"/>
    <x v="0"/>
  </r>
  <r>
    <x v="313"/>
    <x v="2706"/>
    <x v="2"/>
    <x v="0"/>
    <x v="2"/>
    <x v="9"/>
    <x v="9"/>
    <x v="27"/>
    <x v="9"/>
    <x v="0"/>
  </r>
  <r>
    <x v="59"/>
    <x v="2707"/>
    <x v="4"/>
    <x v="0"/>
    <x v="3"/>
    <x v="65"/>
    <x v="80"/>
    <x v="23"/>
    <x v="69"/>
    <x v="0"/>
  </r>
  <r>
    <x v="95"/>
    <x v="2708"/>
    <x v="0"/>
    <x v="0"/>
    <x v="0"/>
    <x v="0"/>
    <x v="0"/>
    <x v="31"/>
    <x v="0"/>
    <x v="0"/>
  </r>
  <r>
    <x v="316"/>
    <x v="2709"/>
    <x v="4"/>
    <x v="0"/>
    <x v="3"/>
    <x v="55"/>
    <x v="66"/>
    <x v="37"/>
    <x v="57"/>
    <x v="0"/>
  </r>
  <r>
    <x v="344"/>
    <x v="2710"/>
    <x v="0"/>
    <x v="0"/>
    <x v="0"/>
    <x v="5"/>
    <x v="5"/>
    <x v="74"/>
    <x v="5"/>
    <x v="0"/>
  </r>
  <r>
    <x v="258"/>
    <x v="2711"/>
    <x v="0"/>
    <x v="0"/>
    <x v="0"/>
    <x v="5"/>
    <x v="5"/>
    <x v="25"/>
    <x v="5"/>
    <x v="0"/>
  </r>
  <r>
    <x v="174"/>
    <x v="2712"/>
    <x v="4"/>
    <x v="0"/>
    <x v="3"/>
    <x v="21"/>
    <x v="23"/>
    <x v="23"/>
    <x v="22"/>
    <x v="0"/>
  </r>
  <r>
    <x v="100"/>
    <x v="2713"/>
    <x v="3"/>
    <x v="1"/>
    <x v="3"/>
    <x v="8"/>
    <x v="26"/>
    <x v="31"/>
    <x v="23"/>
    <x v="0"/>
  </r>
  <r>
    <x v="106"/>
    <x v="2714"/>
    <x v="4"/>
    <x v="0"/>
    <x v="3"/>
    <x v="64"/>
    <x v="79"/>
    <x v="68"/>
    <x v="68"/>
    <x v="0"/>
  </r>
  <r>
    <x v="153"/>
    <x v="2715"/>
    <x v="3"/>
    <x v="1"/>
    <x v="3"/>
    <x v="15"/>
    <x v="15"/>
    <x v="70"/>
    <x v="15"/>
    <x v="0"/>
  </r>
  <r>
    <x v="179"/>
    <x v="2716"/>
    <x v="0"/>
    <x v="0"/>
    <x v="0"/>
    <x v="0"/>
    <x v="0"/>
    <x v="88"/>
    <x v="0"/>
    <x v="0"/>
  </r>
  <r>
    <x v="246"/>
    <x v="2717"/>
    <x v="0"/>
    <x v="0"/>
    <x v="0"/>
    <x v="0"/>
    <x v="0"/>
    <x v="77"/>
    <x v="0"/>
    <x v="0"/>
  </r>
  <r>
    <x v="307"/>
    <x v="2718"/>
    <x v="4"/>
    <x v="0"/>
    <x v="3"/>
    <x v="74"/>
    <x v="91"/>
    <x v="43"/>
    <x v="79"/>
    <x v="0"/>
  </r>
  <r>
    <x v="147"/>
    <x v="2719"/>
    <x v="4"/>
    <x v="0"/>
    <x v="3"/>
    <x v="11"/>
    <x v="11"/>
    <x v="53"/>
    <x v="11"/>
    <x v="0"/>
  </r>
  <r>
    <x v="308"/>
    <x v="2720"/>
    <x v="4"/>
    <x v="0"/>
    <x v="3"/>
    <x v="71"/>
    <x v="88"/>
    <x v="53"/>
    <x v="76"/>
    <x v="0"/>
  </r>
  <r>
    <x v="25"/>
    <x v="2721"/>
    <x v="4"/>
    <x v="0"/>
    <x v="3"/>
    <x v="55"/>
    <x v="66"/>
    <x v="17"/>
    <x v="57"/>
    <x v="0"/>
  </r>
  <r>
    <x v="309"/>
    <x v="2722"/>
    <x v="2"/>
    <x v="0"/>
    <x v="2"/>
    <x v="46"/>
    <x v="47"/>
    <x v="20"/>
    <x v="1"/>
    <x v="0"/>
  </r>
  <r>
    <x v="268"/>
    <x v="2723"/>
    <x v="1"/>
    <x v="0"/>
    <x v="1"/>
    <x v="54"/>
    <x v="65"/>
    <x v="33"/>
    <x v="56"/>
    <x v="0"/>
  </r>
  <r>
    <x v="215"/>
    <x v="2724"/>
    <x v="2"/>
    <x v="0"/>
    <x v="2"/>
    <x v="5"/>
    <x v="92"/>
    <x v="17"/>
    <x v="46"/>
    <x v="0"/>
  </r>
  <r>
    <x v="184"/>
    <x v="2725"/>
    <x v="1"/>
    <x v="0"/>
    <x v="1"/>
    <x v="19"/>
    <x v="73"/>
    <x v="51"/>
    <x v="46"/>
    <x v="0"/>
  </r>
  <r>
    <x v="156"/>
    <x v="2726"/>
    <x v="4"/>
    <x v="0"/>
    <x v="3"/>
    <x v="7"/>
    <x v="20"/>
    <x v="35"/>
    <x v="10"/>
    <x v="0"/>
  </r>
  <r>
    <x v="148"/>
    <x v="2727"/>
    <x v="2"/>
    <x v="0"/>
    <x v="2"/>
    <x v="10"/>
    <x v="10"/>
    <x v="31"/>
    <x v="10"/>
    <x v="0"/>
  </r>
  <r>
    <x v="14"/>
    <x v="2728"/>
    <x v="0"/>
    <x v="0"/>
    <x v="0"/>
    <x v="19"/>
    <x v="19"/>
    <x v="88"/>
    <x v="19"/>
    <x v="0"/>
  </r>
  <r>
    <x v="88"/>
    <x v="2729"/>
    <x v="4"/>
    <x v="0"/>
    <x v="3"/>
    <x v="32"/>
    <x v="40"/>
    <x v="24"/>
    <x v="35"/>
    <x v="0"/>
  </r>
  <r>
    <x v="140"/>
    <x v="2730"/>
    <x v="0"/>
    <x v="0"/>
    <x v="0"/>
    <x v="5"/>
    <x v="5"/>
    <x v="38"/>
    <x v="5"/>
    <x v="0"/>
  </r>
  <r>
    <x v="51"/>
    <x v="2731"/>
    <x v="0"/>
    <x v="0"/>
    <x v="0"/>
    <x v="7"/>
    <x v="7"/>
    <x v="0"/>
    <x v="7"/>
    <x v="0"/>
  </r>
  <r>
    <x v="11"/>
    <x v="2732"/>
    <x v="3"/>
    <x v="1"/>
    <x v="3"/>
    <x v="5"/>
    <x v="31"/>
    <x v="22"/>
    <x v="28"/>
    <x v="0"/>
  </r>
  <r>
    <x v="135"/>
    <x v="2733"/>
    <x v="0"/>
    <x v="0"/>
    <x v="0"/>
    <x v="0"/>
    <x v="0"/>
    <x v="76"/>
    <x v="0"/>
    <x v="0"/>
  </r>
  <r>
    <x v="64"/>
    <x v="2734"/>
    <x v="4"/>
    <x v="0"/>
    <x v="3"/>
    <x v="7"/>
    <x v="20"/>
    <x v="57"/>
    <x v="10"/>
    <x v="0"/>
  </r>
  <r>
    <x v="220"/>
    <x v="2735"/>
    <x v="1"/>
    <x v="0"/>
    <x v="1"/>
    <x v="25"/>
    <x v="30"/>
    <x v="32"/>
    <x v="27"/>
    <x v="0"/>
  </r>
  <r>
    <x v="288"/>
    <x v="2736"/>
    <x v="3"/>
    <x v="1"/>
    <x v="3"/>
    <x v="18"/>
    <x v="18"/>
    <x v="87"/>
    <x v="18"/>
    <x v="0"/>
  </r>
  <r>
    <x v="86"/>
    <x v="2737"/>
    <x v="1"/>
    <x v="0"/>
    <x v="1"/>
    <x v="48"/>
    <x v="58"/>
    <x v="25"/>
    <x v="50"/>
    <x v="0"/>
  </r>
  <r>
    <x v="208"/>
    <x v="2738"/>
    <x v="4"/>
    <x v="0"/>
    <x v="3"/>
    <x v="71"/>
    <x v="88"/>
    <x v="4"/>
    <x v="76"/>
    <x v="0"/>
  </r>
  <r>
    <x v="68"/>
    <x v="2739"/>
    <x v="3"/>
    <x v="1"/>
    <x v="3"/>
    <x v="1"/>
    <x v="53"/>
    <x v="95"/>
    <x v="46"/>
    <x v="0"/>
  </r>
  <r>
    <x v="177"/>
    <x v="2740"/>
    <x v="3"/>
    <x v="1"/>
    <x v="3"/>
    <x v="9"/>
    <x v="70"/>
    <x v="34"/>
    <x v="60"/>
    <x v="0"/>
  </r>
  <r>
    <x v="181"/>
    <x v="2741"/>
    <x v="1"/>
    <x v="0"/>
    <x v="1"/>
    <x v="40"/>
    <x v="48"/>
    <x v="17"/>
    <x v="42"/>
    <x v="0"/>
  </r>
  <r>
    <x v="266"/>
    <x v="2742"/>
    <x v="2"/>
    <x v="0"/>
    <x v="2"/>
    <x v="3"/>
    <x v="3"/>
    <x v="72"/>
    <x v="3"/>
    <x v="0"/>
  </r>
  <r>
    <x v="50"/>
    <x v="2743"/>
    <x v="4"/>
    <x v="0"/>
    <x v="3"/>
    <x v="39"/>
    <x v="47"/>
    <x v="18"/>
    <x v="41"/>
    <x v="0"/>
  </r>
  <r>
    <x v="54"/>
    <x v="2744"/>
    <x v="1"/>
    <x v="0"/>
    <x v="1"/>
    <x v="16"/>
    <x v="76"/>
    <x v="2"/>
    <x v="65"/>
    <x v="0"/>
  </r>
  <r>
    <x v="119"/>
    <x v="2745"/>
    <x v="1"/>
    <x v="0"/>
    <x v="1"/>
    <x v="18"/>
    <x v="63"/>
    <x v="75"/>
    <x v="6"/>
    <x v="0"/>
  </r>
  <r>
    <x v="106"/>
    <x v="2746"/>
    <x v="4"/>
    <x v="0"/>
    <x v="3"/>
    <x v="16"/>
    <x v="16"/>
    <x v="21"/>
    <x v="16"/>
    <x v="0"/>
  </r>
  <r>
    <x v="218"/>
    <x v="2747"/>
    <x v="0"/>
    <x v="0"/>
    <x v="0"/>
    <x v="7"/>
    <x v="7"/>
    <x v="39"/>
    <x v="7"/>
    <x v="0"/>
  </r>
  <r>
    <x v="2"/>
    <x v="2748"/>
    <x v="4"/>
    <x v="0"/>
    <x v="3"/>
    <x v="19"/>
    <x v="24"/>
    <x v="36"/>
    <x v="14"/>
    <x v="0"/>
  </r>
  <r>
    <x v="137"/>
    <x v="2749"/>
    <x v="4"/>
    <x v="0"/>
    <x v="3"/>
    <x v="19"/>
    <x v="24"/>
    <x v="37"/>
    <x v="14"/>
    <x v="0"/>
  </r>
  <r>
    <x v="18"/>
    <x v="2750"/>
    <x v="3"/>
    <x v="1"/>
    <x v="3"/>
    <x v="8"/>
    <x v="26"/>
    <x v="2"/>
    <x v="23"/>
    <x v="0"/>
  </r>
  <r>
    <x v="364"/>
    <x v="2751"/>
    <x v="0"/>
    <x v="0"/>
    <x v="0"/>
    <x v="7"/>
    <x v="7"/>
    <x v="76"/>
    <x v="7"/>
    <x v="0"/>
  </r>
  <r>
    <x v="20"/>
    <x v="2752"/>
    <x v="4"/>
    <x v="0"/>
    <x v="3"/>
    <x v="44"/>
    <x v="54"/>
    <x v="57"/>
    <x v="47"/>
    <x v="0"/>
  </r>
  <r>
    <x v="114"/>
    <x v="2753"/>
    <x v="4"/>
    <x v="0"/>
    <x v="3"/>
    <x v="19"/>
    <x v="24"/>
    <x v="72"/>
    <x v="14"/>
    <x v="0"/>
  </r>
  <r>
    <x v="301"/>
    <x v="2754"/>
    <x v="2"/>
    <x v="0"/>
    <x v="2"/>
    <x v="13"/>
    <x v="13"/>
    <x v="46"/>
    <x v="13"/>
    <x v="0"/>
  </r>
  <r>
    <x v="356"/>
    <x v="2755"/>
    <x v="2"/>
    <x v="0"/>
    <x v="2"/>
    <x v="46"/>
    <x v="47"/>
    <x v="57"/>
    <x v="1"/>
    <x v="0"/>
  </r>
  <r>
    <x v="179"/>
    <x v="2756"/>
    <x v="0"/>
    <x v="0"/>
    <x v="0"/>
    <x v="5"/>
    <x v="5"/>
    <x v="38"/>
    <x v="5"/>
    <x v="0"/>
  </r>
  <r>
    <x v="199"/>
    <x v="2757"/>
    <x v="4"/>
    <x v="0"/>
    <x v="3"/>
    <x v="7"/>
    <x v="20"/>
    <x v="30"/>
    <x v="10"/>
    <x v="0"/>
  </r>
  <r>
    <x v="16"/>
    <x v="2758"/>
    <x v="1"/>
    <x v="0"/>
    <x v="1"/>
    <x v="70"/>
    <x v="87"/>
    <x v="61"/>
    <x v="75"/>
    <x v="0"/>
  </r>
  <r>
    <x v="48"/>
    <x v="2759"/>
    <x v="0"/>
    <x v="0"/>
    <x v="0"/>
    <x v="5"/>
    <x v="5"/>
    <x v="74"/>
    <x v="5"/>
    <x v="0"/>
  </r>
  <r>
    <x v="304"/>
    <x v="2760"/>
    <x v="1"/>
    <x v="0"/>
    <x v="1"/>
    <x v="40"/>
    <x v="48"/>
    <x v="57"/>
    <x v="42"/>
    <x v="0"/>
  </r>
  <r>
    <x v="33"/>
    <x v="2761"/>
    <x v="3"/>
    <x v="1"/>
    <x v="3"/>
    <x v="23"/>
    <x v="83"/>
    <x v="39"/>
    <x v="71"/>
    <x v="0"/>
  </r>
  <r>
    <x v="4"/>
    <x v="2762"/>
    <x v="1"/>
    <x v="0"/>
    <x v="1"/>
    <x v="0"/>
    <x v="81"/>
    <x v="7"/>
    <x v="24"/>
    <x v="0"/>
  </r>
  <r>
    <x v="127"/>
    <x v="2763"/>
    <x v="0"/>
    <x v="0"/>
    <x v="0"/>
    <x v="8"/>
    <x v="8"/>
    <x v="38"/>
    <x v="8"/>
    <x v="0"/>
  </r>
  <r>
    <x v="140"/>
    <x v="2764"/>
    <x v="2"/>
    <x v="0"/>
    <x v="2"/>
    <x v="37"/>
    <x v="45"/>
    <x v="70"/>
    <x v="39"/>
    <x v="0"/>
  </r>
  <r>
    <x v="71"/>
    <x v="2765"/>
    <x v="2"/>
    <x v="0"/>
    <x v="2"/>
    <x v="37"/>
    <x v="45"/>
    <x v="20"/>
    <x v="39"/>
    <x v="0"/>
  </r>
  <r>
    <x v="42"/>
    <x v="2766"/>
    <x v="0"/>
    <x v="0"/>
    <x v="0"/>
    <x v="7"/>
    <x v="7"/>
    <x v="9"/>
    <x v="7"/>
    <x v="0"/>
  </r>
  <r>
    <x v="41"/>
    <x v="2767"/>
    <x v="1"/>
    <x v="0"/>
    <x v="1"/>
    <x v="19"/>
    <x v="73"/>
    <x v="81"/>
    <x v="46"/>
    <x v="0"/>
  </r>
  <r>
    <x v="5"/>
    <x v="2768"/>
    <x v="2"/>
    <x v="0"/>
    <x v="2"/>
    <x v="36"/>
    <x v="44"/>
    <x v="61"/>
    <x v="30"/>
    <x v="0"/>
  </r>
  <r>
    <x v="218"/>
    <x v="2769"/>
    <x v="0"/>
    <x v="0"/>
    <x v="0"/>
    <x v="19"/>
    <x v="19"/>
    <x v="73"/>
    <x v="19"/>
    <x v="0"/>
  </r>
  <r>
    <x v="150"/>
    <x v="2770"/>
    <x v="2"/>
    <x v="0"/>
    <x v="2"/>
    <x v="6"/>
    <x v="6"/>
    <x v="61"/>
    <x v="6"/>
    <x v="0"/>
  </r>
  <r>
    <x v="95"/>
    <x v="2771"/>
    <x v="2"/>
    <x v="0"/>
    <x v="2"/>
    <x v="23"/>
    <x v="28"/>
    <x v="5"/>
    <x v="25"/>
    <x v="0"/>
  </r>
  <r>
    <x v="6"/>
    <x v="2772"/>
    <x v="4"/>
    <x v="0"/>
    <x v="3"/>
    <x v="62"/>
    <x v="77"/>
    <x v="4"/>
    <x v="66"/>
    <x v="0"/>
  </r>
  <r>
    <x v="280"/>
    <x v="2773"/>
    <x v="1"/>
    <x v="0"/>
    <x v="1"/>
    <x v="28"/>
    <x v="36"/>
    <x v="62"/>
    <x v="31"/>
    <x v="0"/>
  </r>
  <r>
    <x v="303"/>
    <x v="2774"/>
    <x v="0"/>
    <x v="0"/>
    <x v="0"/>
    <x v="19"/>
    <x v="19"/>
    <x v="64"/>
    <x v="19"/>
    <x v="0"/>
  </r>
  <r>
    <x v="227"/>
    <x v="2775"/>
    <x v="0"/>
    <x v="0"/>
    <x v="0"/>
    <x v="8"/>
    <x v="8"/>
    <x v="76"/>
    <x v="8"/>
    <x v="0"/>
  </r>
  <r>
    <x v="124"/>
    <x v="2776"/>
    <x v="0"/>
    <x v="0"/>
    <x v="0"/>
    <x v="7"/>
    <x v="7"/>
    <x v="6"/>
    <x v="7"/>
    <x v="0"/>
  </r>
  <r>
    <x v="320"/>
    <x v="2777"/>
    <x v="2"/>
    <x v="0"/>
    <x v="2"/>
    <x v="77"/>
    <x v="96"/>
    <x v="79"/>
    <x v="83"/>
    <x v="0"/>
  </r>
  <r>
    <x v="71"/>
    <x v="2778"/>
    <x v="3"/>
    <x v="1"/>
    <x v="3"/>
    <x v="58"/>
    <x v="71"/>
    <x v="54"/>
    <x v="61"/>
    <x v="0"/>
  </r>
  <r>
    <x v="360"/>
    <x v="2779"/>
    <x v="4"/>
    <x v="0"/>
    <x v="3"/>
    <x v="32"/>
    <x v="40"/>
    <x v="95"/>
    <x v="35"/>
    <x v="0"/>
  </r>
  <r>
    <x v="232"/>
    <x v="2780"/>
    <x v="4"/>
    <x v="0"/>
    <x v="3"/>
    <x v="55"/>
    <x v="66"/>
    <x v="40"/>
    <x v="57"/>
    <x v="0"/>
  </r>
  <r>
    <x v="86"/>
    <x v="2781"/>
    <x v="0"/>
    <x v="0"/>
    <x v="0"/>
    <x v="19"/>
    <x v="19"/>
    <x v="6"/>
    <x v="19"/>
    <x v="0"/>
  </r>
  <r>
    <x v="74"/>
    <x v="2782"/>
    <x v="4"/>
    <x v="0"/>
    <x v="3"/>
    <x v="5"/>
    <x v="31"/>
    <x v="2"/>
    <x v="28"/>
    <x v="0"/>
  </r>
  <r>
    <x v="275"/>
    <x v="2783"/>
    <x v="2"/>
    <x v="0"/>
    <x v="2"/>
    <x v="36"/>
    <x v="44"/>
    <x v="75"/>
    <x v="30"/>
    <x v="0"/>
  </r>
  <r>
    <x v="97"/>
    <x v="2784"/>
    <x v="1"/>
    <x v="0"/>
    <x v="1"/>
    <x v="72"/>
    <x v="89"/>
    <x v="4"/>
    <x v="19"/>
    <x v="0"/>
  </r>
  <r>
    <x v="243"/>
    <x v="2785"/>
    <x v="1"/>
    <x v="0"/>
    <x v="1"/>
    <x v="38"/>
    <x v="46"/>
    <x v="39"/>
    <x v="40"/>
    <x v="0"/>
  </r>
  <r>
    <x v="334"/>
    <x v="2786"/>
    <x v="0"/>
    <x v="0"/>
    <x v="0"/>
    <x v="19"/>
    <x v="19"/>
    <x v="6"/>
    <x v="19"/>
    <x v="0"/>
  </r>
  <r>
    <x v="290"/>
    <x v="2787"/>
    <x v="0"/>
    <x v="0"/>
    <x v="0"/>
    <x v="5"/>
    <x v="5"/>
    <x v="94"/>
    <x v="5"/>
    <x v="0"/>
  </r>
  <r>
    <x v="98"/>
    <x v="2788"/>
    <x v="0"/>
    <x v="0"/>
    <x v="0"/>
    <x v="7"/>
    <x v="7"/>
    <x v="67"/>
    <x v="7"/>
    <x v="0"/>
  </r>
  <r>
    <x v="20"/>
    <x v="2789"/>
    <x v="0"/>
    <x v="0"/>
    <x v="0"/>
    <x v="19"/>
    <x v="19"/>
    <x v="50"/>
    <x v="19"/>
    <x v="0"/>
  </r>
  <r>
    <x v="174"/>
    <x v="2790"/>
    <x v="4"/>
    <x v="0"/>
    <x v="3"/>
    <x v="64"/>
    <x v="79"/>
    <x v="65"/>
    <x v="68"/>
    <x v="0"/>
  </r>
  <r>
    <x v="96"/>
    <x v="2791"/>
    <x v="2"/>
    <x v="0"/>
    <x v="2"/>
    <x v="7"/>
    <x v="49"/>
    <x v="72"/>
    <x v="8"/>
    <x v="0"/>
  </r>
  <r>
    <x v="94"/>
    <x v="2792"/>
    <x v="2"/>
    <x v="0"/>
    <x v="2"/>
    <x v="42"/>
    <x v="51"/>
    <x v="17"/>
    <x v="44"/>
    <x v="0"/>
  </r>
  <r>
    <x v="16"/>
    <x v="2793"/>
    <x v="3"/>
    <x v="1"/>
    <x v="3"/>
    <x v="18"/>
    <x v="18"/>
    <x v="36"/>
    <x v="18"/>
    <x v="0"/>
  </r>
  <r>
    <x v="222"/>
    <x v="2794"/>
    <x v="2"/>
    <x v="0"/>
    <x v="2"/>
    <x v="42"/>
    <x v="51"/>
    <x v="59"/>
    <x v="44"/>
    <x v="0"/>
  </r>
  <r>
    <x v="196"/>
    <x v="2795"/>
    <x v="0"/>
    <x v="0"/>
    <x v="0"/>
    <x v="7"/>
    <x v="7"/>
    <x v="87"/>
    <x v="7"/>
    <x v="0"/>
  </r>
  <r>
    <x v="320"/>
    <x v="2796"/>
    <x v="3"/>
    <x v="1"/>
    <x v="3"/>
    <x v="49"/>
    <x v="59"/>
    <x v="1"/>
    <x v="51"/>
    <x v="0"/>
  </r>
  <r>
    <x v="364"/>
    <x v="2797"/>
    <x v="0"/>
    <x v="0"/>
    <x v="0"/>
    <x v="8"/>
    <x v="8"/>
    <x v="73"/>
    <x v="8"/>
    <x v="0"/>
  </r>
  <r>
    <x v="300"/>
    <x v="2798"/>
    <x v="0"/>
    <x v="0"/>
    <x v="0"/>
    <x v="19"/>
    <x v="19"/>
    <x v="38"/>
    <x v="19"/>
    <x v="0"/>
  </r>
  <r>
    <x v="353"/>
    <x v="2799"/>
    <x v="2"/>
    <x v="0"/>
    <x v="2"/>
    <x v="36"/>
    <x v="44"/>
    <x v="2"/>
    <x v="30"/>
    <x v="0"/>
  </r>
  <r>
    <x v="12"/>
    <x v="2800"/>
    <x v="0"/>
    <x v="0"/>
    <x v="0"/>
    <x v="0"/>
    <x v="0"/>
    <x v="76"/>
    <x v="0"/>
    <x v="0"/>
  </r>
  <r>
    <x v="72"/>
    <x v="2801"/>
    <x v="2"/>
    <x v="0"/>
    <x v="2"/>
    <x v="12"/>
    <x v="17"/>
    <x v="81"/>
    <x v="77"/>
    <x v="0"/>
  </r>
  <r>
    <x v="151"/>
    <x v="2802"/>
    <x v="4"/>
    <x v="0"/>
    <x v="3"/>
    <x v="58"/>
    <x v="71"/>
    <x v="85"/>
    <x v="61"/>
    <x v="0"/>
  </r>
  <r>
    <x v="161"/>
    <x v="2803"/>
    <x v="1"/>
    <x v="0"/>
    <x v="1"/>
    <x v="27"/>
    <x v="33"/>
    <x v="46"/>
    <x v="5"/>
    <x v="0"/>
  </r>
  <r>
    <x v="96"/>
    <x v="2804"/>
    <x v="1"/>
    <x v="0"/>
    <x v="1"/>
    <x v="27"/>
    <x v="33"/>
    <x v="54"/>
    <x v="5"/>
    <x v="0"/>
  </r>
  <r>
    <x v="92"/>
    <x v="2805"/>
    <x v="3"/>
    <x v="1"/>
    <x v="3"/>
    <x v="43"/>
    <x v="52"/>
    <x v="1"/>
    <x v="45"/>
    <x v="0"/>
  </r>
  <r>
    <x v="187"/>
    <x v="2806"/>
    <x v="1"/>
    <x v="0"/>
    <x v="1"/>
    <x v="19"/>
    <x v="73"/>
    <x v="3"/>
    <x v="46"/>
    <x v="0"/>
  </r>
  <r>
    <x v="73"/>
    <x v="2807"/>
    <x v="0"/>
    <x v="0"/>
    <x v="0"/>
    <x v="19"/>
    <x v="19"/>
    <x v="82"/>
    <x v="19"/>
    <x v="0"/>
  </r>
  <r>
    <x v="333"/>
    <x v="2808"/>
    <x v="0"/>
    <x v="0"/>
    <x v="0"/>
    <x v="8"/>
    <x v="8"/>
    <x v="25"/>
    <x v="8"/>
    <x v="0"/>
  </r>
  <r>
    <x v="146"/>
    <x v="2809"/>
    <x v="2"/>
    <x v="0"/>
    <x v="2"/>
    <x v="8"/>
    <x v="35"/>
    <x v="93"/>
    <x v="18"/>
    <x v="0"/>
  </r>
  <r>
    <x v="143"/>
    <x v="2810"/>
    <x v="3"/>
    <x v="1"/>
    <x v="3"/>
    <x v="15"/>
    <x v="15"/>
    <x v="52"/>
    <x v="15"/>
    <x v="0"/>
  </r>
  <r>
    <x v="351"/>
    <x v="2811"/>
    <x v="4"/>
    <x v="0"/>
    <x v="3"/>
    <x v="21"/>
    <x v="23"/>
    <x v="29"/>
    <x v="22"/>
    <x v="0"/>
  </r>
  <r>
    <x v="305"/>
    <x v="2812"/>
    <x v="3"/>
    <x v="1"/>
    <x v="3"/>
    <x v="11"/>
    <x v="11"/>
    <x v="45"/>
    <x v="11"/>
    <x v="0"/>
  </r>
  <r>
    <x v="287"/>
    <x v="2813"/>
    <x v="3"/>
    <x v="1"/>
    <x v="3"/>
    <x v="45"/>
    <x v="56"/>
    <x v="84"/>
    <x v="48"/>
    <x v="0"/>
  </r>
  <r>
    <x v="239"/>
    <x v="2814"/>
    <x v="3"/>
    <x v="1"/>
    <x v="3"/>
    <x v="58"/>
    <x v="71"/>
    <x v="24"/>
    <x v="61"/>
    <x v="0"/>
  </r>
  <r>
    <x v="102"/>
    <x v="2815"/>
    <x v="2"/>
    <x v="0"/>
    <x v="2"/>
    <x v="14"/>
    <x v="14"/>
    <x v="89"/>
    <x v="14"/>
    <x v="0"/>
  </r>
  <r>
    <x v="304"/>
    <x v="2816"/>
    <x v="3"/>
    <x v="1"/>
    <x v="3"/>
    <x v="58"/>
    <x v="71"/>
    <x v="43"/>
    <x v="61"/>
    <x v="0"/>
  </r>
  <r>
    <x v="97"/>
    <x v="2817"/>
    <x v="4"/>
    <x v="0"/>
    <x v="3"/>
    <x v="32"/>
    <x v="40"/>
    <x v="21"/>
    <x v="35"/>
    <x v="0"/>
  </r>
  <r>
    <x v="174"/>
    <x v="2818"/>
    <x v="4"/>
    <x v="0"/>
    <x v="3"/>
    <x v="64"/>
    <x v="79"/>
    <x v="62"/>
    <x v="68"/>
    <x v="0"/>
  </r>
  <r>
    <x v="188"/>
    <x v="2819"/>
    <x v="2"/>
    <x v="0"/>
    <x v="2"/>
    <x v="3"/>
    <x v="3"/>
    <x v="19"/>
    <x v="3"/>
    <x v="0"/>
  </r>
  <r>
    <x v="323"/>
    <x v="2820"/>
    <x v="4"/>
    <x v="0"/>
    <x v="3"/>
    <x v="19"/>
    <x v="24"/>
    <x v="56"/>
    <x v="14"/>
    <x v="0"/>
  </r>
  <r>
    <x v="144"/>
    <x v="2821"/>
    <x v="2"/>
    <x v="0"/>
    <x v="2"/>
    <x v="19"/>
    <x v="27"/>
    <x v="50"/>
    <x v="24"/>
    <x v="0"/>
  </r>
  <r>
    <x v="28"/>
    <x v="2822"/>
    <x v="1"/>
    <x v="0"/>
    <x v="1"/>
    <x v="24"/>
    <x v="29"/>
    <x v="36"/>
    <x v="26"/>
    <x v="0"/>
  </r>
  <r>
    <x v="56"/>
    <x v="2823"/>
    <x v="2"/>
    <x v="0"/>
    <x v="2"/>
    <x v="36"/>
    <x v="44"/>
    <x v="28"/>
    <x v="30"/>
    <x v="0"/>
  </r>
  <r>
    <x v="239"/>
    <x v="2824"/>
    <x v="3"/>
    <x v="1"/>
    <x v="3"/>
    <x v="58"/>
    <x v="71"/>
    <x v="52"/>
    <x v="61"/>
    <x v="0"/>
  </r>
  <r>
    <x v="227"/>
    <x v="2825"/>
    <x v="3"/>
    <x v="1"/>
    <x v="3"/>
    <x v="9"/>
    <x v="70"/>
    <x v="13"/>
    <x v="60"/>
    <x v="0"/>
  </r>
  <r>
    <x v="23"/>
    <x v="2826"/>
    <x v="4"/>
    <x v="0"/>
    <x v="3"/>
    <x v="47"/>
    <x v="94"/>
    <x v="65"/>
    <x v="81"/>
    <x v="0"/>
  </r>
  <r>
    <x v="345"/>
    <x v="2827"/>
    <x v="4"/>
    <x v="0"/>
    <x v="3"/>
    <x v="5"/>
    <x v="31"/>
    <x v="42"/>
    <x v="28"/>
    <x v="0"/>
  </r>
  <r>
    <x v="277"/>
    <x v="2828"/>
    <x v="3"/>
    <x v="1"/>
    <x v="3"/>
    <x v="1"/>
    <x v="53"/>
    <x v="10"/>
    <x v="46"/>
    <x v="0"/>
  </r>
  <r>
    <x v="308"/>
    <x v="2829"/>
    <x v="4"/>
    <x v="0"/>
    <x v="3"/>
    <x v="69"/>
    <x v="86"/>
    <x v="83"/>
    <x v="74"/>
    <x v="0"/>
  </r>
  <r>
    <x v="10"/>
    <x v="2830"/>
    <x v="1"/>
    <x v="0"/>
    <x v="1"/>
    <x v="0"/>
    <x v="81"/>
    <x v="69"/>
    <x v="24"/>
    <x v="0"/>
  </r>
  <r>
    <x v="263"/>
    <x v="2831"/>
    <x v="4"/>
    <x v="0"/>
    <x v="3"/>
    <x v="56"/>
    <x v="67"/>
    <x v="7"/>
    <x v="58"/>
    <x v="0"/>
  </r>
  <r>
    <x v="275"/>
    <x v="2832"/>
    <x v="4"/>
    <x v="0"/>
    <x v="3"/>
    <x v="31"/>
    <x v="39"/>
    <x v="16"/>
    <x v="34"/>
    <x v="0"/>
  </r>
  <r>
    <x v="279"/>
    <x v="2833"/>
    <x v="3"/>
    <x v="1"/>
    <x v="3"/>
    <x v="2"/>
    <x v="34"/>
    <x v="13"/>
    <x v="30"/>
    <x v="0"/>
  </r>
  <r>
    <x v="119"/>
    <x v="2834"/>
    <x v="1"/>
    <x v="0"/>
    <x v="1"/>
    <x v="4"/>
    <x v="4"/>
    <x v="6"/>
    <x v="4"/>
    <x v="0"/>
  </r>
  <r>
    <x v="159"/>
    <x v="2835"/>
    <x v="4"/>
    <x v="0"/>
    <x v="3"/>
    <x v="19"/>
    <x v="24"/>
    <x v="57"/>
    <x v="14"/>
    <x v="0"/>
  </r>
  <r>
    <x v="239"/>
    <x v="2836"/>
    <x v="0"/>
    <x v="0"/>
    <x v="0"/>
    <x v="0"/>
    <x v="0"/>
    <x v="63"/>
    <x v="0"/>
    <x v="0"/>
  </r>
  <r>
    <x v="309"/>
    <x v="2837"/>
    <x v="3"/>
    <x v="1"/>
    <x v="3"/>
    <x v="2"/>
    <x v="34"/>
    <x v="45"/>
    <x v="30"/>
    <x v="0"/>
  </r>
  <r>
    <x v="283"/>
    <x v="2838"/>
    <x v="1"/>
    <x v="0"/>
    <x v="1"/>
    <x v="53"/>
    <x v="64"/>
    <x v="59"/>
    <x v="55"/>
    <x v="0"/>
  </r>
  <r>
    <x v="88"/>
    <x v="2839"/>
    <x v="1"/>
    <x v="0"/>
    <x v="1"/>
    <x v="48"/>
    <x v="58"/>
    <x v="36"/>
    <x v="50"/>
    <x v="0"/>
  </r>
  <r>
    <x v="15"/>
    <x v="2840"/>
    <x v="1"/>
    <x v="0"/>
    <x v="1"/>
    <x v="33"/>
    <x v="41"/>
    <x v="1"/>
    <x v="36"/>
    <x v="0"/>
  </r>
  <r>
    <x v="279"/>
    <x v="2841"/>
    <x v="3"/>
    <x v="1"/>
    <x v="3"/>
    <x v="18"/>
    <x v="18"/>
    <x v="4"/>
    <x v="18"/>
    <x v="0"/>
  </r>
  <r>
    <x v="51"/>
    <x v="2842"/>
    <x v="3"/>
    <x v="1"/>
    <x v="3"/>
    <x v="11"/>
    <x v="11"/>
    <x v="89"/>
    <x v="11"/>
    <x v="0"/>
  </r>
  <r>
    <x v="164"/>
    <x v="2843"/>
    <x v="4"/>
    <x v="0"/>
    <x v="3"/>
    <x v="11"/>
    <x v="11"/>
    <x v="85"/>
    <x v="11"/>
    <x v="0"/>
  </r>
  <r>
    <x v="131"/>
    <x v="2844"/>
    <x v="2"/>
    <x v="0"/>
    <x v="2"/>
    <x v="67"/>
    <x v="84"/>
    <x v="5"/>
    <x v="72"/>
    <x v="0"/>
  </r>
  <r>
    <x v="102"/>
    <x v="2845"/>
    <x v="3"/>
    <x v="1"/>
    <x v="3"/>
    <x v="18"/>
    <x v="18"/>
    <x v="4"/>
    <x v="18"/>
    <x v="0"/>
  </r>
  <r>
    <x v="112"/>
    <x v="2846"/>
    <x v="3"/>
    <x v="1"/>
    <x v="3"/>
    <x v="78"/>
    <x v="97"/>
    <x v="45"/>
    <x v="84"/>
    <x v="0"/>
  </r>
  <r>
    <x v="0"/>
    <x v="2847"/>
    <x v="4"/>
    <x v="0"/>
    <x v="3"/>
    <x v="11"/>
    <x v="11"/>
    <x v="61"/>
    <x v="11"/>
    <x v="0"/>
  </r>
  <r>
    <x v="107"/>
    <x v="2848"/>
    <x v="1"/>
    <x v="0"/>
    <x v="1"/>
    <x v="70"/>
    <x v="87"/>
    <x v="45"/>
    <x v="75"/>
    <x v="0"/>
  </r>
  <r>
    <x v="321"/>
    <x v="2849"/>
    <x v="0"/>
    <x v="0"/>
    <x v="0"/>
    <x v="7"/>
    <x v="7"/>
    <x v="70"/>
    <x v="7"/>
    <x v="0"/>
  </r>
  <r>
    <x v="188"/>
    <x v="2850"/>
    <x v="3"/>
    <x v="1"/>
    <x v="3"/>
    <x v="18"/>
    <x v="18"/>
    <x v="32"/>
    <x v="18"/>
    <x v="0"/>
  </r>
  <r>
    <x v="323"/>
    <x v="2851"/>
    <x v="3"/>
    <x v="1"/>
    <x v="3"/>
    <x v="56"/>
    <x v="67"/>
    <x v="70"/>
    <x v="58"/>
    <x v="0"/>
  </r>
  <r>
    <x v="9"/>
    <x v="2852"/>
    <x v="2"/>
    <x v="0"/>
    <x v="2"/>
    <x v="12"/>
    <x v="17"/>
    <x v="60"/>
    <x v="77"/>
    <x v="0"/>
  </r>
  <r>
    <x v="347"/>
    <x v="2853"/>
    <x v="0"/>
    <x v="0"/>
    <x v="0"/>
    <x v="7"/>
    <x v="7"/>
    <x v="6"/>
    <x v="7"/>
    <x v="0"/>
  </r>
  <r>
    <x v="147"/>
    <x v="2854"/>
    <x v="3"/>
    <x v="1"/>
    <x v="3"/>
    <x v="7"/>
    <x v="20"/>
    <x v="71"/>
    <x v="10"/>
    <x v="0"/>
  </r>
  <r>
    <x v="93"/>
    <x v="2855"/>
    <x v="0"/>
    <x v="0"/>
    <x v="0"/>
    <x v="8"/>
    <x v="8"/>
    <x v="67"/>
    <x v="8"/>
    <x v="0"/>
  </r>
  <r>
    <x v="226"/>
    <x v="2856"/>
    <x v="4"/>
    <x v="0"/>
    <x v="3"/>
    <x v="19"/>
    <x v="24"/>
    <x v="2"/>
    <x v="14"/>
    <x v="0"/>
  </r>
  <r>
    <x v="70"/>
    <x v="2857"/>
    <x v="0"/>
    <x v="0"/>
    <x v="0"/>
    <x v="8"/>
    <x v="8"/>
    <x v="26"/>
    <x v="8"/>
    <x v="0"/>
  </r>
  <r>
    <x v="352"/>
    <x v="2858"/>
    <x v="2"/>
    <x v="0"/>
    <x v="2"/>
    <x v="10"/>
    <x v="10"/>
    <x v="94"/>
    <x v="10"/>
    <x v="0"/>
  </r>
  <r>
    <x v="257"/>
    <x v="2859"/>
    <x v="2"/>
    <x v="0"/>
    <x v="2"/>
    <x v="9"/>
    <x v="9"/>
    <x v="55"/>
    <x v="9"/>
    <x v="0"/>
  </r>
  <r>
    <x v="43"/>
    <x v="2860"/>
    <x v="4"/>
    <x v="0"/>
    <x v="3"/>
    <x v="16"/>
    <x v="16"/>
    <x v="36"/>
    <x v="16"/>
    <x v="0"/>
  </r>
  <r>
    <x v="49"/>
    <x v="2861"/>
    <x v="0"/>
    <x v="0"/>
    <x v="0"/>
    <x v="7"/>
    <x v="7"/>
    <x v="94"/>
    <x v="7"/>
    <x v="0"/>
  </r>
  <r>
    <x v="35"/>
    <x v="2862"/>
    <x v="3"/>
    <x v="1"/>
    <x v="3"/>
    <x v="29"/>
    <x v="37"/>
    <x v="87"/>
    <x v="32"/>
    <x v="0"/>
  </r>
  <r>
    <x v="41"/>
    <x v="2863"/>
    <x v="3"/>
    <x v="1"/>
    <x v="3"/>
    <x v="11"/>
    <x v="11"/>
    <x v="94"/>
    <x v="11"/>
    <x v="0"/>
  </r>
  <r>
    <x v="53"/>
    <x v="2864"/>
    <x v="0"/>
    <x v="0"/>
    <x v="0"/>
    <x v="7"/>
    <x v="7"/>
    <x v="25"/>
    <x v="7"/>
    <x v="0"/>
  </r>
  <r>
    <x v="64"/>
    <x v="2865"/>
    <x v="2"/>
    <x v="0"/>
    <x v="2"/>
    <x v="46"/>
    <x v="47"/>
    <x v="20"/>
    <x v="1"/>
    <x v="0"/>
  </r>
  <r>
    <x v="159"/>
    <x v="2866"/>
    <x v="4"/>
    <x v="0"/>
    <x v="3"/>
    <x v="62"/>
    <x v="77"/>
    <x v="13"/>
    <x v="66"/>
    <x v="0"/>
  </r>
  <r>
    <x v="61"/>
    <x v="2867"/>
    <x v="2"/>
    <x v="0"/>
    <x v="2"/>
    <x v="7"/>
    <x v="49"/>
    <x v="43"/>
    <x v="8"/>
    <x v="0"/>
  </r>
  <r>
    <x v="348"/>
    <x v="2868"/>
    <x v="0"/>
    <x v="0"/>
    <x v="0"/>
    <x v="5"/>
    <x v="5"/>
    <x v="9"/>
    <x v="5"/>
    <x v="0"/>
  </r>
  <r>
    <x v="286"/>
    <x v="2869"/>
    <x v="3"/>
    <x v="1"/>
    <x v="3"/>
    <x v="15"/>
    <x v="15"/>
    <x v="3"/>
    <x v="15"/>
    <x v="0"/>
  </r>
  <r>
    <x v="209"/>
    <x v="2870"/>
    <x v="1"/>
    <x v="0"/>
    <x v="1"/>
    <x v="35"/>
    <x v="43"/>
    <x v="62"/>
    <x v="38"/>
    <x v="0"/>
  </r>
  <r>
    <x v="340"/>
    <x v="2871"/>
    <x v="0"/>
    <x v="0"/>
    <x v="0"/>
    <x v="5"/>
    <x v="5"/>
    <x v="11"/>
    <x v="5"/>
    <x v="0"/>
  </r>
  <r>
    <x v="246"/>
    <x v="2872"/>
    <x v="1"/>
    <x v="0"/>
    <x v="1"/>
    <x v="40"/>
    <x v="48"/>
    <x v="46"/>
    <x v="42"/>
    <x v="0"/>
  </r>
  <r>
    <x v="52"/>
    <x v="2873"/>
    <x v="1"/>
    <x v="0"/>
    <x v="1"/>
    <x v="34"/>
    <x v="42"/>
    <x v="42"/>
    <x v="37"/>
    <x v="0"/>
  </r>
  <r>
    <x v="81"/>
    <x v="2874"/>
    <x v="0"/>
    <x v="0"/>
    <x v="0"/>
    <x v="8"/>
    <x v="8"/>
    <x v="41"/>
    <x v="8"/>
    <x v="0"/>
  </r>
  <r>
    <x v="6"/>
    <x v="2875"/>
    <x v="2"/>
    <x v="0"/>
    <x v="2"/>
    <x v="66"/>
    <x v="82"/>
    <x v="56"/>
    <x v="70"/>
    <x v="0"/>
  </r>
  <r>
    <x v="332"/>
    <x v="2876"/>
    <x v="0"/>
    <x v="0"/>
    <x v="0"/>
    <x v="0"/>
    <x v="0"/>
    <x v="26"/>
    <x v="0"/>
    <x v="0"/>
  </r>
  <r>
    <x v="91"/>
    <x v="2877"/>
    <x v="4"/>
    <x v="0"/>
    <x v="3"/>
    <x v="74"/>
    <x v="91"/>
    <x v="49"/>
    <x v="79"/>
    <x v="0"/>
  </r>
  <r>
    <x v="289"/>
    <x v="2878"/>
    <x v="2"/>
    <x v="0"/>
    <x v="2"/>
    <x v="12"/>
    <x v="17"/>
    <x v="2"/>
    <x v="77"/>
    <x v="0"/>
  </r>
  <r>
    <x v="47"/>
    <x v="2879"/>
    <x v="2"/>
    <x v="0"/>
    <x v="2"/>
    <x v="10"/>
    <x v="10"/>
    <x v="1"/>
    <x v="10"/>
    <x v="0"/>
  </r>
  <r>
    <x v="155"/>
    <x v="2880"/>
    <x v="1"/>
    <x v="0"/>
    <x v="1"/>
    <x v="0"/>
    <x v="81"/>
    <x v="58"/>
    <x v="24"/>
    <x v="0"/>
  </r>
  <r>
    <x v="104"/>
    <x v="2881"/>
    <x v="0"/>
    <x v="0"/>
    <x v="0"/>
    <x v="7"/>
    <x v="7"/>
    <x v="69"/>
    <x v="7"/>
    <x v="0"/>
  </r>
  <r>
    <x v="154"/>
    <x v="2882"/>
    <x v="3"/>
    <x v="1"/>
    <x v="3"/>
    <x v="2"/>
    <x v="34"/>
    <x v="18"/>
    <x v="30"/>
    <x v="0"/>
  </r>
  <r>
    <x v="75"/>
    <x v="2883"/>
    <x v="2"/>
    <x v="0"/>
    <x v="2"/>
    <x v="77"/>
    <x v="96"/>
    <x v="56"/>
    <x v="83"/>
    <x v="0"/>
  </r>
  <r>
    <x v="184"/>
    <x v="2884"/>
    <x v="2"/>
    <x v="0"/>
    <x v="2"/>
    <x v="10"/>
    <x v="10"/>
    <x v="21"/>
    <x v="10"/>
    <x v="0"/>
  </r>
  <r>
    <x v="197"/>
    <x v="2885"/>
    <x v="3"/>
    <x v="1"/>
    <x v="3"/>
    <x v="78"/>
    <x v="97"/>
    <x v="15"/>
    <x v="84"/>
    <x v="0"/>
  </r>
  <r>
    <x v="111"/>
    <x v="2886"/>
    <x v="4"/>
    <x v="0"/>
    <x v="3"/>
    <x v="56"/>
    <x v="67"/>
    <x v="51"/>
    <x v="58"/>
    <x v="0"/>
  </r>
  <r>
    <x v="157"/>
    <x v="2887"/>
    <x v="0"/>
    <x v="0"/>
    <x v="0"/>
    <x v="0"/>
    <x v="0"/>
    <x v="78"/>
    <x v="0"/>
    <x v="0"/>
  </r>
  <r>
    <x v="30"/>
    <x v="2888"/>
    <x v="0"/>
    <x v="0"/>
    <x v="0"/>
    <x v="7"/>
    <x v="7"/>
    <x v="8"/>
    <x v="7"/>
    <x v="0"/>
  </r>
  <r>
    <x v="273"/>
    <x v="2889"/>
    <x v="3"/>
    <x v="1"/>
    <x v="3"/>
    <x v="58"/>
    <x v="71"/>
    <x v="57"/>
    <x v="61"/>
    <x v="0"/>
  </r>
  <r>
    <x v="47"/>
    <x v="2890"/>
    <x v="2"/>
    <x v="0"/>
    <x v="2"/>
    <x v="36"/>
    <x v="44"/>
    <x v="75"/>
    <x v="30"/>
    <x v="0"/>
  </r>
  <r>
    <x v="223"/>
    <x v="2891"/>
    <x v="3"/>
    <x v="1"/>
    <x v="3"/>
    <x v="78"/>
    <x v="97"/>
    <x v="44"/>
    <x v="84"/>
    <x v="0"/>
  </r>
  <r>
    <x v="77"/>
    <x v="2892"/>
    <x v="2"/>
    <x v="0"/>
    <x v="2"/>
    <x v="41"/>
    <x v="50"/>
    <x v="83"/>
    <x v="43"/>
    <x v="0"/>
  </r>
  <r>
    <x v="296"/>
    <x v="2893"/>
    <x v="0"/>
    <x v="0"/>
    <x v="0"/>
    <x v="7"/>
    <x v="7"/>
    <x v="11"/>
    <x v="7"/>
    <x v="0"/>
  </r>
  <r>
    <x v="133"/>
    <x v="2894"/>
    <x v="2"/>
    <x v="0"/>
    <x v="2"/>
    <x v="37"/>
    <x v="45"/>
    <x v="23"/>
    <x v="39"/>
    <x v="0"/>
  </r>
  <r>
    <x v="173"/>
    <x v="2895"/>
    <x v="0"/>
    <x v="0"/>
    <x v="0"/>
    <x v="19"/>
    <x v="19"/>
    <x v="66"/>
    <x v="19"/>
    <x v="0"/>
  </r>
  <r>
    <x v="338"/>
    <x v="2896"/>
    <x v="2"/>
    <x v="0"/>
    <x v="2"/>
    <x v="77"/>
    <x v="96"/>
    <x v="48"/>
    <x v="83"/>
    <x v="0"/>
  </r>
  <r>
    <x v="267"/>
    <x v="2897"/>
    <x v="4"/>
    <x v="0"/>
    <x v="3"/>
    <x v="56"/>
    <x v="67"/>
    <x v="81"/>
    <x v="58"/>
    <x v="0"/>
  </r>
  <r>
    <x v="265"/>
    <x v="2898"/>
    <x v="2"/>
    <x v="0"/>
    <x v="2"/>
    <x v="12"/>
    <x v="17"/>
    <x v="50"/>
    <x v="77"/>
    <x v="0"/>
  </r>
  <r>
    <x v="270"/>
    <x v="2899"/>
    <x v="2"/>
    <x v="0"/>
    <x v="2"/>
    <x v="19"/>
    <x v="27"/>
    <x v="58"/>
    <x v="24"/>
    <x v="0"/>
  </r>
  <r>
    <x v="213"/>
    <x v="2900"/>
    <x v="0"/>
    <x v="0"/>
    <x v="0"/>
    <x v="7"/>
    <x v="7"/>
    <x v="78"/>
    <x v="7"/>
    <x v="0"/>
  </r>
  <r>
    <x v="30"/>
    <x v="2901"/>
    <x v="2"/>
    <x v="0"/>
    <x v="2"/>
    <x v="10"/>
    <x v="10"/>
    <x v="60"/>
    <x v="10"/>
    <x v="0"/>
  </r>
  <r>
    <x v="60"/>
    <x v="2902"/>
    <x v="4"/>
    <x v="0"/>
    <x v="3"/>
    <x v="68"/>
    <x v="85"/>
    <x v="65"/>
    <x v="73"/>
    <x v="0"/>
  </r>
  <r>
    <x v="5"/>
    <x v="2903"/>
    <x v="4"/>
    <x v="0"/>
    <x v="3"/>
    <x v="47"/>
    <x v="94"/>
    <x v="56"/>
    <x v="81"/>
    <x v="0"/>
  </r>
  <r>
    <x v="4"/>
    <x v="2904"/>
    <x v="1"/>
    <x v="0"/>
    <x v="1"/>
    <x v="16"/>
    <x v="76"/>
    <x v="12"/>
    <x v="65"/>
    <x v="0"/>
  </r>
  <r>
    <x v="130"/>
    <x v="2905"/>
    <x v="4"/>
    <x v="0"/>
    <x v="3"/>
    <x v="74"/>
    <x v="91"/>
    <x v="89"/>
    <x v="79"/>
    <x v="0"/>
  </r>
  <r>
    <x v="121"/>
    <x v="2906"/>
    <x v="1"/>
    <x v="0"/>
    <x v="1"/>
    <x v="35"/>
    <x v="43"/>
    <x v="71"/>
    <x v="38"/>
    <x v="0"/>
  </r>
  <r>
    <x v="271"/>
    <x v="2907"/>
    <x v="4"/>
    <x v="0"/>
    <x v="3"/>
    <x v="30"/>
    <x v="38"/>
    <x v="48"/>
    <x v="33"/>
    <x v="0"/>
  </r>
  <r>
    <x v="21"/>
    <x v="2908"/>
    <x v="2"/>
    <x v="0"/>
    <x v="2"/>
    <x v="66"/>
    <x v="82"/>
    <x v="4"/>
    <x v="70"/>
    <x v="0"/>
  </r>
  <r>
    <x v="160"/>
    <x v="2909"/>
    <x v="2"/>
    <x v="0"/>
    <x v="2"/>
    <x v="19"/>
    <x v="27"/>
    <x v="39"/>
    <x v="24"/>
    <x v="0"/>
  </r>
  <r>
    <x v="235"/>
    <x v="2910"/>
    <x v="1"/>
    <x v="0"/>
    <x v="1"/>
    <x v="75"/>
    <x v="93"/>
    <x v="13"/>
    <x v="80"/>
    <x v="0"/>
  </r>
  <r>
    <x v="129"/>
    <x v="2911"/>
    <x v="0"/>
    <x v="0"/>
    <x v="0"/>
    <x v="0"/>
    <x v="0"/>
    <x v="73"/>
    <x v="0"/>
    <x v="0"/>
  </r>
  <r>
    <x v="89"/>
    <x v="2912"/>
    <x v="4"/>
    <x v="0"/>
    <x v="3"/>
    <x v="59"/>
    <x v="72"/>
    <x v="68"/>
    <x v="62"/>
    <x v="0"/>
  </r>
  <r>
    <x v="54"/>
    <x v="2913"/>
    <x v="1"/>
    <x v="0"/>
    <x v="1"/>
    <x v="72"/>
    <x v="89"/>
    <x v="60"/>
    <x v="19"/>
    <x v="0"/>
  </r>
  <r>
    <x v="140"/>
    <x v="2914"/>
    <x v="1"/>
    <x v="0"/>
    <x v="1"/>
    <x v="70"/>
    <x v="87"/>
    <x v="1"/>
    <x v="75"/>
    <x v="0"/>
  </r>
  <r>
    <x v="364"/>
    <x v="2915"/>
    <x v="3"/>
    <x v="1"/>
    <x v="3"/>
    <x v="49"/>
    <x v="59"/>
    <x v="23"/>
    <x v="51"/>
    <x v="0"/>
  </r>
  <r>
    <x v="116"/>
    <x v="2916"/>
    <x v="4"/>
    <x v="0"/>
    <x v="3"/>
    <x v="47"/>
    <x v="94"/>
    <x v="13"/>
    <x v="81"/>
    <x v="0"/>
  </r>
  <r>
    <x v="71"/>
    <x v="2917"/>
    <x v="0"/>
    <x v="0"/>
    <x v="0"/>
    <x v="19"/>
    <x v="19"/>
    <x v="64"/>
    <x v="19"/>
    <x v="0"/>
  </r>
  <r>
    <x v="199"/>
    <x v="2918"/>
    <x v="4"/>
    <x v="0"/>
    <x v="3"/>
    <x v="58"/>
    <x v="71"/>
    <x v="24"/>
    <x v="61"/>
    <x v="0"/>
  </r>
  <r>
    <x v="172"/>
    <x v="2919"/>
    <x v="0"/>
    <x v="0"/>
    <x v="0"/>
    <x v="0"/>
    <x v="0"/>
    <x v="69"/>
    <x v="0"/>
    <x v="0"/>
  </r>
  <r>
    <x v="24"/>
    <x v="2920"/>
    <x v="0"/>
    <x v="0"/>
    <x v="0"/>
    <x v="8"/>
    <x v="8"/>
    <x v="34"/>
    <x v="8"/>
    <x v="0"/>
  </r>
  <r>
    <x v="318"/>
    <x v="2921"/>
    <x v="4"/>
    <x v="0"/>
    <x v="3"/>
    <x v="47"/>
    <x v="94"/>
    <x v="60"/>
    <x v="81"/>
    <x v="0"/>
  </r>
  <r>
    <x v="127"/>
    <x v="2922"/>
    <x v="1"/>
    <x v="0"/>
    <x v="1"/>
    <x v="52"/>
    <x v="62"/>
    <x v="71"/>
    <x v="54"/>
    <x v="0"/>
  </r>
  <r>
    <x v="145"/>
    <x v="2923"/>
    <x v="1"/>
    <x v="0"/>
    <x v="1"/>
    <x v="48"/>
    <x v="58"/>
    <x v="7"/>
    <x v="50"/>
    <x v="0"/>
  </r>
  <r>
    <x v="63"/>
    <x v="2924"/>
    <x v="2"/>
    <x v="0"/>
    <x v="2"/>
    <x v="14"/>
    <x v="14"/>
    <x v="64"/>
    <x v="14"/>
    <x v="0"/>
  </r>
  <r>
    <x v="351"/>
    <x v="2925"/>
    <x v="3"/>
    <x v="1"/>
    <x v="3"/>
    <x v="0"/>
    <x v="55"/>
    <x v="23"/>
    <x v="8"/>
    <x v="0"/>
  </r>
  <r>
    <x v="254"/>
    <x v="2926"/>
    <x v="2"/>
    <x v="0"/>
    <x v="2"/>
    <x v="8"/>
    <x v="35"/>
    <x v="35"/>
    <x v="18"/>
    <x v="0"/>
  </r>
  <r>
    <x v="280"/>
    <x v="2927"/>
    <x v="2"/>
    <x v="0"/>
    <x v="2"/>
    <x v="13"/>
    <x v="13"/>
    <x v="81"/>
    <x v="13"/>
    <x v="0"/>
  </r>
  <r>
    <x v="138"/>
    <x v="2928"/>
    <x v="0"/>
    <x v="0"/>
    <x v="0"/>
    <x v="7"/>
    <x v="7"/>
    <x v="9"/>
    <x v="7"/>
    <x v="0"/>
  </r>
  <r>
    <x v="23"/>
    <x v="2929"/>
    <x v="2"/>
    <x v="0"/>
    <x v="2"/>
    <x v="12"/>
    <x v="17"/>
    <x v="96"/>
    <x v="77"/>
    <x v="0"/>
  </r>
  <r>
    <x v="312"/>
    <x v="2930"/>
    <x v="3"/>
    <x v="1"/>
    <x v="3"/>
    <x v="11"/>
    <x v="11"/>
    <x v="16"/>
    <x v="11"/>
    <x v="0"/>
  </r>
  <r>
    <x v="118"/>
    <x v="2931"/>
    <x v="3"/>
    <x v="1"/>
    <x v="3"/>
    <x v="43"/>
    <x v="52"/>
    <x v="51"/>
    <x v="45"/>
    <x v="0"/>
  </r>
  <r>
    <x v="4"/>
    <x v="2932"/>
    <x v="1"/>
    <x v="0"/>
    <x v="1"/>
    <x v="52"/>
    <x v="62"/>
    <x v="47"/>
    <x v="54"/>
    <x v="0"/>
  </r>
  <r>
    <x v="317"/>
    <x v="2933"/>
    <x v="2"/>
    <x v="0"/>
    <x v="2"/>
    <x v="7"/>
    <x v="49"/>
    <x v="35"/>
    <x v="8"/>
    <x v="0"/>
  </r>
  <r>
    <x v="122"/>
    <x v="2934"/>
    <x v="4"/>
    <x v="0"/>
    <x v="3"/>
    <x v="17"/>
    <x v="17"/>
    <x v="30"/>
    <x v="17"/>
    <x v="0"/>
  </r>
  <r>
    <x v="359"/>
    <x v="2935"/>
    <x v="1"/>
    <x v="0"/>
    <x v="1"/>
    <x v="76"/>
    <x v="95"/>
    <x v="40"/>
    <x v="82"/>
    <x v="0"/>
  </r>
  <r>
    <x v="318"/>
    <x v="2936"/>
    <x v="1"/>
    <x v="0"/>
    <x v="1"/>
    <x v="53"/>
    <x v="64"/>
    <x v="75"/>
    <x v="55"/>
    <x v="0"/>
  </r>
  <r>
    <x v="358"/>
    <x v="2937"/>
    <x v="3"/>
    <x v="1"/>
    <x v="3"/>
    <x v="46"/>
    <x v="68"/>
    <x v="19"/>
    <x v="43"/>
    <x v="0"/>
  </r>
  <r>
    <x v="166"/>
    <x v="2938"/>
    <x v="3"/>
    <x v="1"/>
    <x v="3"/>
    <x v="0"/>
    <x v="55"/>
    <x v="25"/>
    <x v="8"/>
    <x v="0"/>
  </r>
  <r>
    <x v="351"/>
    <x v="2939"/>
    <x v="1"/>
    <x v="0"/>
    <x v="1"/>
    <x v="40"/>
    <x v="48"/>
    <x v="75"/>
    <x v="42"/>
    <x v="0"/>
  </r>
  <r>
    <x v="218"/>
    <x v="2940"/>
    <x v="1"/>
    <x v="0"/>
    <x v="1"/>
    <x v="54"/>
    <x v="65"/>
    <x v="60"/>
    <x v="56"/>
    <x v="0"/>
  </r>
  <r>
    <x v="113"/>
    <x v="2941"/>
    <x v="2"/>
    <x v="0"/>
    <x v="2"/>
    <x v="8"/>
    <x v="35"/>
    <x v="47"/>
    <x v="18"/>
    <x v="0"/>
  </r>
  <r>
    <x v="151"/>
    <x v="2942"/>
    <x v="2"/>
    <x v="0"/>
    <x v="2"/>
    <x v="36"/>
    <x v="44"/>
    <x v="50"/>
    <x v="30"/>
    <x v="0"/>
  </r>
  <r>
    <x v="228"/>
    <x v="2943"/>
    <x v="0"/>
    <x v="0"/>
    <x v="0"/>
    <x v="7"/>
    <x v="7"/>
    <x v="11"/>
    <x v="7"/>
    <x v="0"/>
  </r>
  <r>
    <x v="28"/>
    <x v="2944"/>
    <x v="0"/>
    <x v="0"/>
    <x v="0"/>
    <x v="7"/>
    <x v="7"/>
    <x v="96"/>
    <x v="7"/>
    <x v="0"/>
  </r>
  <r>
    <x v="247"/>
    <x v="2945"/>
    <x v="3"/>
    <x v="1"/>
    <x v="3"/>
    <x v="29"/>
    <x v="37"/>
    <x v="16"/>
    <x v="32"/>
    <x v="0"/>
  </r>
  <r>
    <x v="257"/>
    <x v="2946"/>
    <x v="2"/>
    <x v="0"/>
    <x v="2"/>
    <x v="41"/>
    <x v="50"/>
    <x v="5"/>
    <x v="43"/>
    <x v="0"/>
  </r>
  <r>
    <x v="267"/>
    <x v="2947"/>
    <x v="2"/>
    <x v="0"/>
    <x v="2"/>
    <x v="23"/>
    <x v="28"/>
    <x v="19"/>
    <x v="25"/>
    <x v="0"/>
  </r>
  <r>
    <x v="17"/>
    <x v="2948"/>
    <x v="1"/>
    <x v="0"/>
    <x v="1"/>
    <x v="70"/>
    <x v="87"/>
    <x v="79"/>
    <x v="75"/>
    <x v="0"/>
  </r>
  <r>
    <x v="262"/>
    <x v="2949"/>
    <x v="1"/>
    <x v="0"/>
    <x v="1"/>
    <x v="47"/>
    <x v="57"/>
    <x v="80"/>
    <x v="49"/>
    <x v="0"/>
  </r>
  <r>
    <x v="184"/>
    <x v="2950"/>
    <x v="4"/>
    <x v="0"/>
    <x v="3"/>
    <x v="62"/>
    <x v="77"/>
    <x v="21"/>
    <x v="66"/>
    <x v="0"/>
  </r>
  <r>
    <x v="325"/>
    <x v="2951"/>
    <x v="0"/>
    <x v="0"/>
    <x v="0"/>
    <x v="8"/>
    <x v="8"/>
    <x v="52"/>
    <x v="8"/>
    <x v="0"/>
  </r>
  <r>
    <x v="260"/>
    <x v="2952"/>
    <x v="2"/>
    <x v="0"/>
    <x v="2"/>
    <x v="41"/>
    <x v="50"/>
    <x v="70"/>
    <x v="43"/>
    <x v="0"/>
  </r>
  <r>
    <x v="235"/>
    <x v="2953"/>
    <x v="3"/>
    <x v="1"/>
    <x v="3"/>
    <x v="20"/>
    <x v="22"/>
    <x v="69"/>
    <x v="21"/>
    <x v="0"/>
  </r>
  <r>
    <x v="74"/>
    <x v="2954"/>
    <x v="0"/>
    <x v="0"/>
    <x v="0"/>
    <x v="0"/>
    <x v="0"/>
    <x v="25"/>
    <x v="0"/>
    <x v="0"/>
  </r>
  <r>
    <x v="226"/>
    <x v="2955"/>
    <x v="3"/>
    <x v="1"/>
    <x v="3"/>
    <x v="23"/>
    <x v="83"/>
    <x v="54"/>
    <x v="71"/>
    <x v="0"/>
  </r>
  <r>
    <x v="334"/>
    <x v="2956"/>
    <x v="4"/>
    <x v="0"/>
    <x v="3"/>
    <x v="74"/>
    <x v="91"/>
    <x v="1"/>
    <x v="79"/>
    <x v="0"/>
  </r>
  <r>
    <x v="161"/>
    <x v="2957"/>
    <x v="3"/>
    <x v="1"/>
    <x v="3"/>
    <x v="45"/>
    <x v="56"/>
    <x v="3"/>
    <x v="48"/>
    <x v="0"/>
  </r>
  <r>
    <x v="66"/>
    <x v="2958"/>
    <x v="2"/>
    <x v="0"/>
    <x v="2"/>
    <x v="12"/>
    <x v="17"/>
    <x v="45"/>
    <x v="77"/>
    <x v="0"/>
  </r>
  <r>
    <x v="187"/>
    <x v="2959"/>
    <x v="3"/>
    <x v="1"/>
    <x v="3"/>
    <x v="56"/>
    <x v="67"/>
    <x v="36"/>
    <x v="58"/>
    <x v="0"/>
  </r>
  <r>
    <x v="149"/>
    <x v="2960"/>
    <x v="0"/>
    <x v="0"/>
    <x v="0"/>
    <x v="19"/>
    <x v="19"/>
    <x v="34"/>
    <x v="19"/>
    <x v="0"/>
  </r>
  <r>
    <x v="54"/>
    <x v="2961"/>
    <x v="2"/>
    <x v="0"/>
    <x v="2"/>
    <x v="41"/>
    <x v="50"/>
    <x v="69"/>
    <x v="43"/>
    <x v="0"/>
  </r>
  <r>
    <x v="212"/>
    <x v="2962"/>
    <x v="0"/>
    <x v="0"/>
    <x v="0"/>
    <x v="0"/>
    <x v="0"/>
    <x v="76"/>
    <x v="0"/>
    <x v="0"/>
  </r>
  <r>
    <x v="263"/>
    <x v="2963"/>
    <x v="3"/>
    <x v="1"/>
    <x v="3"/>
    <x v="19"/>
    <x v="24"/>
    <x v="67"/>
    <x v="14"/>
    <x v="0"/>
  </r>
  <r>
    <x v="0"/>
    <x v="2964"/>
    <x v="2"/>
    <x v="0"/>
    <x v="2"/>
    <x v="22"/>
    <x v="25"/>
    <x v="19"/>
    <x v="20"/>
    <x v="0"/>
  </r>
  <r>
    <x v="133"/>
    <x v="2965"/>
    <x v="3"/>
    <x v="1"/>
    <x v="3"/>
    <x v="46"/>
    <x v="68"/>
    <x v="45"/>
    <x v="43"/>
    <x v="0"/>
  </r>
  <r>
    <x v="157"/>
    <x v="2966"/>
    <x v="3"/>
    <x v="1"/>
    <x v="3"/>
    <x v="56"/>
    <x v="67"/>
    <x v="23"/>
    <x v="58"/>
    <x v="0"/>
  </r>
  <r>
    <x v="341"/>
    <x v="2967"/>
    <x v="0"/>
    <x v="0"/>
    <x v="0"/>
    <x v="19"/>
    <x v="19"/>
    <x v="26"/>
    <x v="19"/>
    <x v="0"/>
  </r>
  <r>
    <x v="24"/>
    <x v="2968"/>
    <x v="1"/>
    <x v="0"/>
    <x v="1"/>
    <x v="28"/>
    <x v="36"/>
    <x v="14"/>
    <x v="31"/>
    <x v="0"/>
  </r>
  <r>
    <x v="9"/>
    <x v="2969"/>
    <x v="1"/>
    <x v="0"/>
    <x v="1"/>
    <x v="72"/>
    <x v="89"/>
    <x v="42"/>
    <x v="19"/>
    <x v="0"/>
  </r>
  <r>
    <x v="271"/>
    <x v="2970"/>
    <x v="0"/>
    <x v="0"/>
    <x v="0"/>
    <x v="7"/>
    <x v="7"/>
    <x v="92"/>
    <x v="7"/>
    <x v="0"/>
  </r>
  <r>
    <x v="265"/>
    <x v="2971"/>
    <x v="1"/>
    <x v="0"/>
    <x v="1"/>
    <x v="52"/>
    <x v="62"/>
    <x v="22"/>
    <x v="54"/>
    <x v="0"/>
  </r>
  <r>
    <x v="37"/>
    <x v="2972"/>
    <x v="3"/>
    <x v="1"/>
    <x v="3"/>
    <x v="20"/>
    <x v="22"/>
    <x v="10"/>
    <x v="21"/>
    <x v="0"/>
  </r>
  <r>
    <x v="160"/>
    <x v="2973"/>
    <x v="2"/>
    <x v="0"/>
    <x v="2"/>
    <x v="37"/>
    <x v="45"/>
    <x v="59"/>
    <x v="39"/>
    <x v="0"/>
  </r>
  <r>
    <x v="35"/>
    <x v="2974"/>
    <x v="3"/>
    <x v="1"/>
    <x v="3"/>
    <x v="29"/>
    <x v="37"/>
    <x v="96"/>
    <x v="32"/>
    <x v="0"/>
  </r>
  <r>
    <x v="196"/>
    <x v="2975"/>
    <x v="2"/>
    <x v="0"/>
    <x v="2"/>
    <x v="19"/>
    <x v="27"/>
    <x v="20"/>
    <x v="24"/>
    <x v="0"/>
  </r>
  <r>
    <x v="294"/>
    <x v="2976"/>
    <x v="0"/>
    <x v="0"/>
    <x v="0"/>
    <x v="8"/>
    <x v="8"/>
    <x v="6"/>
    <x v="8"/>
    <x v="0"/>
  </r>
  <r>
    <x v="76"/>
    <x v="2977"/>
    <x v="3"/>
    <x v="1"/>
    <x v="3"/>
    <x v="9"/>
    <x v="70"/>
    <x v="32"/>
    <x v="60"/>
    <x v="0"/>
  </r>
  <r>
    <x v="169"/>
    <x v="2978"/>
    <x v="4"/>
    <x v="0"/>
    <x v="3"/>
    <x v="68"/>
    <x v="85"/>
    <x v="21"/>
    <x v="73"/>
    <x v="0"/>
  </r>
  <r>
    <x v="275"/>
    <x v="2979"/>
    <x v="0"/>
    <x v="0"/>
    <x v="0"/>
    <x v="8"/>
    <x v="8"/>
    <x v="6"/>
    <x v="8"/>
    <x v="0"/>
  </r>
  <r>
    <x v="323"/>
    <x v="2980"/>
    <x v="3"/>
    <x v="1"/>
    <x v="3"/>
    <x v="78"/>
    <x v="97"/>
    <x v="34"/>
    <x v="84"/>
    <x v="0"/>
  </r>
  <r>
    <x v="198"/>
    <x v="2981"/>
    <x v="2"/>
    <x v="0"/>
    <x v="2"/>
    <x v="46"/>
    <x v="47"/>
    <x v="75"/>
    <x v="1"/>
    <x v="0"/>
  </r>
  <r>
    <x v="326"/>
    <x v="2982"/>
    <x v="0"/>
    <x v="0"/>
    <x v="0"/>
    <x v="0"/>
    <x v="0"/>
    <x v="69"/>
    <x v="0"/>
    <x v="0"/>
  </r>
  <r>
    <x v="235"/>
    <x v="2983"/>
    <x v="4"/>
    <x v="0"/>
    <x v="3"/>
    <x v="50"/>
    <x v="60"/>
    <x v="29"/>
    <x v="52"/>
    <x v="0"/>
  </r>
  <r>
    <x v="31"/>
    <x v="2984"/>
    <x v="1"/>
    <x v="0"/>
    <x v="1"/>
    <x v="1"/>
    <x v="1"/>
    <x v="15"/>
    <x v="1"/>
    <x v="0"/>
  </r>
  <r>
    <x v="164"/>
    <x v="2985"/>
    <x v="0"/>
    <x v="0"/>
    <x v="0"/>
    <x v="7"/>
    <x v="7"/>
    <x v="0"/>
    <x v="7"/>
    <x v="0"/>
  </r>
  <r>
    <x v="225"/>
    <x v="2986"/>
    <x v="0"/>
    <x v="0"/>
    <x v="0"/>
    <x v="5"/>
    <x v="5"/>
    <x v="91"/>
    <x v="5"/>
    <x v="0"/>
  </r>
  <r>
    <x v="3"/>
    <x v="2987"/>
    <x v="4"/>
    <x v="0"/>
    <x v="3"/>
    <x v="19"/>
    <x v="24"/>
    <x v="85"/>
    <x v="14"/>
    <x v="0"/>
  </r>
  <r>
    <x v="28"/>
    <x v="2988"/>
    <x v="2"/>
    <x v="0"/>
    <x v="2"/>
    <x v="3"/>
    <x v="3"/>
    <x v="77"/>
    <x v="3"/>
    <x v="0"/>
  </r>
  <r>
    <x v="154"/>
    <x v="2989"/>
    <x v="0"/>
    <x v="0"/>
    <x v="0"/>
    <x v="0"/>
    <x v="0"/>
    <x v="6"/>
    <x v="0"/>
    <x v="0"/>
  </r>
  <r>
    <x v="148"/>
    <x v="2990"/>
    <x v="4"/>
    <x v="0"/>
    <x v="3"/>
    <x v="68"/>
    <x v="85"/>
    <x v="89"/>
    <x v="73"/>
    <x v="0"/>
  </r>
  <r>
    <x v="294"/>
    <x v="2991"/>
    <x v="2"/>
    <x v="0"/>
    <x v="2"/>
    <x v="7"/>
    <x v="49"/>
    <x v="93"/>
    <x v="8"/>
    <x v="0"/>
  </r>
  <r>
    <x v="40"/>
    <x v="2992"/>
    <x v="0"/>
    <x v="0"/>
    <x v="0"/>
    <x v="7"/>
    <x v="7"/>
    <x v="41"/>
    <x v="7"/>
    <x v="0"/>
  </r>
  <r>
    <x v="60"/>
    <x v="2993"/>
    <x v="0"/>
    <x v="0"/>
    <x v="0"/>
    <x v="5"/>
    <x v="5"/>
    <x v="9"/>
    <x v="5"/>
    <x v="0"/>
  </r>
  <r>
    <x v="212"/>
    <x v="2994"/>
    <x v="2"/>
    <x v="0"/>
    <x v="2"/>
    <x v="42"/>
    <x v="51"/>
    <x v="87"/>
    <x v="44"/>
    <x v="0"/>
  </r>
  <r>
    <x v="124"/>
    <x v="2995"/>
    <x v="0"/>
    <x v="0"/>
    <x v="0"/>
    <x v="8"/>
    <x v="8"/>
    <x v="8"/>
    <x v="8"/>
    <x v="0"/>
  </r>
  <r>
    <x v="220"/>
    <x v="2996"/>
    <x v="0"/>
    <x v="0"/>
    <x v="0"/>
    <x v="8"/>
    <x v="8"/>
    <x v="39"/>
    <x v="8"/>
    <x v="0"/>
  </r>
  <r>
    <x v="111"/>
    <x v="2997"/>
    <x v="2"/>
    <x v="0"/>
    <x v="2"/>
    <x v="9"/>
    <x v="9"/>
    <x v="89"/>
    <x v="9"/>
    <x v="0"/>
  </r>
  <r>
    <x v="20"/>
    <x v="2998"/>
    <x v="2"/>
    <x v="0"/>
    <x v="2"/>
    <x v="12"/>
    <x v="17"/>
    <x v="93"/>
    <x v="77"/>
    <x v="0"/>
  </r>
  <r>
    <x v="164"/>
    <x v="2999"/>
    <x v="3"/>
    <x v="1"/>
    <x v="3"/>
    <x v="29"/>
    <x v="37"/>
    <x v="3"/>
    <x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ROI_By_Equipment_Dep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32:Q43" firstHeaderRow="0" firstDataRow="1" firstDataCol="2" colPageCount="1"/>
  <pivotFields count="10">
    <pivotField compact="0" outline="0" showAll="0"/>
    <pivotField compact="0" outline="0" showAll="0"/>
    <pivotField axis="axisRow" compact="0" outline="0" subtotalTop="0" showAll="0">
      <items count="6">
        <item x="2"/>
        <item x="3"/>
        <item x="0"/>
        <item x="4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2"/>
    <field x="3"/>
  </rowFields>
  <rowItems count="11">
    <i>
      <x/>
      <x/>
    </i>
    <i t="default">
      <x/>
    </i>
    <i>
      <x v="1"/>
      <x v="1"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 t="grand">
      <x/>
    </i>
  </rowItems>
  <colFields count="1">
    <field x="-2"/>
  </colFields>
  <colItems count="3">
    <i>
      <x/>
    </i>
    <i>
      <x v="1"/>
    </i>
    <i>
      <x v="2"/>
    </i>
  </colItems>
  <dataFields count="3">
    <dataField name="Total Profit" fld="6" baseField="0" baseItem="0"/>
    <dataField name="Avg ROI %" fld="8" subtotal="average" baseField="0" baseItem="0"/>
    <dataField name="Avg Utilization" fld="7" subtotal="average" baseField="0" baseItem="0"/>
  </dataFields>
  <pivotTableStyleInfo name="CustomPivotTableStyle_ROI_By_Equipment_Dep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ROI_By_Equipmen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11:Q17" firstHeaderRow="0" firstDataRow="1" firstDataCol="1" colPageCount="1"/>
  <pivotFields count="10">
    <pivotField compact="0" outline="0" showAll="0"/>
    <pivotField compact="0" outline="0" showAll="0"/>
    <pivotField axis="axisRow" compact="0" outline="0" subtotalTop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Total Operating Cost" fld="4" baseField="0" baseItem="0"/>
    <dataField name="Total Revenue" fld="5" baseField="0" baseItem="0"/>
    <dataField name="Total Profit" fld="6" baseField="0" baseItem="0"/>
    <dataField name="Avg ROI %" fld="8" subtotal="average" baseField="0" baseItem="0"/>
  </dataFields>
  <pivotTableStyleInfo name="CustomPivotTableStyle_ROI_By_Equipmen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OI_By_Departmen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23:P26" firstHeaderRow="0" firstDataRow="1" firstDataCol="1" colPageCount="1"/>
  <pivotFields count="10">
    <pivotField compact="0" outline="0" showAll="0"/>
    <pivotField compact="0" outline="0" showAll="0"/>
    <pivotField compact="0" outline="0" showAll="0"/>
    <pivotField axis="axisRow" compact="0" outline="0" subtotalTop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>
      <x v="1"/>
    </i>
    <i>
      <x v="2"/>
    </i>
  </colItems>
  <dataFields count="3">
    <dataField name="Total Operating Cost" fld="4" baseField="0" baseItem="0"/>
    <dataField name="Total Revenue" fld="5" baseField="0" baseItem="0"/>
    <dataField name="Avg Utilization" fld="7" subtotal="average" baseField="0" baseItem="0"/>
  </dataFields>
  <pivotTableStyleInfo name="CustomPivotTableStyle_ROI_By_Departmen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101"/>
      </a:dk1>
      <a:lt1>
        <a:srgbClr val="FFFEFE"/>
      </a:lt1>
      <a:dk2>
        <a:srgbClr val="44556B"/>
      </a:dk2>
      <a:lt2>
        <a:srgbClr val="E7E7E7"/>
      </a:lt2>
      <a:accent1>
        <a:srgbClr val="5B9AD4"/>
      </a:accent1>
      <a:accent2>
        <a:srgbClr val="ED7D31"/>
      </a:accent2>
      <a:accent3>
        <a:srgbClr val="A4A4A5"/>
      </a:accent3>
      <a:accent4>
        <a:srgbClr val="FEC001"/>
      </a:accent4>
      <a:accent5>
        <a:srgbClr val="4572C5"/>
      </a:accent5>
      <a:accent6>
        <a:srgbClr val="70AC46"/>
      </a:accent6>
      <a:hlink>
        <a:srgbClr val="0563C1"/>
      </a:hlink>
      <a:folHlink>
        <a:srgbClr val="944F73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4231-5E06-87A8-FB38-A0831EF348B8}">
  <dimension ref="B2:T3046"/>
  <sheetViews>
    <sheetView showGridLines="0" workbookViewId="0"/>
  </sheetViews>
  <sheetFormatPr defaultColWidth="8.88671875" defaultRowHeight="15" customHeight="1"/>
  <cols>
    <col min="2" max="2" width="10.5546875" customWidth="1"/>
    <col min="3" max="3" width="13.6640625" customWidth="1"/>
    <col min="4" max="4" width="17.5546875" customWidth="1"/>
    <col min="5" max="5" width="14.5546875" customWidth="1"/>
    <col min="6" max="6" width="19" customWidth="1"/>
    <col min="7" max="8" width="18.5546875" customWidth="1"/>
    <col min="9" max="9" width="17.109375" customWidth="1"/>
    <col min="10" max="10" width="11.44140625" customWidth="1"/>
    <col min="11" max="11" width="18.5546875" customWidth="1"/>
    <col min="13" max="13" width="33.109375" customWidth="1"/>
    <col min="14" max="14" width="18.109375" customWidth="1"/>
    <col min="15" max="15" width="12.6640625" customWidth="1"/>
    <col min="16" max="17" width="17" customWidth="1"/>
    <col min="20" max="20" width="40" customWidth="1"/>
  </cols>
  <sheetData>
    <row r="2" spans="2:20" ht="15" customHeight="1">
      <c r="B2" s="1" t="s">
        <v>0</v>
      </c>
      <c r="T2" s="2" t="s">
        <v>1</v>
      </c>
    </row>
    <row r="4" spans="2:20" ht="15" customHeight="1">
      <c r="B4" s="3" t="s">
        <v>2</v>
      </c>
      <c r="C4" s="4"/>
      <c r="T4" s="5" t="s">
        <v>3</v>
      </c>
    </row>
    <row r="5" spans="2:20" ht="15" customHeight="1">
      <c r="B5" s="4"/>
      <c r="C5" s="4"/>
      <c r="T5" s="5" t="s">
        <v>4</v>
      </c>
    </row>
    <row r="6" spans="2:20" ht="15.75" customHeight="1">
      <c r="B6" s="6" t="s">
        <v>5</v>
      </c>
      <c r="C6" s="7">
        <v>0.1</v>
      </c>
      <c r="T6" s="5">
        <v>0</v>
      </c>
    </row>
    <row r="7" spans="2:20" ht="15.75" customHeight="1">
      <c r="B7" s="6" t="s">
        <v>6</v>
      </c>
      <c r="C7" s="7">
        <v>0.25</v>
      </c>
      <c r="T7" s="5" t="s">
        <v>7</v>
      </c>
    </row>
    <row r="8" spans="2:20" ht="15" customHeight="1">
      <c r="T8" s="5" t="s">
        <v>8</v>
      </c>
    </row>
    <row r="9" spans="2:20" ht="15" customHeight="1">
      <c r="B9" s="8" t="s">
        <v>9</v>
      </c>
      <c r="M9" s="9" t="s">
        <v>10</v>
      </c>
      <c r="T9" s="5" t="s">
        <v>11</v>
      </c>
    </row>
    <row r="10" spans="2:20" ht="15" customHeight="1">
      <c r="T10" s="5" t="s">
        <v>12</v>
      </c>
    </row>
    <row r="11" spans="2:20" ht="15.75" customHeight="1">
      <c r="B11" s="10" t="s">
        <v>13</v>
      </c>
      <c r="C11" s="10" t="s">
        <v>14</v>
      </c>
      <c r="D11" s="10" t="s">
        <v>15</v>
      </c>
      <c r="E11" s="10" t="s">
        <v>16</v>
      </c>
      <c r="F11" s="10" t="s">
        <v>17</v>
      </c>
      <c r="G11" s="10" t="s">
        <v>18</v>
      </c>
      <c r="H11" s="10" t="s">
        <v>19</v>
      </c>
      <c r="I11" s="10" t="s">
        <v>20</v>
      </c>
      <c r="J11" s="10" t="s">
        <v>21</v>
      </c>
      <c r="K11" s="10" t="s">
        <v>22</v>
      </c>
      <c r="N11" t="s">
        <v>3417</v>
      </c>
      <c r="O11" t="s">
        <v>3409</v>
      </c>
      <c r="P11" t="s">
        <v>3418</v>
      </c>
      <c r="Q11" t="s">
        <v>3426</v>
      </c>
      <c r="T11" s="5" t="s">
        <v>23</v>
      </c>
    </row>
    <row r="12" spans="2:20" ht="15" customHeight="1">
      <c r="B12" s="11" t="s">
        <v>24</v>
      </c>
      <c r="C12" s="11" t="s">
        <v>25</v>
      </c>
      <c r="D12" s="11" t="s">
        <v>26</v>
      </c>
      <c r="E12" s="11" t="s">
        <v>27</v>
      </c>
      <c r="F12" s="12">
        <v>5000</v>
      </c>
      <c r="G12" s="12">
        <v>30000</v>
      </c>
      <c r="H12" s="12">
        <v>25000</v>
      </c>
      <c r="I12" s="13">
        <v>0.04</v>
      </c>
      <c r="J12" s="14">
        <f t="shared" ref="J12:J3011" si="0">IF(F12=0,0,H12/F12)</f>
        <v>5</v>
      </c>
      <c r="K12" s="15" t="str">
        <f t="shared" ref="K12:K3011" si="1">IF(J12&gt;=$C$7,"Exceeds Target",IF(J12&gt;=0,"Positive","Negative"))</f>
        <v>Exceeds Target</v>
      </c>
      <c r="M12" t="s">
        <v>35</v>
      </c>
      <c r="N12">
        <v>1680000</v>
      </c>
      <c r="O12">
        <v>101220000</v>
      </c>
      <c r="P12">
        <v>99540000</v>
      </c>
      <c r="Q12">
        <v>59.25</v>
      </c>
      <c r="T12" s="5" t="s">
        <v>29</v>
      </c>
    </row>
    <row r="13" spans="2:20" ht="15" customHeight="1">
      <c r="B13" s="11" t="s">
        <v>30</v>
      </c>
      <c r="C13" s="11" t="s">
        <v>31</v>
      </c>
      <c r="D13" s="11" t="s">
        <v>32</v>
      </c>
      <c r="E13" s="11" t="s">
        <v>27</v>
      </c>
      <c r="F13" s="12">
        <v>1500</v>
      </c>
      <c r="G13" s="12">
        <v>40000</v>
      </c>
      <c r="H13" s="12">
        <v>38500</v>
      </c>
      <c r="I13" s="13">
        <v>0.71</v>
      </c>
      <c r="J13" s="14">
        <f t="shared" si="0"/>
        <v>25.666666666666668</v>
      </c>
      <c r="K13" s="15" t="str">
        <f t="shared" si="1"/>
        <v>Exceeds Target</v>
      </c>
      <c r="M13" t="s">
        <v>69</v>
      </c>
      <c r="N13">
        <v>656000</v>
      </c>
      <c r="O13">
        <v>58975000</v>
      </c>
      <c r="P13">
        <v>58319000</v>
      </c>
      <c r="Q13">
        <v>88.900914634146005</v>
      </c>
      <c r="T13" s="5">
        <v>0</v>
      </c>
    </row>
    <row r="14" spans="2:20" ht="15" customHeight="1">
      <c r="B14" s="11" t="s">
        <v>33</v>
      </c>
      <c r="C14" s="11" t="s">
        <v>34</v>
      </c>
      <c r="D14" s="11" t="s">
        <v>35</v>
      </c>
      <c r="E14" s="11" t="s">
        <v>27</v>
      </c>
      <c r="F14" s="12">
        <v>3000</v>
      </c>
      <c r="G14" s="12">
        <v>70000</v>
      </c>
      <c r="H14" s="12">
        <v>67000</v>
      </c>
      <c r="I14" s="13">
        <v>0.84</v>
      </c>
      <c r="J14" s="14">
        <f t="shared" si="0"/>
        <v>22.333333333333332</v>
      </c>
      <c r="K14" s="15" t="str">
        <f t="shared" si="1"/>
        <v>Exceeds Target</v>
      </c>
      <c r="M14" t="s">
        <v>26</v>
      </c>
      <c r="N14">
        <v>3005000</v>
      </c>
      <c r="O14">
        <v>54930000</v>
      </c>
      <c r="P14">
        <v>51925000</v>
      </c>
      <c r="Q14">
        <v>17.279534109817</v>
      </c>
      <c r="T14" s="5" t="s">
        <v>36</v>
      </c>
    </row>
    <row r="15" spans="2:20" ht="15" customHeight="1">
      <c r="B15" s="11" t="s">
        <v>37</v>
      </c>
      <c r="C15" s="11" t="s">
        <v>38</v>
      </c>
      <c r="D15" s="11" t="s">
        <v>35</v>
      </c>
      <c r="E15" s="11" t="s">
        <v>27</v>
      </c>
      <c r="F15" s="12">
        <v>3000</v>
      </c>
      <c r="G15" s="12">
        <v>200000</v>
      </c>
      <c r="H15" s="12">
        <v>197000</v>
      </c>
      <c r="I15" s="13">
        <v>0.51</v>
      </c>
      <c r="J15" s="14">
        <f t="shared" si="0"/>
        <v>65.666666666666671</v>
      </c>
      <c r="K15" s="15" t="str">
        <f t="shared" si="1"/>
        <v>Exceeds Target</v>
      </c>
      <c r="M15" t="s">
        <v>80</v>
      </c>
      <c r="N15">
        <v>588000</v>
      </c>
      <c r="O15">
        <v>47547000</v>
      </c>
      <c r="P15">
        <v>46959000</v>
      </c>
      <c r="Q15">
        <v>79.862244897959002</v>
      </c>
      <c r="T15" s="5" t="s">
        <v>39</v>
      </c>
    </row>
    <row r="16" spans="2:20" ht="15" customHeight="1">
      <c r="B16" s="11" t="s">
        <v>40</v>
      </c>
      <c r="C16" s="11" t="s">
        <v>41</v>
      </c>
      <c r="D16" s="11" t="s">
        <v>32</v>
      </c>
      <c r="E16" s="11" t="s">
        <v>27</v>
      </c>
      <c r="F16" s="12">
        <v>1500</v>
      </c>
      <c r="G16" s="12">
        <v>44000</v>
      </c>
      <c r="H16" s="12">
        <v>42500</v>
      </c>
      <c r="I16" s="13">
        <v>0.75</v>
      </c>
      <c r="J16" s="14">
        <f t="shared" si="0"/>
        <v>28.333333333333332</v>
      </c>
      <c r="K16" s="15" t="str">
        <f t="shared" si="1"/>
        <v>Exceeds Target</v>
      </c>
      <c r="M16" t="s">
        <v>32</v>
      </c>
      <c r="N16">
        <v>892500</v>
      </c>
      <c r="O16">
        <v>22092000</v>
      </c>
      <c r="P16">
        <v>21199500</v>
      </c>
      <c r="Q16">
        <v>23.752941176471001</v>
      </c>
      <c r="T16" s="5" t="s">
        <v>42</v>
      </c>
    </row>
    <row r="17" spans="2:20" ht="15" customHeight="1">
      <c r="B17" s="11" t="s">
        <v>43</v>
      </c>
      <c r="C17" s="11" t="s">
        <v>44</v>
      </c>
      <c r="D17" s="11" t="s">
        <v>26</v>
      </c>
      <c r="E17" s="11" t="s">
        <v>27</v>
      </c>
      <c r="F17" s="12">
        <v>5000</v>
      </c>
      <c r="G17" s="12">
        <v>120000</v>
      </c>
      <c r="H17" s="12">
        <v>115000</v>
      </c>
      <c r="I17" s="13">
        <v>0.38</v>
      </c>
      <c r="J17" s="14">
        <f t="shared" si="0"/>
        <v>23</v>
      </c>
      <c r="K17" s="15" t="str">
        <f t="shared" si="1"/>
        <v>Exceeds Target</v>
      </c>
      <c r="M17" t="s">
        <v>3428</v>
      </c>
      <c r="N17">
        <v>6821500</v>
      </c>
      <c r="O17">
        <v>284764000</v>
      </c>
      <c r="P17">
        <v>277942500</v>
      </c>
      <c r="Q17">
        <v>54.325333333332999</v>
      </c>
      <c r="T17" s="5" t="s">
        <v>45</v>
      </c>
    </row>
    <row r="18" spans="2:20" ht="15" customHeight="1">
      <c r="B18" s="11" t="s">
        <v>46</v>
      </c>
      <c r="C18" s="11" t="s">
        <v>47</v>
      </c>
      <c r="D18" s="11" t="s">
        <v>26</v>
      </c>
      <c r="E18" s="11" t="s">
        <v>27</v>
      </c>
      <c r="F18" s="12">
        <v>5000</v>
      </c>
      <c r="G18" s="12">
        <v>30000</v>
      </c>
      <c r="H18" s="12">
        <v>25000</v>
      </c>
      <c r="I18" s="13">
        <v>0.17</v>
      </c>
      <c r="J18" s="14">
        <f t="shared" si="0"/>
        <v>5</v>
      </c>
      <c r="K18" s="15" t="str">
        <f t="shared" si="1"/>
        <v>Exceeds Target</v>
      </c>
      <c r="T18" s="5" t="s">
        <v>48</v>
      </c>
    </row>
    <row r="19" spans="2:20" ht="15" customHeight="1">
      <c r="B19" s="11" t="s">
        <v>49</v>
      </c>
      <c r="C19" s="11" t="s">
        <v>50</v>
      </c>
      <c r="D19" s="11" t="s">
        <v>35</v>
      </c>
      <c r="E19" s="11" t="s">
        <v>27</v>
      </c>
      <c r="F19" s="12">
        <v>3000</v>
      </c>
      <c r="G19" s="12">
        <v>100000</v>
      </c>
      <c r="H19" s="12">
        <v>97000</v>
      </c>
      <c r="I19" s="13">
        <v>0.7</v>
      </c>
      <c r="J19" s="14">
        <f t="shared" si="0"/>
        <v>32.333333333333336</v>
      </c>
      <c r="K19" s="15" t="str">
        <f t="shared" si="1"/>
        <v>Exceeds Target</v>
      </c>
      <c r="T19" s="5">
        <v>0</v>
      </c>
    </row>
    <row r="20" spans="2:20" ht="15" customHeight="1">
      <c r="B20" s="11" t="s">
        <v>51</v>
      </c>
      <c r="C20" s="11" t="s">
        <v>52</v>
      </c>
      <c r="D20" s="11" t="s">
        <v>26</v>
      </c>
      <c r="E20" s="11" t="s">
        <v>27</v>
      </c>
      <c r="F20" s="12">
        <v>5000</v>
      </c>
      <c r="G20" s="12">
        <v>90000</v>
      </c>
      <c r="H20" s="12">
        <v>85000</v>
      </c>
      <c r="I20" s="13">
        <v>0.15</v>
      </c>
      <c r="J20" s="14">
        <f t="shared" si="0"/>
        <v>17</v>
      </c>
      <c r="K20" s="15" t="str">
        <f t="shared" si="1"/>
        <v>Exceeds Target</v>
      </c>
      <c r="T20" s="5" t="s">
        <v>53</v>
      </c>
    </row>
    <row r="21" spans="2:20" ht="15" customHeight="1">
      <c r="B21" s="11" t="s">
        <v>54</v>
      </c>
      <c r="C21" s="11" t="s">
        <v>55</v>
      </c>
      <c r="D21" s="11" t="s">
        <v>26</v>
      </c>
      <c r="E21" s="11" t="s">
        <v>27</v>
      </c>
      <c r="F21" s="12">
        <v>5000</v>
      </c>
      <c r="G21" s="12">
        <v>150000</v>
      </c>
      <c r="H21" s="12">
        <v>145000</v>
      </c>
      <c r="I21" s="13">
        <v>0.25</v>
      </c>
      <c r="J21" s="14">
        <f t="shared" si="0"/>
        <v>29</v>
      </c>
      <c r="K21" s="15" t="str">
        <f t="shared" si="1"/>
        <v>Exceeds Target</v>
      </c>
      <c r="M21" s="9" t="s">
        <v>56</v>
      </c>
      <c r="T21" s="5" t="s">
        <v>57</v>
      </c>
    </row>
    <row r="22" spans="2:20" ht="15" customHeight="1">
      <c r="B22" s="11" t="s">
        <v>58</v>
      </c>
      <c r="C22" s="11" t="s">
        <v>59</v>
      </c>
      <c r="D22" s="11" t="s">
        <v>35</v>
      </c>
      <c r="E22" s="11" t="s">
        <v>27</v>
      </c>
      <c r="F22" s="12">
        <v>3000</v>
      </c>
      <c r="G22" s="12">
        <v>140000</v>
      </c>
      <c r="H22" s="12">
        <v>137000</v>
      </c>
      <c r="I22" s="13">
        <v>0.36</v>
      </c>
      <c r="J22" s="14">
        <f t="shared" si="0"/>
        <v>45.666666666666664</v>
      </c>
      <c r="K22" s="15" t="str">
        <f t="shared" si="1"/>
        <v>Exceeds Target</v>
      </c>
      <c r="T22" s="5" t="s">
        <v>60</v>
      </c>
    </row>
    <row r="23" spans="2:20" ht="15" customHeight="1">
      <c r="B23" s="11" t="s">
        <v>61</v>
      </c>
      <c r="C23" s="11" t="s">
        <v>62</v>
      </c>
      <c r="D23" s="11" t="s">
        <v>26</v>
      </c>
      <c r="E23" s="11" t="s">
        <v>27</v>
      </c>
      <c r="F23" s="12">
        <v>5000</v>
      </c>
      <c r="G23" s="12">
        <v>90000</v>
      </c>
      <c r="H23" s="12">
        <v>85000</v>
      </c>
      <c r="I23" s="13">
        <v>0.15</v>
      </c>
      <c r="J23" s="14">
        <f t="shared" si="0"/>
        <v>17</v>
      </c>
      <c r="K23" s="15" t="str">
        <f t="shared" si="1"/>
        <v>Exceeds Target</v>
      </c>
      <c r="N23" t="s">
        <v>3417</v>
      </c>
      <c r="O23" t="s">
        <v>3409</v>
      </c>
      <c r="P23" t="s">
        <v>3419</v>
      </c>
    </row>
    <row r="24" spans="2:20" ht="15" customHeight="1">
      <c r="B24" s="11" t="s">
        <v>63</v>
      </c>
      <c r="C24" s="11" t="s">
        <v>64</v>
      </c>
      <c r="D24" s="11" t="s">
        <v>26</v>
      </c>
      <c r="E24" s="11" t="s">
        <v>27</v>
      </c>
      <c r="F24" s="12">
        <v>5000</v>
      </c>
      <c r="G24" s="12">
        <v>30000</v>
      </c>
      <c r="H24" s="12">
        <v>25000</v>
      </c>
      <c r="I24" s="13">
        <v>0.19</v>
      </c>
      <c r="J24" s="14">
        <f t="shared" si="0"/>
        <v>5</v>
      </c>
      <c r="K24" s="15" t="str">
        <f t="shared" si="1"/>
        <v>Exceeds Target</v>
      </c>
      <c r="M24" t="s">
        <v>27</v>
      </c>
      <c r="N24">
        <v>6165500</v>
      </c>
      <c r="O24">
        <v>225789000</v>
      </c>
      <c r="P24">
        <v>0.55358361774744003</v>
      </c>
    </row>
    <row r="25" spans="2:20" ht="15" customHeight="1">
      <c r="B25" s="11" t="s">
        <v>65</v>
      </c>
      <c r="C25" s="11" t="s">
        <v>66</v>
      </c>
      <c r="D25" s="11" t="s">
        <v>35</v>
      </c>
      <c r="E25" s="11" t="s">
        <v>27</v>
      </c>
      <c r="F25" s="12">
        <v>3000</v>
      </c>
      <c r="G25" s="12">
        <v>270000</v>
      </c>
      <c r="H25" s="12">
        <v>267000</v>
      </c>
      <c r="I25" s="13">
        <v>0.59</v>
      </c>
      <c r="J25" s="14">
        <f t="shared" si="0"/>
        <v>89</v>
      </c>
      <c r="K25" s="15" t="str">
        <f t="shared" si="1"/>
        <v>Exceeds Target</v>
      </c>
      <c r="M25" t="s">
        <v>70</v>
      </c>
      <c r="N25">
        <v>656000</v>
      </c>
      <c r="O25">
        <v>58975000</v>
      </c>
      <c r="P25">
        <v>0.62378048780488005</v>
      </c>
    </row>
    <row r="26" spans="2:20" ht="15" customHeight="1">
      <c r="B26" s="11" t="s">
        <v>67</v>
      </c>
      <c r="C26" s="11" t="s">
        <v>68</v>
      </c>
      <c r="D26" s="11" t="s">
        <v>69</v>
      </c>
      <c r="E26" s="11" t="s">
        <v>70</v>
      </c>
      <c r="F26" s="12">
        <v>1000</v>
      </c>
      <c r="G26" s="12">
        <v>105000</v>
      </c>
      <c r="H26" s="12">
        <v>104000</v>
      </c>
      <c r="I26" s="13">
        <v>0.82</v>
      </c>
      <c r="J26" s="14">
        <f t="shared" si="0"/>
        <v>104</v>
      </c>
      <c r="K26" s="15" t="str">
        <f t="shared" si="1"/>
        <v>Exceeds Target</v>
      </c>
      <c r="M26" t="s">
        <v>3428</v>
      </c>
      <c r="N26">
        <v>6821500</v>
      </c>
      <c r="O26">
        <v>284764000</v>
      </c>
      <c r="P26">
        <v>0.56893333333332996</v>
      </c>
    </row>
    <row r="27" spans="2:20" ht="15" customHeight="1">
      <c r="B27" s="11" t="s">
        <v>46</v>
      </c>
      <c r="C27" s="11" t="s">
        <v>71</v>
      </c>
      <c r="D27" s="11" t="s">
        <v>69</v>
      </c>
      <c r="E27" s="11" t="s">
        <v>70</v>
      </c>
      <c r="F27" s="12">
        <v>1000</v>
      </c>
      <c r="G27" s="12">
        <v>110000</v>
      </c>
      <c r="H27" s="12">
        <v>109000</v>
      </c>
      <c r="I27" s="13">
        <v>0.5</v>
      </c>
      <c r="J27" s="14">
        <f t="shared" si="0"/>
        <v>109</v>
      </c>
      <c r="K27" s="15" t="str">
        <f t="shared" si="1"/>
        <v>Exceeds Target</v>
      </c>
    </row>
    <row r="28" spans="2:20" ht="15" customHeight="1">
      <c r="B28" s="11" t="s">
        <v>72</v>
      </c>
      <c r="C28" s="11" t="s">
        <v>73</v>
      </c>
      <c r="D28" s="11" t="s">
        <v>35</v>
      </c>
      <c r="E28" s="11" t="s">
        <v>27</v>
      </c>
      <c r="F28" s="12">
        <v>3000</v>
      </c>
      <c r="G28" s="12">
        <v>250000</v>
      </c>
      <c r="H28" s="12">
        <v>247000</v>
      </c>
      <c r="I28" s="13">
        <v>0.42</v>
      </c>
      <c r="J28" s="14">
        <f t="shared" si="0"/>
        <v>82.333333333333329</v>
      </c>
      <c r="K28" s="15" t="str">
        <f t="shared" si="1"/>
        <v>Exceeds Target</v>
      </c>
    </row>
    <row r="29" spans="2:20" ht="15" customHeight="1">
      <c r="B29" s="11" t="s">
        <v>74</v>
      </c>
      <c r="C29" s="11" t="s">
        <v>75</v>
      </c>
      <c r="D29" s="11" t="s">
        <v>35</v>
      </c>
      <c r="E29" s="11" t="s">
        <v>27</v>
      </c>
      <c r="F29" s="12">
        <v>3000</v>
      </c>
      <c r="G29" s="12">
        <v>180000</v>
      </c>
      <c r="H29" s="12">
        <v>177000</v>
      </c>
      <c r="I29" s="13">
        <v>0.88</v>
      </c>
      <c r="J29" s="14">
        <f t="shared" si="0"/>
        <v>59</v>
      </c>
      <c r="K29" s="15" t="str">
        <f t="shared" si="1"/>
        <v>Exceeds Target</v>
      </c>
    </row>
    <row r="30" spans="2:20" ht="15" customHeight="1">
      <c r="B30" s="11" t="s">
        <v>76</v>
      </c>
      <c r="C30" s="11" t="s">
        <v>77</v>
      </c>
      <c r="D30" s="11" t="s">
        <v>69</v>
      </c>
      <c r="E30" s="11" t="s">
        <v>70</v>
      </c>
      <c r="F30" s="12">
        <v>1000</v>
      </c>
      <c r="G30" s="12">
        <v>145000</v>
      </c>
      <c r="H30" s="12">
        <v>144000</v>
      </c>
      <c r="I30" s="13">
        <v>0.66</v>
      </c>
      <c r="J30" s="14">
        <f t="shared" si="0"/>
        <v>144</v>
      </c>
      <c r="K30" s="15" t="str">
        <f t="shared" si="1"/>
        <v>Exceeds Target</v>
      </c>
    </row>
    <row r="31" spans="2:20" ht="15" customHeight="1">
      <c r="B31" s="11" t="s">
        <v>78</v>
      </c>
      <c r="C31" s="11" t="s">
        <v>79</v>
      </c>
      <c r="D31" s="11" t="s">
        <v>80</v>
      </c>
      <c r="E31" s="11" t="s">
        <v>27</v>
      </c>
      <c r="F31" s="12">
        <v>1000</v>
      </c>
      <c r="G31" s="12">
        <v>54000</v>
      </c>
      <c r="H31" s="12">
        <v>53000</v>
      </c>
      <c r="I31" s="13">
        <v>0.88</v>
      </c>
      <c r="J31" s="14">
        <f t="shared" si="0"/>
        <v>53</v>
      </c>
      <c r="K31" s="15" t="str">
        <f t="shared" si="1"/>
        <v>Exceeds Target</v>
      </c>
    </row>
    <row r="32" spans="2:20" ht="15" customHeight="1">
      <c r="B32" s="11" t="s">
        <v>81</v>
      </c>
      <c r="C32" s="11" t="s">
        <v>82</v>
      </c>
      <c r="D32" s="11" t="s">
        <v>80</v>
      </c>
      <c r="E32" s="11" t="s">
        <v>27</v>
      </c>
      <c r="F32" s="12">
        <v>1000</v>
      </c>
      <c r="G32" s="12">
        <v>108000</v>
      </c>
      <c r="H32" s="12">
        <v>107000</v>
      </c>
      <c r="I32" s="13">
        <v>0.79</v>
      </c>
      <c r="J32" s="14">
        <f t="shared" si="0"/>
        <v>107</v>
      </c>
      <c r="K32" s="15" t="str">
        <f t="shared" si="1"/>
        <v>Exceeds Target</v>
      </c>
      <c r="M32" s="16"/>
      <c r="O32" t="s">
        <v>3418</v>
      </c>
      <c r="P32" t="s">
        <v>3426</v>
      </c>
      <c r="Q32" t="s">
        <v>3419</v>
      </c>
    </row>
    <row r="33" spans="2:17" ht="15" customHeight="1">
      <c r="B33" s="11" t="s">
        <v>83</v>
      </c>
      <c r="C33" s="11" t="s">
        <v>84</v>
      </c>
      <c r="D33" s="11" t="s">
        <v>69</v>
      </c>
      <c r="E33" s="11" t="s">
        <v>70</v>
      </c>
      <c r="F33" s="12">
        <v>1000</v>
      </c>
      <c r="G33" s="12">
        <v>50000</v>
      </c>
      <c r="H33" s="12">
        <v>49000</v>
      </c>
      <c r="I33" s="13">
        <v>0.52</v>
      </c>
      <c r="J33" s="14">
        <f t="shared" si="0"/>
        <v>49</v>
      </c>
      <c r="K33" s="15" t="str">
        <f t="shared" si="1"/>
        <v>Exceeds Target</v>
      </c>
      <c r="M33" t="s">
        <v>35</v>
      </c>
      <c r="N33" t="s">
        <v>27</v>
      </c>
      <c r="O33">
        <v>99540000</v>
      </c>
      <c r="P33">
        <v>59.25</v>
      </c>
      <c r="Q33">
        <v>0.61048214285713998</v>
      </c>
    </row>
    <row r="34" spans="2:17" ht="15" customHeight="1">
      <c r="B34" s="11" t="s">
        <v>85</v>
      </c>
      <c r="C34" s="11" t="s">
        <v>86</v>
      </c>
      <c r="D34" s="11" t="s">
        <v>26</v>
      </c>
      <c r="E34" s="11" t="s">
        <v>27</v>
      </c>
      <c r="F34" s="12">
        <v>5000</v>
      </c>
      <c r="G34" s="12">
        <v>60000</v>
      </c>
      <c r="H34" s="12">
        <v>55000</v>
      </c>
      <c r="I34" s="13">
        <v>0.17</v>
      </c>
      <c r="J34" s="14">
        <f t="shared" si="0"/>
        <v>11</v>
      </c>
      <c r="K34" s="15" t="str">
        <f t="shared" si="1"/>
        <v>Exceeds Target</v>
      </c>
      <c r="M34" t="s">
        <v>3429</v>
      </c>
      <c r="O34">
        <v>99540000</v>
      </c>
      <c r="P34">
        <v>59.25</v>
      </c>
      <c r="Q34">
        <v>0.61048214285713998</v>
      </c>
    </row>
    <row r="35" spans="2:17" ht="15" customHeight="1">
      <c r="B35" s="11" t="s">
        <v>87</v>
      </c>
      <c r="C35" s="11" t="s">
        <v>88</v>
      </c>
      <c r="D35" s="11" t="s">
        <v>69</v>
      </c>
      <c r="E35" s="11" t="s">
        <v>70</v>
      </c>
      <c r="F35" s="12">
        <v>1000</v>
      </c>
      <c r="G35" s="12">
        <v>90000</v>
      </c>
      <c r="H35" s="12">
        <v>89000</v>
      </c>
      <c r="I35" s="13">
        <v>0.45</v>
      </c>
      <c r="J35" s="14">
        <f t="shared" si="0"/>
        <v>89</v>
      </c>
      <c r="K35" s="15" t="str">
        <f t="shared" si="1"/>
        <v>Exceeds Target</v>
      </c>
      <c r="M35" t="s">
        <v>69</v>
      </c>
      <c r="N35" t="s">
        <v>70</v>
      </c>
      <c r="O35">
        <v>58319000</v>
      </c>
      <c r="P35">
        <v>88.900914634146005</v>
      </c>
      <c r="Q35">
        <v>0.62378048780488005</v>
      </c>
    </row>
    <row r="36" spans="2:17" ht="15" customHeight="1">
      <c r="B36" s="11" t="s">
        <v>89</v>
      </c>
      <c r="C36" s="11" t="s">
        <v>90</v>
      </c>
      <c r="D36" s="11" t="s">
        <v>69</v>
      </c>
      <c r="E36" s="11" t="s">
        <v>70</v>
      </c>
      <c r="F36" s="12">
        <v>1000</v>
      </c>
      <c r="G36" s="12">
        <v>100000</v>
      </c>
      <c r="H36" s="12">
        <v>99000</v>
      </c>
      <c r="I36" s="13">
        <v>0.93</v>
      </c>
      <c r="J36" s="14">
        <f t="shared" si="0"/>
        <v>99</v>
      </c>
      <c r="K36" s="15" t="str">
        <f t="shared" si="1"/>
        <v>Exceeds Target</v>
      </c>
      <c r="M36" t="s">
        <v>3430</v>
      </c>
      <c r="O36">
        <v>58319000</v>
      </c>
      <c r="P36">
        <v>88.900914634146005</v>
      </c>
      <c r="Q36">
        <v>0.62378048780488005</v>
      </c>
    </row>
    <row r="37" spans="2:17" ht="15" customHeight="1">
      <c r="B37" s="11" t="s">
        <v>91</v>
      </c>
      <c r="C37" s="11" t="s">
        <v>92</v>
      </c>
      <c r="D37" s="11" t="s">
        <v>69</v>
      </c>
      <c r="E37" s="11" t="s">
        <v>70</v>
      </c>
      <c r="F37" s="12">
        <v>1000</v>
      </c>
      <c r="G37" s="12">
        <v>135000</v>
      </c>
      <c r="H37" s="12">
        <v>134000</v>
      </c>
      <c r="I37" s="13">
        <v>0.33</v>
      </c>
      <c r="J37" s="14">
        <f t="shared" si="0"/>
        <v>134</v>
      </c>
      <c r="K37" s="15" t="str">
        <f t="shared" si="1"/>
        <v>Exceeds Target</v>
      </c>
      <c r="M37" t="s">
        <v>26</v>
      </c>
      <c r="N37" t="s">
        <v>27</v>
      </c>
      <c r="O37">
        <v>51925000</v>
      </c>
      <c r="P37">
        <v>17.279534109817</v>
      </c>
      <c r="Q37">
        <v>0.19204658901829999</v>
      </c>
    </row>
    <row r="38" spans="2:17" ht="15" customHeight="1">
      <c r="B38" s="11" t="s">
        <v>93</v>
      </c>
      <c r="C38" s="11" t="s">
        <v>94</v>
      </c>
      <c r="D38" s="11" t="s">
        <v>80</v>
      </c>
      <c r="E38" s="11" t="s">
        <v>27</v>
      </c>
      <c r="F38" s="12">
        <v>1000</v>
      </c>
      <c r="G38" s="12">
        <v>84000</v>
      </c>
      <c r="H38" s="12">
        <v>83000</v>
      </c>
      <c r="I38" s="13">
        <v>0.94</v>
      </c>
      <c r="J38" s="14">
        <f t="shared" si="0"/>
        <v>83</v>
      </c>
      <c r="K38" s="15" t="str">
        <f t="shared" si="1"/>
        <v>Exceeds Target</v>
      </c>
      <c r="M38" t="s">
        <v>3431</v>
      </c>
      <c r="O38">
        <v>51925000</v>
      </c>
      <c r="P38">
        <v>17.279534109817</v>
      </c>
      <c r="Q38">
        <v>0.19204658901829999</v>
      </c>
    </row>
    <row r="39" spans="2:17" ht="15" customHeight="1">
      <c r="B39" s="11" t="s">
        <v>95</v>
      </c>
      <c r="C39" s="11" t="s">
        <v>96</v>
      </c>
      <c r="D39" s="11" t="s">
        <v>69</v>
      </c>
      <c r="E39" s="11" t="s">
        <v>70</v>
      </c>
      <c r="F39" s="12">
        <v>1000</v>
      </c>
      <c r="G39" s="12">
        <v>60000</v>
      </c>
      <c r="H39" s="12">
        <v>59000</v>
      </c>
      <c r="I39" s="13">
        <v>0.42</v>
      </c>
      <c r="J39" s="14">
        <f t="shared" si="0"/>
        <v>59</v>
      </c>
      <c r="K39" s="15" t="str">
        <f t="shared" si="1"/>
        <v>Exceeds Target</v>
      </c>
      <c r="M39" s="16" t="s">
        <v>80</v>
      </c>
      <c r="N39" t="s">
        <v>27</v>
      </c>
      <c r="O39">
        <v>46959000</v>
      </c>
      <c r="P39">
        <v>79.862244897959002</v>
      </c>
      <c r="Q39">
        <v>0.80302721088435003</v>
      </c>
    </row>
    <row r="40" spans="2:17" ht="15" customHeight="1">
      <c r="B40" s="11" t="s">
        <v>97</v>
      </c>
      <c r="C40" s="11" t="s">
        <v>98</v>
      </c>
      <c r="D40" s="11" t="s">
        <v>80</v>
      </c>
      <c r="E40" s="11" t="s">
        <v>27</v>
      </c>
      <c r="F40" s="12">
        <v>1000</v>
      </c>
      <c r="G40" s="12">
        <v>60000</v>
      </c>
      <c r="H40" s="12">
        <v>59000</v>
      </c>
      <c r="I40" s="13">
        <v>0.84</v>
      </c>
      <c r="J40" s="14">
        <f t="shared" si="0"/>
        <v>59</v>
      </c>
      <c r="K40" s="15" t="str">
        <f t="shared" si="1"/>
        <v>Exceeds Target</v>
      </c>
      <c r="M40" t="s">
        <v>3432</v>
      </c>
      <c r="O40">
        <v>46959000</v>
      </c>
      <c r="P40">
        <v>79.862244897959002</v>
      </c>
      <c r="Q40">
        <v>0.80302721088435003</v>
      </c>
    </row>
    <row r="41" spans="2:17" ht="15" customHeight="1">
      <c r="B41" s="11" t="s">
        <v>99</v>
      </c>
      <c r="C41" s="11" t="s">
        <v>100</v>
      </c>
      <c r="D41" s="11" t="s">
        <v>35</v>
      </c>
      <c r="E41" s="11" t="s">
        <v>27</v>
      </c>
      <c r="F41" s="12">
        <v>3000</v>
      </c>
      <c r="G41" s="12">
        <v>300000</v>
      </c>
      <c r="H41" s="12">
        <v>297000</v>
      </c>
      <c r="I41" s="13">
        <v>0.53</v>
      </c>
      <c r="J41" s="14">
        <f t="shared" si="0"/>
        <v>99</v>
      </c>
      <c r="K41" s="15" t="str">
        <f t="shared" si="1"/>
        <v>Exceeds Target</v>
      </c>
      <c r="M41" t="s">
        <v>32</v>
      </c>
      <c r="N41" t="s">
        <v>27</v>
      </c>
      <c r="O41">
        <v>21199500</v>
      </c>
      <c r="P41">
        <v>23.752941176471001</v>
      </c>
      <c r="Q41">
        <v>0.61870588235294</v>
      </c>
    </row>
    <row r="42" spans="2:17" ht="15" customHeight="1">
      <c r="B42" s="11" t="s">
        <v>101</v>
      </c>
      <c r="C42" s="11" t="s">
        <v>102</v>
      </c>
      <c r="D42" s="11" t="s">
        <v>26</v>
      </c>
      <c r="E42" s="11" t="s">
        <v>27</v>
      </c>
      <c r="F42" s="12">
        <v>5000</v>
      </c>
      <c r="G42" s="12">
        <v>90000</v>
      </c>
      <c r="H42" s="12">
        <v>85000</v>
      </c>
      <c r="I42" s="13">
        <v>0.23</v>
      </c>
      <c r="J42" s="14">
        <f t="shared" si="0"/>
        <v>17</v>
      </c>
      <c r="K42" s="15" t="str">
        <f t="shared" si="1"/>
        <v>Exceeds Target</v>
      </c>
      <c r="M42" t="s">
        <v>3433</v>
      </c>
      <c r="O42">
        <v>21199500</v>
      </c>
      <c r="P42">
        <v>23.752941176471001</v>
      </c>
      <c r="Q42">
        <v>0.61870588235294</v>
      </c>
    </row>
    <row r="43" spans="2:17" ht="15" customHeight="1">
      <c r="B43" s="11" t="s">
        <v>103</v>
      </c>
      <c r="C43" s="11" t="s">
        <v>104</v>
      </c>
      <c r="D43" s="11" t="s">
        <v>69</v>
      </c>
      <c r="E43" s="11" t="s">
        <v>70</v>
      </c>
      <c r="F43" s="12">
        <v>1000</v>
      </c>
      <c r="G43" s="12">
        <v>145000</v>
      </c>
      <c r="H43" s="12">
        <v>144000</v>
      </c>
      <c r="I43" s="13">
        <v>0.93</v>
      </c>
      <c r="J43" s="14">
        <f t="shared" si="0"/>
        <v>144</v>
      </c>
      <c r="K43" s="15" t="str">
        <f t="shared" si="1"/>
        <v>Exceeds Target</v>
      </c>
      <c r="M43" t="s">
        <v>3428</v>
      </c>
      <c r="O43">
        <v>277942500</v>
      </c>
      <c r="P43">
        <v>54.325333333332999</v>
      </c>
      <c r="Q43">
        <v>0.56893333333332996</v>
      </c>
    </row>
    <row r="44" spans="2:17" ht="15" customHeight="1">
      <c r="B44" s="11" t="s">
        <v>105</v>
      </c>
      <c r="C44" s="11" t="s">
        <v>106</v>
      </c>
      <c r="D44" s="11" t="s">
        <v>35</v>
      </c>
      <c r="E44" s="11" t="s">
        <v>27</v>
      </c>
      <c r="F44" s="12">
        <v>3000</v>
      </c>
      <c r="G44" s="12">
        <v>70000</v>
      </c>
      <c r="H44" s="12">
        <v>67000</v>
      </c>
      <c r="I44" s="13">
        <v>0.21</v>
      </c>
      <c r="J44" s="14">
        <f t="shared" si="0"/>
        <v>22.333333333333332</v>
      </c>
      <c r="K44" s="15" t="str">
        <f t="shared" si="1"/>
        <v>Exceeds Target</v>
      </c>
    </row>
    <row r="45" spans="2:17" ht="15" customHeight="1">
      <c r="B45" s="11" t="s">
        <v>107</v>
      </c>
      <c r="C45" s="11" t="s">
        <v>108</v>
      </c>
      <c r="D45" s="11" t="s">
        <v>69</v>
      </c>
      <c r="E45" s="11" t="s">
        <v>70</v>
      </c>
      <c r="F45" s="12">
        <v>1000</v>
      </c>
      <c r="G45" s="12">
        <v>150000</v>
      </c>
      <c r="H45" s="12">
        <v>149000</v>
      </c>
      <c r="I45" s="13">
        <v>0.48</v>
      </c>
      <c r="J45" s="14">
        <f t="shared" si="0"/>
        <v>149</v>
      </c>
      <c r="K45" s="15" t="str">
        <f t="shared" si="1"/>
        <v>Exceeds Target</v>
      </c>
    </row>
    <row r="46" spans="2:17" ht="15" customHeight="1">
      <c r="B46" s="11" t="s">
        <v>109</v>
      </c>
      <c r="C46" s="11" t="s">
        <v>110</v>
      </c>
      <c r="D46" s="11" t="s">
        <v>35</v>
      </c>
      <c r="E46" s="11" t="s">
        <v>27</v>
      </c>
      <c r="F46" s="12">
        <v>3000</v>
      </c>
      <c r="G46" s="12">
        <v>60000</v>
      </c>
      <c r="H46" s="12">
        <v>57000</v>
      </c>
      <c r="I46" s="13">
        <v>0.95</v>
      </c>
      <c r="J46" s="14">
        <f t="shared" si="0"/>
        <v>19</v>
      </c>
      <c r="K46" s="15" t="str">
        <f t="shared" si="1"/>
        <v>Exceeds Target</v>
      </c>
    </row>
    <row r="47" spans="2:17" ht="15" customHeight="1">
      <c r="B47" s="11" t="s">
        <v>111</v>
      </c>
      <c r="C47" s="11" t="s">
        <v>112</v>
      </c>
      <c r="D47" s="11" t="s">
        <v>26</v>
      </c>
      <c r="E47" s="11" t="s">
        <v>27</v>
      </c>
      <c r="F47" s="12">
        <v>5000</v>
      </c>
      <c r="G47" s="12">
        <v>90000</v>
      </c>
      <c r="H47" s="12">
        <v>85000</v>
      </c>
      <c r="I47" s="13">
        <v>0.19</v>
      </c>
      <c r="J47" s="14">
        <f t="shared" si="0"/>
        <v>17</v>
      </c>
      <c r="K47" s="15" t="str">
        <f t="shared" si="1"/>
        <v>Exceeds Target</v>
      </c>
    </row>
    <row r="48" spans="2:17" ht="15" customHeight="1">
      <c r="B48" t="s">
        <v>113</v>
      </c>
      <c r="C48" t="s">
        <v>114</v>
      </c>
      <c r="D48" t="s">
        <v>35</v>
      </c>
      <c r="E48" t="s">
        <v>27</v>
      </c>
      <c r="F48" s="17">
        <v>3000</v>
      </c>
      <c r="G48" s="17">
        <v>130000</v>
      </c>
      <c r="H48" s="17">
        <v>127000</v>
      </c>
      <c r="I48" s="18">
        <v>0.75</v>
      </c>
      <c r="J48" s="14">
        <f t="shared" si="0"/>
        <v>42.333333333333336</v>
      </c>
      <c r="K48" s="15" t="str">
        <f t="shared" si="1"/>
        <v>Exceeds Target</v>
      </c>
    </row>
    <row r="49" spans="2:11" ht="15" customHeight="1">
      <c r="B49" t="s">
        <v>115</v>
      </c>
      <c r="C49" t="s">
        <v>116</v>
      </c>
      <c r="D49" t="s">
        <v>32</v>
      </c>
      <c r="E49" t="s">
        <v>27</v>
      </c>
      <c r="F49" s="17">
        <v>1500</v>
      </c>
      <c r="G49" s="17">
        <v>46000</v>
      </c>
      <c r="H49" s="17">
        <v>44500</v>
      </c>
      <c r="I49" s="18">
        <v>0.8</v>
      </c>
      <c r="J49" s="14">
        <f t="shared" si="0"/>
        <v>29.666666666666668</v>
      </c>
      <c r="K49" s="15" t="str">
        <f t="shared" si="1"/>
        <v>Exceeds Target</v>
      </c>
    </row>
    <row r="50" spans="2:11" ht="15" customHeight="1">
      <c r="B50" t="s">
        <v>117</v>
      </c>
      <c r="C50" t="s">
        <v>118</v>
      </c>
      <c r="D50" t="s">
        <v>32</v>
      </c>
      <c r="E50" t="s">
        <v>27</v>
      </c>
      <c r="F50" s="17">
        <v>1500</v>
      </c>
      <c r="G50" s="17">
        <v>26000</v>
      </c>
      <c r="H50" s="17">
        <v>24500</v>
      </c>
      <c r="I50" s="18">
        <v>0.86</v>
      </c>
      <c r="J50" s="14">
        <f t="shared" si="0"/>
        <v>16.333333333333332</v>
      </c>
      <c r="K50" s="15" t="str">
        <f t="shared" si="1"/>
        <v>Exceeds Target</v>
      </c>
    </row>
    <row r="51" spans="2:11" ht="15" customHeight="1">
      <c r="B51" t="s">
        <v>119</v>
      </c>
      <c r="C51" t="s">
        <v>120</v>
      </c>
      <c r="D51" t="s">
        <v>26</v>
      </c>
      <c r="E51" t="s">
        <v>27</v>
      </c>
      <c r="F51" s="17">
        <v>5000</v>
      </c>
      <c r="G51" s="17">
        <v>120000</v>
      </c>
      <c r="H51" s="17">
        <v>115000</v>
      </c>
      <c r="I51" s="18">
        <v>0.22</v>
      </c>
      <c r="J51" s="14">
        <f t="shared" si="0"/>
        <v>23</v>
      </c>
      <c r="K51" s="15" t="str">
        <f t="shared" si="1"/>
        <v>Exceeds Target</v>
      </c>
    </row>
    <row r="52" spans="2:11" ht="15" customHeight="1">
      <c r="B52" t="s">
        <v>121</v>
      </c>
      <c r="C52" t="s">
        <v>122</v>
      </c>
      <c r="D52" t="s">
        <v>80</v>
      </c>
      <c r="E52" t="s">
        <v>27</v>
      </c>
      <c r="F52" s="17">
        <v>1000</v>
      </c>
      <c r="G52" s="17">
        <v>120000</v>
      </c>
      <c r="H52" s="17">
        <v>119000</v>
      </c>
      <c r="I52" s="18">
        <v>0.77</v>
      </c>
      <c r="J52" s="14">
        <f t="shared" si="0"/>
        <v>119</v>
      </c>
      <c r="K52" s="15" t="str">
        <f t="shared" si="1"/>
        <v>Exceeds Target</v>
      </c>
    </row>
    <row r="53" spans="2:11" ht="15" customHeight="1">
      <c r="B53" t="s">
        <v>123</v>
      </c>
      <c r="C53" t="s">
        <v>124</v>
      </c>
      <c r="D53" t="s">
        <v>69</v>
      </c>
      <c r="E53" t="s">
        <v>70</v>
      </c>
      <c r="F53" s="17">
        <v>1000</v>
      </c>
      <c r="G53" s="17">
        <v>115000</v>
      </c>
      <c r="H53" s="17">
        <v>114000</v>
      </c>
      <c r="I53" s="18">
        <v>0.95</v>
      </c>
      <c r="J53" s="14">
        <f t="shared" si="0"/>
        <v>114</v>
      </c>
      <c r="K53" s="15" t="str">
        <f t="shared" si="1"/>
        <v>Exceeds Target</v>
      </c>
    </row>
    <row r="54" spans="2:11" ht="15" customHeight="1">
      <c r="B54" t="s">
        <v>125</v>
      </c>
      <c r="C54" t="s">
        <v>126</v>
      </c>
      <c r="D54" t="s">
        <v>69</v>
      </c>
      <c r="E54" t="s">
        <v>70</v>
      </c>
      <c r="F54" s="17">
        <v>1000</v>
      </c>
      <c r="G54" s="17">
        <v>150000</v>
      </c>
      <c r="H54" s="17">
        <v>149000</v>
      </c>
      <c r="I54" s="18">
        <v>0.3</v>
      </c>
      <c r="J54" s="14">
        <f t="shared" si="0"/>
        <v>149</v>
      </c>
      <c r="K54" s="15" t="str">
        <f t="shared" si="1"/>
        <v>Exceeds Target</v>
      </c>
    </row>
    <row r="55" spans="2:11" ht="15" customHeight="1">
      <c r="B55" t="s">
        <v>127</v>
      </c>
      <c r="C55" t="s">
        <v>128</v>
      </c>
      <c r="D55" t="s">
        <v>32</v>
      </c>
      <c r="E55" t="s">
        <v>27</v>
      </c>
      <c r="F55" s="17">
        <v>1500</v>
      </c>
      <c r="G55" s="17">
        <v>36000</v>
      </c>
      <c r="H55" s="17">
        <v>34500</v>
      </c>
      <c r="I55" s="18">
        <v>0.52</v>
      </c>
      <c r="J55" s="14">
        <f t="shared" si="0"/>
        <v>23</v>
      </c>
      <c r="K55" s="15" t="str">
        <f t="shared" si="1"/>
        <v>Exceeds Target</v>
      </c>
    </row>
    <row r="56" spans="2:11" ht="15" customHeight="1">
      <c r="B56" t="s">
        <v>129</v>
      </c>
      <c r="C56" t="s">
        <v>130</v>
      </c>
      <c r="D56" t="s">
        <v>69</v>
      </c>
      <c r="E56" t="s">
        <v>70</v>
      </c>
      <c r="F56" s="17">
        <v>1000</v>
      </c>
      <c r="G56" s="17">
        <v>70000</v>
      </c>
      <c r="H56" s="17">
        <v>69000</v>
      </c>
      <c r="I56" s="18">
        <v>0.95</v>
      </c>
      <c r="J56" s="14">
        <f t="shared" si="0"/>
        <v>69</v>
      </c>
      <c r="K56" s="15" t="str">
        <f t="shared" si="1"/>
        <v>Exceeds Target</v>
      </c>
    </row>
    <row r="57" spans="2:11" ht="15" customHeight="1">
      <c r="B57" t="s">
        <v>131</v>
      </c>
      <c r="C57" t="s">
        <v>132</v>
      </c>
      <c r="D57" t="s">
        <v>35</v>
      </c>
      <c r="E57" t="s">
        <v>27</v>
      </c>
      <c r="F57" s="17">
        <v>3000</v>
      </c>
      <c r="G57" s="17">
        <v>70000</v>
      </c>
      <c r="H57" s="17">
        <v>67000</v>
      </c>
      <c r="I57" s="18">
        <v>0.25</v>
      </c>
      <c r="J57" s="14">
        <f t="shared" si="0"/>
        <v>22.333333333333332</v>
      </c>
      <c r="K57" s="15" t="str">
        <f t="shared" si="1"/>
        <v>Exceeds Target</v>
      </c>
    </row>
    <row r="58" spans="2:11" ht="15" customHeight="1">
      <c r="B58" t="s">
        <v>133</v>
      </c>
      <c r="C58" t="s">
        <v>134</v>
      </c>
      <c r="D58" t="s">
        <v>35</v>
      </c>
      <c r="E58" t="s">
        <v>27</v>
      </c>
      <c r="F58" s="17">
        <v>3000</v>
      </c>
      <c r="G58" s="17">
        <v>150000</v>
      </c>
      <c r="H58" s="17">
        <v>147000</v>
      </c>
      <c r="I58" s="18">
        <v>0.79</v>
      </c>
      <c r="J58" s="14">
        <f t="shared" si="0"/>
        <v>49</v>
      </c>
      <c r="K58" s="15" t="str">
        <f t="shared" si="1"/>
        <v>Exceeds Target</v>
      </c>
    </row>
    <row r="59" spans="2:11" ht="15" customHeight="1">
      <c r="B59" t="s">
        <v>135</v>
      </c>
      <c r="C59" t="s">
        <v>136</v>
      </c>
      <c r="D59" t="s">
        <v>32</v>
      </c>
      <c r="E59" t="s">
        <v>27</v>
      </c>
      <c r="F59" s="17">
        <v>1500</v>
      </c>
      <c r="G59" s="17">
        <v>46000</v>
      </c>
      <c r="H59" s="17">
        <v>44500</v>
      </c>
      <c r="I59" s="18">
        <v>0.23</v>
      </c>
      <c r="J59" s="14">
        <f t="shared" si="0"/>
        <v>29.666666666666668</v>
      </c>
      <c r="K59" s="15" t="str">
        <f t="shared" si="1"/>
        <v>Exceeds Target</v>
      </c>
    </row>
    <row r="60" spans="2:11" ht="15" customHeight="1">
      <c r="B60" t="s">
        <v>137</v>
      </c>
      <c r="C60" t="s">
        <v>138</v>
      </c>
      <c r="D60" t="s">
        <v>26</v>
      </c>
      <c r="E60" t="s">
        <v>27</v>
      </c>
      <c r="F60" s="17">
        <v>5000</v>
      </c>
      <c r="G60" s="17">
        <v>120000</v>
      </c>
      <c r="H60" s="17">
        <v>115000</v>
      </c>
      <c r="I60" s="18">
        <v>0.28999999999999998</v>
      </c>
      <c r="J60" s="14">
        <f t="shared" si="0"/>
        <v>23</v>
      </c>
      <c r="K60" s="15" t="str">
        <f t="shared" si="1"/>
        <v>Exceeds Target</v>
      </c>
    </row>
    <row r="61" spans="2:11" ht="15" customHeight="1">
      <c r="B61" t="s">
        <v>139</v>
      </c>
      <c r="C61" t="s">
        <v>140</v>
      </c>
      <c r="D61" t="s">
        <v>32</v>
      </c>
      <c r="E61" t="s">
        <v>27</v>
      </c>
      <c r="F61" s="17">
        <v>1500</v>
      </c>
      <c r="G61" s="17">
        <v>14000</v>
      </c>
      <c r="H61" s="17">
        <v>12500</v>
      </c>
      <c r="I61" s="18">
        <v>0.23</v>
      </c>
      <c r="J61" s="14">
        <f t="shared" si="0"/>
        <v>8.3333333333333339</v>
      </c>
      <c r="K61" s="15" t="str">
        <f t="shared" si="1"/>
        <v>Exceeds Target</v>
      </c>
    </row>
    <row r="62" spans="2:11" ht="15" customHeight="1">
      <c r="B62" t="s">
        <v>141</v>
      </c>
      <c r="C62" t="s">
        <v>142</v>
      </c>
      <c r="D62" t="s">
        <v>69</v>
      </c>
      <c r="E62" t="s">
        <v>70</v>
      </c>
      <c r="F62" s="17">
        <v>1000</v>
      </c>
      <c r="G62" s="17">
        <v>125000</v>
      </c>
      <c r="H62" s="17">
        <v>124000</v>
      </c>
      <c r="I62" s="18">
        <v>0.86</v>
      </c>
      <c r="J62" s="14">
        <f t="shared" si="0"/>
        <v>124</v>
      </c>
      <c r="K62" s="15" t="str">
        <f t="shared" si="1"/>
        <v>Exceeds Target</v>
      </c>
    </row>
    <row r="63" spans="2:11" ht="15" customHeight="1">
      <c r="B63" t="s">
        <v>143</v>
      </c>
      <c r="C63" t="s">
        <v>144</v>
      </c>
      <c r="D63" t="s">
        <v>80</v>
      </c>
      <c r="E63" t="s">
        <v>27</v>
      </c>
      <c r="F63" s="17">
        <v>1000</v>
      </c>
      <c r="G63" s="17">
        <v>69000</v>
      </c>
      <c r="H63" s="17">
        <v>68000</v>
      </c>
      <c r="I63" s="18">
        <v>0.83</v>
      </c>
      <c r="J63" s="14">
        <f t="shared" si="0"/>
        <v>68</v>
      </c>
      <c r="K63" s="15" t="str">
        <f t="shared" si="1"/>
        <v>Exceeds Target</v>
      </c>
    </row>
    <row r="64" spans="2:11" ht="15" customHeight="1">
      <c r="B64" t="s">
        <v>83</v>
      </c>
      <c r="C64" t="s">
        <v>145</v>
      </c>
      <c r="D64" t="s">
        <v>26</v>
      </c>
      <c r="E64" t="s">
        <v>27</v>
      </c>
      <c r="F64" s="17">
        <v>5000</v>
      </c>
      <c r="G64" s="17">
        <v>90000</v>
      </c>
      <c r="H64" s="17">
        <v>85000</v>
      </c>
      <c r="I64" s="18">
        <v>0.3</v>
      </c>
      <c r="J64" s="14">
        <f t="shared" si="0"/>
        <v>17</v>
      </c>
      <c r="K64" s="15" t="str">
        <f t="shared" si="1"/>
        <v>Exceeds Target</v>
      </c>
    </row>
    <row r="65" spans="2:11" ht="15" customHeight="1">
      <c r="B65" t="s">
        <v>43</v>
      </c>
      <c r="C65" t="s">
        <v>146</v>
      </c>
      <c r="D65" t="s">
        <v>69</v>
      </c>
      <c r="E65" t="s">
        <v>70</v>
      </c>
      <c r="F65" s="17">
        <v>1000</v>
      </c>
      <c r="G65" s="17">
        <v>60000</v>
      </c>
      <c r="H65" s="17">
        <v>59000</v>
      </c>
      <c r="I65" s="18">
        <v>0.9</v>
      </c>
      <c r="J65" s="14">
        <f t="shared" si="0"/>
        <v>59</v>
      </c>
      <c r="K65" s="15" t="str">
        <f t="shared" si="1"/>
        <v>Exceeds Target</v>
      </c>
    </row>
    <row r="66" spans="2:11" ht="15" customHeight="1">
      <c r="B66" t="s">
        <v>95</v>
      </c>
      <c r="C66" t="s">
        <v>147</v>
      </c>
      <c r="D66" t="s">
        <v>35</v>
      </c>
      <c r="E66" t="s">
        <v>27</v>
      </c>
      <c r="F66" s="17">
        <v>3000</v>
      </c>
      <c r="G66" s="17">
        <v>70000</v>
      </c>
      <c r="H66" s="17">
        <v>67000</v>
      </c>
      <c r="I66" s="18">
        <v>0.99</v>
      </c>
      <c r="J66" s="14">
        <f t="shared" si="0"/>
        <v>22.333333333333332</v>
      </c>
      <c r="K66" s="15" t="str">
        <f t="shared" si="1"/>
        <v>Exceeds Target</v>
      </c>
    </row>
    <row r="67" spans="2:11" ht="15" customHeight="1">
      <c r="B67" t="s">
        <v>143</v>
      </c>
      <c r="C67" t="s">
        <v>148</v>
      </c>
      <c r="D67" t="s">
        <v>26</v>
      </c>
      <c r="E67" t="s">
        <v>27</v>
      </c>
      <c r="F67" s="17">
        <v>5000</v>
      </c>
      <c r="G67" s="17">
        <v>150000</v>
      </c>
      <c r="H67" s="17">
        <v>145000</v>
      </c>
      <c r="I67" s="18">
        <v>7.0000000000000007E-2</v>
      </c>
      <c r="J67" s="14">
        <f t="shared" si="0"/>
        <v>29</v>
      </c>
      <c r="K67" s="15" t="str">
        <f t="shared" si="1"/>
        <v>Exceeds Target</v>
      </c>
    </row>
    <row r="68" spans="2:11" ht="15" customHeight="1">
      <c r="B68" t="s">
        <v>111</v>
      </c>
      <c r="C68" t="s">
        <v>149</v>
      </c>
      <c r="D68" t="s">
        <v>26</v>
      </c>
      <c r="E68" t="s">
        <v>27</v>
      </c>
      <c r="F68" s="17">
        <v>5000</v>
      </c>
      <c r="G68" s="17">
        <v>150000</v>
      </c>
      <c r="H68" s="17">
        <v>145000</v>
      </c>
      <c r="I68" s="18">
        <v>0.28000000000000003</v>
      </c>
      <c r="J68" s="14">
        <f t="shared" si="0"/>
        <v>29</v>
      </c>
      <c r="K68" s="15" t="str">
        <f t="shared" si="1"/>
        <v>Exceeds Target</v>
      </c>
    </row>
    <row r="69" spans="2:11" ht="15" customHeight="1">
      <c r="B69" t="s">
        <v>150</v>
      </c>
      <c r="C69" t="s">
        <v>151</v>
      </c>
      <c r="D69" t="s">
        <v>80</v>
      </c>
      <c r="E69" t="s">
        <v>27</v>
      </c>
      <c r="F69" s="17">
        <v>1000</v>
      </c>
      <c r="G69" s="17">
        <v>117000</v>
      </c>
      <c r="H69" s="17">
        <v>116000</v>
      </c>
      <c r="I69" s="18">
        <v>0.89</v>
      </c>
      <c r="J69" s="14">
        <f t="shared" si="0"/>
        <v>116</v>
      </c>
      <c r="K69" s="15" t="str">
        <f t="shared" si="1"/>
        <v>Exceeds Target</v>
      </c>
    </row>
    <row r="70" spans="2:11" ht="15" customHeight="1">
      <c r="B70" t="s">
        <v>150</v>
      </c>
      <c r="C70" t="s">
        <v>152</v>
      </c>
      <c r="D70" t="s">
        <v>26</v>
      </c>
      <c r="E70" t="s">
        <v>27</v>
      </c>
      <c r="F70" s="17">
        <v>5000</v>
      </c>
      <c r="G70" s="17">
        <v>150000</v>
      </c>
      <c r="H70" s="17">
        <v>145000</v>
      </c>
      <c r="I70" s="18">
        <v>0.09</v>
      </c>
      <c r="J70" s="14">
        <f t="shared" si="0"/>
        <v>29</v>
      </c>
      <c r="K70" s="15" t="str">
        <f t="shared" si="1"/>
        <v>Exceeds Target</v>
      </c>
    </row>
    <row r="71" spans="2:11" ht="15" customHeight="1">
      <c r="B71" t="s">
        <v>153</v>
      </c>
      <c r="C71" t="s">
        <v>154</v>
      </c>
      <c r="D71" t="s">
        <v>80</v>
      </c>
      <c r="E71" t="s">
        <v>27</v>
      </c>
      <c r="F71" s="17">
        <v>1000</v>
      </c>
      <c r="G71" s="17">
        <v>57000</v>
      </c>
      <c r="H71" s="17">
        <v>56000</v>
      </c>
      <c r="I71" s="18">
        <v>0.7</v>
      </c>
      <c r="J71" s="14">
        <f t="shared" si="0"/>
        <v>56</v>
      </c>
      <c r="K71" s="15" t="str">
        <f t="shared" si="1"/>
        <v>Exceeds Target</v>
      </c>
    </row>
    <row r="72" spans="2:11" ht="15" customHeight="1">
      <c r="B72" t="s">
        <v>155</v>
      </c>
      <c r="C72" t="s">
        <v>156</v>
      </c>
      <c r="D72" t="s">
        <v>32</v>
      </c>
      <c r="E72" t="s">
        <v>27</v>
      </c>
      <c r="F72" s="17">
        <v>1500</v>
      </c>
      <c r="G72" s="17">
        <v>24000</v>
      </c>
      <c r="H72" s="17">
        <v>22500</v>
      </c>
      <c r="I72" s="18">
        <v>0.63</v>
      </c>
      <c r="J72" s="14">
        <f t="shared" si="0"/>
        <v>15</v>
      </c>
      <c r="K72" s="15" t="str">
        <f t="shared" si="1"/>
        <v>Exceeds Target</v>
      </c>
    </row>
    <row r="73" spans="2:11" ht="15" customHeight="1">
      <c r="B73" t="s">
        <v>157</v>
      </c>
      <c r="C73" t="s">
        <v>158</v>
      </c>
      <c r="D73" t="s">
        <v>32</v>
      </c>
      <c r="E73" t="s">
        <v>27</v>
      </c>
      <c r="F73" s="17">
        <v>1500</v>
      </c>
      <c r="G73" s="17">
        <v>12000</v>
      </c>
      <c r="H73" s="17">
        <v>10500</v>
      </c>
      <c r="I73" s="18">
        <v>0.59</v>
      </c>
      <c r="J73" s="14">
        <f t="shared" si="0"/>
        <v>7</v>
      </c>
      <c r="K73" s="15" t="str">
        <f t="shared" si="1"/>
        <v>Exceeds Target</v>
      </c>
    </row>
    <row r="74" spans="2:11" ht="15" customHeight="1">
      <c r="B74" t="s">
        <v>159</v>
      </c>
      <c r="C74" t="s">
        <v>160</v>
      </c>
      <c r="D74" t="s">
        <v>80</v>
      </c>
      <c r="E74" t="s">
        <v>27</v>
      </c>
      <c r="F74" s="17">
        <v>1000</v>
      </c>
      <c r="G74" s="17">
        <v>57000</v>
      </c>
      <c r="H74" s="17">
        <v>56000</v>
      </c>
      <c r="I74" s="18">
        <v>0.96</v>
      </c>
      <c r="J74" s="14">
        <f t="shared" si="0"/>
        <v>56</v>
      </c>
      <c r="K74" s="15" t="str">
        <f t="shared" si="1"/>
        <v>Exceeds Target</v>
      </c>
    </row>
    <row r="75" spans="2:11" ht="15" customHeight="1">
      <c r="B75" t="s">
        <v>161</v>
      </c>
      <c r="C75" t="s">
        <v>162</v>
      </c>
      <c r="D75" t="s">
        <v>32</v>
      </c>
      <c r="E75" t="s">
        <v>27</v>
      </c>
      <c r="F75" s="17">
        <v>1500</v>
      </c>
      <c r="G75" s="17">
        <v>16000</v>
      </c>
      <c r="H75" s="17">
        <v>14500</v>
      </c>
      <c r="I75" s="18">
        <v>0.35</v>
      </c>
      <c r="J75" s="14">
        <f t="shared" si="0"/>
        <v>9.6666666666666661</v>
      </c>
      <c r="K75" s="15" t="str">
        <f t="shared" si="1"/>
        <v>Exceeds Target</v>
      </c>
    </row>
    <row r="76" spans="2:11" ht="15" customHeight="1">
      <c r="B76" t="s">
        <v>163</v>
      </c>
      <c r="C76" t="s">
        <v>164</v>
      </c>
      <c r="D76" t="s">
        <v>35</v>
      </c>
      <c r="E76" t="s">
        <v>27</v>
      </c>
      <c r="F76" s="17">
        <v>3000</v>
      </c>
      <c r="G76" s="17">
        <v>210000</v>
      </c>
      <c r="H76" s="17">
        <v>207000</v>
      </c>
      <c r="I76" s="18">
        <v>0.41</v>
      </c>
      <c r="J76" s="14">
        <f t="shared" si="0"/>
        <v>69</v>
      </c>
      <c r="K76" s="15" t="str">
        <f t="shared" si="1"/>
        <v>Exceeds Target</v>
      </c>
    </row>
    <row r="77" spans="2:11" ht="15" customHeight="1">
      <c r="B77" t="s">
        <v>165</v>
      </c>
      <c r="C77" t="s">
        <v>166</v>
      </c>
      <c r="D77" t="s">
        <v>35</v>
      </c>
      <c r="E77" t="s">
        <v>27</v>
      </c>
      <c r="F77" s="17">
        <v>3000</v>
      </c>
      <c r="G77" s="17">
        <v>160000</v>
      </c>
      <c r="H77" s="17">
        <v>157000</v>
      </c>
      <c r="I77" s="18">
        <v>0.38</v>
      </c>
      <c r="J77" s="14">
        <f t="shared" si="0"/>
        <v>52.333333333333336</v>
      </c>
      <c r="K77" s="15" t="str">
        <f t="shared" si="1"/>
        <v>Exceeds Target</v>
      </c>
    </row>
    <row r="78" spans="2:11" ht="15" customHeight="1">
      <c r="B78" t="s">
        <v>167</v>
      </c>
      <c r="C78" t="s">
        <v>168</v>
      </c>
      <c r="D78" t="s">
        <v>35</v>
      </c>
      <c r="E78" t="s">
        <v>27</v>
      </c>
      <c r="F78" s="17">
        <v>3000</v>
      </c>
      <c r="G78" s="17">
        <v>150000</v>
      </c>
      <c r="H78" s="17">
        <v>147000</v>
      </c>
      <c r="I78" s="18">
        <v>0.69</v>
      </c>
      <c r="J78" s="14">
        <f t="shared" si="0"/>
        <v>49</v>
      </c>
      <c r="K78" s="15" t="str">
        <f t="shared" si="1"/>
        <v>Exceeds Target</v>
      </c>
    </row>
    <row r="79" spans="2:11" ht="15" customHeight="1">
      <c r="B79" t="s">
        <v>169</v>
      </c>
      <c r="C79" t="s">
        <v>170</v>
      </c>
      <c r="D79" t="s">
        <v>32</v>
      </c>
      <c r="E79" t="s">
        <v>27</v>
      </c>
      <c r="F79" s="17">
        <v>1500</v>
      </c>
      <c r="G79" s="17">
        <v>56000</v>
      </c>
      <c r="H79" s="17">
        <v>54500</v>
      </c>
      <c r="I79" s="18">
        <v>0.44</v>
      </c>
      <c r="J79" s="14">
        <f t="shared" si="0"/>
        <v>36.333333333333336</v>
      </c>
      <c r="K79" s="15" t="str">
        <f t="shared" si="1"/>
        <v>Exceeds Target</v>
      </c>
    </row>
    <row r="80" spans="2:11" ht="15" customHeight="1">
      <c r="B80" t="s">
        <v>171</v>
      </c>
      <c r="C80" t="s">
        <v>172</v>
      </c>
      <c r="D80" t="s">
        <v>69</v>
      </c>
      <c r="E80" t="s">
        <v>70</v>
      </c>
      <c r="F80" s="17">
        <v>1000</v>
      </c>
      <c r="G80" s="17">
        <v>100000</v>
      </c>
      <c r="H80" s="17">
        <v>99000</v>
      </c>
      <c r="I80" s="18">
        <v>0.82</v>
      </c>
      <c r="J80" s="14">
        <f t="shared" si="0"/>
        <v>99</v>
      </c>
      <c r="K80" s="15" t="str">
        <f t="shared" si="1"/>
        <v>Exceeds Target</v>
      </c>
    </row>
    <row r="81" spans="2:11" ht="15" customHeight="1">
      <c r="B81" t="s">
        <v>173</v>
      </c>
      <c r="C81" t="s">
        <v>174</v>
      </c>
      <c r="D81" t="s">
        <v>80</v>
      </c>
      <c r="E81" t="s">
        <v>27</v>
      </c>
      <c r="F81" s="17">
        <v>1000</v>
      </c>
      <c r="G81" s="17">
        <v>78000</v>
      </c>
      <c r="H81" s="17">
        <v>77000</v>
      </c>
      <c r="I81" s="18">
        <v>0.74</v>
      </c>
      <c r="J81" s="14">
        <f t="shared" si="0"/>
        <v>77</v>
      </c>
      <c r="K81" s="15" t="str">
        <f t="shared" si="1"/>
        <v>Exceeds Target</v>
      </c>
    </row>
    <row r="82" spans="2:11" ht="15" customHeight="1">
      <c r="B82" t="s">
        <v>175</v>
      </c>
      <c r="C82" t="s">
        <v>176</v>
      </c>
      <c r="D82" t="s">
        <v>32</v>
      </c>
      <c r="E82" t="s">
        <v>27</v>
      </c>
      <c r="F82" s="17">
        <v>1500</v>
      </c>
      <c r="G82" s="17">
        <v>52000</v>
      </c>
      <c r="H82" s="17">
        <v>50500</v>
      </c>
      <c r="I82" s="18">
        <v>0.87</v>
      </c>
      <c r="J82" s="14">
        <f t="shared" si="0"/>
        <v>33.666666666666664</v>
      </c>
      <c r="K82" s="15" t="str">
        <f t="shared" si="1"/>
        <v>Exceeds Target</v>
      </c>
    </row>
    <row r="83" spans="2:11" ht="15" customHeight="1">
      <c r="B83" t="s">
        <v>133</v>
      </c>
      <c r="C83" t="s">
        <v>177</v>
      </c>
      <c r="D83" t="s">
        <v>69</v>
      </c>
      <c r="E83" t="s">
        <v>70</v>
      </c>
      <c r="F83" s="17">
        <v>1000</v>
      </c>
      <c r="G83" s="17">
        <v>50000</v>
      </c>
      <c r="H83" s="17">
        <v>49000</v>
      </c>
      <c r="I83" s="18">
        <v>0.43</v>
      </c>
      <c r="J83" s="14">
        <f t="shared" si="0"/>
        <v>49</v>
      </c>
      <c r="K83" s="15" t="str">
        <f t="shared" si="1"/>
        <v>Exceeds Target</v>
      </c>
    </row>
    <row r="84" spans="2:11" ht="15" customHeight="1">
      <c r="B84" t="s">
        <v>178</v>
      </c>
      <c r="C84" t="s">
        <v>179</v>
      </c>
      <c r="D84" t="s">
        <v>35</v>
      </c>
      <c r="E84" t="s">
        <v>27</v>
      </c>
      <c r="F84" s="17">
        <v>3000</v>
      </c>
      <c r="G84" s="17">
        <v>90000</v>
      </c>
      <c r="H84" s="17">
        <v>87000</v>
      </c>
      <c r="I84" s="18">
        <v>0.55000000000000004</v>
      </c>
      <c r="J84" s="14">
        <f t="shared" si="0"/>
        <v>29</v>
      </c>
      <c r="K84" s="15" t="str">
        <f t="shared" si="1"/>
        <v>Exceeds Target</v>
      </c>
    </row>
    <row r="85" spans="2:11" ht="15" customHeight="1">
      <c r="B85" t="s">
        <v>180</v>
      </c>
      <c r="C85" t="s">
        <v>181</v>
      </c>
      <c r="D85" t="s">
        <v>35</v>
      </c>
      <c r="E85" t="s">
        <v>27</v>
      </c>
      <c r="F85" s="17">
        <v>3000</v>
      </c>
      <c r="G85" s="17">
        <v>240000</v>
      </c>
      <c r="H85" s="17">
        <v>237000</v>
      </c>
      <c r="I85" s="18">
        <v>0.59</v>
      </c>
      <c r="J85" s="14">
        <f t="shared" si="0"/>
        <v>79</v>
      </c>
      <c r="K85" s="15" t="str">
        <f t="shared" si="1"/>
        <v>Exceeds Target</v>
      </c>
    </row>
    <row r="86" spans="2:11" ht="15" customHeight="1">
      <c r="B86" t="s">
        <v>111</v>
      </c>
      <c r="C86" t="s">
        <v>182</v>
      </c>
      <c r="D86" t="s">
        <v>35</v>
      </c>
      <c r="E86" t="s">
        <v>27</v>
      </c>
      <c r="F86" s="17">
        <v>3000</v>
      </c>
      <c r="G86" s="17">
        <v>190000</v>
      </c>
      <c r="H86" s="17">
        <v>187000</v>
      </c>
      <c r="I86" s="18">
        <v>0.75</v>
      </c>
      <c r="J86" s="14">
        <f t="shared" si="0"/>
        <v>62.333333333333336</v>
      </c>
      <c r="K86" s="15" t="str">
        <f t="shared" si="1"/>
        <v>Exceeds Target</v>
      </c>
    </row>
    <row r="87" spans="2:11" ht="15" customHeight="1">
      <c r="B87" t="s">
        <v>183</v>
      </c>
      <c r="C87" t="s">
        <v>184</v>
      </c>
      <c r="D87" t="s">
        <v>69</v>
      </c>
      <c r="E87" t="s">
        <v>70</v>
      </c>
      <c r="F87" s="17">
        <v>1000</v>
      </c>
      <c r="G87" s="17">
        <v>65000</v>
      </c>
      <c r="H87" s="17">
        <v>64000</v>
      </c>
      <c r="I87" s="18">
        <v>0.49</v>
      </c>
      <c r="J87" s="14">
        <f t="shared" si="0"/>
        <v>64</v>
      </c>
      <c r="K87" s="15" t="str">
        <f t="shared" si="1"/>
        <v>Exceeds Target</v>
      </c>
    </row>
    <row r="88" spans="2:11" ht="15" customHeight="1">
      <c r="B88" t="s">
        <v>185</v>
      </c>
      <c r="C88" t="s">
        <v>186</v>
      </c>
      <c r="D88" t="s">
        <v>69</v>
      </c>
      <c r="E88" t="s">
        <v>70</v>
      </c>
      <c r="F88" s="17">
        <v>1000</v>
      </c>
      <c r="G88" s="17">
        <v>40000</v>
      </c>
      <c r="H88" s="17">
        <v>39000</v>
      </c>
      <c r="I88" s="18">
        <v>0.73</v>
      </c>
      <c r="J88" s="14">
        <f t="shared" si="0"/>
        <v>39</v>
      </c>
      <c r="K88" s="15" t="str">
        <f t="shared" si="1"/>
        <v>Exceeds Target</v>
      </c>
    </row>
    <row r="89" spans="2:11" ht="15" customHeight="1">
      <c r="B89" t="s">
        <v>119</v>
      </c>
      <c r="C89" t="s">
        <v>187</v>
      </c>
      <c r="D89" t="s">
        <v>69</v>
      </c>
      <c r="E89" t="s">
        <v>70</v>
      </c>
      <c r="F89" s="17">
        <v>1000</v>
      </c>
      <c r="G89" s="17">
        <v>40000</v>
      </c>
      <c r="H89" s="17">
        <v>39000</v>
      </c>
      <c r="I89" s="18">
        <v>0.56000000000000005</v>
      </c>
      <c r="J89" s="14">
        <f t="shared" si="0"/>
        <v>39</v>
      </c>
      <c r="K89" s="15" t="str">
        <f t="shared" si="1"/>
        <v>Exceeds Target</v>
      </c>
    </row>
    <row r="90" spans="2:11" ht="15" customHeight="1">
      <c r="B90" t="s">
        <v>188</v>
      </c>
      <c r="C90" t="s">
        <v>189</v>
      </c>
      <c r="D90" t="s">
        <v>80</v>
      </c>
      <c r="E90" t="s">
        <v>27</v>
      </c>
      <c r="F90" s="17">
        <v>1000</v>
      </c>
      <c r="G90" s="17">
        <v>105000</v>
      </c>
      <c r="H90" s="17">
        <v>104000</v>
      </c>
      <c r="I90" s="18">
        <v>0.96</v>
      </c>
      <c r="J90" s="14">
        <f t="shared" si="0"/>
        <v>104</v>
      </c>
      <c r="K90" s="15" t="str">
        <f t="shared" si="1"/>
        <v>Exceeds Target</v>
      </c>
    </row>
    <row r="91" spans="2:11" ht="15" customHeight="1">
      <c r="B91" t="s">
        <v>190</v>
      </c>
      <c r="C91" t="s">
        <v>191</v>
      </c>
      <c r="D91" t="s">
        <v>80</v>
      </c>
      <c r="E91" t="s">
        <v>27</v>
      </c>
      <c r="F91" s="17">
        <v>1000</v>
      </c>
      <c r="G91" s="17">
        <v>87000</v>
      </c>
      <c r="H91" s="17">
        <v>86000</v>
      </c>
      <c r="I91" s="18">
        <v>0.97</v>
      </c>
      <c r="J91" s="14">
        <f t="shared" si="0"/>
        <v>86</v>
      </c>
      <c r="K91" s="15" t="str">
        <f t="shared" si="1"/>
        <v>Exceeds Target</v>
      </c>
    </row>
    <row r="92" spans="2:11" ht="15" customHeight="1">
      <c r="B92" t="s">
        <v>192</v>
      </c>
      <c r="C92" t="s">
        <v>193</v>
      </c>
      <c r="D92" t="s">
        <v>80</v>
      </c>
      <c r="E92" t="s">
        <v>27</v>
      </c>
      <c r="F92" s="17">
        <v>1000</v>
      </c>
      <c r="G92" s="17">
        <v>108000</v>
      </c>
      <c r="H92" s="17">
        <v>107000</v>
      </c>
      <c r="I92" s="18">
        <v>0.78</v>
      </c>
      <c r="J92" s="14">
        <f t="shared" si="0"/>
        <v>107</v>
      </c>
      <c r="K92" s="15" t="str">
        <f t="shared" si="1"/>
        <v>Exceeds Target</v>
      </c>
    </row>
    <row r="93" spans="2:11" ht="15" customHeight="1">
      <c r="B93" t="s">
        <v>135</v>
      </c>
      <c r="C93" t="s">
        <v>194</v>
      </c>
      <c r="D93" t="s">
        <v>35</v>
      </c>
      <c r="E93" t="s">
        <v>27</v>
      </c>
      <c r="F93" s="17">
        <v>3000</v>
      </c>
      <c r="G93" s="17">
        <v>190000</v>
      </c>
      <c r="H93" s="17">
        <v>187000</v>
      </c>
      <c r="I93" s="18">
        <v>0.69</v>
      </c>
      <c r="J93" s="14">
        <f t="shared" si="0"/>
        <v>62.333333333333336</v>
      </c>
      <c r="K93" s="15" t="str">
        <f t="shared" si="1"/>
        <v>Exceeds Target</v>
      </c>
    </row>
    <row r="94" spans="2:11" ht="15" customHeight="1">
      <c r="B94" t="s">
        <v>195</v>
      </c>
      <c r="C94" t="s">
        <v>196</v>
      </c>
      <c r="D94" t="s">
        <v>26</v>
      </c>
      <c r="E94" t="s">
        <v>27</v>
      </c>
      <c r="F94" s="17">
        <v>5000</v>
      </c>
      <c r="G94" s="17">
        <v>90000</v>
      </c>
      <c r="H94" s="17">
        <v>85000</v>
      </c>
      <c r="I94" s="18">
        <v>0.33</v>
      </c>
      <c r="J94" s="14">
        <f t="shared" si="0"/>
        <v>17</v>
      </c>
      <c r="K94" s="15" t="str">
        <f t="shared" si="1"/>
        <v>Exceeds Target</v>
      </c>
    </row>
    <row r="95" spans="2:11" ht="15" customHeight="1">
      <c r="B95" t="s">
        <v>197</v>
      </c>
      <c r="C95" t="s">
        <v>198</v>
      </c>
      <c r="D95" t="s">
        <v>69</v>
      </c>
      <c r="E95" t="s">
        <v>70</v>
      </c>
      <c r="F95" s="17">
        <v>1000</v>
      </c>
      <c r="G95" s="17">
        <v>30000</v>
      </c>
      <c r="H95" s="17">
        <v>29000</v>
      </c>
      <c r="I95" s="18">
        <v>0.91</v>
      </c>
      <c r="J95" s="14">
        <f t="shared" si="0"/>
        <v>29</v>
      </c>
      <c r="K95" s="15" t="str">
        <f t="shared" si="1"/>
        <v>Exceeds Target</v>
      </c>
    </row>
    <row r="96" spans="2:11" ht="15" customHeight="1">
      <c r="B96" t="s">
        <v>199</v>
      </c>
      <c r="C96" t="s">
        <v>200</v>
      </c>
      <c r="D96" t="s">
        <v>35</v>
      </c>
      <c r="E96" t="s">
        <v>27</v>
      </c>
      <c r="F96" s="17">
        <v>3000</v>
      </c>
      <c r="G96" s="17">
        <v>160000</v>
      </c>
      <c r="H96" s="17">
        <v>157000</v>
      </c>
      <c r="I96" s="18">
        <v>0.45</v>
      </c>
      <c r="J96" s="14">
        <f t="shared" si="0"/>
        <v>52.333333333333336</v>
      </c>
      <c r="K96" s="15" t="str">
        <f t="shared" si="1"/>
        <v>Exceeds Target</v>
      </c>
    </row>
    <row r="97" spans="2:11" ht="15" customHeight="1">
      <c r="B97" t="s">
        <v>201</v>
      </c>
      <c r="C97" t="s">
        <v>202</v>
      </c>
      <c r="D97" t="s">
        <v>69</v>
      </c>
      <c r="E97" t="s">
        <v>70</v>
      </c>
      <c r="F97" s="17">
        <v>1000</v>
      </c>
      <c r="G97" s="17">
        <v>95000</v>
      </c>
      <c r="H97" s="17">
        <v>94000</v>
      </c>
      <c r="I97" s="18">
        <v>0.81</v>
      </c>
      <c r="J97" s="14">
        <f t="shared" si="0"/>
        <v>94</v>
      </c>
      <c r="K97" s="15" t="str">
        <f t="shared" si="1"/>
        <v>Exceeds Target</v>
      </c>
    </row>
    <row r="98" spans="2:11" ht="15" customHeight="1">
      <c r="B98" t="s">
        <v>203</v>
      </c>
      <c r="C98" t="s">
        <v>204</v>
      </c>
      <c r="D98" t="s">
        <v>35</v>
      </c>
      <c r="E98" t="s">
        <v>27</v>
      </c>
      <c r="F98" s="17">
        <v>3000</v>
      </c>
      <c r="G98" s="17">
        <v>240000</v>
      </c>
      <c r="H98" s="17">
        <v>237000</v>
      </c>
      <c r="I98" s="18">
        <v>0.61</v>
      </c>
      <c r="J98" s="14">
        <f t="shared" si="0"/>
        <v>79</v>
      </c>
      <c r="K98" s="15" t="str">
        <f t="shared" si="1"/>
        <v>Exceeds Target</v>
      </c>
    </row>
    <row r="99" spans="2:11" ht="15" customHeight="1">
      <c r="B99" t="s">
        <v>205</v>
      </c>
      <c r="C99" t="s">
        <v>206</v>
      </c>
      <c r="D99" t="s">
        <v>69</v>
      </c>
      <c r="E99" t="s">
        <v>70</v>
      </c>
      <c r="F99" s="17">
        <v>1000</v>
      </c>
      <c r="G99" s="17">
        <v>110000</v>
      </c>
      <c r="H99" s="17">
        <v>109000</v>
      </c>
      <c r="I99" s="18">
        <v>0.68</v>
      </c>
      <c r="J99" s="14">
        <f t="shared" si="0"/>
        <v>109</v>
      </c>
      <c r="K99" s="15" t="str">
        <f t="shared" si="1"/>
        <v>Exceeds Target</v>
      </c>
    </row>
    <row r="100" spans="2:11" ht="15" customHeight="1">
      <c r="B100" t="s">
        <v>207</v>
      </c>
      <c r="C100" t="s">
        <v>208</v>
      </c>
      <c r="D100" t="s">
        <v>80</v>
      </c>
      <c r="E100" t="s">
        <v>27</v>
      </c>
      <c r="F100" s="17">
        <v>1000</v>
      </c>
      <c r="G100" s="17">
        <v>120000</v>
      </c>
      <c r="H100" s="17">
        <v>119000</v>
      </c>
      <c r="I100" s="18">
        <v>0.96</v>
      </c>
      <c r="J100" s="14">
        <f t="shared" si="0"/>
        <v>119</v>
      </c>
      <c r="K100" s="15" t="str">
        <f t="shared" si="1"/>
        <v>Exceeds Target</v>
      </c>
    </row>
    <row r="101" spans="2:11" ht="15" customHeight="1">
      <c r="B101" t="s">
        <v>209</v>
      </c>
      <c r="C101" t="s">
        <v>210</v>
      </c>
      <c r="D101" t="s">
        <v>69</v>
      </c>
      <c r="E101" t="s">
        <v>70</v>
      </c>
      <c r="F101" s="17">
        <v>1000</v>
      </c>
      <c r="G101" s="17">
        <v>120000</v>
      </c>
      <c r="H101" s="17">
        <v>119000</v>
      </c>
      <c r="I101" s="18">
        <v>0.57999999999999996</v>
      </c>
      <c r="J101" s="14">
        <f t="shared" si="0"/>
        <v>119</v>
      </c>
      <c r="K101" s="15" t="str">
        <f t="shared" si="1"/>
        <v>Exceeds Target</v>
      </c>
    </row>
    <row r="102" spans="2:11" ht="15" customHeight="1">
      <c r="B102" t="s">
        <v>51</v>
      </c>
      <c r="C102" t="s">
        <v>211</v>
      </c>
      <c r="D102" t="s">
        <v>26</v>
      </c>
      <c r="E102" t="s">
        <v>27</v>
      </c>
      <c r="F102" s="17">
        <v>5000</v>
      </c>
      <c r="G102" s="17">
        <v>60000</v>
      </c>
      <c r="H102" s="17">
        <v>55000</v>
      </c>
      <c r="I102" s="18">
        <v>0.38</v>
      </c>
      <c r="J102" s="14">
        <f t="shared" si="0"/>
        <v>11</v>
      </c>
      <c r="K102" s="15" t="str">
        <f t="shared" si="1"/>
        <v>Exceeds Target</v>
      </c>
    </row>
    <row r="103" spans="2:11" ht="15" customHeight="1">
      <c r="B103" t="s">
        <v>212</v>
      </c>
      <c r="C103" t="s">
        <v>213</v>
      </c>
      <c r="D103" t="s">
        <v>80</v>
      </c>
      <c r="E103" t="s">
        <v>27</v>
      </c>
      <c r="F103" s="17">
        <v>1000</v>
      </c>
      <c r="G103" s="17">
        <v>69000</v>
      </c>
      <c r="H103" s="17">
        <v>68000</v>
      </c>
      <c r="I103" s="18">
        <v>0.83</v>
      </c>
      <c r="J103" s="14">
        <f t="shared" si="0"/>
        <v>68</v>
      </c>
      <c r="K103" s="15" t="str">
        <f t="shared" si="1"/>
        <v>Exceeds Target</v>
      </c>
    </row>
    <row r="104" spans="2:11" ht="15" customHeight="1">
      <c r="B104" t="s">
        <v>214</v>
      </c>
      <c r="C104" t="s">
        <v>215</v>
      </c>
      <c r="D104" t="s">
        <v>69</v>
      </c>
      <c r="E104" t="s">
        <v>70</v>
      </c>
      <c r="F104" s="17">
        <v>1000</v>
      </c>
      <c r="G104" s="17">
        <v>90000</v>
      </c>
      <c r="H104" s="17">
        <v>89000</v>
      </c>
      <c r="I104" s="18">
        <v>0.94</v>
      </c>
      <c r="J104" s="14">
        <f t="shared" si="0"/>
        <v>89</v>
      </c>
      <c r="K104" s="15" t="str">
        <f t="shared" si="1"/>
        <v>Exceeds Target</v>
      </c>
    </row>
    <row r="105" spans="2:11" ht="15" customHeight="1">
      <c r="B105" t="s">
        <v>216</v>
      </c>
      <c r="C105" t="s">
        <v>217</v>
      </c>
      <c r="D105" t="s">
        <v>69</v>
      </c>
      <c r="E105" t="s">
        <v>70</v>
      </c>
      <c r="F105" s="17">
        <v>1000</v>
      </c>
      <c r="G105" s="17">
        <v>120000</v>
      </c>
      <c r="H105" s="17">
        <v>119000</v>
      </c>
      <c r="I105" s="18">
        <v>0.38</v>
      </c>
      <c r="J105" s="14">
        <f t="shared" si="0"/>
        <v>119</v>
      </c>
      <c r="K105" s="15" t="str">
        <f t="shared" si="1"/>
        <v>Exceeds Target</v>
      </c>
    </row>
    <row r="106" spans="2:11" ht="15" customHeight="1">
      <c r="B106" t="s">
        <v>218</v>
      </c>
      <c r="C106" t="s">
        <v>219</v>
      </c>
      <c r="D106" t="s">
        <v>32</v>
      </c>
      <c r="E106" t="s">
        <v>27</v>
      </c>
      <c r="F106" s="17">
        <v>1500</v>
      </c>
      <c r="G106" s="17">
        <v>24000</v>
      </c>
      <c r="H106" s="17">
        <v>22500</v>
      </c>
      <c r="I106" s="18">
        <v>0.67</v>
      </c>
      <c r="J106" s="14">
        <f t="shared" si="0"/>
        <v>15</v>
      </c>
      <c r="K106" s="15" t="str">
        <f t="shared" si="1"/>
        <v>Exceeds Target</v>
      </c>
    </row>
    <row r="107" spans="2:11" ht="15" customHeight="1">
      <c r="B107" t="s">
        <v>220</v>
      </c>
      <c r="C107" t="s">
        <v>221</v>
      </c>
      <c r="D107" t="s">
        <v>35</v>
      </c>
      <c r="E107" t="s">
        <v>27</v>
      </c>
      <c r="F107" s="17">
        <v>3000</v>
      </c>
      <c r="G107" s="17">
        <v>80000</v>
      </c>
      <c r="H107" s="17">
        <v>77000</v>
      </c>
      <c r="I107" s="18">
        <v>0.39</v>
      </c>
      <c r="J107" s="14">
        <f t="shared" si="0"/>
        <v>25.666666666666668</v>
      </c>
      <c r="K107" s="15" t="str">
        <f t="shared" si="1"/>
        <v>Exceeds Target</v>
      </c>
    </row>
    <row r="108" spans="2:11" ht="15" customHeight="1">
      <c r="B108" t="s">
        <v>218</v>
      </c>
      <c r="C108" t="s">
        <v>222</v>
      </c>
      <c r="D108" t="s">
        <v>69</v>
      </c>
      <c r="E108" t="s">
        <v>70</v>
      </c>
      <c r="F108" s="17">
        <v>1000</v>
      </c>
      <c r="G108" s="17">
        <v>145000</v>
      </c>
      <c r="H108" s="17">
        <v>144000</v>
      </c>
      <c r="I108" s="18">
        <v>0.39</v>
      </c>
      <c r="J108" s="14">
        <f t="shared" si="0"/>
        <v>144</v>
      </c>
      <c r="K108" s="15" t="str">
        <f t="shared" si="1"/>
        <v>Exceeds Target</v>
      </c>
    </row>
    <row r="109" spans="2:11" ht="15" customHeight="1">
      <c r="B109" t="s">
        <v>223</v>
      </c>
      <c r="C109" t="s">
        <v>224</v>
      </c>
      <c r="D109" t="s">
        <v>32</v>
      </c>
      <c r="E109" t="s">
        <v>27</v>
      </c>
      <c r="F109" s="17">
        <v>1500</v>
      </c>
      <c r="G109" s="17">
        <v>48000</v>
      </c>
      <c r="H109" s="17">
        <v>46500</v>
      </c>
      <c r="I109" s="18">
        <v>0.18</v>
      </c>
      <c r="J109" s="14">
        <f t="shared" si="0"/>
        <v>31</v>
      </c>
      <c r="K109" s="15" t="str">
        <f t="shared" si="1"/>
        <v>Exceeds Target</v>
      </c>
    </row>
    <row r="110" spans="2:11" ht="15" customHeight="1">
      <c r="B110" t="s">
        <v>225</v>
      </c>
      <c r="C110" t="s">
        <v>226</v>
      </c>
      <c r="D110" t="s">
        <v>32</v>
      </c>
      <c r="E110" t="s">
        <v>27</v>
      </c>
      <c r="F110" s="17">
        <v>1500</v>
      </c>
      <c r="G110" s="17">
        <v>42000</v>
      </c>
      <c r="H110" s="17">
        <v>40500</v>
      </c>
      <c r="I110" s="18">
        <v>0.93</v>
      </c>
      <c r="J110" s="14">
        <f t="shared" si="0"/>
        <v>27</v>
      </c>
      <c r="K110" s="15" t="str">
        <f t="shared" si="1"/>
        <v>Exceeds Target</v>
      </c>
    </row>
    <row r="111" spans="2:11" ht="15" customHeight="1">
      <c r="B111" t="s">
        <v>227</v>
      </c>
      <c r="C111" t="s">
        <v>228</v>
      </c>
      <c r="D111" t="s">
        <v>80</v>
      </c>
      <c r="E111" t="s">
        <v>27</v>
      </c>
      <c r="F111" s="17">
        <v>1000</v>
      </c>
      <c r="G111" s="17">
        <v>108000</v>
      </c>
      <c r="H111" s="17">
        <v>107000</v>
      </c>
      <c r="I111" s="18">
        <v>0.94</v>
      </c>
      <c r="J111" s="14">
        <f t="shared" si="0"/>
        <v>107</v>
      </c>
      <c r="K111" s="15" t="str">
        <f t="shared" si="1"/>
        <v>Exceeds Target</v>
      </c>
    </row>
    <row r="112" spans="2:11" ht="15" customHeight="1">
      <c r="B112" t="s">
        <v>229</v>
      </c>
      <c r="C112" t="s">
        <v>230</v>
      </c>
      <c r="D112" t="s">
        <v>69</v>
      </c>
      <c r="E112" t="s">
        <v>70</v>
      </c>
      <c r="F112" s="17">
        <v>1000</v>
      </c>
      <c r="G112" s="17">
        <v>125000</v>
      </c>
      <c r="H112" s="17">
        <v>124000</v>
      </c>
      <c r="I112" s="18">
        <v>0.84</v>
      </c>
      <c r="J112" s="14">
        <f t="shared" si="0"/>
        <v>124</v>
      </c>
      <c r="K112" s="15" t="str">
        <f t="shared" si="1"/>
        <v>Exceeds Target</v>
      </c>
    </row>
    <row r="113" spans="2:11" ht="15" customHeight="1">
      <c r="B113" t="s">
        <v>231</v>
      </c>
      <c r="C113" t="s">
        <v>232</v>
      </c>
      <c r="D113" t="s">
        <v>80</v>
      </c>
      <c r="E113" t="s">
        <v>27</v>
      </c>
      <c r="F113" s="17">
        <v>1000</v>
      </c>
      <c r="G113" s="17">
        <v>108000</v>
      </c>
      <c r="H113" s="17">
        <v>107000</v>
      </c>
      <c r="I113" s="18">
        <v>0.72</v>
      </c>
      <c r="J113" s="14">
        <f t="shared" si="0"/>
        <v>107</v>
      </c>
      <c r="K113" s="15" t="str">
        <f t="shared" si="1"/>
        <v>Exceeds Target</v>
      </c>
    </row>
    <row r="114" spans="2:11" ht="15" customHeight="1">
      <c r="B114" t="s">
        <v>91</v>
      </c>
      <c r="C114" t="s">
        <v>233</v>
      </c>
      <c r="D114" t="s">
        <v>32</v>
      </c>
      <c r="E114" t="s">
        <v>27</v>
      </c>
      <c r="F114" s="17">
        <v>1500</v>
      </c>
      <c r="G114" s="17">
        <v>44000</v>
      </c>
      <c r="H114" s="17">
        <v>42500</v>
      </c>
      <c r="I114" s="18">
        <v>0.56000000000000005</v>
      </c>
      <c r="J114" s="14">
        <f t="shared" si="0"/>
        <v>28.333333333333332</v>
      </c>
      <c r="K114" s="15" t="str">
        <f t="shared" si="1"/>
        <v>Exceeds Target</v>
      </c>
    </row>
    <row r="115" spans="2:11" ht="15" customHeight="1">
      <c r="B115" t="s">
        <v>234</v>
      </c>
      <c r="C115" t="s">
        <v>235</v>
      </c>
      <c r="D115" t="s">
        <v>26</v>
      </c>
      <c r="E115" t="s">
        <v>27</v>
      </c>
      <c r="F115" s="17">
        <v>5000</v>
      </c>
      <c r="G115" s="17">
        <v>120000</v>
      </c>
      <c r="H115" s="17">
        <v>115000</v>
      </c>
      <c r="I115" s="18">
        <v>0.04</v>
      </c>
      <c r="J115" s="14">
        <f t="shared" si="0"/>
        <v>23</v>
      </c>
      <c r="K115" s="15" t="str">
        <f t="shared" si="1"/>
        <v>Exceeds Target</v>
      </c>
    </row>
    <row r="116" spans="2:11" ht="15" customHeight="1">
      <c r="B116" t="s">
        <v>236</v>
      </c>
      <c r="C116" t="s">
        <v>237</v>
      </c>
      <c r="D116" t="s">
        <v>69</v>
      </c>
      <c r="E116" t="s">
        <v>70</v>
      </c>
      <c r="F116" s="17">
        <v>1000</v>
      </c>
      <c r="G116" s="17">
        <v>85000</v>
      </c>
      <c r="H116" s="17">
        <v>84000</v>
      </c>
      <c r="I116" s="18">
        <v>0.69</v>
      </c>
      <c r="J116" s="14">
        <f t="shared" si="0"/>
        <v>84</v>
      </c>
      <c r="K116" s="15" t="str">
        <f t="shared" si="1"/>
        <v>Exceeds Target</v>
      </c>
    </row>
    <row r="117" spans="2:11" ht="15" customHeight="1">
      <c r="B117" t="s">
        <v>238</v>
      </c>
      <c r="C117" t="s">
        <v>239</v>
      </c>
      <c r="D117" t="s">
        <v>80</v>
      </c>
      <c r="E117" t="s">
        <v>27</v>
      </c>
      <c r="F117" s="17">
        <v>1000</v>
      </c>
      <c r="G117" s="17">
        <v>63000</v>
      </c>
      <c r="H117" s="17">
        <v>62000</v>
      </c>
      <c r="I117" s="18">
        <v>0.71</v>
      </c>
      <c r="J117" s="14">
        <f t="shared" si="0"/>
        <v>62</v>
      </c>
      <c r="K117" s="15" t="str">
        <f t="shared" si="1"/>
        <v>Exceeds Target</v>
      </c>
    </row>
    <row r="118" spans="2:11" ht="15" customHeight="1">
      <c r="B118" t="s">
        <v>240</v>
      </c>
      <c r="C118" t="s">
        <v>241</v>
      </c>
      <c r="D118" t="s">
        <v>80</v>
      </c>
      <c r="E118" t="s">
        <v>27</v>
      </c>
      <c r="F118" s="17">
        <v>1000</v>
      </c>
      <c r="G118" s="17">
        <v>69000</v>
      </c>
      <c r="H118" s="17">
        <v>68000</v>
      </c>
      <c r="I118" s="18">
        <v>0.8</v>
      </c>
      <c r="J118" s="14">
        <f t="shared" si="0"/>
        <v>68</v>
      </c>
      <c r="K118" s="15" t="str">
        <f t="shared" si="1"/>
        <v>Exceeds Target</v>
      </c>
    </row>
    <row r="119" spans="2:11" ht="15" customHeight="1">
      <c r="B119" t="s">
        <v>242</v>
      </c>
      <c r="C119" t="s">
        <v>243</v>
      </c>
      <c r="D119" t="s">
        <v>26</v>
      </c>
      <c r="E119" t="s">
        <v>27</v>
      </c>
      <c r="F119" s="17">
        <v>5000</v>
      </c>
      <c r="G119" s="17">
        <v>30000</v>
      </c>
      <c r="H119" s="17">
        <v>25000</v>
      </c>
      <c r="I119" s="18">
        <v>0.13</v>
      </c>
      <c r="J119" s="14">
        <f t="shared" si="0"/>
        <v>5</v>
      </c>
      <c r="K119" s="15" t="str">
        <f t="shared" si="1"/>
        <v>Exceeds Target</v>
      </c>
    </row>
    <row r="120" spans="2:11" ht="15" customHeight="1">
      <c r="B120" t="s">
        <v>244</v>
      </c>
      <c r="C120" t="s">
        <v>245</v>
      </c>
      <c r="D120" t="s">
        <v>35</v>
      </c>
      <c r="E120" t="s">
        <v>27</v>
      </c>
      <c r="F120" s="17">
        <v>3000</v>
      </c>
      <c r="G120" s="17">
        <v>80000</v>
      </c>
      <c r="H120" s="17">
        <v>77000</v>
      </c>
      <c r="I120" s="18">
        <v>0.31</v>
      </c>
      <c r="J120" s="14">
        <f t="shared" si="0"/>
        <v>25.666666666666668</v>
      </c>
      <c r="K120" s="15" t="str">
        <f t="shared" si="1"/>
        <v>Exceeds Target</v>
      </c>
    </row>
    <row r="121" spans="2:11" ht="15" customHeight="1">
      <c r="B121" t="s">
        <v>234</v>
      </c>
      <c r="C121" t="s">
        <v>246</v>
      </c>
      <c r="D121" t="s">
        <v>35</v>
      </c>
      <c r="E121" t="s">
        <v>27</v>
      </c>
      <c r="F121" s="17">
        <v>3000</v>
      </c>
      <c r="G121" s="17">
        <v>170000</v>
      </c>
      <c r="H121" s="17">
        <v>167000</v>
      </c>
      <c r="I121" s="18">
        <v>0.98</v>
      </c>
      <c r="J121" s="14">
        <f t="shared" si="0"/>
        <v>55.666666666666664</v>
      </c>
      <c r="K121" s="15" t="str">
        <f t="shared" si="1"/>
        <v>Exceeds Target</v>
      </c>
    </row>
    <row r="122" spans="2:11" ht="15" customHeight="1">
      <c r="B122" t="s">
        <v>247</v>
      </c>
      <c r="C122" t="s">
        <v>248</v>
      </c>
      <c r="D122" t="s">
        <v>26</v>
      </c>
      <c r="E122" t="s">
        <v>27</v>
      </c>
      <c r="F122" s="17">
        <v>5000</v>
      </c>
      <c r="G122" s="17">
        <v>120000</v>
      </c>
      <c r="H122" s="17">
        <v>115000</v>
      </c>
      <c r="I122" s="18">
        <v>0.24</v>
      </c>
      <c r="J122" s="14">
        <f t="shared" si="0"/>
        <v>23</v>
      </c>
      <c r="K122" s="15" t="str">
        <f t="shared" si="1"/>
        <v>Exceeds Target</v>
      </c>
    </row>
    <row r="123" spans="2:11" ht="15" customHeight="1">
      <c r="B123" t="s">
        <v>249</v>
      </c>
      <c r="C123" t="s">
        <v>250</v>
      </c>
      <c r="D123" t="s">
        <v>26</v>
      </c>
      <c r="E123" t="s">
        <v>27</v>
      </c>
      <c r="F123" s="17">
        <v>5000</v>
      </c>
      <c r="G123" s="17">
        <v>30000</v>
      </c>
      <c r="H123" s="17">
        <v>25000</v>
      </c>
      <c r="I123" s="18">
        <v>0.26</v>
      </c>
      <c r="J123" s="14">
        <f t="shared" si="0"/>
        <v>5</v>
      </c>
      <c r="K123" s="15" t="str">
        <f t="shared" si="1"/>
        <v>Exceeds Target</v>
      </c>
    </row>
    <row r="124" spans="2:11" ht="15" customHeight="1">
      <c r="B124" t="s">
        <v>183</v>
      </c>
      <c r="C124" t="s">
        <v>251</v>
      </c>
      <c r="D124" t="s">
        <v>32</v>
      </c>
      <c r="E124" t="s">
        <v>27</v>
      </c>
      <c r="F124" s="17">
        <v>1500</v>
      </c>
      <c r="G124" s="17">
        <v>28000</v>
      </c>
      <c r="H124" s="17">
        <v>26500</v>
      </c>
      <c r="I124" s="18">
        <v>0.8</v>
      </c>
      <c r="J124" s="14">
        <f t="shared" si="0"/>
        <v>17.666666666666668</v>
      </c>
      <c r="K124" s="15" t="str">
        <f t="shared" si="1"/>
        <v>Exceeds Target</v>
      </c>
    </row>
    <row r="125" spans="2:11" ht="15" customHeight="1">
      <c r="B125" t="s">
        <v>252</v>
      </c>
      <c r="C125" t="s">
        <v>253</v>
      </c>
      <c r="D125" t="s">
        <v>32</v>
      </c>
      <c r="E125" t="s">
        <v>27</v>
      </c>
      <c r="F125" s="17">
        <v>1500</v>
      </c>
      <c r="G125" s="17">
        <v>50000</v>
      </c>
      <c r="H125" s="17">
        <v>48500</v>
      </c>
      <c r="I125" s="18">
        <v>0.84</v>
      </c>
      <c r="J125" s="14">
        <f t="shared" si="0"/>
        <v>32.333333333333336</v>
      </c>
      <c r="K125" s="15" t="str">
        <f t="shared" si="1"/>
        <v>Exceeds Target</v>
      </c>
    </row>
    <row r="126" spans="2:11" ht="15" customHeight="1">
      <c r="B126" t="s">
        <v>125</v>
      </c>
      <c r="C126" t="s">
        <v>254</v>
      </c>
      <c r="D126" t="s">
        <v>32</v>
      </c>
      <c r="E126" t="s">
        <v>27</v>
      </c>
      <c r="F126" s="17">
        <v>1500</v>
      </c>
      <c r="G126" s="17">
        <v>40000</v>
      </c>
      <c r="H126" s="17">
        <v>38500</v>
      </c>
      <c r="I126" s="18">
        <v>0.83</v>
      </c>
      <c r="J126" s="14">
        <f t="shared" si="0"/>
        <v>25.666666666666668</v>
      </c>
      <c r="K126" s="15" t="str">
        <f t="shared" si="1"/>
        <v>Exceeds Target</v>
      </c>
    </row>
    <row r="127" spans="2:11" ht="15" customHeight="1">
      <c r="B127" t="s">
        <v>255</v>
      </c>
      <c r="C127" t="s">
        <v>256</v>
      </c>
      <c r="D127" t="s">
        <v>69</v>
      </c>
      <c r="E127" t="s">
        <v>70</v>
      </c>
      <c r="F127" s="17">
        <v>1000</v>
      </c>
      <c r="G127" s="17">
        <v>145000</v>
      </c>
      <c r="H127" s="17">
        <v>144000</v>
      </c>
      <c r="I127" s="18">
        <v>0.46</v>
      </c>
      <c r="J127" s="14">
        <f t="shared" si="0"/>
        <v>144</v>
      </c>
      <c r="K127" s="15" t="str">
        <f t="shared" si="1"/>
        <v>Exceeds Target</v>
      </c>
    </row>
    <row r="128" spans="2:11" ht="15" customHeight="1">
      <c r="B128" t="s">
        <v>257</v>
      </c>
      <c r="C128" t="s">
        <v>258</v>
      </c>
      <c r="D128" t="s">
        <v>69</v>
      </c>
      <c r="E128" t="s">
        <v>70</v>
      </c>
      <c r="F128" s="17">
        <v>1000</v>
      </c>
      <c r="G128" s="17">
        <v>125000</v>
      </c>
      <c r="H128" s="17">
        <v>124000</v>
      </c>
      <c r="I128" s="18">
        <v>0.41</v>
      </c>
      <c r="J128" s="14">
        <f t="shared" si="0"/>
        <v>124</v>
      </c>
      <c r="K128" s="15" t="str">
        <f t="shared" si="1"/>
        <v>Exceeds Target</v>
      </c>
    </row>
    <row r="129" spans="2:11" ht="15" customHeight="1">
      <c r="B129" t="s">
        <v>259</v>
      </c>
      <c r="C129" t="s">
        <v>260</v>
      </c>
      <c r="D129" t="s">
        <v>32</v>
      </c>
      <c r="E129" t="s">
        <v>27</v>
      </c>
      <c r="F129" s="17">
        <v>1500</v>
      </c>
      <c r="G129" s="17">
        <v>38000</v>
      </c>
      <c r="H129" s="17">
        <v>36500</v>
      </c>
      <c r="I129" s="18">
        <v>0.68</v>
      </c>
      <c r="J129" s="14">
        <f t="shared" si="0"/>
        <v>24.333333333333332</v>
      </c>
      <c r="K129" s="15" t="str">
        <f t="shared" si="1"/>
        <v>Exceeds Target</v>
      </c>
    </row>
    <row r="130" spans="2:11" ht="15" customHeight="1">
      <c r="B130" t="s">
        <v>261</v>
      </c>
      <c r="C130" t="s">
        <v>262</v>
      </c>
      <c r="D130" t="s">
        <v>35</v>
      </c>
      <c r="E130" t="s">
        <v>27</v>
      </c>
      <c r="F130" s="17">
        <v>3000</v>
      </c>
      <c r="G130" s="17">
        <v>150000</v>
      </c>
      <c r="H130" s="17">
        <v>147000</v>
      </c>
      <c r="I130" s="18">
        <v>0.65</v>
      </c>
      <c r="J130" s="14">
        <f t="shared" si="0"/>
        <v>49</v>
      </c>
      <c r="K130" s="15" t="str">
        <f t="shared" si="1"/>
        <v>Exceeds Target</v>
      </c>
    </row>
    <row r="131" spans="2:11" ht="15" customHeight="1">
      <c r="B131" t="s">
        <v>263</v>
      </c>
      <c r="C131" t="s">
        <v>264</v>
      </c>
      <c r="D131" t="s">
        <v>26</v>
      </c>
      <c r="E131" t="s">
        <v>27</v>
      </c>
      <c r="F131" s="17">
        <v>5000</v>
      </c>
      <c r="G131" s="17">
        <v>150000</v>
      </c>
      <c r="H131" s="17">
        <v>145000</v>
      </c>
      <c r="I131" s="18">
        <v>0.11</v>
      </c>
      <c r="J131" s="14">
        <f t="shared" si="0"/>
        <v>29</v>
      </c>
      <c r="K131" s="15" t="str">
        <f t="shared" si="1"/>
        <v>Exceeds Target</v>
      </c>
    </row>
    <row r="132" spans="2:11" ht="15" customHeight="1">
      <c r="B132" t="s">
        <v>265</v>
      </c>
      <c r="C132" t="s">
        <v>266</v>
      </c>
      <c r="D132" t="s">
        <v>69</v>
      </c>
      <c r="E132" t="s">
        <v>70</v>
      </c>
      <c r="F132" s="17">
        <v>1000</v>
      </c>
      <c r="G132" s="17">
        <v>110000</v>
      </c>
      <c r="H132" s="17">
        <v>109000</v>
      </c>
      <c r="I132" s="18">
        <v>0.51</v>
      </c>
      <c r="J132" s="14">
        <f t="shared" si="0"/>
        <v>109</v>
      </c>
      <c r="K132" s="15" t="str">
        <f t="shared" si="1"/>
        <v>Exceeds Target</v>
      </c>
    </row>
    <row r="133" spans="2:11" ht="15" customHeight="1">
      <c r="B133" t="s">
        <v>267</v>
      </c>
      <c r="C133" t="s">
        <v>268</v>
      </c>
      <c r="D133" t="s">
        <v>32</v>
      </c>
      <c r="E133" t="s">
        <v>27</v>
      </c>
      <c r="F133" s="17">
        <v>1500</v>
      </c>
      <c r="G133" s="17">
        <v>20000</v>
      </c>
      <c r="H133" s="17">
        <v>18500</v>
      </c>
      <c r="I133" s="18">
        <v>0.79</v>
      </c>
      <c r="J133" s="14">
        <f t="shared" si="0"/>
        <v>12.333333333333334</v>
      </c>
      <c r="K133" s="15" t="str">
        <f t="shared" si="1"/>
        <v>Exceeds Target</v>
      </c>
    </row>
    <row r="134" spans="2:11" ht="15" customHeight="1">
      <c r="B134" t="s">
        <v>143</v>
      </c>
      <c r="C134" t="s">
        <v>269</v>
      </c>
      <c r="D134" t="s">
        <v>26</v>
      </c>
      <c r="E134" t="s">
        <v>27</v>
      </c>
      <c r="F134" s="17">
        <v>5000</v>
      </c>
      <c r="G134" s="17">
        <v>30000</v>
      </c>
      <c r="H134" s="17">
        <v>25000</v>
      </c>
      <c r="I134" s="18">
        <v>0.14000000000000001</v>
      </c>
      <c r="J134" s="14">
        <f t="shared" si="0"/>
        <v>5</v>
      </c>
      <c r="K134" s="15" t="str">
        <f t="shared" si="1"/>
        <v>Exceeds Target</v>
      </c>
    </row>
    <row r="135" spans="2:11" ht="15" customHeight="1">
      <c r="B135" t="s">
        <v>270</v>
      </c>
      <c r="C135" t="s">
        <v>271</v>
      </c>
      <c r="D135" t="s">
        <v>69</v>
      </c>
      <c r="E135" t="s">
        <v>70</v>
      </c>
      <c r="F135" s="17">
        <v>1000</v>
      </c>
      <c r="G135" s="17">
        <v>70000</v>
      </c>
      <c r="H135" s="17">
        <v>69000</v>
      </c>
      <c r="I135" s="18">
        <v>0.41</v>
      </c>
      <c r="J135" s="14">
        <f t="shared" si="0"/>
        <v>69</v>
      </c>
      <c r="K135" s="15" t="str">
        <f t="shared" si="1"/>
        <v>Exceeds Target</v>
      </c>
    </row>
    <row r="136" spans="2:11" ht="15" customHeight="1">
      <c r="B136" t="s">
        <v>272</v>
      </c>
      <c r="C136" t="s">
        <v>273</v>
      </c>
      <c r="D136" t="s">
        <v>69</v>
      </c>
      <c r="E136" t="s">
        <v>70</v>
      </c>
      <c r="F136" s="17">
        <v>1000</v>
      </c>
      <c r="G136" s="17">
        <v>145000</v>
      </c>
      <c r="H136" s="17">
        <v>144000</v>
      </c>
      <c r="I136" s="18">
        <v>0.99</v>
      </c>
      <c r="J136" s="14">
        <f t="shared" si="0"/>
        <v>144</v>
      </c>
      <c r="K136" s="15" t="str">
        <f t="shared" si="1"/>
        <v>Exceeds Target</v>
      </c>
    </row>
    <row r="137" spans="2:11" ht="15" customHeight="1">
      <c r="B137" t="s">
        <v>274</v>
      </c>
      <c r="C137" t="s">
        <v>275</v>
      </c>
      <c r="D137" t="s">
        <v>32</v>
      </c>
      <c r="E137" t="s">
        <v>27</v>
      </c>
      <c r="F137" s="17">
        <v>1500</v>
      </c>
      <c r="G137" s="17">
        <v>46000</v>
      </c>
      <c r="H137" s="17">
        <v>44500</v>
      </c>
      <c r="I137" s="18">
        <v>0.36</v>
      </c>
      <c r="J137" s="14">
        <f t="shared" si="0"/>
        <v>29.666666666666668</v>
      </c>
      <c r="K137" s="15" t="str">
        <f t="shared" si="1"/>
        <v>Exceeds Target</v>
      </c>
    </row>
    <row r="138" spans="2:11" ht="15" customHeight="1">
      <c r="B138" t="s">
        <v>155</v>
      </c>
      <c r="C138" t="s">
        <v>276</v>
      </c>
      <c r="D138" t="s">
        <v>32</v>
      </c>
      <c r="E138" t="s">
        <v>27</v>
      </c>
      <c r="F138" s="17">
        <v>1500</v>
      </c>
      <c r="G138" s="17">
        <v>28000</v>
      </c>
      <c r="H138" s="17">
        <v>26500</v>
      </c>
      <c r="I138" s="18">
        <v>0.44</v>
      </c>
      <c r="J138" s="14">
        <f t="shared" si="0"/>
        <v>17.666666666666668</v>
      </c>
      <c r="K138" s="15" t="str">
        <f t="shared" si="1"/>
        <v>Exceeds Target</v>
      </c>
    </row>
    <row r="139" spans="2:11" ht="15" customHeight="1">
      <c r="B139" t="s">
        <v>277</v>
      </c>
      <c r="C139" t="s">
        <v>278</v>
      </c>
      <c r="D139" t="s">
        <v>35</v>
      </c>
      <c r="E139" t="s">
        <v>27</v>
      </c>
      <c r="F139" s="17">
        <v>3000</v>
      </c>
      <c r="G139" s="17">
        <v>80000</v>
      </c>
      <c r="H139" s="17">
        <v>77000</v>
      </c>
      <c r="I139" s="18">
        <v>0.42</v>
      </c>
      <c r="J139" s="14">
        <f t="shared" si="0"/>
        <v>25.666666666666668</v>
      </c>
      <c r="K139" s="15" t="str">
        <f t="shared" si="1"/>
        <v>Exceeds Target</v>
      </c>
    </row>
    <row r="140" spans="2:11" ht="15" customHeight="1">
      <c r="B140" t="s">
        <v>279</v>
      </c>
      <c r="C140" t="s">
        <v>280</v>
      </c>
      <c r="D140" t="s">
        <v>35</v>
      </c>
      <c r="E140" t="s">
        <v>27</v>
      </c>
      <c r="F140" s="17">
        <v>3000</v>
      </c>
      <c r="G140" s="17">
        <v>200000</v>
      </c>
      <c r="H140" s="17">
        <v>197000</v>
      </c>
      <c r="I140" s="18">
        <v>0.5</v>
      </c>
      <c r="J140" s="14">
        <f t="shared" si="0"/>
        <v>65.666666666666671</v>
      </c>
      <c r="K140" s="15" t="str">
        <f t="shared" si="1"/>
        <v>Exceeds Target</v>
      </c>
    </row>
    <row r="141" spans="2:11" ht="15" customHeight="1">
      <c r="B141" t="s">
        <v>99</v>
      </c>
      <c r="C141" t="s">
        <v>281</v>
      </c>
      <c r="D141" t="s">
        <v>80</v>
      </c>
      <c r="E141" t="s">
        <v>27</v>
      </c>
      <c r="F141" s="17">
        <v>1000</v>
      </c>
      <c r="G141" s="17">
        <v>102000</v>
      </c>
      <c r="H141" s="17">
        <v>101000</v>
      </c>
      <c r="I141" s="18">
        <v>0.99</v>
      </c>
      <c r="J141" s="14">
        <f t="shared" si="0"/>
        <v>101</v>
      </c>
      <c r="K141" s="15" t="str">
        <f t="shared" si="1"/>
        <v>Exceeds Target</v>
      </c>
    </row>
    <row r="142" spans="2:11" ht="15" customHeight="1">
      <c r="B142" t="s">
        <v>63</v>
      </c>
      <c r="C142" t="s">
        <v>282</v>
      </c>
      <c r="D142" t="s">
        <v>69</v>
      </c>
      <c r="E142" t="s">
        <v>70</v>
      </c>
      <c r="F142" s="17">
        <v>1000</v>
      </c>
      <c r="G142" s="17">
        <v>120000</v>
      </c>
      <c r="H142" s="17">
        <v>119000</v>
      </c>
      <c r="I142" s="18">
        <v>0.39</v>
      </c>
      <c r="J142" s="14">
        <f t="shared" si="0"/>
        <v>119</v>
      </c>
      <c r="K142" s="15" t="str">
        <f t="shared" si="1"/>
        <v>Exceeds Target</v>
      </c>
    </row>
    <row r="143" spans="2:11" ht="15" customHeight="1">
      <c r="B143" t="s">
        <v>143</v>
      </c>
      <c r="C143" t="s">
        <v>283</v>
      </c>
      <c r="D143" t="s">
        <v>69</v>
      </c>
      <c r="E143" t="s">
        <v>70</v>
      </c>
      <c r="F143" s="17">
        <v>1000</v>
      </c>
      <c r="G143" s="17">
        <v>65000</v>
      </c>
      <c r="H143" s="17">
        <v>64000</v>
      </c>
      <c r="I143" s="18">
        <v>0.4</v>
      </c>
      <c r="J143" s="14">
        <f t="shared" si="0"/>
        <v>64</v>
      </c>
      <c r="K143" s="15" t="str">
        <f t="shared" si="1"/>
        <v>Exceeds Target</v>
      </c>
    </row>
    <row r="144" spans="2:11" ht="15" customHeight="1">
      <c r="B144" t="s">
        <v>101</v>
      </c>
      <c r="C144" t="s">
        <v>284</v>
      </c>
      <c r="D144" t="s">
        <v>80</v>
      </c>
      <c r="E144" t="s">
        <v>27</v>
      </c>
      <c r="F144" s="17">
        <v>1000</v>
      </c>
      <c r="G144" s="17">
        <v>45000</v>
      </c>
      <c r="H144" s="17">
        <v>44000</v>
      </c>
      <c r="I144" s="18">
        <v>0.89</v>
      </c>
      <c r="J144" s="14">
        <f t="shared" si="0"/>
        <v>44</v>
      </c>
      <c r="K144" s="15" t="str">
        <f t="shared" si="1"/>
        <v>Exceeds Target</v>
      </c>
    </row>
    <row r="145" spans="2:11" ht="15" customHeight="1">
      <c r="B145" t="s">
        <v>285</v>
      </c>
      <c r="C145" t="s">
        <v>286</v>
      </c>
      <c r="D145" t="s">
        <v>32</v>
      </c>
      <c r="E145" t="s">
        <v>27</v>
      </c>
      <c r="F145" s="17">
        <v>1500</v>
      </c>
      <c r="G145" s="17">
        <v>24000</v>
      </c>
      <c r="H145" s="17">
        <v>22500</v>
      </c>
      <c r="I145" s="18">
        <v>0.79</v>
      </c>
      <c r="J145" s="14">
        <f t="shared" si="0"/>
        <v>15</v>
      </c>
      <c r="K145" s="15" t="str">
        <f t="shared" si="1"/>
        <v>Exceeds Target</v>
      </c>
    </row>
    <row r="146" spans="2:11" ht="15" customHeight="1">
      <c r="B146" t="s">
        <v>287</v>
      </c>
      <c r="C146" t="s">
        <v>288</v>
      </c>
      <c r="D146" t="s">
        <v>35</v>
      </c>
      <c r="E146" t="s">
        <v>27</v>
      </c>
      <c r="F146" s="17">
        <v>3000</v>
      </c>
      <c r="G146" s="17">
        <v>210000</v>
      </c>
      <c r="H146" s="17">
        <v>207000</v>
      </c>
      <c r="I146" s="18">
        <v>0.9</v>
      </c>
      <c r="J146" s="14">
        <f t="shared" si="0"/>
        <v>69</v>
      </c>
      <c r="K146" s="15" t="str">
        <f t="shared" si="1"/>
        <v>Exceeds Target</v>
      </c>
    </row>
    <row r="147" spans="2:11" ht="15" customHeight="1">
      <c r="B147" t="s">
        <v>289</v>
      </c>
      <c r="C147" t="s">
        <v>290</v>
      </c>
      <c r="D147" t="s">
        <v>35</v>
      </c>
      <c r="E147" t="s">
        <v>27</v>
      </c>
      <c r="F147" s="17">
        <v>3000</v>
      </c>
      <c r="G147" s="17">
        <v>200000</v>
      </c>
      <c r="H147" s="17">
        <v>197000</v>
      </c>
      <c r="I147" s="18">
        <v>0.48</v>
      </c>
      <c r="J147" s="14">
        <f t="shared" si="0"/>
        <v>65.666666666666671</v>
      </c>
      <c r="K147" s="15" t="str">
        <f t="shared" si="1"/>
        <v>Exceeds Target</v>
      </c>
    </row>
    <row r="148" spans="2:11" ht="15" customHeight="1">
      <c r="B148" t="s">
        <v>291</v>
      </c>
      <c r="C148" t="s">
        <v>292</v>
      </c>
      <c r="D148" t="s">
        <v>32</v>
      </c>
      <c r="E148" t="s">
        <v>27</v>
      </c>
      <c r="F148" s="17">
        <v>1500</v>
      </c>
      <c r="G148" s="17">
        <v>26000</v>
      </c>
      <c r="H148" s="17">
        <v>24500</v>
      </c>
      <c r="I148" s="18">
        <v>0.42</v>
      </c>
      <c r="J148" s="14">
        <f t="shared" si="0"/>
        <v>16.333333333333332</v>
      </c>
      <c r="K148" s="15" t="str">
        <f t="shared" si="1"/>
        <v>Exceeds Target</v>
      </c>
    </row>
    <row r="149" spans="2:11" ht="15" customHeight="1">
      <c r="B149" t="s">
        <v>293</v>
      </c>
      <c r="C149" t="s">
        <v>294</v>
      </c>
      <c r="D149" t="s">
        <v>32</v>
      </c>
      <c r="E149" t="s">
        <v>27</v>
      </c>
      <c r="F149" s="17">
        <v>1500</v>
      </c>
      <c r="G149" s="17">
        <v>46000</v>
      </c>
      <c r="H149" s="17">
        <v>44500</v>
      </c>
      <c r="I149" s="18">
        <v>0.78</v>
      </c>
      <c r="J149" s="14">
        <f t="shared" si="0"/>
        <v>29.666666666666668</v>
      </c>
      <c r="K149" s="15" t="str">
        <f t="shared" si="1"/>
        <v>Exceeds Target</v>
      </c>
    </row>
    <row r="150" spans="2:11" ht="15" customHeight="1">
      <c r="B150" t="s">
        <v>234</v>
      </c>
      <c r="C150" t="s">
        <v>295</v>
      </c>
      <c r="D150" t="s">
        <v>26</v>
      </c>
      <c r="E150" t="s">
        <v>27</v>
      </c>
      <c r="F150" s="17">
        <v>5000</v>
      </c>
      <c r="G150" s="17">
        <v>90000</v>
      </c>
      <c r="H150" s="17">
        <v>85000</v>
      </c>
      <c r="I150" s="18">
        <v>0.23</v>
      </c>
      <c r="J150" s="14">
        <f t="shared" si="0"/>
        <v>17</v>
      </c>
      <c r="K150" s="15" t="str">
        <f t="shared" si="1"/>
        <v>Exceeds Target</v>
      </c>
    </row>
    <row r="151" spans="2:11" ht="15" customHeight="1">
      <c r="B151" t="s">
        <v>296</v>
      </c>
      <c r="C151" t="s">
        <v>297</v>
      </c>
      <c r="D151" t="s">
        <v>80</v>
      </c>
      <c r="E151" t="s">
        <v>27</v>
      </c>
      <c r="F151" s="17">
        <v>1000</v>
      </c>
      <c r="G151" s="17">
        <v>45000</v>
      </c>
      <c r="H151" s="17">
        <v>44000</v>
      </c>
      <c r="I151" s="18">
        <v>0.96</v>
      </c>
      <c r="J151" s="14">
        <f t="shared" si="0"/>
        <v>44</v>
      </c>
      <c r="K151" s="15" t="str">
        <f t="shared" si="1"/>
        <v>Exceeds Target</v>
      </c>
    </row>
    <row r="152" spans="2:11" ht="15" customHeight="1">
      <c r="B152" t="s">
        <v>63</v>
      </c>
      <c r="C152" t="s">
        <v>298</v>
      </c>
      <c r="D152" t="s">
        <v>26</v>
      </c>
      <c r="E152" t="s">
        <v>27</v>
      </c>
      <c r="F152" s="17">
        <v>5000</v>
      </c>
      <c r="G152" s="17">
        <v>30000</v>
      </c>
      <c r="H152" s="17">
        <v>25000</v>
      </c>
      <c r="I152" s="18">
        <v>0.18</v>
      </c>
      <c r="J152" s="14">
        <f t="shared" si="0"/>
        <v>5</v>
      </c>
      <c r="K152" s="15" t="str">
        <f t="shared" si="1"/>
        <v>Exceeds Target</v>
      </c>
    </row>
    <row r="153" spans="2:11" ht="15" customHeight="1">
      <c r="B153" t="s">
        <v>67</v>
      </c>
      <c r="C153" t="s">
        <v>299</v>
      </c>
      <c r="D153" t="s">
        <v>26</v>
      </c>
      <c r="E153" t="s">
        <v>27</v>
      </c>
      <c r="F153" s="17">
        <v>5000</v>
      </c>
      <c r="G153" s="17">
        <v>120000</v>
      </c>
      <c r="H153" s="17">
        <v>115000</v>
      </c>
      <c r="I153" s="18">
        <v>0.13</v>
      </c>
      <c r="J153" s="14">
        <f t="shared" si="0"/>
        <v>23</v>
      </c>
      <c r="K153" s="15" t="str">
        <f t="shared" si="1"/>
        <v>Exceeds Target</v>
      </c>
    </row>
    <row r="154" spans="2:11" ht="15" customHeight="1">
      <c r="B154" t="s">
        <v>261</v>
      </c>
      <c r="C154" t="s">
        <v>300</v>
      </c>
      <c r="D154" t="s">
        <v>35</v>
      </c>
      <c r="E154" t="s">
        <v>27</v>
      </c>
      <c r="F154" s="17">
        <v>3000</v>
      </c>
      <c r="G154" s="17">
        <v>190000</v>
      </c>
      <c r="H154" s="17">
        <v>187000</v>
      </c>
      <c r="I154" s="18">
        <v>0.46</v>
      </c>
      <c r="J154" s="14">
        <f t="shared" si="0"/>
        <v>62.333333333333336</v>
      </c>
      <c r="K154" s="15" t="str">
        <f t="shared" si="1"/>
        <v>Exceeds Target</v>
      </c>
    </row>
    <row r="155" spans="2:11" ht="15" customHeight="1">
      <c r="B155" t="s">
        <v>95</v>
      </c>
      <c r="C155" t="s">
        <v>301</v>
      </c>
      <c r="D155" t="s">
        <v>69</v>
      </c>
      <c r="E155" t="s">
        <v>70</v>
      </c>
      <c r="F155" s="17">
        <v>1000</v>
      </c>
      <c r="G155" s="17">
        <v>80000</v>
      </c>
      <c r="H155" s="17">
        <v>79000</v>
      </c>
      <c r="I155" s="18">
        <v>0.45</v>
      </c>
      <c r="J155" s="14">
        <f t="shared" si="0"/>
        <v>79</v>
      </c>
      <c r="K155" s="15" t="str">
        <f t="shared" si="1"/>
        <v>Exceeds Target</v>
      </c>
    </row>
    <row r="156" spans="2:11" ht="15" customHeight="1">
      <c r="B156" t="s">
        <v>137</v>
      </c>
      <c r="C156" t="s">
        <v>302</v>
      </c>
      <c r="D156" t="s">
        <v>26</v>
      </c>
      <c r="E156" t="s">
        <v>27</v>
      </c>
      <c r="F156" s="17">
        <v>5000</v>
      </c>
      <c r="G156" s="17">
        <v>120000</v>
      </c>
      <c r="H156" s="17">
        <v>115000</v>
      </c>
      <c r="I156" s="18">
        <v>0.11</v>
      </c>
      <c r="J156" s="14">
        <f t="shared" si="0"/>
        <v>23</v>
      </c>
      <c r="K156" s="15" t="str">
        <f t="shared" si="1"/>
        <v>Exceeds Target</v>
      </c>
    </row>
    <row r="157" spans="2:11" ht="15" customHeight="1">
      <c r="B157" t="s">
        <v>303</v>
      </c>
      <c r="C157" t="s">
        <v>304</v>
      </c>
      <c r="D157" t="s">
        <v>35</v>
      </c>
      <c r="E157" t="s">
        <v>27</v>
      </c>
      <c r="F157" s="17">
        <v>3000</v>
      </c>
      <c r="G157" s="17">
        <v>170000</v>
      </c>
      <c r="H157" s="17">
        <v>167000</v>
      </c>
      <c r="I157" s="18">
        <v>0.57999999999999996</v>
      </c>
      <c r="J157" s="14">
        <f t="shared" si="0"/>
        <v>55.666666666666664</v>
      </c>
      <c r="K157" s="15" t="str">
        <f t="shared" si="1"/>
        <v>Exceeds Target</v>
      </c>
    </row>
    <row r="158" spans="2:11" ht="15" customHeight="1">
      <c r="B158" t="s">
        <v>305</v>
      </c>
      <c r="C158" t="s">
        <v>306</v>
      </c>
      <c r="D158" t="s">
        <v>69</v>
      </c>
      <c r="E158" t="s">
        <v>70</v>
      </c>
      <c r="F158" s="17">
        <v>1000</v>
      </c>
      <c r="G158" s="17">
        <v>55000</v>
      </c>
      <c r="H158" s="17">
        <v>54000</v>
      </c>
      <c r="I158" s="18">
        <v>0.5</v>
      </c>
      <c r="J158" s="14">
        <f t="shared" si="0"/>
        <v>54</v>
      </c>
      <c r="K158" s="15" t="str">
        <f t="shared" si="1"/>
        <v>Exceeds Target</v>
      </c>
    </row>
    <row r="159" spans="2:11" ht="15" customHeight="1">
      <c r="B159" t="s">
        <v>307</v>
      </c>
      <c r="C159" t="s">
        <v>308</v>
      </c>
      <c r="D159" t="s">
        <v>80</v>
      </c>
      <c r="E159" t="s">
        <v>27</v>
      </c>
      <c r="F159" s="17">
        <v>1000</v>
      </c>
      <c r="G159" s="17">
        <v>90000</v>
      </c>
      <c r="H159" s="17">
        <v>89000</v>
      </c>
      <c r="I159" s="18">
        <v>0.98</v>
      </c>
      <c r="J159" s="14">
        <f t="shared" si="0"/>
        <v>89</v>
      </c>
      <c r="K159" s="15" t="str">
        <f t="shared" si="1"/>
        <v>Exceeds Target</v>
      </c>
    </row>
    <row r="160" spans="2:11" ht="15" customHeight="1">
      <c r="B160" t="s">
        <v>309</v>
      </c>
      <c r="C160" t="s">
        <v>310</v>
      </c>
      <c r="D160" t="s">
        <v>26</v>
      </c>
      <c r="E160" t="s">
        <v>27</v>
      </c>
      <c r="F160" s="17">
        <v>5000</v>
      </c>
      <c r="G160" s="17">
        <v>120000</v>
      </c>
      <c r="H160" s="17">
        <v>115000</v>
      </c>
      <c r="I160" s="18">
        <v>0.16</v>
      </c>
      <c r="J160" s="14">
        <f t="shared" si="0"/>
        <v>23</v>
      </c>
      <c r="K160" s="15" t="str">
        <f t="shared" si="1"/>
        <v>Exceeds Target</v>
      </c>
    </row>
    <row r="161" spans="2:11" ht="15" customHeight="1">
      <c r="B161" t="s">
        <v>311</v>
      </c>
      <c r="C161" t="s">
        <v>312</v>
      </c>
      <c r="D161" t="s">
        <v>32</v>
      </c>
      <c r="E161" t="s">
        <v>27</v>
      </c>
      <c r="F161" s="17">
        <v>1500</v>
      </c>
      <c r="G161" s="17">
        <v>42000</v>
      </c>
      <c r="H161" s="17">
        <v>40500</v>
      </c>
      <c r="I161" s="18">
        <v>0.45</v>
      </c>
      <c r="J161" s="14">
        <f t="shared" si="0"/>
        <v>27</v>
      </c>
      <c r="K161" s="15" t="str">
        <f t="shared" si="1"/>
        <v>Exceeds Target</v>
      </c>
    </row>
    <row r="162" spans="2:11" ht="15" customHeight="1">
      <c r="B162" t="s">
        <v>313</v>
      </c>
      <c r="C162" t="s">
        <v>314</v>
      </c>
      <c r="D162" t="s">
        <v>69</v>
      </c>
      <c r="E162" t="s">
        <v>70</v>
      </c>
      <c r="F162" s="17">
        <v>1000</v>
      </c>
      <c r="G162" s="17">
        <v>140000</v>
      </c>
      <c r="H162" s="17">
        <v>139000</v>
      </c>
      <c r="I162" s="18">
        <v>0.22</v>
      </c>
      <c r="J162" s="14">
        <f t="shared" si="0"/>
        <v>139</v>
      </c>
      <c r="K162" s="15" t="str">
        <f t="shared" si="1"/>
        <v>Exceeds Target</v>
      </c>
    </row>
    <row r="163" spans="2:11" ht="15" customHeight="1">
      <c r="B163" t="s">
        <v>315</v>
      </c>
      <c r="C163" t="s">
        <v>316</v>
      </c>
      <c r="D163" t="s">
        <v>26</v>
      </c>
      <c r="E163" t="s">
        <v>27</v>
      </c>
      <c r="F163" s="17">
        <v>5000</v>
      </c>
      <c r="G163" s="17">
        <v>60000</v>
      </c>
      <c r="H163" s="17">
        <v>55000</v>
      </c>
      <c r="I163" s="18">
        <v>0.27</v>
      </c>
      <c r="J163" s="14">
        <f t="shared" si="0"/>
        <v>11</v>
      </c>
      <c r="K163" s="15" t="str">
        <f t="shared" si="1"/>
        <v>Exceeds Target</v>
      </c>
    </row>
    <row r="164" spans="2:11" ht="15" customHeight="1">
      <c r="B164" t="s">
        <v>317</v>
      </c>
      <c r="C164" t="s">
        <v>318</v>
      </c>
      <c r="D164" t="s">
        <v>26</v>
      </c>
      <c r="E164" t="s">
        <v>27</v>
      </c>
      <c r="F164" s="17">
        <v>5000</v>
      </c>
      <c r="G164" s="17">
        <v>90000</v>
      </c>
      <c r="H164" s="17">
        <v>85000</v>
      </c>
      <c r="I164" s="18">
        <v>0.27</v>
      </c>
      <c r="J164" s="14">
        <f t="shared" si="0"/>
        <v>17</v>
      </c>
      <c r="K164" s="15" t="str">
        <f t="shared" si="1"/>
        <v>Exceeds Target</v>
      </c>
    </row>
    <row r="165" spans="2:11" ht="15" customHeight="1">
      <c r="B165" t="s">
        <v>319</v>
      </c>
      <c r="C165" t="s">
        <v>320</v>
      </c>
      <c r="D165" t="s">
        <v>26</v>
      </c>
      <c r="E165" t="s">
        <v>27</v>
      </c>
      <c r="F165" s="17">
        <v>5000</v>
      </c>
      <c r="G165" s="17">
        <v>90000</v>
      </c>
      <c r="H165" s="17">
        <v>85000</v>
      </c>
      <c r="I165" s="18">
        <v>0.08</v>
      </c>
      <c r="J165" s="14">
        <f t="shared" si="0"/>
        <v>17</v>
      </c>
      <c r="K165" s="15" t="str">
        <f t="shared" si="1"/>
        <v>Exceeds Target</v>
      </c>
    </row>
    <row r="166" spans="2:11" ht="15" customHeight="1">
      <c r="B166" t="s">
        <v>321</v>
      </c>
      <c r="C166" t="s">
        <v>322</v>
      </c>
      <c r="D166" t="s">
        <v>80</v>
      </c>
      <c r="E166" t="s">
        <v>27</v>
      </c>
      <c r="F166" s="17">
        <v>1000</v>
      </c>
      <c r="G166" s="17">
        <v>75000</v>
      </c>
      <c r="H166" s="17">
        <v>74000</v>
      </c>
      <c r="I166" s="18">
        <v>0.84</v>
      </c>
      <c r="J166" s="14">
        <f t="shared" si="0"/>
        <v>74</v>
      </c>
      <c r="K166" s="15" t="str">
        <f t="shared" si="1"/>
        <v>Exceeds Target</v>
      </c>
    </row>
    <row r="167" spans="2:11" ht="15" customHeight="1">
      <c r="B167" t="s">
        <v>323</v>
      </c>
      <c r="C167" t="s">
        <v>324</v>
      </c>
      <c r="D167" t="s">
        <v>35</v>
      </c>
      <c r="E167" t="s">
        <v>27</v>
      </c>
      <c r="F167" s="17">
        <v>3000</v>
      </c>
      <c r="G167" s="17">
        <v>250000</v>
      </c>
      <c r="H167" s="17">
        <v>247000</v>
      </c>
      <c r="I167" s="18">
        <v>0.19</v>
      </c>
      <c r="J167" s="14">
        <f t="shared" si="0"/>
        <v>82.333333333333329</v>
      </c>
      <c r="K167" s="15" t="str">
        <f t="shared" si="1"/>
        <v>Exceeds Target</v>
      </c>
    </row>
    <row r="168" spans="2:11" ht="15" customHeight="1">
      <c r="B168" t="s">
        <v>325</v>
      </c>
      <c r="C168" t="s">
        <v>326</v>
      </c>
      <c r="D168" t="s">
        <v>26</v>
      </c>
      <c r="E168" t="s">
        <v>27</v>
      </c>
      <c r="F168" s="17">
        <v>5000</v>
      </c>
      <c r="G168" s="17">
        <v>120000</v>
      </c>
      <c r="H168" s="17">
        <v>115000</v>
      </c>
      <c r="I168" s="18">
        <v>0.38</v>
      </c>
      <c r="J168" s="14">
        <f t="shared" si="0"/>
        <v>23</v>
      </c>
      <c r="K168" s="15" t="str">
        <f t="shared" si="1"/>
        <v>Exceeds Target</v>
      </c>
    </row>
    <row r="169" spans="2:11" ht="15" customHeight="1">
      <c r="B169" t="s">
        <v>327</v>
      </c>
      <c r="C169" t="s">
        <v>328</v>
      </c>
      <c r="D169" t="s">
        <v>32</v>
      </c>
      <c r="E169" t="s">
        <v>27</v>
      </c>
      <c r="F169" s="17">
        <v>1500</v>
      </c>
      <c r="G169" s="17">
        <v>26000</v>
      </c>
      <c r="H169" s="17">
        <v>24500</v>
      </c>
      <c r="I169" s="18">
        <v>0.59</v>
      </c>
      <c r="J169" s="14">
        <f t="shared" si="0"/>
        <v>16.333333333333332</v>
      </c>
      <c r="K169" s="15" t="str">
        <f t="shared" si="1"/>
        <v>Exceeds Target</v>
      </c>
    </row>
    <row r="170" spans="2:11" ht="15" customHeight="1">
      <c r="B170" t="s">
        <v>329</v>
      </c>
      <c r="C170" t="s">
        <v>330</v>
      </c>
      <c r="D170" t="s">
        <v>80</v>
      </c>
      <c r="E170" t="s">
        <v>27</v>
      </c>
      <c r="F170" s="17">
        <v>1000</v>
      </c>
      <c r="G170" s="17">
        <v>69000</v>
      </c>
      <c r="H170" s="17">
        <v>68000</v>
      </c>
      <c r="I170" s="18">
        <v>0.74</v>
      </c>
      <c r="J170" s="14">
        <f t="shared" si="0"/>
        <v>68</v>
      </c>
      <c r="K170" s="15" t="str">
        <f t="shared" si="1"/>
        <v>Exceeds Target</v>
      </c>
    </row>
    <row r="171" spans="2:11" ht="15" customHeight="1">
      <c r="B171" t="s">
        <v>291</v>
      </c>
      <c r="C171" t="s">
        <v>331</v>
      </c>
      <c r="D171" t="s">
        <v>80</v>
      </c>
      <c r="E171" t="s">
        <v>27</v>
      </c>
      <c r="F171" s="17">
        <v>1000</v>
      </c>
      <c r="G171" s="17">
        <v>72000</v>
      </c>
      <c r="H171" s="17">
        <v>71000</v>
      </c>
      <c r="I171" s="18">
        <v>0.8</v>
      </c>
      <c r="J171" s="14">
        <f t="shared" si="0"/>
        <v>71</v>
      </c>
      <c r="K171" s="15" t="str">
        <f t="shared" si="1"/>
        <v>Exceeds Target</v>
      </c>
    </row>
    <row r="172" spans="2:11" ht="15" customHeight="1">
      <c r="B172" t="s">
        <v>167</v>
      </c>
      <c r="C172" t="s">
        <v>332</v>
      </c>
      <c r="D172" t="s">
        <v>32</v>
      </c>
      <c r="E172" t="s">
        <v>27</v>
      </c>
      <c r="F172" s="17">
        <v>1500</v>
      </c>
      <c r="G172" s="17">
        <v>48000</v>
      </c>
      <c r="H172" s="17">
        <v>46500</v>
      </c>
      <c r="I172" s="18">
        <v>0.81</v>
      </c>
      <c r="J172" s="14">
        <f t="shared" si="0"/>
        <v>31</v>
      </c>
      <c r="K172" s="15" t="str">
        <f t="shared" si="1"/>
        <v>Exceeds Target</v>
      </c>
    </row>
    <row r="173" spans="2:11" ht="15" customHeight="1">
      <c r="B173" t="s">
        <v>212</v>
      </c>
      <c r="C173" t="s">
        <v>333</v>
      </c>
      <c r="D173" t="s">
        <v>26</v>
      </c>
      <c r="E173" t="s">
        <v>27</v>
      </c>
      <c r="F173" s="17">
        <v>5000</v>
      </c>
      <c r="G173" s="17">
        <v>120000</v>
      </c>
      <c r="H173" s="17">
        <v>115000</v>
      </c>
      <c r="I173" s="18">
        <v>0.26</v>
      </c>
      <c r="J173" s="14">
        <f t="shared" si="0"/>
        <v>23</v>
      </c>
      <c r="K173" s="15" t="str">
        <f t="shared" si="1"/>
        <v>Exceeds Target</v>
      </c>
    </row>
    <row r="174" spans="2:11" ht="15" customHeight="1">
      <c r="B174" t="s">
        <v>307</v>
      </c>
      <c r="C174" t="s">
        <v>334</v>
      </c>
      <c r="D174" t="s">
        <v>32</v>
      </c>
      <c r="E174" t="s">
        <v>27</v>
      </c>
      <c r="F174" s="17">
        <v>1500</v>
      </c>
      <c r="G174" s="17">
        <v>46000</v>
      </c>
      <c r="H174" s="17">
        <v>44500</v>
      </c>
      <c r="I174" s="18">
        <v>0.55000000000000004</v>
      </c>
      <c r="J174" s="14">
        <f t="shared" si="0"/>
        <v>29.666666666666668</v>
      </c>
      <c r="K174" s="15" t="str">
        <f t="shared" si="1"/>
        <v>Exceeds Target</v>
      </c>
    </row>
    <row r="175" spans="2:11" ht="15" customHeight="1">
      <c r="B175" t="s">
        <v>335</v>
      </c>
      <c r="C175" t="s">
        <v>336</v>
      </c>
      <c r="D175" t="s">
        <v>35</v>
      </c>
      <c r="E175" t="s">
        <v>27</v>
      </c>
      <c r="F175" s="17">
        <v>3000</v>
      </c>
      <c r="G175" s="17">
        <v>250000</v>
      </c>
      <c r="H175" s="17">
        <v>247000</v>
      </c>
      <c r="I175" s="18">
        <v>0.64</v>
      </c>
      <c r="J175" s="14">
        <f t="shared" si="0"/>
        <v>82.333333333333329</v>
      </c>
      <c r="K175" s="15" t="str">
        <f t="shared" si="1"/>
        <v>Exceeds Target</v>
      </c>
    </row>
    <row r="176" spans="2:11" ht="15" customHeight="1">
      <c r="B176" t="s">
        <v>337</v>
      </c>
      <c r="C176" t="s">
        <v>338</v>
      </c>
      <c r="D176" t="s">
        <v>35</v>
      </c>
      <c r="E176" t="s">
        <v>27</v>
      </c>
      <c r="F176" s="17">
        <v>3000</v>
      </c>
      <c r="G176" s="17">
        <v>250000</v>
      </c>
      <c r="H176" s="17">
        <v>247000</v>
      </c>
      <c r="I176" s="18">
        <v>0.46</v>
      </c>
      <c r="J176" s="14">
        <f t="shared" si="0"/>
        <v>82.333333333333329</v>
      </c>
      <c r="K176" s="15" t="str">
        <f t="shared" si="1"/>
        <v>Exceeds Target</v>
      </c>
    </row>
    <row r="177" spans="2:11" ht="15" customHeight="1">
      <c r="B177" t="s">
        <v>265</v>
      </c>
      <c r="C177" t="s">
        <v>339</v>
      </c>
      <c r="D177" t="s">
        <v>69</v>
      </c>
      <c r="E177" t="s">
        <v>70</v>
      </c>
      <c r="F177" s="17">
        <v>1000</v>
      </c>
      <c r="G177" s="17">
        <v>50000</v>
      </c>
      <c r="H177" s="17">
        <v>49000</v>
      </c>
      <c r="I177" s="18">
        <v>0.28000000000000003</v>
      </c>
      <c r="J177" s="14">
        <f t="shared" si="0"/>
        <v>49</v>
      </c>
      <c r="K177" s="15" t="str">
        <f t="shared" si="1"/>
        <v>Exceeds Target</v>
      </c>
    </row>
    <row r="178" spans="2:11" ht="15" customHeight="1">
      <c r="B178" t="s">
        <v>340</v>
      </c>
      <c r="C178" t="s">
        <v>341</v>
      </c>
      <c r="D178" t="s">
        <v>80</v>
      </c>
      <c r="E178" t="s">
        <v>27</v>
      </c>
      <c r="F178" s="17">
        <v>1000</v>
      </c>
      <c r="G178" s="17">
        <v>78000</v>
      </c>
      <c r="H178" s="17">
        <v>77000</v>
      </c>
      <c r="I178" s="18">
        <v>0.73</v>
      </c>
      <c r="J178" s="14">
        <f t="shared" si="0"/>
        <v>77</v>
      </c>
      <c r="K178" s="15" t="str">
        <f t="shared" si="1"/>
        <v>Exceeds Target</v>
      </c>
    </row>
    <row r="179" spans="2:11" ht="15" customHeight="1">
      <c r="B179" t="s">
        <v>131</v>
      </c>
      <c r="C179" t="s">
        <v>342</v>
      </c>
      <c r="D179" t="s">
        <v>69</v>
      </c>
      <c r="E179" t="s">
        <v>70</v>
      </c>
      <c r="F179" s="17">
        <v>1000</v>
      </c>
      <c r="G179" s="17">
        <v>80000</v>
      </c>
      <c r="H179" s="17">
        <v>79000</v>
      </c>
      <c r="I179" s="18">
        <v>0.75</v>
      </c>
      <c r="J179" s="14">
        <f t="shared" si="0"/>
        <v>79</v>
      </c>
      <c r="K179" s="15" t="str">
        <f t="shared" si="1"/>
        <v>Exceeds Target</v>
      </c>
    </row>
    <row r="180" spans="2:11" ht="15" customHeight="1">
      <c r="B180" t="s">
        <v>343</v>
      </c>
      <c r="C180" t="s">
        <v>344</v>
      </c>
      <c r="D180" t="s">
        <v>35</v>
      </c>
      <c r="E180" t="s">
        <v>27</v>
      </c>
      <c r="F180" s="17">
        <v>3000</v>
      </c>
      <c r="G180" s="17">
        <v>190000</v>
      </c>
      <c r="H180" s="17">
        <v>187000</v>
      </c>
      <c r="I180" s="18">
        <v>0.55000000000000004</v>
      </c>
      <c r="J180" s="14">
        <f t="shared" si="0"/>
        <v>62.333333333333336</v>
      </c>
      <c r="K180" s="15" t="str">
        <f t="shared" si="1"/>
        <v>Exceeds Target</v>
      </c>
    </row>
    <row r="181" spans="2:11" ht="15" customHeight="1">
      <c r="B181" t="s">
        <v>345</v>
      </c>
      <c r="C181" t="s">
        <v>346</v>
      </c>
      <c r="D181" t="s">
        <v>26</v>
      </c>
      <c r="E181" t="s">
        <v>27</v>
      </c>
      <c r="F181" s="17">
        <v>5000</v>
      </c>
      <c r="G181" s="17">
        <v>120000</v>
      </c>
      <c r="H181" s="17">
        <v>115000</v>
      </c>
      <c r="I181" s="18">
        <v>0.24</v>
      </c>
      <c r="J181" s="14">
        <f t="shared" si="0"/>
        <v>23</v>
      </c>
      <c r="K181" s="15" t="str">
        <f t="shared" si="1"/>
        <v>Exceeds Target</v>
      </c>
    </row>
    <row r="182" spans="2:11" ht="15" customHeight="1">
      <c r="B182" t="s">
        <v>347</v>
      </c>
      <c r="C182" t="s">
        <v>348</v>
      </c>
      <c r="D182" t="s">
        <v>35</v>
      </c>
      <c r="E182" t="s">
        <v>27</v>
      </c>
      <c r="F182" s="17">
        <v>3000</v>
      </c>
      <c r="G182" s="17">
        <v>150000</v>
      </c>
      <c r="H182" s="17">
        <v>147000</v>
      </c>
      <c r="I182" s="18">
        <v>0.44</v>
      </c>
      <c r="J182" s="14">
        <f t="shared" si="0"/>
        <v>49</v>
      </c>
      <c r="K182" s="15" t="str">
        <f t="shared" si="1"/>
        <v>Exceeds Target</v>
      </c>
    </row>
    <row r="183" spans="2:11" ht="15" customHeight="1">
      <c r="B183" t="s">
        <v>143</v>
      </c>
      <c r="C183" t="s">
        <v>349</v>
      </c>
      <c r="D183" t="s">
        <v>32</v>
      </c>
      <c r="E183" t="s">
        <v>27</v>
      </c>
      <c r="F183" s="17">
        <v>1500</v>
      </c>
      <c r="G183" s="17">
        <v>60000</v>
      </c>
      <c r="H183" s="17">
        <v>58500</v>
      </c>
      <c r="I183" s="18">
        <v>0.96</v>
      </c>
      <c r="J183" s="14">
        <f t="shared" si="0"/>
        <v>39</v>
      </c>
      <c r="K183" s="15" t="str">
        <f t="shared" si="1"/>
        <v>Exceeds Target</v>
      </c>
    </row>
    <row r="184" spans="2:11" ht="15" customHeight="1">
      <c r="B184" t="s">
        <v>350</v>
      </c>
      <c r="C184" t="s">
        <v>351</v>
      </c>
      <c r="D184" t="s">
        <v>26</v>
      </c>
      <c r="E184" t="s">
        <v>27</v>
      </c>
      <c r="F184" s="17">
        <v>5000</v>
      </c>
      <c r="G184" s="17">
        <v>30000</v>
      </c>
      <c r="H184" s="17">
        <v>25000</v>
      </c>
      <c r="I184" s="18">
        <v>0.41</v>
      </c>
      <c r="J184" s="14">
        <f t="shared" si="0"/>
        <v>5</v>
      </c>
      <c r="K184" s="15" t="str">
        <f t="shared" si="1"/>
        <v>Exceeds Target</v>
      </c>
    </row>
    <row r="185" spans="2:11" ht="15" customHeight="1">
      <c r="B185" t="s">
        <v>352</v>
      </c>
      <c r="C185" t="s">
        <v>353</v>
      </c>
      <c r="D185" t="s">
        <v>32</v>
      </c>
      <c r="E185" t="s">
        <v>27</v>
      </c>
      <c r="F185" s="17">
        <v>1500</v>
      </c>
      <c r="G185" s="17">
        <v>44000</v>
      </c>
      <c r="H185" s="17">
        <v>42500</v>
      </c>
      <c r="I185" s="18">
        <v>0.49</v>
      </c>
      <c r="J185" s="14">
        <f t="shared" si="0"/>
        <v>28.333333333333332</v>
      </c>
      <c r="K185" s="15" t="str">
        <f t="shared" si="1"/>
        <v>Exceeds Target</v>
      </c>
    </row>
    <row r="186" spans="2:11" ht="15" customHeight="1">
      <c r="B186" t="s">
        <v>188</v>
      </c>
      <c r="C186" t="s">
        <v>354</v>
      </c>
      <c r="D186" t="s">
        <v>80</v>
      </c>
      <c r="E186" t="s">
        <v>27</v>
      </c>
      <c r="F186" s="17">
        <v>1000</v>
      </c>
      <c r="G186" s="17">
        <v>57000</v>
      </c>
      <c r="H186" s="17">
        <v>56000</v>
      </c>
      <c r="I186" s="18">
        <v>0.8</v>
      </c>
      <c r="J186" s="14">
        <f t="shared" si="0"/>
        <v>56</v>
      </c>
      <c r="K186" s="15" t="str">
        <f t="shared" si="1"/>
        <v>Exceeds Target</v>
      </c>
    </row>
    <row r="187" spans="2:11" ht="15" customHeight="1">
      <c r="B187" t="s">
        <v>209</v>
      </c>
      <c r="C187" t="s">
        <v>355</v>
      </c>
      <c r="D187" t="s">
        <v>35</v>
      </c>
      <c r="E187" t="s">
        <v>27</v>
      </c>
      <c r="F187" s="17">
        <v>3000</v>
      </c>
      <c r="G187" s="17">
        <v>270000</v>
      </c>
      <c r="H187" s="17">
        <v>267000</v>
      </c>
      <c r="I187" s="18">
        <v>0.55000000000000004</v>
      </c>
      <c r="J187" s="14">
        <f t="shared" si="0"/>
        <v>89</v>
      </c>
      <c r="K187" s="15" t="str">
        <f t="shared" si="1"/>
        <v>Exceeds Target</v>
      </c>
    </row>
    <row r="188" spans="2:11" ht="15" customHeight="1">
      <c r="B188" t="s">
        <v>356</v>
      </c>
      <c r="C188" t="s">
        <v>357</v>
      </c>
      <c r="D188" t="s">
        <v>32</v>
      </c>
      <c r="E188" t="s">
        <v>27</v>
      </c>
      <c r="F188" s="17">
        <v>1500</v>
      </c>
      <c r="G188" s="17">
        <v>58000</v>
      </c>
      <c r="H188" s="17">
        <v>56500</v>
      </c>
      <c r="I188" s="18">
        <v>0.99</v>
      </c>
      <c r="J188" s="14">
        <f t="shared" si="0"/>
        <v>37.666666666666664</v>
      </c>
      <c r="K188" s="15" t="str">
        <f t="shared" si="1"/>
        <v>Exceeds Target</v>
      </c>
    </row>
    <row r="189" spans="2:11" ht="15" customHeight="1">
      <c r="B189" t="s">
        <v>293</v>
      </c>
      <c r="C189" t="s">
        <v>358</v>
      </c>
      <c r="D189" t="s">
        <v>26</v>
      </c>
      <c r="E189" t="s">
        <v>27</v>
      </c>
      <c r="F189" s="17">
        <v>5000</v>
      </c>
      <c r="G189" s="17">
        <v>150000</v>
      </c>
      <c r="H189" s="17">
        <v>145000</v>
      </c>
      <c r="I189" s="18">
        <v>0.08</v>
      </c>
      <c r="J189" s="14">
        <f t="shared" si="0"/>
        <v>29</v>
      </c>
      <c r="K189" s="15" t="str">
        <f t="shared" si="1"/>
        <v>Exceeds Target</v>
      </c>
    </row>
    <row r="190" spans="2:11" ht="15" customHeight="1">
      <c r="B190" t="s">
        <v>359</v>
      </c>
      <c r="C190" t="s">
        <v>360</v>
      </c>
      <c r="D190" t="s">
        <v>80</v>
      </c>
      <c r="E190" t="s">
        <v>27</v>
      </c>
      <c r="F190" s="17">
        <v>1000</v>
      </c>
      <c r="G190" s="17">
        <v>117000</v>
      </c>
      <c r="H190" s="17">
        <v>116000</v>
      </c>
      <c r="I190" s="18">
        <v>0.8</v>
      </c>
      <c r="J190" s="14">
        <f t="shared" si="0"/>
        <v>116</v>
      </c>
      <c r="K190" s="15" t="str">
        <f t="shared" si="1"/>
        <v>Exceeds Target</v>
      </c>
    </row>
    <row r="191" spans="2:11" ht="15" customHeight="1">
      <c r="B191" t="s">
        <v>356</v>
      </c>
      <c r="C191" t="s">
        <v>361</v>
      </c>
      <c r="D191" t="s">
        <v>35</v>
      </c>
      <c r="E191" t="s">
        <v>27</v>
      </c>
      <c r="F191" s="17">
        <v>3000</v>
      </c>
      <c r="G191" s="17">
        <v>260000</v>
      </c>
      <c r="H191" s="17">
        <v>257000</v>
      </c>
      <c r="I191" s="18">
        <v>0.72</v>
      </c>
      <c r="J191" s="14">
        <f t="shared" si="0"/>
        <v>85.666666666666671</v>
      </c>
      <c r="K191" s="15" t="str">
        <f t="shared" si="1"/>
        <v>Exceeds Target</v>
      </c>
    </row>
    <row r="192" spans="2:11" ht="15" customHeight="1">
      <c r="B192" t="s">
        <v>317</v>
      </c>
      <c r="C192" t="s">
        <v>362</v>
      </c>
      <c r="D192" t="s">
        <v>32</v>
      </c>
      <c r="E192" t="s">
        <v>27</v>
      </c>
      <c r="F192" s="17">
        <v>1500</v>
      </c>
      <c r="G192" s="17">
        <v>54000</v>
      </c>
      <c r="H192" s="17">
        <v>52500</v>
      </c>
      <c r="I192" s="18">
        <v>0.64</v>
      </c>
      <c r="J192" s="14">
        <f t="shared" si="0"/>
        <v>35</v>
      </c>
      <c r="K192" s="15" t="str">
        <f t="shared" si="1"/>
        <v>Exceeds Target</v>
      </c>
    </row>
    <row r="193" spans="2:11" ht="15" customHeight="1">
      <c r="B193" t="s">
        <v>91</v>
      </c>
      <c r="C193" t="s">
        <v>363</v>
      </c>
      <c r="D193" t="s">
        <v>80</v>
      </c>
      <c r="E193" t="s">
        <v>27</v>
      </c>
      <c r="F193" s="17">
        <v>1000</v>
      </c>
      <c r="G193" s="17">
        <v>93000</v>
      </c>
      <c r="H193" s="17">
        <v>92000</v>
      </c>
      <c r="I193" s="18">
        <v>0.92</v>
      </c>
      <c r="J193" s="14">
        <f t="shared" si="0"/>
        <v>92</v>
      </c>
      <c r="K193" s="15" t="str">
        <f t="shared" si="1"/>
        <v>Exceeds Target</v>
      </c>
    </row>
    <row r="194" spans="2:11" ht="15" customHeight="1">
      <c r="B194" t="s">
        <v>364</v>
      </c>
      <c r="C194" t="s">
        <v>365</v>
      </c>
      <c r="D194" t="s">
        <v>35</v>
      </c>
      <c r="E194" t="s">
        <v>27</v>
      </c>
      <c r="F194" s="17">
        <v>3000</v>
      </c>
      <c r="G194" s="17">
        <v>90000</v>
      </c>
      <c r="H194" s="17">
        <v>87000</v>
      </c>
      <c r="I194" s="18">
        <v>0.54</v>
      </c>
      <c r="J194" s="14">
        <f t="shared" si="0"/>
        <v>29</v>
      </c>
      <c r="K194" s="15" t="str">
        <f t="shared" si="1"/>
        <v>Exceeds Target</v>
      </c>
    </row>
    <row r="195" spans="2:11" ht="15" customHeight="1">
      <c r="B195" t="s">
        <v>366</v>
      </c>
      <c r="C195" t="s">
        <v>367</v>
      </c>
      <c r="D195" t="s">
        <v>35</v>
      </c>
      <c r="E195" t="s">
        <v>27</v>
      </c>
      <c r="F195" s="17">
        <v>3000</v>
      </c>
      <c r="G195" s="17">
        <v>260000</v>
      </c>
      <c r="H195" s="17">
        <v>257000</v>
      </c>
      <c r="I195" s="18">
        <v>0.48</v>
      </c>
      <c r="J195" s="14">
        <f t="shared" si="0"/>
        <v>85.666666666666671</v>
      </c>
      <c r="K195" s="15" t="str">
        <f t="shared" si="1"/>
        <v>Exceeds Target</v>
      </c>
    </row>
    <row r="196" spans="2:11" ht="15" customHeight="1">
      <c r="B196" t="s">
        <v>368</v>
      </c>
      <c r="C196" t="s">
        <v>369</v>
      </c>
      <c r="D196" t="s">
        <v>69</v>
      </c>
      <c r="E196" t="s">
        <v>70</v>
      </c>
      <c r="F196" s="17">
        <v>1000</v>
      </c>
      <c r="G196" s="17">
        <v>65000</v>
      </c>
      <c r="H196" s="17">
        <v>64000</v>
      </c>
      <c r="I196" s="18">
        <v>0.97</v>
      </c>
      <c r="J196" s="14">
        <f t="shared" si="0"/>
        <v>64</v>
      </c>
      <c r="K196" s="15" t="str">
        <f t="shared" si="1"/>
        <v>Exceeds Target</v>
      </c>
    </row>
    <row r="197" spans="2:11" ht="15" customHeight="1">
      <c r="B197" t="s">
        <v>370</v>
      </c>
      <c r="C197" t="s">
        <v>371</v>
      </c>
      <c r="D197" t="s">
        <v>69</v>
      </c>
      <c r="E197" t="s">
        <v>70</v>
      </c>
      <c r="F197" s="17">
        <v>1000</v>
      </c>
      <c r="G197" s="17">
        <v>55000</v>
      </c>
      <c r="H197" s="17">
        <v>54000</v>
      </c>
      <c r="I197" s="18">
        <v>0.45</v>
      </c>
      <c r="J197" s="14">
        <f t="shared" si="0"/>
        <v>54</v>
      </c>
      <c r="K197" s="15" t="str">
        <f t="shared" si="1"/>
        <v>Exceeds Target</v>
      </c>
    </row>
    <row r="198" spans="2:11" ht="15" customHeight="1">
      <c r="B198" t="s">
        <v>214</v>
      </c>
      <c r="C198" t="s">
        <v>372</v>
      </c>
      <c r="D198" t="s">
        <v>26</v>
      </c>
      <c r="E198" t="s">
        <v>27</v>
      </c>
      <c r="F198" s="17">
        <v>5000</v>
      </c>
      <c r="G198" s="17">
        <v>120000</v>
      </c>
      <c r="H198" s="17">
        <v>115000</v>
      </c>
      <c r="I198" s="18">
        <v>0.1</v>
      </c>
      <c r="J198" s="14">
        <f t="shared" si="0"/>
        <v>23</v>
      </c>
      <c r="K198" s="15" t="str">
        <f t="shared" si="1"/>
        <v>Exceeds Target</v>
      </c>
    </row>
    <row r="199" spans="2:11" ht="15" customHeight="1">
      <c r="B199" t="s">
        <v>81</v>
      </c>
      <c r="C199" t="s">
        <v>373</v>
      </c>
      <c r="D199" t="s">
        <v>32</v>
      </c>
      <c r="E199" t="s">
        <v>27</v>
      </c>
      <c r="F199" s="17">
        <v>1500</v>
      </c>
      <c r="G199" s="17">
        <v>56000</v>
      </c>
      <c r="H199" s="17">
        <v>54500</v>
      </c>
      <c r="I199" s="18">
        <v>0.63</v>
      </c>
      <c r="J199" s="14">
        <f t="shared" si="0"/>
        <v>36.333333333333336</v>
      </c>
      <c r="K199" s="15" t="str">
        <f t="shared" si="1"/>
        <v>Exceeds Target</v>
      </c>
    </row>
    <row r="200" spans="2:11" ht="15" customHeight="1">
      <c r="B200" t="s">
        <v>374</v>
      </c>
      <c r="C200" t="s">
        <v>375</v>
      </c>
      <c r="D200" t="s">
        <v>26</v>
      </c>
      <c r="E200" t="s">
        <v>27</v>
      </c>
      <c r="F200" s="17">
        <v>5000</v>
      </c>
      <c r="G200" s="17">
        <v>150000</v>
      </c>
      <c r="H200" s="17">
        <v>145000</v>
      </c>
      <c r="I200" s="18">
        <v>0.11</v>
      </c>
      <c r="J200" s="14">
        <f t="shared" si="0"/>
        <v>29</v>
      </c>
      <c r="K200" s="15" t="str">
        <f t="shared" si="1"/>
        <v>Exceeds Target</v>
      </c>
    </row>
    <row r="201" spans="2:11" ht="15" customHeight="1">
      <c r="B201" t="s">
        <v>376</v>
      </c>
      <c r="C201" t="s">
        <v>377</v>
      </c>
      <c r="D201" t="s">
        <v>69</v>
      </c>
      <c r="E201" t="s">
        <v>70</v>
      </c>
      <c r="F201" s="17">
        <v>1000</v>
      </c>
      <c r="G201" s="17">
        <v>110000</v>
      </c>
      <c r="H201" s="17">
        <v>109000</v>
      </c>
      <c r="I201" s="18">
        <v>0.56999999999999995</v>
      </c>
      <c r="J201" s="14">
        <f t="shared" si="0"/>
        <v>109</v>
      </c>
      <c r="K201" s="15" t="str">
        <f t="shared" si="1"/>
        <v>Exceeds Target</v>
      </c>
    </row>
    <row r="202" spans="2:11" ht="15" customHeight="1">
      <c r="B202" t="s">
        <v>378</v>
      </c>
      <c r="C202" t="s">
        <v>379</v>
      </c>
      <c r="D202" t="s">
        <v>35</v>
      </c>
      <c r="E202" t="s">
        <v>27</v>
      </c>
      <c r="F202" s="17">
        <v>3000</v>
      </c>
      <c r="G202" s="17">
        <v>220000</v>
      </c>
      <c r="H202" s="17">
        <v>217000</v>
      </c>
      <c r="I202" s="18">
        <v>0.62</v>
      </c>
      <c r="J202" s="14">
        <f t="shared" si="0"/>
        <v>72.333333333333329</v>
      </c>
      <c r="K202" s="15" t="str">
        <f t="shared" si="1"/>
        <v>Exceeds Target</v>
      </c>
    </row>
    <row r="203" spans="2:11" ht="15" customHeight="1">
      <c r="B203" t="s">
        <v>350</v>
      </c>
      <c r="C203" t="s">
        <v>380</v>
      </c>
      <c r="D203" t="s">
        <v>69</v>
      </c>
      <c r="E203" t="s">
        <v>70</v>
      </c>
      <c r="F203" s="17">
        <v>1000</v>
      </c>
      <c r="G203" s="17">
        <v>60000</v>
      </c>
      <c r="H203" s="17">
        <v>59000</v>
      </c>
      <c r="I203" s="18">
        <v>0.72</v>
      </c>
      <c r="J203" s="14">
        <f t="shared" si="0"/>
        <v>59</v>
      </c>
      <c r="K203" s="15" t="str">
        <f t="shared" si="1"/>
        <v>Exceeds Target</v>
      </c>
    </row>
    <row r="204" spans="2:11" ht="15" customHeight="1">
      <c r="B204" t="s">
        <v>279</v>
      </c>
      <c r="C204" t="s">
        <v>381</v>
      </c>
      <c r="D204" t="s">
        <v>69</v>
      </c>
      <c r="E204" t="s">
        <v>70</v>
      </c>
      <c r="F204" s="17">
        <v>1000</v>
      </c>
      <c r="G204" s="17">
        <v>140000</v>
      </c>
      <c r="H204" s="17">
        <v>139000</v>
      </c>
      <c r="I204" s="18">
        <v>0.96</v>
      </c>
      <c r="J204" s="14">
        <f t="shared" si="0"/>
        <v>139</v>
      </c>
      <c r="K204" s="15" t="str">
        <f t="shared" si="1"/>
        <v>Exceeds Target</v>
      </c>
    </row>
    <row r="205" spans="2:11" ht="15" customHeight="1">
      <c r="B205" t="s">
        <v>382</v>
      </c>
      <c r="C205" t="s">
        <v>383</v>
      </c>
      <c r="D205" t="s">
        <v>26</v>
      </c>
      <c r="E205" t="s">
        <v>27</v>
      </c>
      <c r="F205" s="17">
        <v>5000</v>
      </c>
      <c r="G205" s="17">
        <v>30000</v>
      </c>
      <c r="H205" s="17">
        <v>25000</v>
      </c>
      <c r="I205" s="18">
        <v>0.17</v>
      </c>
      <c r="J205" s="14">
        <f t="shared" si="0"/>
        <v>5</v>
      </c>
      <c r="K205" s="15" t="str">
        <f t="shared" si="1"/>
        <v>Exceeds Target</v>
      </c>
    </row>
    <row r="206" spans="2:11" ht="15" customHeight="1">
      <c r="B206" t="s">
        <v>384</v>
      </c>
      <c r="C206" t="s">
        <v>385</v>
      </c>
      <c r="D206" t="s">
        <v>80</v>
      </c>
      <c r="E206" t="s">
        <v>27</v>
      </c>
      <c r="F206" s="17">
        <v>1000</v>
      </c>
      <c r="G206" s="17">
        <v>66000</v>
      </c>
      <c r="H206" s="17">
        <v>65000</v>
      </c>
      <c r="I206" s="18">
        <v>0.68</v>
      </c>
      <c r="J206" s="14">
        <f t="shared" si="0"/>
        <v>65</v>
      </c>
      <c r="K206" s="15" t="str">
        <f t="shared" si="1"/>
        <v>Exceeds Target</v>
      </c>
    </row>
    <row r="207" spans="2:11" ht="15" customHeight="1">
      <c r="B207" t="s">
        <v>386</v>
      </c>
      <c r="C207" t="s">
        <v>387</v>
      </c>
      <c r="D207" t="s">
        <v>35</v>
      </c>
      <c r="E207" t="s">
        <v>27</v>
      </c>
      <c r="F207" s="17">
        <v>3000</v>
      </c>
      <c r="G207" s="17">
        <v>270000</v>
      </c>
      <c r="H207" s="17">
        <v>267000</v>
      </c>
      <c r="I207" s="18">
        <v>0.85</v>
      </c>
      <c r="J207" s="14">
        <f t="shared" si="0"/>
        <v>89</v>
      </c>
      <c r="K207" s="15" t="str">
        <f t="shared" si="1"/>
        <v>Exceeds Target</v>
      </c>
    </row>
    <row r="208" spans="2:11" ht="15" customHeight="1">
      <c r="B208" t="s">
        <v>279</v>
      </c>
      <c r="C208" t="s">
        <v>388</v>
      </c>
      <c r="D208" t="s">
        <v>32</v>
      </c>
      <c r="E208" t="s">
        <v>27</v>
      </c>
      <c r="F208" s="17">
        <v>1500</v>
      </c>
      <c r="G208" s="17">
        <v>50000</v>
      </c>
      <c r="H208" s="17">
        <v>48500</v>
      </c>
      <c r="I208" s="18">
        <v>0.95</v>
      </c>
      <c r="J208" s="14">
        <f t="shared" si="0"/>
        <v>32.333333333333336</v>
      </c>
      <c r="K208" s="15" t="str">
        <f t="shared" si="1"/>
        <v>Exceeds Target</v>
      </c>
    </row>
    <row r="209" spans="2:11" ht="15" customHeight="1">
      <c r="B209" t="s">
        <v>263</v>
      </c>
      <c r="C209" t="s">
        <v>389</v>
      </c>
      <c r="D209" t="s">
        <v>80</v>
      </c>
      <c r="E209" t="s">
        <v>27</v>
      </c>
      <c r="F209" s="17">
        <v>1000</v>
      </c>
      <c r="G209" s="17">
        <v>54000</v>
      </c>
      <c r="H209" s="17">
        <v>53000</v>
      </c>
      <c r="I209" s="18">
        <v>0.67</v>
      </c>
      <c r="J209" s="14">
        <f t="shared" si="0"/>
        <v>53</v>
      </c>
      <c r="K209" s="15" t="str">
        <f t="shared" si="1"/>
        <v>Exceeds Target</v>
      </c>
    </row>
    <row r="210" spans="2:11" ht="15" customHeight="1">
      <c r="B210" t="s">
        <v>390</v>
      </c>
      <c r="C210" t="s">
        <v>391</v>
      </c>
      <c r="D210" t="s">
        <v>35</v>
      </c>
      <c r="E210" t="s">
        <v>27</v>
      </c>
      <c r="F210" s="17">
        <v>3000</v>
      </c>
      <c r="G210" s="17">
        <v>300000</v>
      </c>
      <c r="H210" s="17">
        <v>297000</v>
      </c>
      <c r="I210" s="18">
        <v>0.96</v>
      </c>
      <c r="J210" s="14">
        <f t="shared" si="0"/>
        <v>99</v>
      </c>
      <c r="K210" s="15" t="str">
        <f t="shared" si="1"/>
        <v>Exceeds Target</v>
      </c>
    </row>
    <row r="211" spans="2:11" ht="15" customHeight="1">
      <c r="B211" t="s">
        <v>392</v>
      </c>
      <c r="C211" t="s">
        <v>393</v>
      </c>
      <c r="D211" t="s">
        <v>32</v>
      </c>
      <c r="E211" t="s">
        <v>27</v>
      </c>
      <c r="F211" s="17">
        <v>1500</v>
      </c>
      <c r="G211" s="17">
        <v>48000</v>
      </c>
      <c r="H211" s="17">
        <v>46500</v>
      </c>
      <c r="I211" s="18">
        <v>0.42</v>
      </c>
      <c r="J211" s="14">
        <f t="shared" si="0"/>
        <v>31</v>
      </c>
      <c r="K211" s="15" t="str">
        <f t="shared" si="1"/>
        <v>Exceeds Target</v>
      </c>
    </row>
    <row r="212" spans="2:11" ht="15" customHeight="1">
      <c r="B212" t="s">
        <v>394</v>
      </c>
      <c r="C212" t="s">
        <v>395</v>
      </c>
      <c r="D212" t="s">
        <v>69</v>
      </c>
      <c r="E212" t="s">
        <v>70</v>
      </c>
      <c r="F212" s="17">
        <v>1000</v>
      </c>
      <c r="G212" s="17">
        <v>50000</v>
      </c>
      <c r="H212" s="17">
        <v>49000</v>
      </c>
      <c r="I212" s="18">
        <v>0.92</v>
      </c>
      <c r="J212" s="14">
        <f t="shared" si="0"/>
        <v>49</v>
      </c>
      <c r="K212" s="15" t="str">
        <f t="shared" si="1"/>
        <v>Exceeds Target</v>
      </c>
    </row>
    <row r="213" spans="2:11" ht="15" customHeight="1">
      <c r="B213" t="s">
        <v>91</v>
      </c>
      <c r="C213" t="s">
        <v>396</v>
      </c>
      <c r="D213" t="s">
        <v>35</v>
      </c>
      <c r="E213" t="s">
        <v>27</v>
      </c>
      <c r="F213" s="17">
        <v>3000</v>
      </c>
      <c r="G213" s="17">
        <v>260000</v>
      </c>
      <c r="H213" s="17">
        <v>257000</v>
      </c>
      <c r="I213" s="18">
        <v>0.8</v>
      </c>
      <c r="J213" s="14">
        <f t="shared" si="0"/>
        <v>85.666666666666671</v>
      </c>
      <c r="K213" s="15" t="str">
        <f t="shared" si="1"/>
        <v>Exceeds Target</v>
      </c>
    </row>
    <row r="214" spans="2:11" ht="15" customHeight="1">
      <c r="B214" t="s">
        <v>397</v>
      </c>
      <c r="C214" t="s">
        <v>398</v>
      </c>
      <c r="D214" t="s">
        <v>80</v>
      </c>
      <c r="E214" t="s">
        <v>27</v>
      </c>
      <c r="F214" s="17">
        <v>1000</v>
      </c>
      <c r="G214" s="17">
        <v>84000</v>
      </c>
      <c r="H214" s="17">
        <v>83000</v>
      </c>
      <c r="I214" s="18">
        <v>0.72</v>
      </c>
      <c r="J214" s="14">
        <f t="shared" si="0"/>
        <v>83</v>
      </c>
      <c r="K214" s="15" t="str">
        <f t="shared" si="1"/>
        <v>Exceeds Target</v>
      </c>
    </row>
    <row r="215" spans="2:11" ht="15" customHeight="1">
      <c r="B215" t="s">
        <v>399</v>
      </c>
      <c r="C215" t="s">
        <v>400</v>
      </c>
      <c r="D215" t="s">
        <v>26</v>
      </c>
      <c r="E215" t="s">
        <v>27</v>
      </c>
      <c r="F215" s="17">
        <v>5000</v>
      </c>
      <c r="G215" s="17">
        <v>150000</v>
      </c>
      <c r="H215" s="17">
        <v>145000</v>
      </c>
      <c r="I215" s="18">
        <v>0.1</v>
      </c>
      <c r="J215" s="14">
        <f t="shared" si="0"/>
        <v>29</v>
      </c>
      <c r="K215" s="15" t="str">
        <f t="shared" si="1"/>
        <v>Exceeds Target</v>
      </c>
    </row>
    <row r="216" spans="2:11" ht="15" customHeight="1">
      <c r="B216" t="s">
        <v>401</v>
      </c>
      <c r="C216" t="s">
        <v>402</v>
      </c>
      <c r="D216" t="s">
        <v>35</v>
      </c>
      <c r="E216" t="s">
        <v>27</v>
      </c>
      <c r="F216" s="17">
        <v>3000</v>
      </c>
      <c r="G216" s="17">
        <v>240000</v>
      </c>
      <c r="H216" s="17">
        <v>237000</v>
      </c>
      <c r="I216" s="18">
        <v>0.47</v>
      </c>
      <c r="J216" s="14">
        <f t="shared" si="0"/>
        <v>79</v>
      </c>
      <c r="K216" s="15" t="str">
        <f t="shared" si="1"/>
        <v>Exceeds Target</v>
      </c>
    </row>
    <row r="217" spans="2:11" ht="15" customHeight="1">
      <c r="B217" t="s">
        <v>403</v>
      </c>
      <c r="C217" t="s">
        <v>404</v>
      </c>
      <c r="D217" t="s">
        <v>80</v>
      </c>
      <c r="E217" t="s">
        <v>27</v>
      </c>
      <c r="F217" s="17">
        <v>1000</v>
      </c>
      <c r="G217" s="17">
        <v>96000</v>
      </c>
      <c r="H217" s="17">
        <v>95000</v>
      </c>
      <c r="I217" s="18">
        <v>0.99</v>
      </c>
      <c r="J217" s="14">
        <f t="shared" si="0"/>
        <v>95</v>
      </c>
      <c r="K217" s="15" t="str">
        <f t="shared" si="1"/>
        <v>Exceeds Target</v>
      </c>
    </row>
    <row r="218" spans="2:11" ht="15" customHeight="1">
      <c r="B218" t="s">
        <v>255</v>
      </c>
      <c r="C218" t="s">
        <v>405</v>
      </c>
      <c r="D218" t="s">
        <v>32</v>
      </c>
      <c r="E218" t="s">
        <v>27</v>
      </c>
      <c r="F218" s="17">
        <v>1500</v>
      </c>
      <c r="G218" s="17">
        <v>46000</v>
      </c>
      <c r="H218" s="17">
        <v>44500</v>
      </c>
      <c r="I218" s="18">
        <v>0.52</v>
      </c>
      <c r="J218" s="14">
        <f t="shared" si="0"/>
        <v>29.666666666666668</v>
      </c>
      <c r="K218" s="15" t="str">
        <f t="shared" si="1"/>
        <v>Exceeds Target</v>
      </c>
    </row>
    <row r="219" spans="2:11" ht="15" customHeight="1">
      <c r="B219" t="s">
        <v>89</v>
      </c>
      <c r="C219" t="s">
        <v>406</v>
      </c>
      <c r="D219" t="s">
        <v>32</v>
      </c>
      <c r="E219" t="s">
        <v>27</v>
      </c>
      <c r="F219" s="17">
        <v>1500</v>
      </c>
      <c r="G219" s="17">
        <v>50000</v>
      </c>
      <c r="H219" s="17">
        <v>48500</v>
      </c>
      <c r="I219" s="18">
        <v>0.44</v>
      </c>
      <c r="J219" s="14">
        <f t="shared" si="0"/>
        <v>32.333333333333336</v>
      </c>
      <c r="K219" s="15" t="str">
        <f t="shared" si="1"/>
        <v>Exceeds Target</v>
      </c>
    </row>
    <row r="220" spans="2:11" ht="15" customHeight="1">
      <c r="B220" t="s">
        <v>327</v>
      </c>
      <c r="C220" t="s">
        <v>407</v>
      </c>
      <c r="D220" t="s">
        <v>69</v>
      </c>
      <c r="E220" t="s">
        <v>70</v>
      </c>
      <c r="F220" s="17">
        <v>1000</v>
      </c>
      <c r="G220" s="17">
        <v>100000</v>
      </c>
      <c r="H220" s="17">
        <v>99000</v>
      </c>
      <c r="I220" s="18">
        <v>0.91</v>
      </c>
      <c r="J220" s="14">
        <f t="shared" si="0"/>
        <v>99</v>
      </c>
      <c r="K220" s="15" t="str">
        <f t="shared" si="1"/>
        <v>Exceeds Target</v>
      </c>
    </row>
    <row r="221" spans="2:11" ht="15" customHeight="1">
      <c r="B221" t="s">
        <v>408</v>
      </c>
      <c r="C221" t="s">
        <v>409</v>
      </c>
      <c r="D221" t="s">
        <v>32</v>
      </c>
      <c r="E221" t="s">
        <v>27</v>
      </c>
      <c r="F221" s="17">
        <v>1500</v>
      </c>
      <c r="G221" s="17">
        <v>60000</v>
      </c>
      <c r="H221" s="17">
        <v>58500</v>
      </c>
      <c r="I221" s="18">
        <v>0.41</v>
      </c>
      <c r="J221" s="14">
        <f t="shared" si="0"/>
        <v>39</v>
      </c>
      <c r="K221" s="15" t="str">
        <f t="shared" si="1"/>
        <v>Exceeds Target</v>
      </c>
    </row>
    <row r="222" spans="2:11" ht="15" customHeight="1">
      <c r="B222" t="s">
        <v>323</v>
      </c>
      <c r="C222" t="s">
        <v>410</v>
      </c>
      <c r="D222" t="s">
        <v>35</v>
      </c>
      <c r="E222" t="s">
        <v>27</v>
      </c>
      <c r="F222" s="17">
        <v>3000</v>
      </c>
      <c r="G222" s="17">
        <v>70000</v>
      </c>
      <c r="H222" s="17">
        <v>67000</v>
      </c>
      <c r="I222" s="18">
        <v>0.83</v>
      </c>
      <c r="J222" s="14">
        <f t="shared" si="0"/>
        <v>22.333333333333332</v>
      </c>
      <c r="K222" s="15" t="str">
        <f t="shared" si="1"/>
        <v>Exceeds Target</v>
      </c>
    </row>
    <row r="223" spans="2:11" ht="15" customHeight="1">
      <c r="B223" t="s">
        <v>411</v>
      </c>
      <c r="C223" t="s">
        <v>412</v>
      </c>
      <c r="D223" t="s">
        <v>26</v>
      </c>
      <c r="E223" t="s">
        <v>27</v>
      </c>
      <c r="F223" s="17">
        <v>5000</v>
      </c>
      <c r="G223" s="17">
        <v>90000</v>
      </c>
      <c r="H223" s="17">
        <v>85000</v>
      </c>
      <c r="I223" s="18">
        <v>0.33</v>
      </c>
      <c r="J223" s="14">
        <f t="shared" si="0"/>
        <v>17</v>
      </c>
      <c r="K223" s="15" t="str">
        <f t="shared" si="1"/>
        <v>Exceeds Target</v>
      </c>
    </row>
    <row r="224" spans="2:11" ht="15" customHeight="1">
      <c r="B224" t="s">
        <v>413</v>
      </c>
      <c r="C224" t="s">
        <v>414</v>
      </c>
      <c r="D224" t="s">
        <v>80</v>
      </c>
      <c r="E224" t="s">
        <v>27</v>
      </c>
      <c r="F224" s="17">
        <v>1000</v>
      </c>
      <c r="G224" s="17">
        <v>57000</v>
      </c>
      <c r="H224" s="17">
        <v>56000</v>
      </c>
      <c r="I224" s="18">
        <v>0.71</v>
      </c>
      <c r="J224" s="14">
        <f t="shared" si="0"/>
        <v>56</v>
      </c>
      <c r="K224" s="15" t="str">
        <f t="shared" si="1"/>
        <v>Exceeds Target</v>
      </c>
    </row>
    <row r="225" spans="2:11" ht="15" customHeight="1">
      <c r="B225" t="s">
        <v>257</v>
      </c>
      <c r="C225" t="s">
        <v>415</v>
      </c>
      <c r="D225" t="s">
        <v>26</v>
      </c>
      <c r="E225" t="s">
        <v>27</v>
      </c>
      <c r="F225" s="17">
        <v>5000</v>
      </c>
      <c r="G225" s="17">
        <v>150000</v>
      </c>
      <c r="H225" s="17">
        <v>145000</v>
      </c>
      <c r="I225" s="18">
        <v>0.18</v>
      </c>
      <c r="J225" s="14">
        <f t="shared" si="0"/>
        <v>29</v>
      </c>
      <c r="K225" s="15" t="str">
        <f t="shared" si="1"/>
        <v>Exceeds Target</v>
      </c>
    </row>
    <row r="226" spans="2:11" ht="15" customHeight="1">
      <c r="B226" t="s">
        <v>416</v>
      </c>
      <c r="C226" t="s">
        <v>417</v>
      </c>
      <c r="D226" t="s">
        <v>26</v>
      </c>
      <c r="E226" t="s">
        <v>27</v>
      </c>
      <c r="F226" s="17">
        <v>5000</v>
      </c>
      <c r="G226" s="17">
        <v>120000</v>
      </c>
      <c r="H226" s="17">
        <v>115000</v>
      </c>
      <c r="I226" s="18">
        <v>0.04</v>
      </c>
      <c r="J226" s="14">
        <f t="shared" si="0"/>
        <v>23</v>
      </c>
      <c r="K226" s="15" t="str">
        <f t="shared" si="1"/>
        <v>Exceeds Target</v>
      </c>
    </row>
    <row r="227" spans="2:11" ht="15" customHeight="1">
      <c r="B227" t="s">
        <v>418</v>
      </c>
      <c r="C227" t="s">
        <v>419</v>
      </c>
      <c r="D227" t="s">
        <v>69</v>
      </c>
      <c r="E227" t="s">
        <v>70</v>
      </c>
      <c r="F227" s="17">
        <v>1000</v>
      </c>
      <c r="G227" s="17">
        <v>110000</v>
      </c>
      <c r="H227" s="17">
        <v>109000</v>
      </c>
      <c r="I227" s="18">
        <v>0.53</v>
      </c>
      <c r="J227" s="14">
        <f t="shared" si="0"/>
        <v>109</v>
      </c>
      <c r="K227" s="15" t="str">
        <f t="shared" si="1"/>
        <v>Exceeds Target</v>
      </c>
    </row>
    <row r="228" spans="2:11" ht="15" customHeight="1">
      <c r="B228" t="s">
        <v>420</v>
      </c>
      <c r="C228" t="s">
        <v>421</v>
      </c>
      <c r="D228" t="s">
        <v>69</v>
      </c>
      <c r="E228" t="s">
        <v>70</v>
      </c>
      <c r="F228" s="17">
        <v>1000</v>
      </c>
      <c r="G228" s="17">
        <v>150000</v>
      </c>
      <c r="H228" s="17">
        <v>149000</v>
      </c>
      <c r="I228" s="18">
        <v>0.87</v>
      </c>
      <c r="J228" s="14">
        <f t="shared" si="0"/>
        <v>149</v>
      </c>
      <c r="K228" s="15" t="str">
        <f t="shared" si="1"/>
        <v>Exceeds Target</v>
      </c>
    </row>
    <row r="229" spans="2:11" ht="15" customHeight="1">
      <c r="B229" t="s">
        <v>422</v>
      </c>
      <c r="C229" t="s">
        <v>423</v>
      </c>
      <c r="D229" t="s">
        <v>69</v>
      </c>
      <c r="E229" t="s">
        <v>70</v>
      </c>
      <c r="F229" s="17">
        <v>1000</v>
      </c>
      <c r="G229" s="17">
        <v>70000</v>
      </c>
      <c r="H229" s="17">
        <v>69000</v>
      </c>
      <c r="I229" s="18">
        <v>0.97</v>
      </c>
      <c r="J229" s="14">
        <f t="shared" si="0"/>
        <v>69</v>
      </c>
      <c r="K229" s="15" t="str">
        <f t="shared" si="1"/>
        <v>Exceeds Target</v>
      </c>
    </row>
    <row r="230" spans="2:11" ht="15" customHeight="1">
      <c r="B230" t="s">
        <v>424</v>
      </c>
      <c r="C230" t="s">
        <v>425</v>
      </c>
      <c r="D230" t="s">
        <v>32</v>
      </c>
      <c r="E230" t="s">
        <v>27</v>
      </c>
      <c r="F230" s="17">
        <v>1500</v>
      </c>
      <c r="G230" s="17">
        <v>30000</v>
      </c>
      <c r="H230" s="17">
        <v>28500</v>
      </c>
      <c r="I230" s="18">
        <v>0.23</v>
      </c>
      <c r="J230" s="14">
        <f t="shared" si="0"/>
        <v>19</v>
      </c>
      <c r="K230" s="15" t="str">
        <f t="shared" si="1"/>
        <v>Exceeds Target</v>
      </c>
    </row>
    <row r="231" spans="2:11" ht="15" customHeight="1">
      <c r="B231" t="s">
        <v>426</v>
      </c>
      <c r="C231" t="s">
        <v>427</v>
      </c>
      <c r="D231" t="s">
        <v>69</v>
      </c>
      <c r="E231" t="s">
        <v>70</v>
      </c>
      <c r="F231" s="17">
        <v>1000</v>
      </c>
      <c r="G231" s="17">
        <v>100000</v>
      </c>
      <c r="H231" s="17">
        <v>99000</v>
      </c>
      <c r="I231" s="18">
        <v>0.32</v>
      </c>
      <c r="J231" s="14">
        <f t="shared" si="0"/>
        <v>99</v>
      </c>
      <c r="K231" s="15" t="str">
        <f t="shared" si="1"/>
        <v>Exceeds Target</v>
      </c>
    </row>
    <row r="232" spans="2:11" ht="15" customHeight="1">
      <c r="B232" t="s">
        <v>428</v>
      </c>
      <c r="C232" t="s">
        <v>429</v>
      </c>
      <c r="D232" t="s">
        <v>35</v>
      </c>
      <c r="E232" t="s">
        <v>27</v>
      </c>
      <c r="F232" s="17">
        <v>3000</v>
      </c>
      <c r="G232" s="17">
        <v>290000</v>
      </c>
      <c r="H232" s="17">
        <v>287000</v>
      </c>
      <c r="I232" s="18">
        <v>0.66</v>
      </c>
      <c r="J232" s="14">
        <f t="shared" si="0"/>
        <v>95.666666666666671</v>
      </c>
      <c r="K232" s="15" t="str">
        <f t="shared" si="1"/>
        <v>Exceeds Target</v>
      </c>
    </row>
    <row r="233" spans="2:11" ht="15" customHeight="1">
      <c r="B233" t="s">
        <v>430</v>
      </c>
      <c r="C233" t="s">
        <v>431</v>
      </c>
      <c r="D233" t="s">
        <v>32</v>
      </c>
      <c r="E233" t="s">
        <v>27</v>
      </c>
      <c r="F233" s="17">
        <v>1500</v>
      </c>
      <c r="G233" s="17">
        <v>26000</v>
      </c>
      <c r="H233" s="17">
        <v>24500</v>
      </c>
      <c r="I233" s="18">
        <v>0.65</v>
      </c>
      <c r="J233" s="14">
        <f t="shared" si="0"/>
        <v>16.333333333333332</v>
      </c>
      <c r="K233" s="15" t="str">
        <f t="shared" si="1"/>
        <v>Exceeds Target</v>
      </c>
    </row>
    <row r="234" spans="2:11" ht="15" customHeight="1">
      <c r="B234" t="s">
        <v>432</v>
      </c>
      <c r="C234" t="s">
        <v>433</v>
      </c>
      <c r="D234" t="s">
        <v>26</v>
      </c>
      <c r="E234" t="s">
        <v>27</v>
      </c>
      <c r="F234" s="17">
        <v>5000</v>
      </c>
      <c r="G234" s="17">
        <v>30000</v>
      </c>
      <c r="H234" s="17">
        <v>25000</v>
      </c>
      <c r="I234" s="18">
        <v>0.3</v>
      </c>
      <c r="J234" s="14">
        <f t="shared" si="0"/>
        <v>5</v>
      </c>
      <c r="K234" s="15" t="str">
        <f t="shared" si="1"/>
        <v>Exceeds Target</v>
      </c>
    </row>
    <row r="235" spans="2:11" ht="15" customHeight="1">
      <c r="B235" t="s">
        <v>434</v>
      </c>
      <c r="C235" t="s">
        <v>435</v>
      </c>
      <c r="D235" t="s">
        <v>26</v>
      </c>
      <c r="E235" t="s">
        <v>27</v>
      </c>
      <c r="F235" s="17">
        <v>5000</v>
      </c>
      <c r="G235" s="17">
        <v>150000</v>
      </c>
      <c r="H235" s="17">
        <v>145000</v>
      </c>
      <c r="I235" s="18">
        <v>0.21</v>
      </c>
      <c r="J235" s="14">
        <f t="shared" si="0"/>
        <v>29</v>
      </c>
      <c r="K235" s="15" t="str">
        <f t="shared" si="1"/>
        <v>Exceeds Target</v>
      </c>
    </row>
    <row r="236" spans="2:11" ht="15" customHeight="1">
      <c r="B236" t="s">
        <v>231</v>
      </c>
      <c r="C236" t="s">
        <v>436</v>
      </c>
      <c r="D236" t="s">
        <v>32</v>
      </c>
      <c r="E236" t="s">
        <v>27</v>
      </c>
      <c r="F236" s="17">
        <v>1500</v>
      </c>
      <c r="G236" s="17">
        <v>50000</v>
      </c>
      <c r="H236" s="17">
        <v>48500</v>
      </c>
      <c r="I236" s="18">
        <v>0.68</v>
      </c>
      <c r="J236" s="14">
        <f t="shared" si="0"/>
        <v>32.333333333333336</v>
      </c>
      <c r="K236" s="15" t="str">
        <f t="shared" si="1"/>
        <v>Exceeds Target</v>
      </c>
    </row>
    <row r="237" spans="2:11" ht="15" customHeight="1">
      <c r="B237" t="s">
        <v>428</v>
      </c>
      <c r="C237" t="s">
        <v>437</v>
      </c>
      <c r="D237" t="s">
        <v>69</v>
      </c>
      <c r="E237" t="s">
        <v>70</v>
      </c>
      <c r="F237" s="17">
        <v>1000</v>
      </c>
      <c r="G237" s="17">
        <v>135000</v>
      </c>
      <c r="H237" s="17">
        <v>134000</v>
      </c>
      <c r="I237" s="18">
        <v>0.63</v>
      </c>
      <c r="J237" s="14">
        <f t="shared" si="0"/>
        <v>134</v>
      </c>
      <c r="K237" s="15" t="str">
        <f t="shared" si="1"/>
        <v>Exceeds Target</v>
      </c>
    </row>
    <row r="238" spans="2:11" ht="15" customHeight="1">
      <c r="B238" t="s">
        <v>218</v>
      </c>
      <c r="C238" t="s">
        <v>438</v>
      </c>
      <c r="D238" t="s">
        <v>80</v>
      </c>
      <c r="E238" t="s">
        <v>27</v>
      </c>
      <c r="F238" s="17">
        <v>1000</v>
      </c>
      <c r="G238" s="17">
        <v>105000</v>
      </c>
      <c r="H238" s="17">
        <v>104000</v>
      </c>
      <c r="I238" s="18">
        <v>0.94</v>
      </c>
      <c r="J238" s="14">
        <f t="shared" si="0"/>
        <v>104</v>
      </c>
      <c r="K238" s="15" t="str">
        <f t="shared" si="1"/>
        <v>Exceeds Target</v>
      </c>
    </row>
    <row r="239" spans="2:11" ht="15" customHeight="1">
      <c r="B239" t="s">
        <v>439</v>
      </c>
      <c r="C239" t="s">
        <v>440</v>
      </c>
      <c r="D239" t="s">
        <v>32</v>
      </c>
      <c r="E239" t="s">
        <v>27</v>
      </c>
      <c r="F239" s="17">
        <v>1500</v>
      </c>
      <c r="G239" s="17">
        <v>24000</v>
      </c>
      <c r="H239" s="17">
        <v>22500</v>
      </c>
      <c r="I239" s="18">
        <v>0.66</v>
      </c>
      <c r="J239" s="14">
        <f t="shared" si="0"/>
        <v>15</v>
      </c>
      <c r="K239" s="15" t="str">
        <f t="shared" si="1"/>
        <v>Exceeds Target</v>
      </c>
    </row>
    <row r="240" spans="2:11" ht="15" customHeight="1">
      <c r="B240" t="s">
        <v>441</v>
      </c>
      <c r="C240" t="s">
        <v>442</v>
      </c>
      <c r="D240" t="s">
        <v>26</v>
      </c>
      <c r="E240" t="s">
        <v>27</v>
      </c>
      <c r="F240" s="17">
        <v>5000</v>
      </c>
      <c r="G240" s="17">
        <v>30000</v>
      </c>
      <c r="H240" s="17">
        <v>25000</v>
      </c>
      <c r="I240" s="18">
        <v>0.11</v>
      </c>
      <c r="J240" s="14">
        <f t="shared" si="0"/>
        <v>5</v>
      </c>
      <c r="K240" s="15" t="str">
        <f t="shared" si="1"/>
        <v>Exceeds Target</v>
      </c>
    </row>
    <row r="241" spans="2:11" ht="15" customHeight="1">
      <c r="B241" t="s">
        <v>443</v>
      </c>
      <c r="C241" t="s">
        <v>444</v>
      </c>
      <c r="D241" t="s">
        <v>26</v>
      </c>
      <c r="E241" t="s">
        <v>27</v>
      </c>
      <c r="F241" s="17">
        <v>5000</v>
      </c>
      <c r="G241" s="17">
        <v>120000</v>
      </c>
      <c r="H241" s="17">
        <v>115000</v>
      </c>
      <c r="I241" s="18">
        <v>0.23</v>
      </c>
      <c r="J241" s="14">
        <f t="shared" si="0"/>
        <v>23</v>
      </c>
      <c r="K241" s="15" t="str">
        <f t="shared" si="1"/>
        <v>Exceeds Target</v>
      </c>
    </row>
    <row r="242" spans="2:11" ht="15" customHeight="1">
      <c r="B242" t="s">
        <v>287</v>
      </c>
      <c r="C242" t="s">
        <v>445</v>
      </c>
      <c r="D242" t="s">
        <v>32</v>
      </c>
      <c r="E242" t="s">
        <v>27</v>
      </c>
      <c r="F242" s="17">
        <v>1500</v>
      </c>
      <c r="G242" s="17">
        <v>26000</v>
      </c>
      <c r="H242" s="17">
        <v>24500</v>
      </c>
      <c r="I242" s="18">
        <v>0.91</v>
      </c>
      <c r="J242" s="14">
        <f t="shared" si="0"/>
        <v>16.333333333333332</v>
      </c>
      <c r="K242" s="15" t="str">
        <f t="shared" si="1"/>
        <v>Exceeds Target</v>
      </c>
    </row>
    <row r="243" spans="2:11" ht="15" customHeight="1">
      <c r="B243" t="s">
        <v>446</v>
      </c>
      <c r="C243" t="s">
        <v>447</v>
      </c>
      <c r="D243" t="s">
        <v>69</v>
      </c>
      <c r="E243" t="s">
        <v>70</v>
      </c>
      <c r="F243" s="17">
        <v>1000</v>
      </c>
      <c r="G243" s="17">
        <v>130000</v>
      </c>
      <c r="H243" s="17">
        <v>129000</v>
      </c>
      <c r="I243" s="18">
        <v>0.7</v>
      </c>
      <c r="J243" s="14">
        <f t="shared" si="0"/>
        <v>129</v>
      </c>
      <c r="K243" s="15" t="str">
        <f t="shared" si="1"/>
        <v>Exceeds Target</v>
      </c>
    </row>
    <row r="244" spans="2:11" ht="15" customHeight="1">
      <c r="B244" t="s">
        <v>448</v>
      </c>
      <c r="C244" t="s">
        <v>449</v>
      </c>
      <c r="D244" t="s">
        <v>35</v>
      </c>
      <c r="E244" t="s">
        <v>27</v>
      </c>
      <c r="F244" s="17">
        <v>3000</v>
      </c>
      <c r="G244" s="17">
        <v>230000</v>
      </c>
      <c r="H244" s="17">
        <v>227000</v>
      </c>
      <c r="I244" s="18">
        <v>0.45</v>
      </c>
      <c r="J244" s="14">
        <f t="shared" si="0"/>
        <v>75.666666666666671</v>
      </c>
      <c r="K244" s="15" t="str">
        <f t="shared" si="1"/>
        <v>Exceeds Target</v>
      </c>
    </row>
    <row r="245" spans="2:11" ht="15" customHeight="1">
      <c r="B245" t="s">
        <v>450</v>
      </c>
      <c r="C245" t="s">
        <v>451</v>
      </c>
      <c r="D245" t="s">
        <v>69</v>
      </c>
      <c r="E245" t="s">
        <v>70</v>
      </c>
      <c r="F245" s="17">
        <v>1000</v>
      </c>
      <c r="G245" s="17">
        <v>145000</v>
      </c>
      <c r="H245" s="17">
        <v>144000</v>
      </c>
      <c r="I245" s="18">
        <v>0.95</v>
      </c>
      <c r="J245" s="14">
        <f t="shared" si="0"/>
        <v>144</v>
      </c>
      <c r="K245" s="15" t="str">
        <f t="shared" si="1"/>
        <v>Exceeds Target</v>
      </c>
    </row>
    <row r="246" spans="2:11" ht="15" customHeight="1">
      <c r="B246" t="s">
        <v>452</v>
      </c>
      <c r="C246" t="s">
        <v>453</v>
      </c>
      <c r="D246" t="s">
        <v>80</v>
      </c>
      <c r="E246" t="s">
        <v>27</v>
      </c>
      <c r="F246" s="17">
        <v>1000</v>
      </c>
      <c r="G246" s="17">
        <v>87000</v>
      </c>
      <c r="H246" s="17">
        <v>86000</v>
      </c>
      <c r="I246" s="18">
        <v>0.72</v>
      </c>
      <c r="J246" s="14">
        <f t="shared" si="0"/>
        <v>86</v>
      </c>
      <c r="K246" s="15" t="str">
        <f t="shared" si="1"/>
        <v>Exceeds Target</v>
      </c>
    </row>
    <row r="247" spans="2:11" ht="15" customHeight="1">
      <c r="B247" t="s">
        <v>454</v>
      </c>
      <c r="C247" t="s">
        <v>455</v>
      </c>
      <c r="D247" t="s">
        <v>80</v>
      </c>
      <c r="E247" t="s">
        <v>27</v>
      </c>
      <c r="F247" s="17">
        <v>1000</v>
      </c>
      <c r="G247" s="17">
        <v>51000</v>
      </c>
      <c r="H247" s="17">
        <v>50000</v>
      </c>
      <c r="I247" s="18">
        <v>0.84</v>
      </c>
      <c r="J247" s="14">
        <f t="shared" si="0"/>
        <v>50</v>
      </c>
      <c r="K247" s="15" t="str">
        <f t="shared" si="1"/>
        <v>Exceeds Target</v>
      </c>
    </row>
    <row r="248" spans="2:11" ht="15" customHeight="1">
      <c r="B248" t="s">
        <v>81</v>
      </c>
      <c r="C248" t="s">
        <v>456</v>
      </c>
      <c r="D248" t="s">
        <v>35</v>
      </c>
      <c r="E248" t="s">
        <v>27</v>
      </c>
      <c r="F248" s="17">
        <v>3000</v>
      </c>
      <c r="G248" s="17">
        <v>80000</v>
      </c>
      <c r="H248" s="17">
        <v>77000</v>
      </c>
      <c r="I248" s="18">
        <v>0.59</v>
      </c>
      <c r="J248" s="14">
        <f t="shared" si="0"/>
        <v>25.666666666666668</v>
      </c>
      <c r="K248" s="15" t="str">
        <f t="shared" si="1"/>
        <v>Exceeds Target</v>
      </c>
    </row>
    <row r="249" spans="2:11" ht="15" customHeight="1">
      <c r="B249" t="s">
        <v>457</v>
      </c>
      <c r="C249" t="s">
        <v>458</v>
      </c>
      <c r="D249" t="s">
        <v>69</v>
      </c>
      <c r="E249" t="s">
        <v>70</v>
      </c>
      <c r="F249" s="17">
        <v>1000</v>
      </c>
      <c r="G249" s="17">
        <v>65000</v>
      </c>
      <c r="H249" s="17">
        <v>64000</v>
      </c>
      <c r="I249" s="18">
        <v>0.63</v>
      </c>
      <c r="J249" s="14">
        <f t="shared" si="0"/>
        <v>64</v>
      </c>
      <c r="K249" s="15" t="str">
        <f t="shared" si="1"/>
        <v>Exceeds Target</v>
      </c>
    </row>
    <row r="250" spans="2:11" ht="15" customHeight="1">
      <c r="B250" t="s">
        <v>459</v>
      </c>
      <c r="C250" t="s">
        <v>460</v>
      </c>
      <c r="D250" t="s">
        <v>69</v>
      </c>
      <c r="E250" t="s">
        <v>70</v>
      </c>
      <c r="F250" s="17">
        <v>1000</v>
      </c>
      <c r="G250" s="17">
        <v>135000</v>
      </c>
      <c r="H250" s="17">
        <v>134000</v>
      </c>
      <c r="I250" s="18">
        <v>0.15</v>
      </c>
      <c r="J250" s="14">
        <f t="shared" si="0"/>
        <v>134</v>
      </c>
      <c r="K250" s="15" t="str">
        <f t="shared" si="1"/>
        <v>Exceeds Target</v>
      </c>
    </row>
    <row r="251" spans="2:11" ht="15" customHeight="1">
      <c r="B251" t="s">
        <v>167</v>
      </c>
      <c r="C251" t="s">
        <v>461</v>
      </c>
      <c r="D251" t="s">
        <v>35</v>
      </c>
      <c r="E251" t="s">
        <v>27</v>
      </c>
      <c r="F251" s="17">
        <v>3000</v>
      </c>
      <c r="G251" s="17">
        <v>60000</v>
      </c>
      <c r="H251" s="17">
        <v>57000</v>
      </c>
      <c r="I251" s="18">
        <v>0.36</v>
      </c>
      <c r="J251" s="14">
        <f t="shared" si="0"/>
        <v>19</v>
      </c>
      <c r="K251" s="15" t="str">
        <f t="shared" si="1"/>
        <v>Exceeds Target</v>
      </c>
    </row>
    <row r="252" spans="2:11" ht="15" customHeight="1">
      <c r="B252" t="s">
        <v>462</v>
      </c>
      <c r="C252" t="s">
        <v>463</v>
      </c>
      <c r="D252" t="s">
        <v>69</v>
      </c>
      <c r="E252" t="s">
        <v>70</v>
      </c>
      <c r="F252" s="17">
        <v>1000</v>
      </c>
      <c r="G252" s="17">
        <v>95000</v>
      </c>
      <c r="H252" s="17">
        <v>94000</v>
      </c>
      <c r="I252" s="18">
        <v>0.51</v>
      </c>
      <c r="J252" s="14">
        <f t="shared" si="0"/>
        <v>94</v>
      </c>
      <c r="K252" s="15" t="str">
        <f t="shared" si="1"/>
        <v>Exceeds Target</v>
      </c>
    </row>
    <row r="253" spans="2:11" ht="15" customHeight="1">
      <c r="B253" t="s">
        <v>103</v>
      </c>
      <c r="C253" t="s">
        <v>464</v>
      </c>
      <c r="D253" t="s">
        <v>32</v>
      </c>
      <c r="E253" t="s">
        <v>27</v>
      </c>
      <c r="F253" s="17">
        <v>1500</v>
      </c>
      <c r="G253" s="17">
        <v>56000</v>
      </c>
      <c r="H253" s="17">
        <v>54500</v>
      </c>
      <c r="I253" s="18">
        <v>0.38</v>
      </c>
      <c r="J253" s="14">
        <f t="shared" si="0"/>
        <v>36.333333333333336</v>
      </c>
      <c r="K253" s="15" t="str">
        <f t="shared" si="1"/>
        <v>Exceeds Target</v>
      </c>
    </row>
    <row r="254" spans="2:11" ht="15" customHeight="1">
      <c r="B254" t="s">
        <v>465</v>
      </c>
      <c r="C254" t="s">
        <v>466</v>
      </c>
      <c r="D254" t="s">
        <v>32</v>
      </c>
      <c r="E254" t="s">
        <v>27</v>
      </c>
      <c r="F254" s="17">
        <v>1500</v>
      </c>
      <c r="G254" s="17">
        <v>60000</v>
      </c>
      <c r="H254" s="17">
        <v>58500</v>
      </c>
      <c r="I254" s="18">
        <v>0.86</v>
      </c>
      <c r="J254" s="14">
        <f t="shared" si="0"/>
        <v>39</v>
      </c>
      <c r="K254" s="15" t="str">
        <f t="shared" si="1"/>
        <v>Exceeds Target</v>
      </c>
    </row>
    <row r="255" spans="2:11" ht="15" customHeight="1">
      <c r="B255" t="s">
        <v>467</v>
      </c>
      <c r="C255" t="s">
        <v>468</v>
      </c>
      <c r="D255" t="s">
        <v>32</v>
      </c>
      <c r="E255" t="s">
        <v>27</v>
      </c>
      <c r="F255" s="17">
        <v>1500</v>
      </c>
      <c r="G255" s="17">
        <v>38000</v>
      </c>
      <c r="H255" s="17">
        <v>36500</v>
      </c>
      <c r="I255" s="18">
        <v>0.86</v>
      </c>
      <c r="J255" s="14">
        <f t="shared" si="0"/>
        <v>24.333333333333332</v>
      </c>
      <c r="K255" s="15" t="str">
        <f t="shared" si="1"/>
        <v>Exceeds Target</v>
      </c>
    </row>
    <row r="256" spans="2:11" ht="15" customHeight="1">
      <c r="B256" t="s">
        <v>356</v>
      </c>
      <c r="C256" t="s">
        <v>469</v>
      </c>
      <c r="D256" t="s">
        <v>35</v>
      </c>
      <c r="E256" t="s">
        <v>27</v>
      </c>
      <c r="F256" s="17">
        <v>3000</v>
      </c>
      <c r="G256" s="17">
        <v>290000</v>
      </c>
      <c r="H256" s="17">
        <v>287000</v>
      </c>
      <c r="I256" s="18">
        <v>0.75</v>
      </c>
      <c r="J256" s="14">
        <f t="shared" si="0"/>
        <v>95.666666666666671</v>
      </c>
      <c r="K256" s="15" t="str">
        <f t="shared" si="1"/>
        <v>Exceeds Target</v>
      </c>
    </row>
    <row r="257" spans="2:11" ht="15" customHeight="1">
      <c r="B257" t="s">
        <v>192</v>
      </c>
      <c r="C257" t="s">
        <v>470</v>
      </c>
      <c r="D257" t="s">
        <v>69</v>
      </c>
      <c r="E257" t="s">
        <v>70</v>
      </c>
      <c r="F257" s="17">
        <v>1000</v>
      </c>
      <c r="G257" s="17">
        <v>40000</v>
      </c>
      <c r="H257" s="17">
        <v>39000</v>
      </c>
      <c r="I257" s="18">
        <v>0.81</v>
      </c>
      <c r="J257" s="14">
        <f t="shared" si="0"/>
        <v>39</v>
      </c>
      <c r="K257" s="15" t="str">
        <f t="shared" si="1"/>
        <v>Exceeds Target</v>
      </c>
    </row>
    <row r="258" spans="2:11" ht="15" customHeight="1">
      <c r="B258" t="s">
        <v>471</v>
      </c>
      <c r="C258" t="s">
        <v>472</v>
      </c>
      <c r="D258" t="s">
        <v>35</v>
      </c>
      <c r="E258" t="s">
        <v>27</v>
      </c>
      <c r="F258" s="17">
        <v>3000</v>
      </c>
      <c r="G258" s="17">
        <v>190000</v>
      </c>
      <c r="H258" s="17">
        <v>187000</v>
      </c>
      <c r="I258" s="18">
        <v>0.84</v>
      </c>
      <c r="J258" s="14">
        <f t="shared" si="0"/>
        <v>62.333333333333336</v>
      </c>
      <c r="K258" s="15" t="str">
        <f t="shared" si="1"/>
        <v>Exceeds Target</v>
      </c>
    </row>
    <row r="259" spans="2:11" ht="15" customHeight="1">
      <c r="B259" t="s">
        <v>199</v>
      </c>
      <c r="C259" t="s">
        <v>473</v>
      </c>
      <c r="D259" t="s">
        <v>26</v>
      </c>
      <c r="E259" t="s">
        <v>27</v>
      </c>
      <c r="F259" s="17">
        <v>5000</v>
      </c>
      <c r="G259" s="17">
        <v>90000</v>
      </c>
      <c r="H259" s="17">
        <v>85000</v>
      </c>
      <c r="I259" s="18">
        <v>0.11</v>
      </c>
      <c r="J259" s="14">
        <f t="shared" si="0"/>
        <v>17</v>
      </c>
      <c r="K259" s="15" t="str">
        <f t="shared" si="1"/>
        <v>Exceeds Target</v>
      </c>
    </row>
    <row r="260" spans="2:11" ht="15" customHeight="1">
      <c r="B260" t="s">
        <v>439</v>
      </c>
      <c r="C260" t="s">
        <v>474</v>
      </c>
      <c r="D260" t="s">
        <v>26</v>
      </c>
      <c r="E260" t="s">
        <v>27</v>
      </c>
      <c r="F260" s="17">
        <v>5000</v>
      </c>
      <c r="G260" s="17">
        <v>90000</v>
      </c>
      <c r="H260" s="17">
        <v>85000</v>
      </c>
      <c r="I260" s="18">
        <v>0.28999999999999998</v>
      </c>
      <c r="J260" s="14">
        <f t="shared" si="0"/>
        <v>17</v>
      </c>
      <c r="K260" s="15" t="str">
        <f t="shared" si="1"/>
        <v>Exceeds Target</v>
      </c>
    </row>
    <row r="261" spans="2:11" ht="15" customHeight="1">
      <c r="B261" t="s">
        <v>475</v>
      </c>
      <c r="C261" t="s">
        <v>476</v>
      </c>
      <c r="D261" t="s">
        <v>69</v>
      </c>
      <c r="E261" t="s">
        <v>70</v>
      </c>
      <c r="F261" s="17">
        <v>1000</v>
      </c>
      <c r="G261" s="17">
        <v>120000</v>
      </c>
      <c r="H261" s="17">
        <v>119000</v>
      </c>
      <c r="I261" s="18">
        <v>0.99</v>
      </c>
      <c r="J261" s="14">
        <f t="shared" si="0"/>
        <v>119</v>
      </c>
      <c r="K261" s="15" t="str">
        <f t="shared" si="1"/>
        <v>Exceeds Target</v>
      </c>
    </row>
    <row r="262" spans="2:11" ht="15" customHeight="1">
      <c r="B262" t="s">
        <v>477</v>
      </c>
      <c r="C262" t="s">
        <v>478</v>
      </c>
      <c r="D262" t="s">
        <v>26</v>
      </c>
      <c r="E262" t="s">
        <v>27</v>
      </c>
      <c r="F262" s="17">
        <v>5000</v>
      </c>
      <c r="G262" s="17">
        <v>30000</v>
      </c>
      <c r="H262" s="17">
        <v>25000</v>
      </c>
      <c r="I262" s="18">
        <v>0.19</v>
      </c>
      <c r="J262" s="14">
        <f t="shared" si="0"/>
        <v>5</v>
      </c>
      <c r="K262" s="15" t="str">
        <f t="shared" si="1"/>
        <v>Exceeds Target</v>
      </c>
    </row>
    <row r="263" spans="2:11" ht="15" customHeight="1">
      <c r="B263" t="s">
        <v>323</v>
      </c>
      <c r="C263" t="s">
        <v>479</v>
      </c>
      <c r="D263" t="s">
        <v>35</v>
      </c>
      <c r="E263" t="s">
        <v>27</v>
      </c>
      <c r="F263" s="17">
        <v>3000</v>
      </c>
      <c r="G263" s="17">
        <v>100000</v>
      </c>
      <c r="H263" s="17">
        <v>97000</v>
      </c>
      <c r="I263" s="18">
        <v>0.41</v>
      </c>
      <c r="J263" s="14">
        <f t="shared" si="0"/>
        <v>32.333333333333336</v>
      </c>
      <c r="K263" s="15" t="str">
        <f t="shared" si="1"/>
        <v>Exceeds Target</v>
      </c>
    </row>
    <row r="264" spans="2:11" ht="15" customHeight="1">
      <c r="B264" t="s">
        <v>51</v>
      </c>
      <c r="C264" t="s">
        <v>480</v>
      </c>
      <c r="D264" t="s">
        <v>26</v>
      </c>
      <c r="E264" t="s">
        <v>27</v>
      </c>
      <c r="F264" s="17">
        <v>5000</v>
      </c>
      <c r="G264" s="17">
        <v>60000</v>
      </c>
      <c r="H264" s="17">
        <v>55000</v>
      </c>
      <c r="I264" s="18">
        <v>0.12</v>
      </c>
      <c r="J264" s="14">
        <f t="shared" si="0"/>
        <v>11</v>
      </c>
      <c r="K264" s="15" t="str">
        <f t="shared" si="1"/>
        <v>Exceeds Target</v>
      </c>
    </row>
    <row r="265" spans="2:11" ht="15" customHeight="1">
      <c r="B265" t="s">
        <v>439</v>
      </c>
      <c r="C265" t="s">
        <v>481</v>
      </c>
      <c r="D265" t="s">
        <v>69</v>
      </c>
      <c r="E265" t="s">
        <v>70</v>
      </c>
      <c r="F265" s="17">
        <v>1000</v>
      </c>
      <c r="G265" s="17">
        <v>110000</v>
      </c>
      <c r="H265" s="17">
        <v>109000</v>
      </c>
      <c r="I265" s="18">
        <v>0.42</v>
      </c>
      <c r="J265" s="14">
        <f t="shared" si="0"/>
        <v>109</v>
      </c>
      <c r="K265" s="15" t="str">
        <f t="shared" si="1"/>
        <v>Exceeds Target</v>
      </c>
    </row>
    <row r="266" spans="2:11" ht="15" customHeight="1">
      <c r="B266" t="s">
        <v>399</v>
      </c>
      <c r="C266" t="s">
        <v>482</v>
      </c>
      <c r="D266" t="s">
        <v>35</v>
      </c>
      <c r="E266" t="s">
        <v>27</v>
      </c>
      <c r="F266" s="17">
        <v>3000</v>
      </c>
      <c r="G266" s="17">
        <v>250000</v>
      </c>
      <c r="H266" s="17">
        <v>247000</v>
      </c>
      <c r="I266" s="18">
        <v>0.5</v>
      </c>
      <c r="J266" s="14">
        <f t="shared" si="0"/>
        <v>82.333333333333329</v>
      </c>
      <c r="K266" s="15" t="str">
        <f t="shared" si="1"/>
        <v>Exceeds Target</v>
      </c>
    </row>
    <row r="267" spans="2:11" ht="15" customHeight="1">
      <c r="B267" t="s">
        <v>418</v>
      </c>
      <c r="C267" t="s">
        <v>483</v>
      </c>
      <c r="D267" t="s">
        <v>32</v>
      </c>
      <c r="E267" t="s">
        <v>27</v>
      </c>
      <c r="F267" s="17">
        <v>1500</v>
      </c>
      <c r="G267" s="17">
        <v>44000</v>
      </c>
      <c r="H267" s="17">
        <v>42500</v>
      </c>
      <c r="I267" s="18">
        <v>0.54</v>
      </c>
      <c r="J267" s="14">
        <f t="shared" si="0"/>
        <v>28.333333333333332</v>
      </c>
      <c r="K267" s="15" t="str">
        <f t="shared" si="1"/>
        <v>Exceeds Target</v>
      </c>
    </row>
    <row r="268" spans="2:11" ht="15" customHeight="1">
      <c r="B268" t="s">
        <v>484</v>
      </c>
      <c r="C268" t="s">
        <v>485</v>
      </c>
      <c r="D268" t="s">
        <v>35</v>
      </c>
      <c r="E268" t="s">
        <v>27</v>
      </c>
      <c r="F268" s="17">
        <v>3000</v>
      </c>
      <c r="G268" s="17">
        <v>240000</v>
      </c>
      <c r="H268" s="17">
        <v>237000</v>
      </c>
      <c r="I268" s="18">
        <v>0.36</v>
      </c>
      <c r="J268" s="14">
        <f t="shared" si="0"/>
        <v>79</v>
      </c>
      <c r="K268" s="15" t="str">
        <f t="shared" si="1"/>
        <v>Exceeds Target</v>
      </c>
    </row>
    <row r="269" spans="2:11" ht="15" customHeight="1">
      <c r="B269" t="s">
        <v>119</v>
      </c>
      <c r="C269" t="s">
        <v>486</v>
      </c>
      <c r="D269" t="s">
        <v>69</v>
      </c>
      <c r="E269" t="s">
        <v>70</v>
      </c>
      <c r="F269" s="17">
        <v>1000</v>
      </c>
      <c r="G269" s="17">
        <v>110000</v>
      </c>
      <c r="H269" s="17">
        <v>109000</v>
      </c>
      <c r="I269" s="18">
        <v>0.7</v>
      </c>
      <c r="J269" s="14">
        <f t="shared" si="0"/>
        <v>109</v>
      </c>
      <c r="K269" s="15" t="str">
        <f t="shared" si="1"/>
        <v>Exceeds Target</v>
      </c>
    </row>
    <row r="270" spans="2:11" ht="15" customHeight="1">
      <c r="B270" t="s">
        <v>487</v>
      </c>
      <c r="C270" t="s">
        <v>488</v>
      </c>
      <c r="D270" t="s">
        <v>69</v>
      </c>
      <c r="E270" t="s">
        <v>70</v>
      </c>
      <c r="F270" s="17">
        <v>1000</v>
      </c>
      <c r="G270" s="17">
        <v>140000</v>
      </c>
      <c r="H270" s="17">
        <v>139000</v>
      </c>
      <c r="I270" s="18">
        <v>0.39</v>
      </c>
      <c r="J270" s="14">
        <f t="shared" si="0"/>
        <v>139</v>
      </c>
      <c r="K270" s="15" t="str">
        <f t="shared" si="1"/>
        <v>Exceeds Target</v>
      </c>
    </row>
    <row r="271" spans="2:11" ht="15" customHeight="1">
      <c r="B271" t="s">
        <v>489</v>
      </c>
      <c r="C271" t="s">
        <v>490</v>
      </c>
      <c r="D271" t="s">
        <v>26</v>
      </c>
      <c r="E271" t="s">
        <v>27</v>
      </c>
      <c r="F271" s="17">
        <v>5000</v>
      </c>
      <c r="G271" s="17">
        <v>30000</v>
      </c>
      <c r="H271" s="17">
        <v>25000</v>
      </c>
      <c r="I271" s="18">
        <v>0.16</v>
      </c>
      <c r="J271" s="14">
        <f t="shared" si="0"/>
        <v>5</v>
      </c>
      <c r="K271" s="15" t="str">
        <f t="shared" si="1"/>
        <v>Exceeds Target</v>
      </c>
    </row>
    <row r="272" spans="2:11" ht="15" customHeight="1">
      <c r="B272" t="s">
        <v>491</v>
      </c>
      <c r="C272" t="s">
        <v>492</v>
      </c>
      <c r="D272" t="s">
        <v>80</v>
      </c>
      <c r="E272" t="s">
        <v>27</v>
      </c>
      <c r="F272" s="17">
        <v>1000</v>
      </c>
      <c r="G272" s="17">
        <v>111000</v>
      </c>
      <c r="H272" s="17">
        <v>110000</v>
      </c>
      <c r="I272" s="18">
        <v>0.88</v>
      </c>
      <c r="J272" s="14">
        <f t="shared" si="0"/>
        <v>110</v>
      </c>
      <c r="K272" s="15" t="str">
        <f t="shared" si="1"/>
        <v>Exceeds Target</v>
      </c>
    </row>
    <row r="273" spans="2:11" ht="15" customHeight="1">
      <c r="B273" t="s">
        <v>119</v>
      </c>
      <c r="C273" t="s">
        <v>493</v>
      </c>
      <c r="D273" t="s">
        <v>32</v>
      </c>
      <c r="E273" t="s">
        <v>27</v>
      </c>
      <c r="F273" s="17">
        <v>1500</v>
      </c>
      <c r="G273" s="17">
        <v>46000</v>
      </c>
      <c r="H273" s="17">
        <v>44500</v>
      </c>
      <c r="I273" s="18">
        <v>0.84</v>
      </c>
      <c r="J273" s="14">
        <f t="shared" si="0"/>
        <v>29.666666666666668</v>
      </c>
      <c r="K273" s="15" t="str">
        <f t="shared" si="1"/>
        <v>Exceeds Target</v>
      </c>
    </row>
    <row r="274" spans="2:11" ht="15" customHeight="1">
      <c r="B274" t="s">
        <v>494</v>
      </c>
      <c r="C274" t="s">
        <v>495</v>
      </c>
      <c r="D274" t="s">
        <v>26</v>
      </c>
      <c r="E274" t="s">
        <v>27</v>
      </c>
      <c r="F274" s="17">
        <v>5000</v>
      </c>
      <c r="G274" s="17">
        <v>90000</v>
      </c>
      <c r="H274" s="17">
        <v>85000</v>
      </c>
      <c r="I274" s="18">
        <v>0.33</v>
      </c>
      <c r="J274" s="14">
        <f t="shared" si="0"/>
        <v>17</v>
      </c>
      <c r="K274" s="15" t="str">
        <f t="shared" si="1"/>
        <v>Exceeds Target</v>
      </c>
    </row>
    <row r="275" spans="2:11" ht="15" customHeight="1">
      <c r="B275" t="s">
        <v>496</v>
      </c>
      <c r="C275" t="s">
        <v>497</v>
      </c>
      <c r="D275" t="s">
        <v>35</v>
      </c>
      <c r="E275" t="s">
        <v>27</v>
      </c>
      <c r="F275" s="17">
        <v>3000</v>
      </c>
      <c r="G275" s="17">
        <v>160000</v>
      </c>
      <c r="H275" s="17">
        <v>157000</v>
      </c>
      <c r="I275" s="18">
        <v>0.73</v>
      </c>
      <c r="J275" s="14">
        <f t="shared" si="0"/>
        <v>52.333333333333336</v>
      </c>
      <c r="K275" s="15" t="str">
        <f t="shared" si="1"/>
        <v>Exceeds Target</v>
      </c>
    </row>
    <row r="276" spans="2:11" ht="15" customHeight="1">
      <c r="B276" t="s">
        <v>446</v>
      </c>
      <c r="C276" t="s">
        <v>498</v>
      </c>
      <c r="D276" t="s">
        <v>80</v>
      </c>
      <c r="E276" t="s">
        <v>27</v>
      </c>
      <c r="F276" s="17">
        <v>1000</v>
      </c>
      <c r="G276" s="17">
        <v>75000</v>
      </c>
      <c r="H276" s="17">
        <v>74000</v>
      </c>
      <c r="I276" s="18">
        <v>0.8</v>
      </c>
      <c r="J276" s="14">
        <f t="shared" si="0"/>
        <v>74</v>
      </c>
      <c r="K276" s="15" t="str">
        <f t="shared" si="1"/>
        <v>Exceeds Target</v>
      </c>
    </row>
    <row r="277" spans="2:11" ht="15" customHeight="1">
      <c r="B277" t="s">
        <v>129</v>
      </c>
      <c r="C277" t="s">
        <v>499</v>
      </c>
      <c r="D277" t="s">
        <v>26</v>
      </c>
      <c r="E277" t="s">
        <v>27</v>
      </c>
      <c r="F277" s="17">
        <v>5000</v>
      </c>
      <c r="G277" s="17">
        <v>90000</v>
      </c>
      <c r="H277" s="17">
        <v>85000</v>
      </c>
      <c r="I277" s="18">
        <v>0.23</v>
      </c>
      <c r="J277" s="14">
        <f t="shared" si="0"/>
        <v>17</v>
      </c>
      <c r="K277" s="15" t="str">
        <f t="shared" si="1"/>
        <v>Exceeds Target</v>
      </c>
    </row>
    <row r="278" spans="2:11" ht="15" customHeight="1">
      <c r="B278" t="s">
        <v>500</v>
      </c>
      <c r="C278" t="s">
        <v>501</v>
      </c>
      <c r="D278" t="s">
        <v>69</v>
      </c>
      <c r="E278" t="s">
        <v>70</v>
      </c>
      <c r="F278" s="17">
        <v>1000</v>
      </c>
      <c r="G278" s="17">
        <v>110000</v>
      </c>
      <c r="H278" s="17">
        <v>109000</v>
      </c>
      <c r="I278" s="18">
        <v>0.89</v>
      </c>
      <c r="J278" s="14">
        <f t="shared" si="0"/>
        <v>109</v>
      </c>
      <c r="K278" s="15" t="str">
        <f t="shared" si="1"/>
        <v>Exceeds Target</v>
      </c>
    </row>
    <row r="279" spans="2:11" ht="15" customHeight="1">
      <c r="B279" t="s">
        <v>502</v>
      </c>
      <c r="C279" t="s">
        <v>503</v>
      </c>
      <c r="D279" t="s">
        <v>32</v>
      </c>
      <c r="E279" t="s">
        <v>27</v>
      </c>
      <c r="F279" s="17">
        <v>1500</v>
      </c>
      <c r="G279" s="17">
        <v>60000</v>
      </c>
      <c r="H279" s="17">
        <v>58500</v>
      </c>
      <c r="I279" s="18">
        <v>0.54</v>
      </c>
      <c r="J279" s="14">
        <f t="shared" si="0"/>
        <v>39</v>
      </c>
      <c r="K279" s="15" t="str">
        <f t="shared" si="1"/>
        <v>Exceeds Target</v>
      </c>
    </row>
    <row r="280" spans="2:11" ht="15" customHeight="1">
      <c r="B280" t="s">
        <v>368</v>
      </c>
      <c r="C280" t="s">
        <v>504</v>
      </c>
      <c r="D280" t="s">
        <v>80</v>
      </c>
      <c r="E280" t="s">
        <v>27</v>
      </c>
      <c r="F280" s="17">
        <v>1000</v>
      </c>
      <c r="G280" s="17">
        <v>72000</v>
      </c>
      <c r="H280" s="17">
        <v>71000</v>
      </c>
      <c r="I280" s="18">
        <v>0.96</v>
      </c>
      <c r="J280" s="14">
        <f t="shared" si="0"/>
        <v>71</v>
      </c>
      <c r="K280" s="15" t="str">
        <f t="shared" si="1"/>
        <v>Exceeds Target</v>
      </c>
    </row>
    <row r="281" spans="2:11" ht="15" customHeight="1">
      <c r="B281" t="s">
        <v>505</v>
      </c>
      <c r="C281" t="s">
        <v>506</v>
      </c>
      <c r="D281" t="s">
        <v>80</v>
      </c>
      <c r="E281" t="s">
        <v>27</v>
      </c>
      <c r="F281" s="17">
        <v>1000</v>
      </c>
      <c r="G281" s="17">
        <v>96000</v>
      </c>
      <c r="H281" s="17">
        <v>95000</v>
      </c>
      <c r="I281" s="18">
        <v>0.75</v>
      </c>
      <c r="J281" s="14">
        <f t="shared" si="0"/>
        <v>95</v>
      </c>
      <c r="K281" s="15" t="str">
        <f t="shared" si="1"/>
        <v>Exceeds Target</v>
      </c>
    </row>
    <row r="282" spans="2:11" ht="15" customHeight="1">
      <c r="B282" t="s">
        <v>507</v>
      </c>
      <c r="C282" t="s">
        <v>508</v>
      </c>
      <c r="D282" t="s">
        <v>32</v>
      </c>
      <c r="E282" t="s">
        <v>27</v>
      </c>
      <c r="F282" s="17">
        <v>1500</v>
      </c>
      <c r="G282" s="17">
        <v>22000</v>
      </c>
      <c r="H282" s="17">
        <v>20500</v>
      </c>
      <c r="I282" s="18">
        <v>0.28000000000000003</v>
      </c>
      <c r="J282" s="14">
        <f t="shared" si="0"/>
        <v>13.666666666666666</v>
      </c>
      <c r="K282" s="15" t="str">
        <f t="shared" si="1"/>
        <v>Exceeds Target</v>
      </c>
    </row>
    <row r="283" spans="2:11" ht="15" customHeight="1">
      <c r="B283" t="s">
        <v>509</v>
      </c>
      <c r="C283" t="s">
        <v>510</v>
      </c>
      <c r="D283" t="s">
        <v>32</v>
      </c>
      <c r="E283" t="s">
        <v>27</v>
      </c>
      <c r="F283" s="17">
        <v>1500</v>
      </c>
      <c r="G283" s="17">
        <v>48000</v>
      </c>
      <c r="H283" s="17">
        <v>46500</v>
      </c>
      <c r="I283" s="18">
        <v>0.56999999999999995</v>
      </c>
      <c r="J283" s="14">
        <f t="shared" si="0"/>
        <v>31</v>
      </c>
      <c r="K283" s="15" t="str">
        <f t="shared" si="1"/>
        <v>Exceeds Target</v>
      </c>
    </row>
    <row r="284" spans="2:11" ht="15" customHeight="1">
      <c r="B284" t="s">
        <v>441</v>
      </c>
      <c r="C284" t="s">
        <v>511</v>
      </c>
      <c r="D284" t="s">
        <v>32</v>
      </c>
      <c r="E284" t="s">
        <v>27</v>
      </c>
      <c r="F284" s="17">
        <v>1500</v>
      </c>
      <c r="G284" s="17">
        <v>22000</v>
      </c>
      <c r="H284" s="17">
        <v>20500</v>
      </c>
      <c r="I284" s="18">
        <v>0.53</v>
      </c>
      <c r="J284" s="14">
        <f t="shared" si="0"/>
        <v>13.666666666666666</v>
      </c>
      <c r="K284" s="15" t="str">
        <f t="shared" si="1"/>
        <v>Exceeds Target</v>
      </c>
    </row>
    <row r="285" spans="2:11" ht="15" customHeight="1">
      <c r="B285" t="s">
        <v>512</v>
      </c>
      <c r="C285" t="s">
        <v>513</v>
      </c>
      <c r="D285" t="s">
        <v>26</v>
      </c>
      <c r="E285" t="s">
        <v>27</v>
      </c>
      <c r="F285" s="17">
        <v>5000</v>
      </c>
      <c r="G285" s="17">
        <v>60000</v>
      </c>
      <c r="H285" s="17">
        <v>55000</v>
      </c>
      <c r="I285" s="18">
        <v>0.4</v>
      </c>
      <c r="J285" s="14">
        <f t="shared" si="0"/>
        <v>11</v>
      </c>
      <c r="K285" s="15" t="str">
        <f t="shared" si="1"/>
        <v>Exceeds Target</v>
      </c>
    </row>
    <row r="286" spans="2:11" ht="15" customHeight="1">
      <c r="B286" t="s">
        <v>514</v>
      </c>
      <c r="C286" t="s">
        <v>515</v>
      </c>
      <c r="D286" t="s">
        <v>26</v>
      </c>
      <c r="E286" t="s">
        <v>27</v>
      </c>
      <c r="F286" s="17">
        <v>5000</v>
      </c>
      <c r="G286" s="17">
        <v>90000</v>
      </c>
      <c r="H286" s="17">
        <v>85000</v>
      </c>
      <c r="I286" s="18">
        <v>0.25</v>
      </c>
      <c r="J286" s="14">
        <f t="shared" si="0"/>
        <v>17</v>
      </c>
      <c r="K286" s="15" t="str">
        <f t="shared" si="1"/>
        <v>Exceeds Target</v>
      </c>
    </row>
    <row r="287" spans="2:11" ht="15" customHeight="1">
      <c r="B287" t="s">
        <v>484</v>
      </c>
      <c r="C287" t="s">
        <v>516</v>
      </c>
      <c r="D287" t="s">
        <v>69</v>
      </c>
      <c r="E287" t="s">
        <v>70</v>
      </c>
      <c r="F287" s="17">
        <v>1000</v>
      </c>
      <c r="G287" s="17">
        <v>105000</v>
      </c>
      <c r="H287" s="17">
        <v>104000</v>
      </c>
      <c r="I287" s="18">
        <v>0.42</v>
      </c>
      <c r="J287" s="14">
        <f t="shared" si="0"/>
        <v>104</v>
      </c>
      <c r="K287" s="15" t="str">
        <f t="shared" si="1"/>
        <v>Exceeds Target</v>
      </c>
    </row>
    <row r="288" spans="2:11" ht="15" customHeight="1">
      <c r="B288" t="s">
        <v>517</v>
      </c>
      <c r="C288" t="s">
        <v>518</v>
      </c>
      <c r="D288" t="s">
        <v>32</v>
      </c>
      <c r="E288" t="s">
        <v>27</v>
      </c>
      <c r="F288" s="17">
        <v>1500</v>
      </c>
      <c r="G288" s="17">
        <v>12000</v>
      </c>
      <c r="H288" s="17">
        <v>10500</v>
      </c>
      <c r="I288" s="18">
        <v>0.93</v>
      </c>
      <c r="J288" s="14">
        <f t="shared" si="0"/>
        <v>7</v>
      </c>
      <c r="K288" s="15" t="str">
        <f t="shared" si="1"/>
        <v>Exceeds Target</v>
      </c>
    </row>
    <row r="289" spans="2:11" ht="15" customHeight="1">
      <c r="B289" t="s">
        <v>247</v>
      </c>
      <c r="C289" t="s">
        <v>519</v>
      </c>
      <c r="D289" t="s">
        <v>80</v>
      </c>
      <c r="E289" t="s">
        <v>27</v>
      </c>
      <c r="F289" s="17">
        <v>1000</v>
      </c>
      <c r="G289" s="17">
        <v>99000</v>
      </c>
      <c r="H289" s="17">
        <v>98000</v>
      </c>
      <c r="I289" s="18">
        <v>0.84</v>
      </c>
      <c r="J289" s="14">
        <f t="shared" si="0"/>
        <v>98</v>
      </c>
      <c r="K289" s="15" t="str">
        <f t="shared" si="1"/>
        <v>Exceeds Target</v>
      </c>
    </row>
    <row r="290" spans="2:11" ht="15" customHeight="1">
      <c r="B290" t="s">
        <v>376</v>
      </c>
      <c r="C290" t="s">
        <v>520</v>
      </c>
      <c r="D290" t="s">
        <v>26</v>
      </c>
      <c r="E290" t="s">
        <v>27</v>
      </c>
      <c r="F290" s="17">
        <v>5000</v>
      </c>
      <c r="G290" s="17">
        <v>90000</v>
      </c>
      <c r="H290" s="17">
        <v>85000</v>
      </c>
      <c r="I290" s="18">
        <v>0.25</v>
      </c>
      <c r="J290" s="14">
        <f t="shared" si="0"/>
        <v>17</v>
      </c>
      <c r="K290" s="15" t="str">
        <f t="shared" si="1"/>
        <v>Exceeds Target</v>
      </c>
    </row>
    <row r="291" spans="2:11" ht="15" customHeight="1">
      <c r="B291" t="s">
        <v>315</v>
      </c>
      <c r="C291" t="s">
        <v>521</v>
      </c>
      <c r="D291" t="s">
        <v>69</v>
      </c>
      <c r="E291" t="s">
        <v>70</v>
      </c>
      <c r="F291" s="17">
        <v>1000</v>
      </c>
      <c r="G291" s="17">
        <v>110000</v>
      </c>
      <c r="H291" s="17">
        <v>109000</v>
      </c>
      <c r="I291" s="18">
        <v>0.86</v>
      </c>
      <c r="J291" s="14">
        <f t="shared" si="0"/>
        <v>109</v>
      </c>
      <c r="K291" s="15" t="str">
        <f t="shared" si="1"/>
        <v>Exceeds Target</v>
      </c>
    </row>
    <row r="292" spans="2:11" ht="15" customHeight="1">
      <c r="B292" t="s">
        <v>522</v>
      </c>
      <c r="C292" t="s">
        <v>523</v>
      </c>
      <c r="D292" t="s">
        <v>80</v>
      </c>
      <c r="E292" t="s">
        <v>27</v>
      </c>
      <c r="F292" s="17">
        <v>1000</v>
      </c>
      <c r="G292" s="17">
        <v>99000</v>
      </c>
      <c r="H292" s="17">
        <v>98000</v>
      </c>
      <c r="I292" s="18">
        <v>0.96</v>
      </c>
      <c r="J292" s="14">
        <f t="shared" si="0"/>
        <v>98</v>
      </c>
      <c r="K292" s="15" t="str">
        <f t="shared" si="1"/>
        <v>Exceeds Target</v>
      </c>
    </row>
    <row r="293" spans="2:11" ht="15" customHeight="1">
      <c r="B293" t="s">
        <v>212</v>
      </c>
      <c r="C293" t="s">
        <v>524</v>
      </c>
      <c r="D293" t="s">
        <v>69</v>
      </c>
      <c r="E293" t="s">
        <v>70</v>
      </c>
      <c r="F293" s="17">
        <v>1000</v>
      </c>
      <c r="G293" s="17">
        <v>120000</v>
      </c>
      <c r="H293" s="17">
        <v>119000</v>
      </c>
      <c r="I293" s="18">
        <v>0.75</v>
      </c>
      <c r="J293" s="14">
        <f t="shared" si="0"/>
        <v>119</v>
      </c>
      <c r="K293" s="15" t="str">
        <f t="shared" si="1"/>
        <v>Exceeds Target</v>
      </c>
    </row>
    <row r="294" spans="2:11" ht="15" customHeight="1">
      <c r="B294" t="s">
        <v>49</v>
      </c>
      <c r="C294" t="s">
        <v>525</v>
      </c>
      <c r="D294" t="s">
        <v>69</v>
      </c>
      <c r="E294" t="s">
        <v>70</v>
      </c>
      <c r="F294" s="17">
        <v>1000</v>
      </c>
      <c r="G294" s="17">
        <v>135000</v>
      </c>
      <c r="H294" s="17">
        <v>134000</v>
      </c>
      <c r="I294" s="18">
        <v>0.45</v>
      </c>
      <c r="J294" s="14">
        <f t="shared" si="0"/>
        <v>134</v>
      </c>
      <c r="K294" s="15" t="str">
        <f t="shared" si="1"/>
        <v>Exceeds Target</v>
      </c>
    </row>
    <row r="295" spans="2:11" ht="15" customHeight="1">
      <c r="B295" t="s">
        <v>209</v>
      </c>
      <c r="C295" t="s">
        <v>526</v>
      </c>
      <c r="D295" t="s">
        <v>26</v>
      </c>
      <c r="E295" t="s">
        <v>27</v>
      </c>
      <c r="F295" s="17">
        <v>5000</v>
      </c>
      <c r="G295" s="17">
        <v>30000</v>
      </c>
      <c r="H295" s="17">
        <v>25000</v>
      </c>
      <c r="I295" s="18">
        <v>0.24</v>
      </c>
      <c r="J295" s="14">
        <f t="shared" si="0"/>
        <v>5</v>
      </c>
      <c r="K295" s="15" t="str">
        <f t="shared" si="1"/>
        <v>Exceeds Target</v>
      </c>
    </row>
    <row r="296" spans="2:11" ht="15" customHeight="1">
      <c r="B296" t="s">
        <v>133</v>
      </c>
      <c r="C296" t="s">
        <v>527</v>
      </c>
      <c r="D296" t="s">
        <v>69</v>
      </c>
      <c r="E296" t="s">
        <v>70</v>
      </c>
      <c r="F296" s="17">
        <v>1000</v>
      </c>
      <c r="G296" s="17">
        <v>65000</v>
      </c>
      <c r="H296" s="17">
        <v>64000</v>
      </c>
      <c r="I296" s="18">
        <v>0.66</v>
      </c>
      <c r="J296" s="14">
        <f t="shared" si="0"/>
        <v>64</v>
      </c>
      <c r="K296" s="15" t="str">
        <f t="shared" si="1"/>
        <v>Exceeds Target</v>
      </c>
    </row>
    <row r="297" spans="2:11" ht="15" customHeight="1">
      <c r="B297" t="s">
        <v>24</v>
      </c>
      <c r="C297" t="s">
        <v>528</v>
      </c>
      <c r="D297" t="s">
        <v>69</v>
      </c>
      <c r="E297" t="s">
        <v>70</v>
      </c>
      <c r="F297" s="17">
        <v>1000</v>
      </c>
      <c r="G297" s="17">
        <v>65000</v>
      </c>
      <c r="H297" s="17">
        <v>64000</v>
      </c>
      <c r="I297" s="18">
        <v>0.55000000000000004</v>
      </c>
      <c r="J297" s="14">
        <f t="shared" si="0"/>
        <v>64</v>
      </c>
      <c r="K297" s="15" t="str">
        <f t="shared" si="1"/>
        <v>Exceeds Target</v>
      </c>
    </row>
    <row r="298" spans="2:11" ht="15" customHeight="1">
      <c r="B298" t="s">
        <v>529</v>
      </c>
      <c r="C298" t="s">
        <v>530</v>
      </c>
      <c r="D298" t="s">
        <v>32</v>
      </c>
      <c r="E298" t="s">
        <v>27</v>
      </c>
      <c r="F298" s="17">
        <v>1500</v>
      </c>
      <c r="G298" s="17">
        <v>38000</v>
      </c>
      <c r="H298" s="17">
        <v>36500</v>
      </c>
      <c r="I298" s="18">
        <v>0.97</v>
      </c>
      <c r="J298" s="14">
        <f t="shared" si="0"/>
        <v>24.333333333333332</v>
      </c>
      <c r="K298" s="15" t="str">
        <f t="shared" si="1"/>
        <v>Exceeds Target</v>
      </c>
    </row>
    <row r="299" spans="2:11" ht="15" customHeight="1">
      <c r="B299" t="s">
        <v>531</v>
      </c>
      <c r="C299" t="s">
        <v>532</v>
      </c>
      <c r="D299" t="s">
        <v>69</v>
      </c>
      <c r="E299" t="s">
        <v>70</v>
      </c>
      <c r="F299" s="17">
        <v>1000</v>
      </c>
      <c r="G299" s="17">
        <v>105000</v>
      </c>
      <c r="H299" s="17">
        <v>104000</v>
      </c>
      <c r="I299" s="18">
        <v>0.31</v>
      </c>
      <c r="J299" s="14">
        <f t="shared" si="0"/>
        <v>104</v>
      </c>
      <c r="K299" s="15" t="str">
        <f t="shared" si="1"/>
        <v>Exceeds Target</v>
      </c>
    </row>
    <row r="300" spans="2:11" ht="15" customHeight="1">
      <c r="B300" t="s">
        <v>533</v>
      </c>
      <c r="C300" t="s">
        <v>534</v>
      </c>
      <c r="D300" t="s">
        <v>26</v>
      </c>
      <c r="E300" t="s">
        <v>27</v>
      </c>
      <c r="F300" s="17">
        <v>5000</v>
      </c>
      <c r="G300" s="17">
        <v>150000</v>
      </c>
      <c r="H300" s="17">
        <v>145000</v>
      </c>
      <c r="I300" s="18">
        <v>0.33</v>
      </c>
      <c r="J300" s="14">
        <f t="shared" si="0"/>
        <v>29</v>
      </c>
      <c r="K300" s="15" t="str">
        <f t="shared" si="1"/>
        <v>Exceeds Target</v>
      </c>
    </row>
    <row r="301" spans="2:11" ht="15" customHeight="1">
      <c r="B301" t="s">
        <v>535</v>
      </c>
      <c r="C301" t="s">
        <v>536</v>
      </c>
      <c r="D301" t="s">
        <v>26</v>
      </c>
      <c r="E301" t="s">
        <v>27</v>
      </c>
      <c r="F301" s="17">
        <v>5000</v>
      </c>
      <c r="G301" s="17">
        <v>30000</v>
      </c>
      <c r="H301" s="17">
        <v>25000</v>
      </c>
      <c r="I301" s="18">
        <v>0.35</v>
      </c>
      <c r="J301" s="14">
        <f t="shared" si="0"/>
        <v>5</v>
      </c>
      <c r="K301" s="15" t="str">
        <f t="shared" si="1"/>
        <v>Exceeds Target</v>
      </c>
    </row>
    <row r="302" spans="2:11" ht="15" customHeight="1">
      <c r="B302" t="s">
        <v>43</v>
      </c>
      <c r="C302" t="s">
        <v>537</v>
      </c>
      <c r="D302" t="s">
        <v>26</v>
      </c>
      <c r="E302" t="s">
        <v>27</v>
      </c>
      <c r="F302" s="17">
        <v>5000</v>
      </c>
      <c r="G302" s="17">
        <v>150000</v>
      </c>
      <c r="H302" s="17">
        <v>145000</v>
      </c>
      <c r="I302" s="18">
        <v>0.15</v>
      </c>
      <c r="J302" s="14">
        <f t="shared" si="0"/>
        <v>29</v>
      </c>
      <c r="K302" s="15" t="str">
        <f t="shared" si="1"/>
        <v>Exceeds Target</v>
      </c>
    </row>
    <row r="303" spans="2:11" ht="15" customHeight="1">
      <c r="B303" t="s">
        <v>538</v>
      </c>
      <c r="C303" t="s">
        <v>539</v>
      </c>
      <c r="D303" t="s">
        <v>80</v>
      </c>
      <c r="E303" t="s">
        <v>27</v>
      </c>
      <c r="F303" s="17">
        <v>1000</v>
      </c>
      <c r="G303" s="17">
        <v>75000</v>
      </c>
      <c r="H303" s="17">
        <v>74000</v>
      </c>
      <c r="I303" s="18">
        <v>0.68</v>
      </c>
      <c r="J303" s="14">
        <f t="shared" si="0"/>
        <v>74</v>
      </c>
      <c r="K303" s="15" t="str">
        <f t="shared" si="1"/>
        <v>Exceeds Target</v>
      </c>
    </row>
    <row r="304" spans="2:11" ht="15" customHeight="1">
      <c r="B304" t="s">
        <v>540</v>
      </c>
      <c r="C304" t="s">
        <v>541</v>
      </c>
      <c r="D304" t="s">
        <v>80</v>
      </c>
      <c r="E304" t="s">
        <v>27</v>
      </c>
      <c r="F304" s="17">
        <v>1000</v>
      </c>
      <c r="G304" s="17">
        <v>78000</v>
      </c>
      <c r="H304" s="17">
        <v>77000</v>
      </c>
      <c r="I304" s="18">
        <v>0.84</v>
      </c>
      <c r="J304" s="14">
        <f t="shared" si="0"/>
        <v>77</v>
      </c>
      <c r="K304" s="15" t="str">
        <f t="shared" si="1"/>
        <v>Exceeds Target</v>
      </c>
    </row>
    <row r="305" spans="2:11" ht="15" customHeight="1">
      <c r="B305" t="s">
        <v>542</v>
      </c>
      <c r="C305" t="s">
        <v>543</v>
      </c>
      <c r="D305" t="s">
        <v>32</v>
      </c>
      <c r="E305" t="s">
        <v>27</v>
      </c>
      <c r="F305" s="17">
        <v>1500</v>
      </c>
      <c r="G305" s="17">
        <v>58000</v>
      </c>
      <c r="H305" s="17">
        <v>56500</v>
      </c>
      <c r="I305" s="18">
        <v>0.28000000000000003</v>
      </c>
      <c r="J305" s="14">
        <f t="shared" si="0"/>
        <v>37.666666666666664</v>
      </c>
      <c r="K305" s="15" t="str">
        <f t="shared" si="1"/>
        <v>Exceeds Target</v>
      </c>
    </row>
    <row r="306" spans="2:11" ht="15" customHeight="1">
      <c r="B306" t="s">
        <v>267</v>
      </c>
      <c r="C306" t="s">
        <v>544</v>
      </c>
      <c r="D306" t="s">
        <v>80</v>
      </c>
      <c r="E306" t="s">
        <v>27</v>
      </c>
      <c r="F306" s="17">
        <v>1000</v>
      </c>
      <c r="G306" s="17">
        <v>120000</v>
      </c>
      <c r="H306" s="17">
        <v>119000</v>
      </c>
      <c r="I306" s="18">
        <v>0.89</v>
      </c>
      <c r="J306" s="14">
        <f t="shared" si="0"/>
        <v>119</v>
      </c>
      <c r="K306" s="15" t="str">
        <f t="shared" si="1"/>
        <v>Exceeds Target</v>
      </c>
    </row>
    <row r="307" spans="2:11" ht="15" customHeight="1">
      <c r="B307" t="s">
        <v>99</v>
      </c>
      <c r="C307" t="s">
        <v>545</v>
      </c>
      <c r="D307" t="s">
        <v>32</v>
      </c>
      <c r="E307" t="s">
        <v>27</v>
      </c>
      <c r="F307" s="17">
        <v>1500</v>
      </c>
      <c r="G307" s="17">
        <v>22000</v>
      </c>
      <c r="H307" s="17">
        <v>20500</v>
      </c>
      <c r="I307" s="18">
        <v>0.52</v>
      </c>
      <c r="J307" s="14">
        <f t="shared" si="0"/>
        <v>13.666666666666666</v>
      </c>
      <c r="K307" s="15" t="str">
        <f t="shared" si="1"/>
        <v>Exceeds Target</v>
      </c>
    </row>
    <row r="308" spans="2:11" ht="15" customHeight="1">
      <c r="B308" t="s">
        <v>287</v>
      </c>
      <c r="C308" t="s">
        <v>546</v>
      </c>
      <c r="D308" t="s">
        <v>32</v>
      </c>
      <c r="E308" t="s">
        <v>27</v>
      </c>
      <c r="F308" s="17">
        <v>1500</v>
      </c>
      <c r="G308" s="17">
        <v>50000</v>
      </c>
      <c r="H308" s="17">
        <v>48500</v>
      </c>
      <c r="I308" s="18">
        <v>0.44</v>
      </c>
      <c r="J308" s="14">
        <f t="shared" si="0"/>
        <v>32.333333333333336</v>
      </c>
      <c r="K308" s="15" t="str">
        <f t="shared" si="1"/>
        <v>Exceeds Target</v>
      </c>
    </row>
    <row r="309" spans="2:11" ht="15" customHeight="1">
      <c r="B309" t="s">
        <v>247</v>
      </c>
      <c r="C309" t="s">
        <v>547</v>
      </c>
      <c r="D309" t="s">
        <v>80</v>
      </c>
      <c r="E309" t="s">
        <v>27</v>
      </c>
      <c r="F309" s="17">
        <v>1000</v>
      </c>
      <c r="G309" s="17">
        <v>63000</v>
      </c>
      <c r="H309" s="17">
        <v>62000</v>
      </c>
      <c r="I309" s="18">
        <v>0.82</v>
      </c>
      <c r="J309" s="14">
        <f t="shared" si="0"/>
        <v>62</v>
      </c>
      <c r="K309" s="15" t="str">
        <f t="shared" si="1"/>
        <v>Exceeds Target</v>
      </c>
    </row>
    <row r="310" spans="2:11" ht="15" customHeight="1">
      <c r="B310" t="s">
        <v>548</v>
      </c>
      <c r="C310" t="s">
        <v>549</v>
      </c>
      <c r="D310" t="s">
        <v>69</v>
      </c>
      <c r="E310" t="s">
        <v>70</v>
      </c>
      <c r="F310" s="17">
        <v>1000</v>
      </c>
      <c r="G310" s="17">
        <v>125000</v>
      </c>
      <c r="H310" s="17">
        <v>124000</v>
      </c>
      <c r="I310" s="18">
        <v>0.76</v>
      </c>
      <c r="J310" s="14">
        <f t="shared" si="0"/>
        <v>124</v>
      </c>
      <c r="K310" s="15" t="str">
        <f t="shared" si="1"/>
        <v>Exceeds Target</v>
      </c>
    </row>
    <row r="311" spans="2:11" ht="15" customHeight="1">
      <c r="B311" t="s">
        <v>289</v>
      </c>
      <c r="C311" t="s">
        <v>550</v>
      </c>
      <c r="D311" t="s">
        <v>69</v>
      </c>
      <c r="E311" t="s">
        <v>70</v>
      </c>
      <c r="F311" s="17">
        <v>1000</v>
      </c>
      <c r="G311" s="17">
        <v>60000</v>
      </c>
      <c r="H311" s="17">
        <v>59000</v>
      </c>
      <c r="I311" s="18">
        <v>0.97</v>
      </c>
      <c r="J311" s="14">
        <f t="shared" si="0"/>
        <v>59</v>
      </c>
      <c r="K311" s="15" t="str">
        <f t="shared" si="1"/>
        <v>Exceeds Target</v>
      </c>
    </row>
    <row r="312" spans="2:11" ht="15" customHeight="1">
      <c r="B312" t="s">
        <v>551</v>
      </c>
      <c r="C312" t="s">
        <v>552</v>
      </c>
      <c r="D312" t="s">
        <v>69</v>
      </c>
      <c r="E312" t="s">
        <v>70</v>
      </c>
      <c r="F312" s="17">
        <v>1000</v>
      </c>
      <c r="G312" s="17">
        <v>120000</v>
      </c>
      <c r="H312" s="17">
        <v>119000</v>
      </c>
      <c r="I312" s="18">
        <v>0.54</v>
      </c>
      <c r="J312" s="14">
        <f t="shared" si="0"/>
        <v>119</v>
      </c>
      <c r="K312" s="15" t="str">
        <f t="shared" si="1"/>
        <v>Exceeds Target</v>
      </c>
    </row>
    <row r="313" spans="2:11" ht="15" customHeight="1">
      <c r="B313" t="s">
        <v>553</v>
      </c>
      <c r="C313" t="s">
        <v>554</v>
      </c>
      <c r="D313" t="s">
        <v>69</v>
      </c>
      <c r="E313" t="s">
        <v>70</v>
      </c>
      <c r="F313" s="17">
        <v>1000</v>
      </c>
      <c r="G313" s="17">
        <v>115000</v>
      </c>
      <c r="H313" s="17">
        <v>114000</v>
      </c>
      <c r="I313" s="18">
        <v>0.88</v>
      </c>
      <c r="J313" s="14">
        <f t="shared" si="0"/>
        <v>114</v>
      </c>
      <c r="K313" s="15" t="str">
        <f t="shared" si="1"/>
        <v>Exceeds Target</v>
      </c>
    </row>
    <row r="314" spans="2:11" ht="15" customHeight="1">
      <c r="B314" t="s">
        <v>555</v>
      </c>
      <c r="C314" t="s">
        <v>556</v>
      </c>
      <c r="D314" t="s">
        <v>32</v>
      </c>
      <c r="E314" t="s">
        <v>27</v>
      </c>
      <c r="F314" s="17">
        <v>1500</v>
      </c>
      <c r="G314" s="17">
        <v>18000</v>
      </c>
      <c r="H314" s="17">
        <v>16500</v>
      </c>
      <c r="I314" s="18">
        <v>0.56000000000000005</v>
      </c>
      <c r="J314" s="14">
        <f t="shared" si="0"/>
        <v>11</v>
      </c>
      <c r="K314" s="15" t="str">
        <f t="shared" si="1"/>
        <v>Exceeds Target</v>
      </c>
    </row>
    <row r="315" spans="2:11" ht="15" customHeight="1">
      <c r="B315" t="s">
        <v>557</v>
      </c>
      <c r="C315" t="s">
        <v>558</v>
      </c>
      <c r="D315" t="s">
        <v>80</v>
      </c>
      <c r="E315" t="s">
        <v>27</v>
      </c>
      <c r="F315" s="17">
        <v>1000</v>
      </c>
      <c r="G315" s="17">
        <v>90000</v>
      </c>
      <c r="H315" s="17">
        <v>89000</v>
      </c>
      <c r="I315" s="18">
        <v>0.67</v>
      </c>
      <c r="J315" s="14">
        <f t="shared" si="0"/>
        <v>89</v>
      </c>
      <c r="K315" s="15" t="str">
        <f t="shared" si="1"/>
        <v>Exceeds Target</v>
      </c>
    </row>
    <row r="316" spans="2:11" ht="15" customHeight="1">
      <c r="B316" t="s">
        <v>559</v>
      </c>
      <c r="C316" t="s">
        <v>560</v>
      </c>
      <c r="D316" t="s">
        <v>69</v>
      </c>
      <c r="E316" t="s">
        <v>70</v>
      </c>
      <c r="F316" s="17">
        <v>1000</v>
      </c>
      <c r="G316" s="17">
        <v>30000</v>
      </c>
      <c r="H316" s="17">
        <v>29000</v>
      </c>
      <c r="I316" s="18">
        <v>0.68</v>
      </c>
      <c r="J316" s="14">
        <f t="shared" si="0"/>
        <v>29</v>
      </c>
      <c r="K316" s="15" t="str">
        <f t="shared" si="1"/>
        <v>Exceeds Target</v>
      </c>
    </row>
    <row r="317" spans="2:11" ht="15" customHeight="1">
      <c r="B317" t="s">
        <v>561</v>
      </c>
      <c r="C317" t="s">
        <v>562</v>
      </c>
      <c r="D317" t="s">
        <v>35</v>
      </c>
      <c r="E317" t="s">
        <v>27</v>
      </c>
      <c r="F317" s="17">
        <v>3000</v>
      </c>
      <c r="G317" s="17">
        <v>150000</v>
      </c>
      <c r="H317" s="17">
        <v>147000</v>
      </c>
      <c r="I317" s="18">
        <v>0.68</v>
      </c>
      <c r="J317" s="14">
        <f t="shared" si="0"/>
        <v>49</v>
      </c>
      <c r="K317" s="15" t="str">
        <f t="shared" si="1"/>
        <v>Exceeds Target</v>
      </c>
    </row>
    <row r="318" spans="2:11" ht="15" customHeight="1">
      <c r="B318" t="s">
        <v>563</v>
      </c>
      <c r="C318" t="s">
        <v>564</v>
      </c>
      <c r="D318" t="s">
        <v>26</v>
      </c>
      <c r="E318" t="s">
        <v>27</v>
      </c>
      <c r="F318" s="17">
        <v>5000</v>
      </c>
      <c r="G318" s="17">
        <v>150000</v>
      </c>
      <c r="H318" s="17">
        <v>145000</v>
      </c>
      <c r="I318" s="18">
        <v>7.0000000000000007E-2</v>
      </c>
      <c r="J318" s="14">
        <f t="shared" si="0"/>
        <v>29</v>
      </c>
      <c r="K318" s="15" t="str">
        <f t="shared" si="1"/>
        <v>Exceeds Target</v>
      </c>
    </row>
    <row r="319" spans="2:11" ht="15" customHeight="1">
      <c r="B319" t="s">
        <v>40</v>
      </c>
      <c r="C319" t="s">
        <v>565</v>
      </c>
      <c r="D319" t="s">
        <v>35</v>
      </c>
      <c r="E319" t="s">
        <v>27</v>
      </c>
      <c r="F319" s="17">
        <v>3000</v>
      </c>
      <c r="G319" s="17">
        <v>80000</v>
      </c>
      <c r="H319" s="17">
        <v>77000</v>
      </c>
      <c r="I319" s="18">
        <v>0.25</v>
      </c>
      <c r="J319" s="14">
        <f t="shared" si="0"/>
        <v>25.666666666666668</v>
      </c>
      <c r="K319" s="15" t="str">
        <f t="shared" si="1"/>
        <v>Exceeds Target</v>
      </c>
    </row>
    <row r="320" spans="2:11" ht="15" customHeight="1">
      <c r="B320" t="s">
        <v>566</v>
      </c>
      <c r="C320" t="s">
        <v>567</v>
      </c>
      <c r="D320" t="s">
        <v>35</v>
      </c>
      <c r="E320" t="s">
        <v>27</v>
      </c>
      <c r="F320" s="17">
        <v>3000</v>
      </c>
      <c r="G320" s="17">
        <v>110000</v>
      </c>
      <c r="H320" s="17">
        <v>107000</v>
      </c>
      <c r="I320" s="18">
        <v>0.61</v>
      </c>
      <c r="J320" s="14">
        <f t="shared" si="0"/>
        <v>35.666666666666664</v>
      </c>
      <c r="K320" s="15" t="str">
        <f t="shared" si="1"/>
        <v>Exceeds Target</v>
      </c>
    </row>
    <row r="321" spans="2:11" ht="15" customHeight="1">
      <c r="B321" t="s">
        <v>568</v>
      </c>
      <c r="C321" t="s">
        <v>569</v>
      </c>
      <c r="D321" t="s">
        <v>26</v>
      </c>
      <c r="E321" t="s">
        <v>27</v>
      </c>
      <c r="F321" s="17">
        <v>5000</v>
      </c>
      <c r="G321" s="17">
        <v>30000</v>
      </c>
      <c r="H321" s="17">
        <v>25000</v>
      </c>
      <c r="I321" s="18">
        <v>0.25</v>
      </c>
      <c r="J321" s="14">
        <f t="shared" si="0"/>
        <v>5</v>
      </c>
      <c r="K321" s="15" t="str">
        <f t="shared" si="1"/>
        <v>Exceeds Target</v>
      </c>
    </row>
    <row r="322" spans="2:11" ht="15" customHeight="1">
      <c r="B322" t="s">
        <v>557</v>
      </c>
      <c r="C322" t="s">
        <v>570</v>
      </c>
      <c r="D322" t="s">
        <v>69</v>
      </c>
      <c r="E322" t="s">
        <v>70</v>
      </c>
      <c r="F322" s="17">
        <v>1000</v>
      </c>
      <c r="G322" s="17">
        <v>85000</v>
      </c>
      <c r="H322" s="17">
        <v>84000</v>
      </c>
      <c r="I322" s="18">
        <v>0.56999999999999995</v>
      </c>
      <c r="J322" s="14">
        <f t="shared" si="0"/>
        <v>84</v>
      </c>
      <c r="K322" s="15" t="str">
        <f t="shared" si="1"/>
        <v>Exceeds Target</v>
      </c>
    </row>
    <row r="323" spans="2:11" ht="15" customHeight="1">
      <c r="B323" t="s">
        <v>571</v>
      </c>
      <c r="C323" t="s">
        <v>572</v>
      </c>
      <c r="D323" t="s">
        <v>69</v>
      </c>
      <c r="E323" t="s">
        <v>70</v>
      </c>
      <c r="F323" s="17">
        <v>1000</v>
      </c>
      <c r="G323" s="17">
        <v>55000</v>
      </c>
      <c r="H323" s="17">
        <v>54000</v>
      </c>
      <c r="I323" s="18">
        <v>0.95</v>
      </c>
      <c r="J323" s="14">
        <f t="shared" si="0"/>
        <v>54</v>
      </c>
      <c r="K323" s="15" t="str">
        <f t="shared" si="1"/>
        <v>Exceeds Target</v>
      </c>
    </row>
    <row r="324" spans="2:11" ht="15" customHeight="1">
      <c r="B324" t="s">
        <v>67</v>
      </c>
      <c r="C324" t="s">
        <v>573</v>
      </c>
      <c r="D324" t="s">
        <v>69</v>
      </c>
      <c r="E324" t="s">
        <v>70</v>
      </c>
      <c r="F324" s="17">
        <v>1000</v>
      </c>
      <c r="G324" s="17">
        <v>145000</v>
      </c>
      <c r="H324" s="17">
        <v>144000</v>
      </c>
      <c r="I324" s="18">
        <v>0.53</v>
      </c>
      <c r="J324" s="14">
        <f t="shared" si="0"/>
        <v>144</v>
      </c>
      <c r="K324" s="15" t="str">
        <f t="shared" si="1"/>
        <v>Exceeds Target</v>
      </c>
    </row>
    <row r="325" spans="2:11" ht="15" customHeight="1">
      <c r="B325" t="s">
        <v>574</v>
      </c>
      <c r="C325" t="s">
        <v>575</v>
      </c>
      <c r="D325" t="s">
        <v>69</v>
      </c>
      <c r="E325" t="s">
        <v>70</v>
      </c>
      <c r="F325" s="17">
        <v>1000</v>
      </c>
      <c r="G325" s="17">
        <v>120000</v>
      </c>
      <c r="H325" s="17">
        <v>119000</v>
      </c>
      <c r="I325" s="18">
        <v>0.79</v>
      </c>
      <c r="J325" s="14">
        <f t="shared" si="0"/>
        <v>119</v>
      </c>
      <c r="K325" s="15" t="str">
        <f t="shared" si="1"/>
        <v>Exceeds Target</v>
      </c>
    </row>
    <row r="326" spans="2:11" ht="15" customHeight="1">
      <c r="B326" t="s">
        <v>67</v>
      </c>
      <c r="C326" t="s">
        <v>576</v>
      </c>
      <c r="D326" t="s">
        <v>69</v>
      </c>
      <c r="E326" t="s">
        <v>70</v>
      </c>
      <c r="F326" s="17">
        <v>1000</v>
      </c>
      <c r="G326" s="17">
        <v>50000</v>
      </c>
      <c r="H326" s="17">
        <v>49000</v>
      </c>
      <c r="I326" s="18">
        <v>0.85</v>
      </c>
      <c r="J326" s="14">
        <f t="shared" si="0"/>
        <v>49</v>
      </c>
      <c r="K326" s="15" t="str">
        <f t="shared" si="1"/>
        <v>Exceeds Target</v>
      </c>
    </row>
    <row r="327" spans="2:11" ht="15" customHeight="1">
      <c r="B327" t="s">
        <v>577</v>
      </c>
      <c r="C327" t="s">
        <v>578</v>
      </c>
      <c r="D327" t="s">
        <v>69</v>
      </c>
      <c r="E327" t="s">
        <v>70</v>
      </c>
      <c r="F327" s="17">
        <v>1000</v>
      </c>
      <c r="G327" s="17">
        <v>95000</v>
      </c>
      <c r="H327" s="17">
        <v>94000</v>
      </c>
      <c r="I327" s="18">
        <v>0.79</v>
      </c>
      <c r="J327" s="14">
        <f t="shared" si="0"/>
        <v>94</v>
      </c>
      <c r="K327" s="15" t="str">
        <f t="shared" si="1"/>
        <v>Exceeds Target</v>
      </c>
    </row>
    <row r="328" spans="2:11" ht="15" customHeight="1">
      <c r="B328" t="s">
        <v>327</v>
      </c>
      <c r="C328" t="s">
        <v>579</v>
      </c>
      <c r="D328" t="s">
        <v>80</v>
      </c>
      <c r="E328" t="s">
        <v>27</v>
      </c>
      <c r="F328" s="17">
        <v>1000</v>
      </c>
      <c r="G328" s="17">
        <v>108000</v>
      </c>
      <c r="H328" s="17">
        <v>107000</v>
      </c>
      <c r="I328" s="18">
        <v>0.74</v>
      </c>
      <c r="J328" s="14">
        <f t="shared" si="0"/>
        <v>107</v>
      </c>
      <c r="K328" s="15" t="str">
        <f t="shared" si="1"/>
        <v>Exceeds Target</v>
      </c>
    </row>
    <row r="329" spans="2:11" ht="15" customHeight="1">
      <c r="B329" t="s">
        <v>580</v>
      </c>
      <c r="C329" t="s">
        <v>581</v>
      </c>
      <c r="D329" t="s">
        <v>32</v>
      </c>
      <c r="E329" t="s">
        <v>27</v>
      </c>
      <c r="F329" s="17">
        <v>1500</v>
      </c>
      <c r="G329" s="17">
        <v>60000</v>
      </c>
      <c r="H329" s="17">
        <v>58500</v>
      </c>
      <c r="I329" s="18">
        <v>0.68</v>
      </c>
      <c r="J329" s="14">
        <f t="shared" si="0"/>
        <v>39</v>
      </c>
      <c r="K329" s="15" t="str">
        <f t="shared" si="1"/>
        <v>Exceeds Target</v>
      </c>
    </row>
    <row r="330" spans="2:11" ht="15" customHeight="1">
      <c r="B330" t="s">
        <v>582</v>
      </c>
      <c r="C330" t="s">
        <v>583</v>
      </c>
      <c r="D330" t="s">
        <v>69</v>
      </c>
      <c r="E330" t="s">
        <v>70</v>
      </c>
      <c r="F330" s="17">
        <v>1000</v>
      </c>
      <c r="G330" s="17">
        <v>120000</v>
      </c>
      <c r="H330" s="17">
        <v>119000</v>
      </c>
      <c r="I330" s="18">
        <v>0.8</v>
      </c>
      <c r="J330" s="14">
        <f t="shared" si="0"/>
        <v>119</v>
      </c>
      <c r="K330" s="15" t="str">
        <f t="shared" si="1"/>
        <v>Exceeds Target</v>
      </c>
    </row>
    <row r="331" spans="2:11" ht="15" customHeight="1">
      <c r="B331" t="s">
        <v>459</v>
      </c>
      <c r="C331" t="s">
        <v>584</v>
      </c>
      <c r="D331" t="s">
        <v>32</v>
      </c>
      <c r="E331" t="s">
        <v>27</v>
      </c>
      <c r="F331" s="17">
        <v>1500</v>
      </c>
      <c r="G331" s="17">
        <v>54000</v>
      </c>
      <c r="H331" s="17">
        <v>52500</v>
      </c>
      <c r="I331" s="18">
        <v>0.54</v>
      </c>
      <c r="J331" s="14">
        <f t="shared" si="0"/>
        <v>35</v>
      </c>
      <c r="K331" s="15" t="str">
        <f t="shared" si="1"/>
        <v>Exceeds Target</v>
      </c>
    </row>
    <row r="332" spans="2:11" ht="15" customHeight="1">
      <c r="B332" t="s">
        <v>585</v>
      </c>
      <c r="C332" t="s">
        <v>586</v>
      </c>
      <c r="D332" t="s">
        <v>69</v>
      </c>
      <c r="E332" t="s">
        <v>70</v>
      </c>
      <c r="F332" s="17">
        <v>1000</v>
      </c>
      <c r="G332" s="17">
        <v>95000</v>
      </c>
      <c r="H332" s="17">
        <v>94000</v>
      </c>
      <c r="I332" s="18">
        <v>0.46</v>
      </c>
      <c r="J332" s="14">
        <f t="shared" si="0"/>
        <v>94</v>
      </c>
      <c r="K332" s="15" t="str">
        <f t="shared" si="1"/>
        <v>Exceeds Target</v>
      </c>
    </row>
    <row r="333" spans="2:11" ht="15" customHeight="1">
      <c r="B333" t="s">
        <v>279</v>
      </c>
      <c r="C333" t="s">
        <v>587</v>
      </c>
      <c r="D333" t="s">
        <v>32</v>
      </c>
      <c r="E333" t="s">
        <v>27</v>
      </c>
      <c r="F333" s="17">
        <v>1500</v>
      </c>
      <c r="G333" s="17">
        <v>52000</v>
      </c>
      <c r="H333" s="17">
        <v>50500</v>
      </c>
      <c r="I333" s="18">
        <v>0.94</v>
      </c>
      <c r="J333" s="14">
        <f t="shared" si="0"/>
        <v>33.666666666666664</v>
      </c>
      <c r="K333" s="15" t="str">
        <f t="shared" si="1"/>
        <v>Exceeds Target</v>
      </c>
    </row>
    <row r="334" spans="2:11" ht="15" customHeight="1">
      <c r="B334" t="s">
        <v>111</v>
      </c>
      <c r="C334" t="s">
        <v>588</v>
      </c>
      <c r="D334" t="s">
        <v>80</v>
      </c>
      <c r="E334" t="s">
        <v>27</v>
      </c>
      <c r="F334" s="17">
        <v>1000</v>
      </c>
      <c r="G334" s="17">
        <v>105000</v>
      </c>
      <c r="H334" s="17">
        <v>104000</v>
      </c>
      <c r="I334" s="18">
        <v>0.95</v>
      </c>
      <c r="J334" s="14">
        <f t="shared" si="0"/>
        <v>104</v>
      </c>
      <c r="K334" s="15" t="str">
        <f t="shared" si="1"/>
        <v>Exceeds Target</v>
      </c>
    </row>
    <row r="335" spans="2:11" ht="15" customHeight="1">
      <c r="B335" t="s">
        <v>340</v>
      </c>
      <c r="C335" t="s">
        <v>589</v>
      </c>
      <c r="D335" t="s">
        <v>26</v>
      </c>
      <c r="E335" t="s">
        <v>27</v>
      </c>
      <c r="F335" s="17">
        <v>5000</v>
      </c>
      <c r="G335" s="17">
        <v>60000</v>
      </c>
      <c r="H335" s="17">
        <v>55000</v>
      </c>
      <c r="I335" s="18">
        <v>0.09</v>
      </c>
      <c r="J335" s="14">
        <f t="shared" si="0"/>
        <v>11</v>
      </c>
      <c r="K335" s="15" t="str">
        <f t="shared" si="1"/>
        <v>Exceeds Target</v>
      </c>
    </row>
    <row r="336" spans="2:11" ht="15" customHeight="1">
      <c r="B336" t="s">
        <v>450</v>
      </c>
      <c r="C336" t="s">
        <v>590</v>
      </c>
      <c r="D336" t="s">
        <v>35</v>
      </c>
      <c r="E336" t="s">
        <v>27</v>
      </c>
      <c r="F336" s="17">
        <v>3000</v>
      </c>
      <c r="G336" s="17">
        <v>160000</v>
      </c>
      <c r="H336" s="17">
        <v>157000</v>
      </c>
      <c r="I336" s="18">
        <v>0.92</v>
      </c>
      <c r="J336" s="14">
        <f t="shared" si="0"/>
        <v>52.333333333333336</v>
      </c>
      <c r="K336" s="15" t="str">
        <f t="shared" si="1"/>
        <v>Exceeds Target</v>
      </c>
    </row>
    <row r="337" spans="2:11" ht="15" customHeight="1">
      <c r="B337" t="s">
        <v>317</v>
      </c>
      <c r="C337" t="s">
        <v>591</v>
      </c>
      <c r="D337" t="s">
        <v>32</v>
      </c>
      <c r="E337" t="s">
        <v>27</v>
      </c>
      <c r="F337" s="17">
        <v>1500</v>
      </c>
      <c r="G337" s="17">
        <v>46000</v>
      </c>
      <c r="H337" s="17">
        <v>44500</v>
      </c>
      <c r="I337" s="18">
        <v>0.57999999999999996</v>
      </c>
      <c r="J337" s="14">
        <f t="shared" si="0"/>
        <v>29.666666666666668</v>
      </c>
      <c r="K337" s="15" t="str">
        <f t="shared" si="1"/>
        <v>Exceeds Target</v>
      </c>
    </row>
    <row r="338" spans="2:11" ht="15" customHeight="1">
      <c r="B338" t="s">
        <v>296</v>
      </c>
      <c r="C338" t="s">
        <v>592</v>
      </c>
      <c r="D338" t="s">
        <v>26</v>
      </c>
      <c r="E338" t="s">
        <v>27</v>
      </c>
      <c r="F338" s="17">
        <v>5000</v>
      </c>
      <c r="G338" s="17">
        <v>150000</v>
      </c>
      <c r="H338" s="17">
        <v>145000</v>
      </c>
      <c r="I338" s="18">
        <v>0.21</v>
      </c>
      <c r="J338" s="14">
        <f t="shared" si="0"/>
        <v>29</v>
      </c>
      <c r="K338" s="15" t="str">
        <f t="shared" si="1"/>
        <v>Exceeds Target</v>
      </c>
    </row>
    <row r="339" spans="2:11" ht="15" customHeight="1">
      <c r="B339" t="s">
        <v>593</v>
      </c>
      <c r="C339" t="s">
        <v>594</v>
      </c>
      <c r="D339" t="s">
        <v>69</v>
      </c>
      <c r="E339" t="s">
        <v>70</v>
      </c>
      <c r="F339" s="17">
        <v>1000</v>
      </c>
      <c r="G339" s="17">
        <v>60000</v>
      </c>
      <c r="H339" s="17">
        <v>59000</v>
      </c>
      <c r="I339" s="18">
        <v>0.93</v>
      </c>
      <c r="J339" s="14">
        <f t="shared" si="0"/>
        <v>59</v>
      </c>
      <c r="K339" s="15" t="str">
        <f t="shared" si="1"/>
        <v>Exceeds Target</v>
      </c>
    </row>
    <row r="340" spans="2:11" ht="15" customHeight="1">
      <c r="B340" t="s">
        <v>574</v>
      </c>
      <c r="C340" t="s">
        <v>595</v>
      </c>
      <c r="D340" t="s">
        <v>32</v>
      </c>
      <c r="E340" t="s">
        <v>27</v>
      </c>
      <c r="F340" s="17">
        <v>1500</v>
      </c>
      <c r="G340" s="17">
        <v>24000</v>
      </c>
      <c r="H340" s="17">
        <v>22500</v>
      </c>
      <c r="I340" s="18">
        <v>0.67</v>
      </c>
      <c r="J340" s="14">
        <f t="shared" si="0"/>
        <v>15</v>
      </c>
      <c r="K340" s="15" t="str">
        <f t="shared" si="1"/>
        <v>Exceeds Target</v>
      </c>
    </row>
    <row r="341" spans="2:11" ht="15" customHeight="1">
      <c r="B341" t="s">
        <v>596</v>
      </c>
      <c r="C341" t="s">
        <v>597</v>
      </c>
      <c r="D341" t="s">
        <v>32</v>
      </c>
      <c r="E341" t="s">
        <v>27</v>
      </c>
      <c r="F341" s="17">
        <v>1500</v>
      </c>
      <c r="G341" s="17">
        <v>20000</v>
      </c>
      <c r="H341" s="17">
        <v>18500</v>
      </c>
      <c r="I341" s="18">
        <v>1</v>
      </c>
      <c r="J341" s="14">
        <f t="shared" si="0"/>
        <v>12.333333333333334</v>
      </c>
      <c r="K341" s="15" t="str">
        <f t="shared" si="1"/>
        <v>Exceeds Target</v>
      </c>
    </row>
    <row r="342" spans="2:11" ht="15" customHeight="1">
      <c r="B342" t="s">
        <v>598</v>
      </c>
      <c r="C342" t="s">
        <v>599</v>
      </c>
      <c r="D342" t="s">
        <v>80</v>
      </c>
      <c r="E342" t="s">
        <v>27</v>
      </c>
      <c r="F342" s="17">
        <v>1000</v>
      </c>
      <c r="G342" s="17">
        <v>114000</v>
      </c>
      <c r="H342" s="17">
        <v>113000</v>
      </c>
      <c r="I342" s="18">
        <v>0.79</v>
      </c>
      <c r="J342" s="14">
        <f t="shared" si="0"/>
        <v>113</v>
      </c>
      <c r="K342" s="15" t="str">
        <f t="shared" si="1"/>
        <v>Exceeds Target</v>
      </c>
    </row>
    <row r="343" spans="2:11" ht="15" customHeight="1">
      <c r="B343" t="s">
        <v>370</v>
      </c>
      <c r="C343" t="s">
        <v>600</v>
      </c>
      <c r="D343" t="s">
        <v>26</v>
      </c>
      <c r="E343" t="s">
        <v>27</v>
      </c>
      <c r="F343" s="17">
        <v>5000</v>
      </c>
      <c r="G343" s="17">
        <v>60000</v>
      </c>
      <c r="H343" s="17">
        <v>55000</v>
      </c>
      <c r="I343" s="18">
        <v>0.05</v>
      </c>
      <c r="J343" s="14">
        <f t="shared" si="0"/>
        <v>11</v>
      </c>
      <c r="K343" s="15" t="str">
        <f t="shared" si="1"/>
        <v>Exceeds Target</v>
      </c>
    </row>
    <row r="344" spans="2:11" ht="15" customHeight="1">
      <c r="B344" t="s">
        <v>601</v>
      </c>
      <c r="C344" t="s">
        <v>602</v>
      </c>
      <c r="D344" t="s">
        <v>26</v>
      </c>
      <c r="E344" t="s">
        <v>27</v>
      </c>
      <c r="F344" s="17">
        <v>5000</v>
      </c>
      <c r="G344" s="17">
        <v>60000</v>
      </c>
      <c r="H344" s="17">
        <v>55000</v>
      </c>
      <c r="I344" s="18">
        <v>0.04</v>
      </c>
      <c r="J344" s="14">
        <f t="shared" si="0"/>
        <v>11</v>
      </c>
      <c r="K344" s="15" t="str">
        <f t="shared" si="1"/>
        <v>Exceeds Target</v>
      </c>
    </row>
    <row r="345" spans="2:11" ht="15" customHeight="1">
      <c r="B345" t="s">
        <v>561</v>
      </c>
      <c r="C345" t="s">
        <v>603</v>
      </c>
      <c r="D345" t="s">
        <v>69</v>
      </c>
      <c r="E345" t="s">
        <v>70</v>
      </c>
      <c r="F345" s="17">
        <v>1000</v>
      </c>
      <c r="G345" s="17">
        <v>55000</v>
      </c>
      <c r="H345" s="17">
        <v>54000</v>
      </c>
      <c r="I345" s="18">
        <v>0.93</v>
      </c>
      <c r="J345" s="14">
        <f t="shared" si="0"/>
        <v>54</v>
      </c>
      <c r="K345" s="15" t="str">
        <f t="shared" si="1"/>
        <v>Exceeds Target</v>
      </c>
    </row>
    <row r="346" spans="2:11" ht="15" customHeight="1">
      <c r="B346" t="s">
        <v>604</v>
      </c>
      <c r="C346" t="s">
        <v>605</v>
      </c>
      <c r="D346" t="s">
        <v>26</v>
      </c>
      <c r="E346" t="s">
        <v>27</v>
      </c>
      <c r="F346" s="17">
        <v>5000</v>
      </c>
      <c r="G346" s="17">
        <v>30000</v>
      </c>
      <c r="H346" s="17">
        <v>25000</v>
      </c>
      <c r="I346" s="18">
        <v>0.06</v>
      </c>
      <c r="J346" s="14">
        <f t="shared" si="0"/>
        <v>5</v>
      </c>
      <c r="K346" s="15" t="str">
        <f t="shared" si="1"/>
        <v>Exceeds Target</v>
      </c>
    </row>
    <row r="347" spans="2:11" ht="15" customHeight="1">
      <c r="B347" t="s">
        <v>257</v>
      </c>
      <c r="C347" t="s">
        <v>606</v>
      </c>
      <c r="D347" t="s">
        <v>26</v>
      </c>
      <c r="E347" t="s">
        <v>27</v>
      </c>
      <c r="F347" s="17">
        <v>5000</v>
      </c>
      <c r="G347" s="17">
        <v>90000</v>
      </c>
      <c r="H347" s="17">
        <v>85000</v>
      </c>
      <c r="I347" s="18">
        <v>0.18</v>
      </c>
      <c r="J347" s="14">
        <f t="shared" si="0"/>
        <v>17</v>
      </c>
      <c r="K347" s="15" t="str">
        <f t="shared" si="1"/>
        <v>Exceeds Target</v>
      </c>
    </row>
    <row r="348" spans="2:11" ht="15" customHeight="1">
      <c r="B348" t="s">
        <v>113</v>
      </c>
      <c r="C348" t="s">
        <v>607</v>
      </c>
      <c r="D348" t="s">
        <v>69</v>
      </c>
      <c r="E348" t="s">
        <v>70</v>
      </c>
      <c r="F348" s="17">
        <v>1000</v>
      </c>
      <c r="G348" s="17">
        <v>120000</v>
      </c>
      <c r="H348" s="17">
        <v>119000</v>
      </c>
      <c r="I348" s="18">
        <v>0.54</v>
      </c>
      <c r="J348" s="14">
        <f t="shared" si="0"/>
        <v>119</v>
      </c>
      <c r="K348" s="15" t="str">
        <f t="shared" si="1"/>
        <v>Exceeds Target</v>
      </c>
    </row>
    <row r="349" spans="2:11" ht="15" customHeight="1">
      <c r="B349" t="s">
        <v>608</v>
      </c>
      <c r="C349" t="s">
        <v>609</v>
      </c>
      <c r="D349" t="s">
        <v>26</v>
      </c>
      <c r="E349" t="s">
        <v>27</v>
      </c>
      <c r="F349" s="17">
        <v>5000</v>
      </c>
      <c r="G349" s="17">
        <v>90000</v>
      </c>
      <c r="H349" s="17">
        <v>85000</v>
      </c>
      <c r="I349" s="18">
        <v>0.18</v>
      </c>
      <c r="J349" s="14">
        <f t="shared" si="0"/>
        <v>17</v>
      </c>
      <c r="K349" s="15" t="str">
        <f t="shared" si="1"/>
        <v>Exceeds Target</v>
      </c>
    </row>
    <row r="350" spans="2:11" ht="15" customHeight="1">
      <c r="B350" t="s">
        <v>610</v>
      </c>
      <c r="C350" t="s">
        <v>611</v>
      </c>
      <c r="D350" t="s">
        <v>69</v>
      </c>
      <c r="E350" t="s">
        <v>70</v>
      </c>
      <c r="F350" s="17">
        <v>1000</v>
      </c>
      <c r="G350" s="17">
        <v>55000</v>
      </c>
      <c r="H350" s="17">
        <v>54000</v>
      </c>
      <c r="I350" s="18">
        <v>0.89</v>
      </c>
      <c r="J350" s="14">
        <f t="shared" si="0"/>
        <v>54</v>
      </c>
      <c r="K350" s="15" t="str">
        <f t="shared" si="1"/>
        <v>Exceeds Target</v>
      </c>
    </row>
    <row r="351" spans="2:11" ht="15" customHeight="1">
      <c r="B351" t="s">
        <v>40</v>
      </c>
      <c r="C351" t="s">
        <v>612</v>
      </c>
      <c r="D351" t="s">
        <v>32</v>
      </c>
      <c r="E351" t="s">
        <v>27</v>
      </c>
      <c r="F351" s="17">
        <v>1500</v>
      </c>
      <c r="G351" s="17">
        <v>20000</v>
      </c>
      <c r="H351" s="17">
        <v>18500</v>
      </c>
      <c r="I351" s="18">
        <v>0.21</v>
      </c>
      <c r="J351" s="14">
        <f t="shared" si="0"/>
        <v>12.333333333333334</v>
      </c>
      <c r="K351" s="15" t="str">
        <f t="shared" si="1"/>
        <v>Exceeds Target</v>
      </c>
    </row>
    <row r="352" spans="2:11" ht="15" customHeight="1">
      <c r="B352" t="s">
        <v>613</v>
      </c>
      <c r="C352" t="s">
        <v>614</v>
      </c>
      <c r="D352" t="s">
        <v>80</v>
      </c>
      <c r="E352" t="s">
        <v>27</v>
      </c>
      <c r="F352" s="17">
        <v>1000</v>
      </c>
      <c r="G352" s="17">
        <v>60000</v>
      </c>
      <c r="H352" s="17">
        <v>59000</v>
      </c>
      <c r="I352" s="18">
        <v>0.83</v>
      </c>
      <c r="J352" s="14">
        <f t="shared" si="0"/>
        <v>59</v>
      </c>
      <c r="K352" s="15" t="str">
        <f t="shared" si="1"/>
        <v>Exceeds Target</v>
      </c>
    </row>
    <row r="353" spans="2:11" ht="15" customHeight="1">
      <c r="B353" t="s">
        <v>615</v>
      </c>
      <c r="C353" t="s">
        <v>616</v>
      </c>
      <c r="D353" t="s">
        <v>35</v>
      </c>
      <c r="E353" t="s">
        <v>27</v>
      </c>
      <c r="F353" s="17">
        <v>3000</v>
      </c>
      <c r="G353" s="17">
        <v>190000</v>
      </c>
      <c r="H353" s="17">
        <v>187000</v>
      </c>
      <c r="I353" s="18">
        <v>0.97</v>
      </c>
      <c r="J353" s="14">
        <f t="shared" si="0"/>
        <v>62.333333333333336</v>
      </c>
      <c r="K353" s="15" t="str">
        <f t="shared" si="1"/>
        <v>Exceeds Target</v>
      </c>
    </row>
    <row r="354" spans="2:11" ht="15" customHeight="1">
      <c r="B354" t="s">
        <v>137</v>
      </c>
      <c r="C354" t="s">
        <v>617</v>
      </c>
      <c r="D354" t="s">
        <v>32</v>
      </c>
      <c r="E354" t="s">
        <v>27</v>
      </c>
      <c r="F354" s="17">
        <v>1500</v>
      </c>
      <c r="G354" s="17">
        <v>46000</v>
      </c>
      <c r="H354" s="17">
        <v>44500</v>
      </c>
      <c r="I354" s="18">
        <v>0.66</v>
      </c>
      <c r="J354" s="14">
        <f t="shared" si="0"/>
        <v>29.666666666666668</v>
      </c>
      <c r="K354" s="15" t="str">
        <f t="shared" si="1"/>
        <v>Exceeds Target</v>
      </c>
    </row>
    <row r="355" spans="2:11" ht="15" customHeight="1">
      <c r="B355" t="s">
        <v>618</v>
      </c>
      <c r="C355" t="s">
        <v>619</v>
      </c>
      <c r="D355" t="s">
        <v>26</v>
      </c>
      <c r="E355" t="s">
        <v>27</v>
      </c>
      <c r="F355" s="17">
        <v>5000</v>
      </c>
      <c r="G355" s="17">
        <v>120000</v>
      </c>
      <c r="H355" s="17">
        <v>115000</v>
      </c>
      <c r="I355" s="18">
        <v>0.17</v>
      </c>
      <c r="J355" s="14">
        <f t="shared" si="0"/>
        <v>23</v>
      </c>
      <c r="K355" s="15" t="str">
        <f t="shared" si="1"/>
        <v>Exceeds Target</v>
      </c>
    </row>
    <row r="356" spans="2:11" ht="15" customHeight="1">
      <c r="B356" t="s">
        <v>252</v>
      </c>
      <c r="C356" t="s">
        <v>620</v>
      </c>
      <c r="D356" t="s">
        <v>80</v>
      </c>
      <c r="E356" t="s">
        <v>27</v>
      </c>
      <c r="F356" s="17">
        <v>1000</v>
      </c>
      <c r="G356" s="17">
        <v>60000</v>
      </c>
      <c r="H356" s="17">
        <v>59000</v>
      </c>
      <c r="I356" s="18">
        <v>0.55000000000000004</v>
      </c>
      <c r="J356" s="14">
        <f t="shared" si="0"/>
        <v>59</v>
      </c>
      <c r="K356" s="15" t="str">
        <f t="shared" si="1"/>
        <v>Exceeds Target</v>
      </c>
    </row>
    <row r="357" spans="2:11" ht="15" customHeight="1">
      <c r="B357" t="s">
        <v>205</v>
      </c>
      <c r="C357" t="s">
        <v>621</v>
      </c>
      <c r="D357" t="s">
        <v>26</v>
      </c>
      <c r="E357" t="s">
        <v>27</v>
      </c>
      <c r="F357" s="17">
        <v>5000</v>
      </c>
      <c r="G357" s="17">
        <v>60000</v>
      </c>
      <c r="H357" s="17">
        <v>55000</v>
      </c>
      <c r="I357" s="18">
        <v>0.19</v>
      </c>
      <c r="J357" s="14">
        <f t="shared" si="0"/>
        <v>11</v>
      </c>
      <c r="K357" s="15" t="str">
        <f t="shared" si="1"/>
        <v>Exceeds Target</v>
      </c>
    </row>
    <row r="358" spans="2:11" ht="15" customHeight="1">
      <c r="B358" t="s">
        <v>54</v>
      </c>
      <c r="C358" t="s">
        <v>622</v>
      </c>
      <c r="D358" t="s">
        <v>69</v>
      </c>
      <c r="E358" t="s">
        <v>70</v>
      </c>
      <c r="F358" s="17">
        <v>1000</v>
      </c>
      <c r="G358" s="17">
        <v>100000</v>
      </c>
      <c r="H358" s="17">
        <v>99000</v>
      </c>
      <c r="I358" s="18">
        <v>0.33</v>
      </c>
      <c r="J358" s="14">
        <f t="shared" si="0"/>
        <v>99</v>
      </c>
      <c r="K358" s="15" t="str">
        <f t="shared" si="1"/>
        <v>Exceeds Target</v>
      </c>
    </row>
    <row r="359" spans="2:11" ht="15" customHeight="1">
      <c r="B359" t="s">
        <v>623</v>
      </c>
      <c r="C359" t="s">
        <v>624</v>
      </c>
      <c r="D359" t="s">
        <v>35</v>
      </c>
      <c r="E359" t="s">
        <v>27</v>
      </c>
      <c r="F359" s="17">
        <v>3000</v>
      </c>
      <c r="G359" s="17">
        <v>130000</v>
      </c>
      <c r="H359" s="17">
        <v>127000</v>
      </c>
      <c r="I359" s="18">
        <v>0.82</v>
      </c>
      <c r="J359" s="14">
        <f t="shared" si="0"/>
        <v>42.333333333333336</v>
      </c>
      <c r="K359" s="15" t="str">
        <f t="shared" si="1"/>
        <v>Exceeds Target</v>
      </c>
    </row>
    <row r="360" spans="2:11" ht="15" customHeight="1">
      <c r="B360" t="s">
        <v>625</v>
      </c>
      <c r="C360" t="s">
        <v>626</v>
      </c>
      <c r="D360" t="s">
        <v>69</v>
      </c>
      <c r="E360" t="s">
        <v>70</v>
      </c>
      <c r="F360" s="17">
        <v>1000</v>
      </c>
      <c r="G360" s="17">
        <v>90000</v>
      </c>
      <c r="H360" s="17">
        <v>89000</v>
      </c>
      <c r="I360" s="18">
        <v>0.56999999999999995</v>
      </c>
      <c r="J360" s="14">
        <f t="shared" si="0"/>
        <v>89</v>
      </c>
      <c r="K360" s="15" t="str">
        <f t="shared" si="1"/>
        <v>Exceeds Target</v>
      </c>
    </row>
    <row r="361" spans="2:11" ht="15" customHeight="1">
      <c r="B361" t="s">
        <v>229</v>
      </c>
      <c r="C361" t="s">
        <v>627</v>
      </c>
      <c r="D361" t="s">
        <v>80</v>
      </c>
      <c r="E361" t="s">
        <v>27</v>
      </c>
      <c r="F361" s="17">
        <v>1000</v>
      </c>
      <c r="G361" s="17">
        <v>45000</v>
      </c>
      <c r="H361" s="17">
        <v>44000</v>
      </c>
      <c r="I361" s="18">
        <v>0.85</v>
      </c>
      <c r="J361" s="14">
        <f t="shared" si="0"/>
        <v>44</v>
      </c>
      <c r="K361" s="15" t="str">
        <f t="shared" si="1"/>
        <v>Exceeds Target</v>
      </c>
    </row>
    <row r="362" spans="2:11" ht="15" customHeight="1">
      <c r="B362" t="s">
        <v>628</v>
      </c>
      <c r="C362" t="s">
        <v>629</v>
      </c>
      <c r="D362" t="s">
        <v>69</v>
      </c>
      <c r="E362" t="s">
        <v>70</v>
      </c>
      <c r="F362" s="17">
        <v>1000</v>
      </c>
      <c r="G362" s="17">
        <v>95000</v>
      </c>
      <c r="H362" s="17">
        <v>94000</v>
      </c>
      <c r="I362" s="18">
        <v>0.96</v>
      </c>
      <c r="J362" s="14">
        <f t="shared" si="0"/>
        <v>94</v>
      </c>
      <c r="K362" s="15" t="str">
        <f t="shared" si="1"/>
        <v>Exceeds Target</v>
      </c>
    </row>
    <row r="363" spans="2:11" ht="15" customHeight="1">
      <c r="B363" t="s">
        <v>192</v>
      </c>
      <c r="C363" t="s">
        <v>630</v>
      </c>
      <c r="D363" t="s">
        <v>32</v>
      </c>
      <c r="E363" t="s">
        <v>27</v>
      </c>
      <c r="F363" s="17">
        <v>1500</v>
      </c>
      <c r="G363" s="17">
        <v>16000</v>
      </c>
      <c r="H363" s="17">
        <v>14500</v>
      </c>
      <c r="I363" s="18">
        <v>0.86</v>
      </c>
      <c r="J363" s="14">
        <f t="shared" si="0"/>
        <v>9.6666666666666661</v>
      </c>
      <c r="K363" s="15" t="str">
        <f t="shared" si="1"/>
        <v>Exceeds Target</v>
      </c>
    </row>
    <row r="364" spans="2:11" ht="15" customHeight="1">
      <c r="B364" t="s">
        <v>255</v>
      </c>
      <c r="C364" t="s">
        <v>631</v>
      </c>
      <c r="D364" t="s">
        <v>32</v>
      </c>
      <c r="E364" t="s">
        <v>27</v>
      </c>
      <c r="F364" s="17">
        <v>1500</v>
      </c>
      <c r="G364" s="17">
        <v>42000</v>
      </c>
      <c r="H364" s="17">
        <v>40500</v>
      </c>
      <c r="I364" s="18">
        <v>0.84</v>
      </c>
      <c r="J364" s="14">
        <f t="shared" si="0"/>
        <v>27</v>
      </c>
      <c r="K364" s="15" t="str">
        <f t="shared" si="1"/>
        <v>Exceeds Target</v>
      </c>
    </row>
    <row r="365" spans="2:11" ht="15" customHeight="1">
      <c r="B365" t="s">
        <v>129</v>
      </c>
      <c r="C365" t="s">
        <v>632</v>
      </c>
      <c r="D365" t="s">
        <v>35</v>
      </c>
      <c r="E365" t="s">
        <v>27</v>
      </c>
      <c r="F365" s="17">
        <v>3000</v>
      </c>
      <c r="G365" s="17">
        <v>270000</v>
      </c>
      <c r="H365" s="17">
        <v>267000</v>
      </c>
      <c r="I365" s="18">
        <v>0.23</v>
      </c>
      <c r="J365" s="14">
        <f t="shared" si="0"/>
        <v>89</v>
      </c>
      <c r="K365" s="15" t="str">
        <f t="shared" si="1"/>
        <v>Exceeds Target</v>
      </c>
    </row>
    <row r="366" spans="2:11" ht="15" customHeight="1">
      <c r="B366" t="s">
        <v>267</v>
      </c>
      <c r="C366" t="s">
        <v>633</v>
      </c>
      <c r="D366" t="s">
        <v>69</v>
      </c>
      <c r="E366" t="s">
        <v>70</v>
      </c>
      <c r="F366" s="17">
        <v>1000</v>
      </c>
      <c r="G366" s="17">
        <v>140000</v>
      </c>
      <c r="H366" s="17">
        <v>139000</v>
      </c>
      <c r="I366" s="18">
        <v>0.56000000000000005</v>
      </c>
      <c r="J366" s="14">
        <f t="shared" si="0"/>
        <v>139</v>
      </c>
      <c r="K366" s="15" t="str">
        <f t="shared" si="1"/>
        <v>Exceeds Target</v>
      </c>
    </row>
    <row r="367" spans="2:11" ht="15" customHeight="1">
      <c r="B367" t="s">
        <v>165</v>
      </c>
      <c r="C367" t="s">
        <v>634</v>
      </c>
      <c r="D367" t="s">
        <v>26</v>
      </c>
      <c r="E367" t="s">
        <v>27</v>
      </c>
      <c r="F367" s="17">
        <v>5000</v>
      </c>
      <c r="G367" s="17">
        <v>60000</v>
      </c>
      <c r="H367" s="17">
        <v>55000</v>
      </c>
      <c r="I367" s="18">
        <v>0.23</v>
      </c>
      <c r="J367" s="14">
        <f t="shared" si="0"/>
        <v>11</v>
      </c>
      <c r="K367" s="15" t="str">
        <f t="shared" si="1"/>
        <v>Exceeds Target</v>
      </c>
    </row>
    <row r="368" spans="2:11" ht="15" customHeight="1">
      <c r="B368" t="s">
        <v>107</v>
      </c>
      <c r="C368" t="s">
        <v>635</v>
      </c>
      <c r="D368" t="s">
        <v>35</v>
      </c>
      <c r="E368" t="s">
        <v>27</v>
      </c>
      <c r="F368" s="17">
        <v>3000</v>
      </c>
      <c r="G368" s="17">
        <v>70000</v>
      </c>
      <c r="H368" s="17">
        <v>67000</v>
      </c>
      <c r="I368" s="18">
        <v>0.37</v>
      </c>
      <c r="J368" s="14">
        <f t="shared" si="0"/>
        <v>22.333333333333332</v>
      </c>
      <c r="K368" s="15" t="str">
        <f t="shared" si="1"/>
        <v>Exceeds Target</v>
      </c>
    </row>
    <row r="369" spans="2:11" ht="15" customHeight="1">
      <c r="B369" t="s">
        <v>553</v>
      </c>
      <c r="C369" t="s">
        <v>636</v>
      </c>
      <c r="D369" t="s">
        <v>35</v>
      </c>
      <c r="E369" t="s">
        <v>27</v>
      </c>
      <c r="F369" s="17">
        <v>3000</v>
      </c>
      <c r="G369" s="17">
        <v>170000</v>
      </c>
      <c r="H369" s="17">
        <v>167000</v>
      </c>
      <c r="I369" s="18">
        <v>0.25</v>
      </c>
      <c r="J369" s="14">
        <f t="shared" si="0"/>
        <v>55.666666666666664</v>
      </c>
      <c r="K369" s="15" t="str">
        <f t="shared" si="1"/>
        <v>Exceeds Target</v>
      </c>
    </row>
    <row r="370" spans="2:11" ht="15" customHeight="1">
      <c r="B370" t="s">
        <v>317</v>
      </c>
      <c r="C370" t="s">
        <v>637</v>
      </c>
      <c r="D370" t="s">
        <v>32</v>
      </c>
      <c r="E370" t="s">
        <v>27</v>
      </c>
      <c r="F370" s="17">
        <v>1500</v>
      </c>
      <c r="G370" s="17">
        <v>14000</v>
      </c>
      <c r="H370" s="17">
        <v>12500</v>
      </c>
      <c r="I370" s="18">
        <v>0.19</v>
      </c>
      <c r="J370" s="14">
        <f t="shared" si="0"/>
        <v>8.3333333333333339</v>
      </c>
      <c r="K370" s="15" t="str">
        <f t="shared" si="1"/>
        <v>Exceeds Target</v>
      </c>
    </row>
    <row r="371" spans="2:11" ht="15" customHeight="1">
      <c r="B371" t="s">
        <v>374</v>
      </c>
      <c r="C371" t="s">
        <v>638</v>
      </c>
      <c r="D371" t="s">
        <v>69</v>
      </c>
      <c r="E371" t="s">
        <v>70</v>
      </c>
      <c r="F371" s="17">
        <v>1000</v>
      </c>
      <c r="G371" s="17">
        <v>60000</v>
      </c>
      <c r="H371" s="17">
        <v>59000</v>
      </c>
      <c r="I371" s="18">
        <v>0.8</v>
      </c>
      <c r="J371" s="14">
        <f t="shared" si="0"/>
        <v>59</v>
      </c>
      <c r="K371" s="15" t="str">
        <f t="shared" si="1"/>
        <v>Exceeds Target</v>
      </c>
    </row>
    <row r="372" spans="2:11" ht="15" customHeight="1">
      <c r="B372" t="s">
        <v>639</v>
      </c>
      <c r="C372" t="s">
        <v>640</v>
      </c>
      <c r="D372" t="s">
        <v>35</v>
      </c>
      <c r="E372" t="s">
        <v>27</v>
      </c>
      <c r="F372" s="17">
        <v>3000</v>
      </c>
      <c r="G372" s="17">
        <v>60000</v>
      </c>
      <c r="H372" s="17">
        <v>57000</v>
      </c>
      <c r="I372" s="18">
        <v>0.97</v>
      </c>
      <c r="J372" s="14">
        <f t="shared" si="0"/>
        <v>19</v>
      </c>
      <c r="K372" s="15" t="str">
        <f t="shared" si="1"/>
        <v>Exceeds Target</v>
      </c>
    </row>
    <row r="373" spans="2:11" ht="15" customHeight="1">
      <c r="B373" t="s">
        <v>313</v>
      </c>
      <c r="C373" t="s">
        <v>641</v>
      </c>
      <c r="D373" t="s">
        <v>26</v>
      </c>
      <c r="E373" t="s">
        <v>27</v>
      </c>
      <c r="F373" s="17">
        <v>5000</v>
      </c>
      <c r="G373" s="17">
        <v>150000</v>
      </c>
      <c r="H373" s="17">
        <v>145000</v>
      </c>
      <c r="I373" s="18">
        <v>0.12</v>
      </c>
      <c r="J373" s="14">
        <f t="shared" si="0"/>
        <v>29</v>
      </c>
      <c r="K373" s="15" t="str">
        <f t="shared" si="1"/>
        <v>Exceeds Target</v>
      </c>
    </row>
    <row r="374" spans="2:11" ht="15" customHeight="1">
      <c r="B374" t="s">
        <v>642</v>
      </c>
      <c r="C374" t="s">
        <v>643</v>
      </c>
      <c r="D374" t="s">
        <v>69</v>
      </c>
      <c r="E374" t="s">
        <v>70</v>
      </c>
      <c r="F374" s="17">
        <v>1000</v>
      </c>
      <c r="G374" s="17">
        <v>135000</v>
      </c>
      <c r="H374" s="17">
        <v>134000</v>
      </c>
      <c r="I374" s="18">
        <v>0.39</v>
      </c>
      <c r="J374" s="14">
        <f t="shared" si="0"/>
        <v>134</v>
      </c>
      <c r="K374" s="15" t="str">
        <f t="shared" si="1"/>
        <v>Exceeds Target</v>
      </c>
    </row>
    <row r="375" spans="2:11" ht="15" customHeight="1">
      <c r="B375" t="s">
        <v>644</v>
      </c>
      <c r="C375" t="s">
        <v>645</v>
      </c>
      <c r="D375" t="s">
        <v>32</v>
      </c>
      <c r="E375" t="s">
        <v>27</v>
      </c>
      <c r="F375" s="17">
        <v>1500</v>
      </c>
      <c r="G375" s="17">
        <v>48000</v>
      </c>
      <c r="H375" s="17">
        <v>46500</v>
      </c>
      <c r="I375" s="18">
        <v>0.94</v>
      </c>
      <c r="J375" s="14">
        <f t="shared" si="0"/>
        <v>31</v>
      </c>
      <c r="K375" s="15" t="str">
        <f t="shared" si="1"/>
        <v>Exceeds Target</v>
      </c>
    </row>
    <row r="376" spans="2:11" ht="15" customHeight="1">
      <c r="B376" t="s">
        <v>646</v>
      </c>
      <c r="C376" t="s">
        <v>647</v>
      </c>
      <c r="D376" t="s">
        <v>32</v>
      </c>
      <c r="E376" t="s">
        <v>27</v>
      </c>
      <c r="F376" s="17">
        <v>1500</v>
      </c>
      <c r="G376" s="17">
        <v>26000</v>
      </c>
      <c r="H376" s="17">
        <v>24500</v>
      </c>
      <c r="I376" s="18">
        <v>0.65</v>
      </c>
      <c r="J376" s="14">
        <f t="shared" si="0"/>
        <v>16.333333333333332</v>
      </c>
      <c r="K376" s="15" t="str">
        <f t="shared" si="1"/>
        <v>Exceeds Target</v>
      </c>
    </row>
    <row r="377" spans="2:11" ht="15" customHeight="1">
      <c r="B377" t="s">
        <v>648</v>
      </c>
      <c r="C377" t="s">
        <v>649</v>
      </c>
      <c r="D377" t="s">
        <v>69</v>
      </c>
      <c r="E377" t="s">
        <v>70</v>
      </c>
      <c r="F377" s="17">
        <v>1000</v>
      </c>
      <c r="G377" s="17">
        <v>30000</v>
      </c>
      <c r="H377" s="17">
        <v>29000</v>
      </c>
      <c r="I377" s="18">
        <v>0.48</v>
      </c>
      <c r="J377" s="14">
        <f t="shared" si="0"/>
        <v>29</v>
      </c>
      <c r="K377" s="15" t="str">
        <f t="shared" si="1"/>
        <v>Exceeds Target</v>
      </c>
    </row>
    <row r="378" spans="2:11" ht="15" customHeight="1">
      <c r="B378" t="s">
        <v>376</v>
      </c>
      <c r="C378" t="s">
        <v>650</v>
      </c>
      <c r="D378" t="s">
        <v>26</v>
      </c>
      <c r="E378" t="s">
        <v>27</v>
      </c>
      <c r="F378" s="17">
        <v>5000</v>
      </c>
      <c r="G378" s="17">
        <v>90000</v>
      </c>
      <c r="H378" s="17">
        <v>85000</v>
      </c>
      <c r="I378" s="18">
        <v>0.2</v>
      </c>
      <c r="J378" s="14">
        <f t="shared" si="0"/>
        <v>17</v>
      </c>
      <c r="K378" s="15" t="str">
        <f t="shared" si="1"/>
        <v>Exceeds Target</v>
      </c>
    </row>
    <row r="379" spans="2:11" ht="15" customHeight="1">
      <c r="B379" t="s">
        <v>494</v>
      </c>
      <c r="C379" t="s">
        <v>651</v>
      </c>
      <c r="D379" t="s">
        <v>80</v>
      </c>
      <c r="E379" t="s">
        <v>27</v>
      </c>
      <c r="F379" s="17">
        <v>1000</v>
      </c>
      <c r="G379" s="17">
        <v>84000</v>
      </c>
      <c r="H379" s="17">
        <v>83000</v>
      </c>
      <c r="I379" s="18">
        <v>0.82</v>
      </c>
      <c r="J379" s="14">
        <f t="shared" si="0"/>
        <v>83</v>
      </c>
      <c r="K379" s="15" t="str">
        <f t="shared" si="1"/>
        <v>Exceeds Target</v>
      </c>
    </row>
    <row r="380" spans="2:11" ht="15" customHeight="1">
      <c r="B380" t="s">
        <v>364</v>
      </c>
      <c r="C380" t="s">
        <v>652</v>
      </c>
      <c r="D380" t="s">
        <v>26</v>
      </c>
      <c r="E380" t="s">
        <v>27</v>
      </c>
      <c r="F380" s="17">
        <v>5000</v>
      </c>
      <c r="G380" s="17">
        <v>60000</v>
      </c>
      <c r="H380" s="17">
        <v>55000</v>
      </c>
      <c r="I380" s="18">
        <v>0.16</v>
      </c>
      <c r="J380" s="14">
        <f t="shared" si="0"/>
        <v>11</v>
      </c>
      <c r="K380" s="15" t="str">
        <f t="shared" si="1"/>
        <v>Exceeds Target</v>
      </c>
    </row>
    <row r="381" spans="2:11" ht="15" customHeight="1">
      <c r="B381" t="s">
        <v>467</v>
      </c>
      <c r="C381" t="s">
        <v>653</v>
      </c>
      <c r="D381" t="s">
        <v>80</v>
      </c>
      <c r="E381" t="s">
        <v>27</v>
      </c>
      <c r="F381" s="17">
        <v>1000</v>
      </c>
      <c r="G381" s="17">
        <v>84000</v>
      </c>
      <c r="H381" s="17">
        <v>83000</v>
      </c>
      <c r="I381" s="18">
        <v>0.95</v>
      </c>
      <c r="J381" s="14">
        <f t="shared" si="0"/>
        <v>83</v>
      </c>
      <c r="K381" s="15" t="str">
        <f t="shared" si="1"/>
        <v>Exceeds Target</v>
      </c>
    </row>
    <row r="382" spans="2:11" ht="15" customHeight="1">
      <c r="B382" t="s">
        <v>37</v>
      </c>
      <c r="C382" t="s">
        <v>654</v>
      </c>
      <c r="D382" t="s">
        <v>32</v>
      </c>
      <c r="E382" t="s">
        <v>27</v>
      </c>
      <c r="F382" s="17">
        <v>1500</v>
      </c>
      <c r="G382" s="17">
        <v>40000</v>
      </c>
      <c r="H382" s="17">
        <v>38500</v>
      </c>
      <c r="I382" s="18">
        <v>0.85</v>
      </c>
      <c r="J382" s="14">
        <f t="shared" si="0"/>
        <v>25.666666666666668</v>
      </c>
      <c r="K382" s="15" t="str">
        <f t="shared" si="1"/>
        <v>Exceeds Target</v>
      </c>
    </row>
    <row r="383" spans="2:11" ht="15" customHeight="1">
      <c r="B383" t="s">
        <v>514</v>
      </c>
      <c r="C383" t="s">
        <v>655</v>
      </c>
      <c r="D383" t="s">
        <v>35</v>
      </c>
      <c r="E383" t="s">
        <v>27</v>
      </c>
      <c r="F383" s="17">
        <v>3000</v>
      </c>
      <c r="G383" s="17">
        <v>230000</v>
      </c>
      <c r="H383" s="17">
        <v>227000</v>
      </c>
      <c r="I383" s="18">
        <v>0.75</v>
      </c>
      <c r="J383" s="14">
        <f t="shared" si="0"/>
        <v>75.666666666666671</v>
      </c>
      <c r="K383" s="15" t="str">
        <f t="shared" si="1"/>
        <v>Exceeds Target</v>
      </c>
    </row>
    <row r="384" spans="2:11" ht="15" customHeight="1">
      <c r="B384" t="s">
        <v>580</v>
      </c>
      <c r="C384" t="s">
        <v>656</v>
      </c>
      <c r="D384" t="s">
        <v>35</v>
      </c>
      <c r="E384" t="s">
        <v>27</v>
      </c>
      <c r="F384" s="17">
        <v>3000</v>
      </c>
      <c r="G384" s="17">
        <v>190000</v>
      </c>
      <c r="H384" s="17">
        <v>187000</v>
      </c>
      <c r="I384" s="18">
        <v>0.97</v>
      </c>
      <c r="J384" s="14">
        <f t="shared" si="0"/>
        <v>62.333333333333336</v>
      </c>
      <c r="K384" s="15" t="str">
        <f t="shared" si="1"/>
        <v>Exceeds Target</v>
      </c>
    </row>
    <row r="385" spans="2:11" ht="15" customHeight="1">
      <c r="B385" t="s">
        <v>657</v>
      </c>
      <c r="C385" t="s">
        <v>658</v>
      </c>
      <c r="D385" t="s">
        <v>80</v>
      </c>
      <c r="E385" t="s">
        <v>27</v>
      </c>
      <c r="F385" s="17">
        <v>1000</v>
      </c>
      <c r="G385" s="17">
        <v>81000</v>
      </c>
      <c r="H385" s="17">
        <v>80000</v>
      </c>
      <c r="I385" s="18">
        <v>0.64</v>
      </c>
      <c r="J385" s="14">
        <f t="shared" si="0"/>
        <v>80</v>
      </c>
      <c r="K385" s="15" t="str">
        <f t="shared" si="1"/>
        <v>Exceeds Target</v>
      </c>
    </row>
    <row r="386" spans="2:11" ht="15" customHeight="1">
      <c r="B386" t="s">
        <v>659</v>
      </c>
      <c r="C386" t="s">
        <v>660</v>
      </c>
      <c r="D386" t="s">
        <v>35</v>
      </c>
      <c r="E386" t="s">
        <v>27</v>
      </c>
      <c r="F386" s="17">
        <v>3000</v>
      </c>
      <c r="G386" s="17">
        <v>120000</v>
      </c>
      <c r="H386" s="17">
        <v>117000</v>
      </c>
      <c r="I386" s="18">
        <v>0.84</v>
      </c>
      <c r="J386" s="14">
        <f t="shared" si="0"/>
        <v>39</v>
      </c>
      <c r="K386" s="15" t="str">
        <f t="shared" si="1"/>
        <v>Exceeds Target</v>
      </c>
    </row>
    <row r="387" spans="2:11" ht="15" customHeight="1">
      <c r="B387" t="s">
        <v>661</v>
      </c>
      <c r="C387" t="s">
        <v>662</v>
      </c>
      <c r="D387" t="s">
        <v>26</v>
      </c>
      <c r="E387" t="s">
        <v>27</v>
      </c>
      <c r="F387" s="17">
        <v>5000</v>
      </c>
      <c r="G387" s="17">
        <v>60000</v>
      </c>
      <c r="H387" s="17">
        <v>55000</v>
      </c>
      <c r="I387" s="18">
        <v>0.17</v>
      </c>
      <c r="J387" s="14">
        <f t="shared" si="0"/>
        <v>11</v>
      </c>
      <c r="K387" s="15" t="str">
        <f t="shared" si="1"/>
        <v>Exceeds Target</v>
      </c>
    </row>
    <row r="388" spans="2:11" ht="15" customHeight="1">
      <c r="B388" t="s">
        <v>533</v>
      </c>
      <c r="C388" t="s">
        <v>663</v>
      </c>
      <c r="D388" t="s">
        <v>69</v>
      </c>
      <c r="E388" t="s">
        <v>70</v>
      </c>
      <c r="F388" s="17">
        <v>1000</v>
      </c>
      <c r="G388" s="17">
        <v>45000</v>
      </c>
      <c r="H388" s="17">
        <v>44000</v>
      </c>
      <c r="I388" s="18">
        <v>0.96</v>
      </c>
      <c r="J388" s="14">
        <f t="shared" si="0"/>
        <v>44</v>
      </c>
      <c r="K388" s="15" t="str">
        <f t="shared" si="1"/>
        <v>Exceeds Target</v>
      </c>
    </row>
    <row r="389" spans="2:11" ht="15" customHeight="1">
      <c r="B389" t="s">
        <v>664</v>
      </c>
      <c r="C389" t="s">
        <v>665</v>
      </c>
      <c r="D389" t="s">
        <v>80</v>
      </c>
      <c r="E389" t="s">
        <v>27</v>
      </c>
      <c r="F389" s="17">
        <v>1000</v>
      </c>
      <c r="G389" s="17">
        <v>60000</v>
      </c>
      <c r="H389" s="17">
        <v>59000</v>
      </c>
      <c r="I389" s="18">
        <v>0.94</v>
      </c>
      <c r="J389" s="14">
        <f t="shared" si="0"/>
        <v>59</v>
      </c>
      <c r="K389" s="15" t="str">
        <f t="shared" si="1"/>
        <v>Exceeds Target</v>
      </c>
    </row>
    <row r="390" spans="2:11" ht="15" customHeight="1">
      <c r="B390" t="s">
        <v>285</v>
      </c>
      <c r="C390" t="s">
        <v>666</v>
      </c>
      <c r="D390" t="s">
        <v>80</v>
      </c>
      <c r="E390" t="s">
        <v>27</v>
      </c>
      <c r="F390" s="17">
        <v>1000</v>
      </c>
      <c r="G390" s="17">
        <v>84000</v>
      </c>
      <c r="H390" s="17">
        <v>83000</v>
      </c>
      <c r="I390" s="18">
        <v>0.6</v>
      </c>
      <c r="J390" s="14">
        <f t="shared" si="0"/>
        <v>83</v>
      </c>
      <c r="K390" s="15" t="str">
        <f t="shared" si="1"/>
        <v>Exceeds Target</v>
      </c>
    </row>
    <row r="391" spans="2:11" ht="15" customHeight="1">
      <c r="B391" t="s">
        <v>199</v>
      </c>
      <c r="C391" t="s">
        <v>667</v>
      </c>
      <c r="D391" t="s">
        <v>26</v>
      </c>
      <c r="E391" t="s">
        <v>27</v>
      </c>
      <c r="F391" s="17">
        <v>5000</v>
      </c>
      <c r="G391" s="17">
        <v>30000</v>
      </c>
      <c r="H391" s="17">
        <v>25000</v>
      </c>
      <c r="I391" s="18">
        <v>0.17</v>
      </c>
      <c r="J391" s="14">
        <f t="shared" si="0"/>
        <v>5</v>
      </c>
      <c r="K391" s="15" t="str">
        <f t="shared" si="1"/>
        <v>Exceeds Target</v>
      </c>
    </row>
    <row r="392" spans="2:11" ht="15" customHeight="1">
      <c r="B392" t="s">
        <v>173</v>
      </c>
      <c r="C392" t="s">
        <v>668</v>
      </c>
      <c r="D392" t="s">
        <v>80</v>
      </c>
      <c r="E392" t="s">
        <v>27</v>
      </c>
      <c r="F392" s="17">
        <v>1000</v>
      </c>
      <c r="G392" s="17">
        <v>96000</v>
      </c>
      <c r="H392" s="17">
        <v>95000</v>
      </c>
      <c r="I392" s="18">
        <v>0.71</v>
      </c>
      <c r="J392" s="14">
        <f t="shared" si="0"/>
        <v>95</v>
      </c>
      <c r="K392" s="15" t="str">
        <f t="shared" si="1"/>
        <v>Exceeds Target</v>
      </c>
    </row>
    <row r="393" spans="2:11" ht="15" customHeight="1">
      <c r="B393" t="s">
        <v>411</v>
      </c>
      <c r="C393" t="s">
        <v>669</v>
      </c>
      <c r="D393" t="s">
        <v>32</v>
      </c>
      <c r="E393" t="s">
        <v>27</v>
      </c>
      <c r="F393" s="17">
        <v>1500</v>
      </c>
      <c r="G393" s="17">
        <v>18000</v>
      </c>
      <c r="H393" s="17">
        <v>16500</v>
      </c>
      <c r="I393" s="18">
        <v>0.37</v>
      </c>
      <c r="J393" s="14">
        <f t="shared" si="0"/>
        <v>11</v>
      </c>
      <c r="K393" s="15" t="str">
        <f t="shared" si="1"/>
        <v>Exceeds Target</v>
      </c>
    </row>
    <row r="394" spans="2:11" ht="15" customHeight="1">
      <c r="B394" t="s">
        <v>670</v>
      </c>
      <c r="C394" t="s">
        <v>671</v>
      </c>
      <c r="D394" t="s">
        <v>26</v>
      </c>
      <c r="E394" t="s">
        <v>27</v>
      </c>
      <c r="F394" s="17">
        <v>5000</v>
      </c>
      <c r="G394" s="17">
        <v>60000</v>
      </c>
      <c r="H394" s="17">
        <v>55000</v>
      </c>
      <c r="I394" s="18">
        <v>0.05</v>
      </c>
      <c r="J394" s="14">
        <f t="shared" si="0"/>
        <v>11</v>
      </c>
      <c r="K394" s="15" t="str">
        <f t="shared" si="1"/>
        <v>Exceeds Target</v>
      </c>
    </row>
    <row r="395" spans="2:11" ht="15" customHeight="1">
      <c r="B395" t="s">
        <v>87</v>
      </c>
      <c r="C395" t="s">
        <v>672</v>
      </c>
      <c r="D395" t="s">
        <v>80</v>
      </c>
      <c r="E395" t="s">
        <v>27</v>
      </c>
      <c r="F395" s="17">
        <v>1000</v>
      </c>
      <c r="G395" s="17">
        <v>54000</v>
      </c>
      <c r="H395" s="17">
        <v>53000</v>
      </c>
      <c r="I395" s="18">
        <v>0.85</v>
      </c>
      <c r="J395" s="14">
        <f t="shared" si="0"/>
        <v>53</v>
      </c>
      <c r="K395" s="15" t="str">
        <f t="shared" si="1"/>
        <v>Exceeds Target</v>
      </c>
    </row>
    <row r="396" spans="2:11" ht="15" customHeight="1">
      <c r="B396" t="s">
        <v>673</v>
      </c>
      <c r="C396" t="s">
        <v>674</v>
      </c>
      <c r="D396" t="s">
        <v>32</v>
      </c>
      <c r="E396" t="s">
        <v>27</v>
      </c>
      <c r="F396" s="17">
        <v>1500</v>
      </c>
      <c r="G396" s="17">
        <v>34000</v>
      </c>
      <c r="H396" s="17">
        <v>32500</v>
      </c>
      <c r="I396" s="18">
        <v>0.25</v>
      </c>
      <c r="J396" s="14">
        <f t="shared" si="0"/>
        <v>21.666666666666668</v>
      </c>
      <c r="K396" s="15" t="str">
        <f t="shared" si="1"/>
        <v>Exceeds Target</v>
      </c>
    </row>
    <row r="397" spans="2:11" ht="15" customHeight="1">
      <c r="B397" t="s">
        <v>95</v>
      </c>
      <c r="C397" t="s">
        <v>675</v>
      </c>
      <c r="D397" t="s">
        <v>69</v>
      </c>
      <c r="E397" t="s">
        <v>70</v>
      </c>
      <c r="F397" s="17">
        <v>1000</v>
      </c>
      <c r="G397" s="17">
        <v>30000</v>
      </c>
      <c r="H397" s="17">
        <v>29000</v>
      </c>
      <c r="I397" s="18">
        <v>0.85</v>
      </c>
      <c r="J397" s="14">
        <f t="shared" si="0"/>
        <v>29</v>
      </c>
      <c r="K397" s="15" t="str">
        <f t="shared" si="1"/>
        <v>Exceeds Target</v>
      </c>
    </row>
    <row r="398" spans="2:11" ht="15" customHeight="1">
      <c r="B398" t="s">
        <v>548</v>
      </c>
      <c r="C398" t="s">
        <v>676</v>
      </c>
      <c r="D398" t="s">
        <v>26</v>
      </c>
      <c r="E398" t="s">
        <v>27</v>
      </c>
      <c r="F398" s="17">
        <v>5000</v>
      </c>
      <c r="G398" s="17">
        <v>90000</v>
      </c>
      <c r="H398" s="17">
        <v>85000</v>
      </c>
      <c r="I398" s="18">
        <v>0.23</v>
      </c>
      <c r="J398" s="14">
        <f t="shared" si="0"/>
        <v>17</v>
      </c>
      <c r="K398" s="15" t="str">
        <f t="shared" si="1"/>
        <v>Exceeds Target</v>
      </c>
    </row>
    <row r="399" spans="2:11" ht="15" customHeight="1">
      <c r="B399" t="s">
        <v>677</v>
      </c>
      <c r="C399" t="s">
        <v>678</v>
      </c>
      <c r="D399" t="s">
        <v>32</v>
      </c>
      <c r="E399" t="s">
        <v>27</v>
      </c>
      <c r="F399" s="17">
        <v>1500</v>
      </c>
      <c r="G399" s="17">
        <v>48000</v>
      </c>
      <c r="H399" s="17">
        <v>46500</v>
      </c>
      <c r="I399" s="18">
        <v>0.56000000000000005</v>
      </c>
      <c r="J399" s="14">
        <f t="shared" si="0"/>
        <v>31</v>
      </c>
      <c r="K399" s="15" t="str">
        <f t="shared" si="1"/>
        <v>Exceeds Target</v>
      </c>
    </row>
    <row r="400" spans="2:11" ht="15" customHeight="1">
      <c r="B400" t="s">
        <v>679</v>
      </c>
      <c r="C400" t="s">
        <v>680</v>
      </c>
      <c r="D400" t="s">
        <v>80</v>
      </c>
      <c r="E400" t="s">
        <v>27</v>
      </c>
      <c r="F400" s="17">
        <v>1000</v>
      </c>
      <c r="G400" s="17">
        <v>48000</v>
      </c>
      <c r="H400" s="17">
        <v>47000</v>
      </c>
      <c r="I400" s="18">
        <v>0.92</v>
      </c>
      <c r="J400" s="14">
        <f t="shared" si="0"/>
        <v>47</v>
      </c>
      <c r="K400" s="15" t="str">
        <f t="shared" si="1"/>
        <v>Exceeds Target</v>
      </c>
    </row>
    <row r="401" spans="2:11" ht="15" customHeight="1">
      <c r="B401" t="s">
        <v>137</v>
      </c>
      <c r="C401" t="s">
        <v>681</v>
      </c>
      <c r="D401" t="s">
        <v>80</v>
      </c>
      <c r="E401" t="s">
        <v>27</v>
      </c>
      <c r="F401" s="17">
        <v>1000</v>
      </c>
      <c r="G401" s="17">
        <v>63000</v>
      </c>
      <c r="H401" s="17">
        <v>62000</v>
      </c>
      <c r="I401" s="18">
        <v>0.88</v>
      </c>
      <c r="J401" s="14">
        <f t="shared" si="0"/>
        <v>62</v>
      </c>
      <c r="K401" s="15" t="str">
        <f t="shared" si="1"/>
        <v>Exceeds Target</v>
      </c>
    </row>
    <row r="402" spans="2:11" ht="15" customHeight="1">
      <c r="B402" t="s">
        <v>682</v>
      </c>
      <c r="C402" t="s">
        <v>683</v>
      </c>
      <c r="D402" t="s">
        <v>32</v>
      </c>
      <c r="E402" t="s">
        <v>27</v>
      </c>
      <c r="F402" s="17">
        <v>1500</v>
      </c>
      <c r="G402" s="17">
        <v>42000</v>
      </c>
      <c r="H402" s="17">
        <v>40500</v>
      </c>
      <c r="I402" s="18">
        <v>0.67</v>
      </c>
      <c r="J402" s="14">
        <f t="shared" si="0"/>
        <v>27</v>
      </c>
      <c r="K402" s="15" t="str">
        <f t="shared" si="1"/>
        <v>Exceeds Target</v>
      </c>
    </row>
    <row r="403" spans="2:11" ht="15" customHeight="1">
      <c r="B403" t="s">
        <v>91</v>
      </c>
      <c r="C403" t="s">
        <v>684</v>
      </c>
      <c r="D403" t="s">
        <v>32</v>
      </c>
      <c r="E403" t="s">
        <v>27</v>
      </c>
      <c r="F403" s="17">
        <v>1500</v>
      </c>
      <c r="G403" s="17">
        <v>60000</v>
      </c>
      <c r="H403" s="17">
        <v>58500</v>
      </c>
      <c r="I403" s="18">
        <v>0.46</v>
      </c>
      <c r="J403" s="14">
        <f t="shared" si="0"/>
        <v>39</v>
      </c>
      <c r="K403" s="15" t="str">
        <f t="shared" si="1"/>
        <v>Exceeds Target</v>
      </c>
    </row>
    <row r="404" spans="2:11" ht="15" customHeight="1">
      <c r="B404" t="s">
        <v>685</v>
      </c>
      <c r="C404" t="s">
        <v>686</v>
      </c>
      <c r="D404" t="s">
        <v>26</v>
      </c>
      <c r="E404" t="s">
        <v>27</v>
      </c>
      <c r="F404" s="17">
        <v>5000</v>
      </c>
      <c r="G404" s="17">
        <v>30000</v>
      </c>
      <c r="H404" s="17">
        <v>25000</v>
      </c>
      <c r="I404" s="18">
        <v>0.17</v>
      </c>
      <c r="J404" s="14">
        <f t="shared" si="0"/>
        <v>5</v>
      </c>
      <c r="K404" s="15" t="str">
        <f t="shared" si="1"/>
        <v>Exceeds Target</v>
      </c>
    </row>
    <row r="405" spans="2:11" ht="15" customHeight="1">
      <c r="B405" t="s">
        <v>687</v>
      </c>
      <c r="C405" t="s">
        <v>688</v>
      </c>
      <c r="D405" t="s">
        <v>69</v>
      </c>
      <c r="E405" t="s">
        <v>70</v>
      </c>
      <c r="F405" s="17">
        <v>1000</v>
      </c>
      <c r="G405" s="17">
        <v>135000</v>
      </c>
      <c r="H405" s="17">
        <v>134000</v>
      </c>
      <c r="I405" s="18">
        <v>0.26</v>
      </c>
      <c r="J405" s="14">
        <f t="shared" si="0"/>
        <v>134</v>
      </c>
      <c r="K405" s="15" t="str">
        <f t="shared" si="1"/>
        <v>Exceeds Target</v>
      </c>
    </row>
    <row r="406" spans="2:11" ht="15" customHeight="1">
      <c r="B406" t="s">
        <v>327</v>
      </c>
      <c r="C406" t="s">
        <v>689</v>
      </c>
      <c r="D406" t="s">
        <v>69</v>
      </c>
      <c r="E406" t="s">
        <v>70</v>
      </c>
      <c r="F406" s="17">
        <v>1000</v>
      </c>
      <c r="G406" s="17">
        <v>40000</v>
      </c>
      <c r="H406" s="17">
        <v>39000</v>
      </c>
      <c r="I406" s="18">
        <v>0.91</v>
      </c>
      <c r="J406" s="14">
        <f t="shared" si="0"/>
        <v>39</v>
      </c>
      <c r="K406" s="15" t="str">
        <f t="shared" si="1"/>
        <v>Exceeds Target</v>
      </c>
    </row>
    <row r="407" spans="2:11" ht="15" customHeight="1">
      <c r="B407" t="s">
        <v>512</v>
      </c>
      <c r="C407" t="s">
        <v>690</v>
      </c>
      <c r="D407" t="s">
        <v>32</v>
      </c>
      <c r="E407" t="s">
        <v>27</v>
      </c>
      <c r="F407" s="17">
        <v>1500</v>
      </c>
      <c r="G407" s="17">
        <v>22000</v>
      </c>
      <c r="H407" s="17">
        <v>20500</v>
      </c>
      <c r="I407" s="18">
        <v>0.7</v>
      </c>
      <c r="J407" s="14">
        <f t="shared" si="0"/>
        <v>13.666666666666666</v>
      </c>
      <c r="K407" s="15" t="str">
        <f t="shared" si="1"/>
        <v>Exceeds Target</v>
      </c>
    </row>
    <row r="408" spans="2:11" ht="15" customHeight="1">
      <c r="B408" t="s">
        <v>370</v>
      </c>
      <c r="C408" t="s">
        <v>691</v>
      </c>
      <c r="D408" t="s">
        <v>69</v>
      </c>
      <c r="E408" t="s">
        <v>70</v>
      </c>
      <c r="F408" s="17">
        <v>1000</v>
      </c>
      <c r="G408" s="17">
        <v>85000</v>
      </c>
      <c r="H408" s="17">
        <v>84000</v>
      </c>
      <c r="I408" s="18">
        <v>0.62</v>
      </c>
      <c r="J408" s="14">
        <f t="shared" si="0"/>
        <v>84</v>
      </c>
      <c r="K408" s="15" t="str">
        <f t="shared" si="1"/>
        <v>Exceeds Target</v>
      </c>
    </row>
    <row r="409" spans="2:11" ht="15" customHeight="1">
      <c r="B409" t="s">
        <v>559</v>
      </c>
      <c r="C409" t="s">
        <v>692</v>
      </c>
      <c r="D409" t="s">
        <v>35</v>
      </c>
      <c r="E409" t="s">
        <v>27</v>
      </c>
      <c r="F409" s="17">
        <v>3000</v>
      </c>
      <c r="G409" s="17">
        <v>110000</v>
      </c>
      <c r="H409" s="17">
        <v>107000</v>
      </c>
      <c r="I409" s="18">
        <v>0.24</v>
      </c>
      <c r="J409" s="14">
        <f t="shared" si="0"/>
        <v>35.666666666666664</v>
      </c>
      <c r="K409" s="15" t="str">
        <f t="shared" si="1"/>
        <v>Exceeds Target</v>
      </c>
    </row>
    <row r="410" spans="2:11" ht="15" customHeight="1">
      <c r="B410" t="s">
        <v>408</v>
      </c>
      <c r="C410" t="s">
        <v>693</v>
      </c>
      <c r="D410" t="s">
        <v>32</v>
      </c>
      <c r="E410" t="s">
        <v>27</v>
      </c>
      <c r="F410" s="17">
        <v>1500</v>
      </c>
      <c r="G410" s="17">
        <v>26000</v>
      </c>
      <c r="H410" s="17">
        <v>24500</v>
      </c>
      <c r="I410" s="18">
        <v>0.88</v>
      </c>
      <c r="J410" s="14">
        <f t="shared" si="0"/>
        <v>16.333333333333332</v>
      </c>
      <c r="K410" s="15" t="str">
        <f t="shared" si="1"/>
        <v>Exceeds Target</v>
      </c>
    </row>
    <row r="411" spans="2:11" ht="15" customHeight="1">
      <c r="B411" t="s">
        <v>694</v>
      </c>
      <c r="C411" t="s">
        <v>695</v>
      </c>
      <c r="D411" t="s">
        <v>32</v>
      </c>
      <c r="E411" t="s">
        <v>27</v>
      </c>
      <c r="F411" s="17">
        <v>1500</v>
      </c>
      <c r="G411" s="17">
        <v>48000</v>
      </c>
      <c r="H411" s="17">
        <v>46500</v>
      </c>
      <c r="I411" s="18">
        <v>0.83</v>
      </c>
      <c r="J411" s="14">
        <f t="shared" si="0"/>
        <v>31</v>
      </c>
      <c r="K411" s="15" t="str">
        <f t="shared" si="1"/>
        <v>Exceeds Target</v>
      </c>
    </row>
    <row r="412" spans="2:11" ht="15" customHeight="1">
      <c r="B412" t="s">
        <v>203</v>
      </c>
      <c r="C412" t="s">
        <v>696</v>
      </c>
      <c r="D412" t="s">
        <v>35</v>
      </c>
      <c r="E412" t="s">
        <v>27</v>
      </c>
      <c r="F412" s="17">
        <v>3000</v>
      </c>
      <c r="G412" s="17">
        <v>170000</v>
      </c>
      <c r="H412" s="17">
        <v>167000</v>
      </c>
      <c r="I412" s="18">
        <v>0.28999999999999998</v>
      </c>
      <c r="J412" s="14">
        <f t="shared" si="0"/>
        <v>55.666666666666664</v>
      </c>
      <c r="K412" s="15" t="str">
        <f t="shared" si="1"/>
        <v>Exceeds Target</v>
      </c>
    </row>
    <row r="413" spans="2:11" ht="15" customHeight="1">
      <c r="B413" t="s">
        <v>604</v>
      </c>
      <c r="C413" t="s">
        <v>697</v>
      </c>
      <c r="D413" t="s">
        <v>69</v>
      </c>
      <c r="E413" t="s">
        <v>70</v>
      </c>
      <c r="F413" s="17">
        <v>1000</v>
      </c>
      <c r="G413" s="17">
        <v>100000</v>
      </c>
      <c r="H413" s="17">
        <v>99000</v>
      </c>
      <c r="I413" s="18">
        <v>0.36</v>
      </c>
      <c r="J413" s="14">
        <f t="shared" si="0"/>
        <v>99</v>
      </c>
      <c r="K413" s="15" t="str">
        <f t="shared" si="1"/>
        <v>Exceeds Target</v>
      </c>
    </row>
    <row r="414" spans="2:11" ht="15" customHeight="1">
      <c r="B414" t="s">
        <v>566</v>
      </c>
      <c r="C414" t="s">
        <v>698</v>
      </c>
      <c r="D414" t="s">
        <v>26</v>
      </c>
      <c r="E414" t="s">
        <v>27</v>
      </c>
      <c r="F414" s="17">
        <v>5000</v>
      </c>
      <c r="G414" s="17">
        <v>120000</v>
      </c>
      <c r="H414" s="17">
        <v>115000</v>
      </c>
      <c r="I414" s="18">
        <v>0.04</v>
      </c>
      <c r="J414" s="14">
        <f t="shared" si="0"/>
        <v>23</v>
      </c>
      <c r="K414" s="15" t="str">
        <f t="shared" si="1"/>
        <v>Exceeds Target</v>
      </c>
    </row>
    <row r="415" spans="2:11" ht="15" customHeight="1">
      <c r="B415" t="s">
        <v>441</v>
      </c>
      <c r="C415" t="s">
        <v>699</v>
      </c>
      <c r="D415" t="s">
        <v>69</v>
      </c>
      <c r="E415" t="s">
        <v>70</v>
      </c>
      <c r="F415" s="17">
        <v>1000</v>
      </c>
      <c r="G415" s="17">
        <v>30000</v>
      </c>
      <c r="H415" s="17">
        <v>29000</v>
      </c>
      <c r="I415" s="18">
        <v>0.51</v>
      </c>
      <c r="J415" s="14">
        <f t="shared" si="0"/>
        <v>29</v>
      </c>
      <c r="K415" s="15" t="str">
        <f t="shared" si="1"/>
        <v>Exceeds Target</v>
      </c>
    </row>
    <row r="416" spans="2:11" ht="15" customHeight="1">
      <c r="B416" t="s">
        <v>542</v>
      </c>
      <c r="C416" t="s">
        <v>700</v>
      </c>
      <c r="D416" t="s">
        <v>69</v>
      </c>
      <c r="E416" t="s">
        <v>70</v>
      </c>
      <c r="F416" s="17">
        <v>1000</v>
      </c>
      <c r="G416" s="17">
        <v>150000</v>
      </c>
      <c r="H416" s="17">
        <v>149000</v>
      </c>
      <c r="I416" s="18">
        <v>0.86</v>
      </c>
      <c r="J416" s="14">
        <f t="shared" si="0"/>
        <v>149</v>
      </c>
      <c r="K416" s="15" t="str">
        <f t="shared" si="1"/>
        <v>Exceeds Target</v>
      </c>
    </row>
    <row r="417" spans="2:11" ht="15" customHeight="1">
      <c r="B417" t="s">
        <v>701</v>
      </c>
      <c r="C417" t="s">
        <v>702</v>
      </c>
      <c r="D417" t="s">
        <v>35</v>
      </c>
      <c r="E417" t="s">
        <v>27</v>
      </c>
      <c r="F417" s="17">
        <v>3000</v>
      </c>
      <c r="G417" s="17">
        <v>240000</v>
      </c>
      <c r="H417" s="17">
        <v>237000</v>
      </c>
      <c r="I417" s="18">
        <v>0.59</v>
      </c>
      <c r="J417" s="14">
        <f t="shared" si="0"/>
        <v>79</v>
      </c>
      <c r="K417" s="15" t="str">
        <f t="shared" si="1"/>
        <v>Exceeds Target</v>
      </c>
    </row>
    <row r="418" spans="2:11" ht="15" customHeight="1">
      <c r="B418" t="s">
        <v>93</v>
      </c>
      <c r="C418" t="s">
        <v>703</v>
      </c>
      <c r="D418" t="s">
        <v>69</v>
      </c>
      <c r="E418" t="s">
        <v>70</v>
      </c>
      <c r="F418" s="17">
        <v>1000</v>
      </c>
      <c r="G418" s="17">
        <v>90000</v>
      </c>
      <c r="H418" s="17">
        <v>89000</v>
      </c>
      <c r="I418" s="18">
        <v>0.98</v>
      </c>
      <c r="J418" s="14">
        <f t="shared" si="0"/>
        <v>89</v>
      </c>
      <c r="K418" s="15" t="str">
        <f t="shared" si="1"/>
        <v>Exceeds Target</v>
      </c>
    </row>
    <row r="419" spans="2:11" ht="15" customHeight="1">
      <c r="B419" t="s">
        <v>216</v>
      </c>
      <c r="C419" t="s">
        <v>704</v>
      </c>
      <c r="D419" t="s">
        <v>26</v>
      </c>
      <c r="E419" t="s">
        <v>27</v>
      </c>
      <c r="F419" s="17">
        <v>5000</v>
      </c>
      <c r="G419" s="17">
        <v>60000</v>
      </c>
      <c r="H419" s="17">
        <v>55000</v>
      </c>
      <c r="I419" s="18">
        <v>0.15</v>
      </c>
      <c r="J419" s="14">
        <f t="shared" si="0"/>
        <v>11</v>
      </c>
      <c r="K419" s="15" t="str">
        <f t="shared" si="1"/>
        <v>Exceeds Target</v>
      </c>
    </row>
    <row r="420" spans="2:11" ht="15" customHeight="1">
      <c r="B420" t="s">
        <v>89</v>
      </c>
      <c r="C420" t="s">
        <v>705</v>
      </c>
      <c r="D420" t="s">
        <v>69</v>
      </c>
      <c r="E420" t="s">
        <v>70</v>
      </c>
      <c r="F420" s="17">
        <v>1000</v>
      </c>
      <c r="G420" s="17">
        <v>95000</v>
      </c>
      <c r="H420" s="17">
        <v>94000</v>
      </c>
      <c r="I420" s="18">
        <v>0.28000000000000003</v>
      </c>
      <c r="J420" s="14">
        <f t="shared" si="0"/>
        <v>94</v>
      </c>
      <c r="K420" s="15" t="str">
        <f t="shared" si="1"/>
        <v>Exceeds Target</v>
      </c>
    </row>
    <row r="421" spans="2:11" ht="15" customHeight="1">
      <c r="B421" t="s">
        <v>446</v>
      </c>
      <c r="C421" t="s">
        <v>706</v>
      </c>
      <c r="D421" t="s">
        <v>26</v>
      </c>
      <c r="E421" t="s">
        <v>27</v>
      </c>
      <c r="F421" s="17">
        <v>5000</v>
      </c>
      <c r="G421" s="17">
        <v>150000</v>
      </c>
      <c r="H421" s="17">
        <v>145000</v>
      </c>
      <c r="I421" s="18">
        <v>0.12</v>
      </c>
      <c r="J421" s="14">
        <f t="shared" si="0"/>
        <v>29</v>
      </c>
      <c r="K421" s="15" t="str">
        <f t="shared" si="1"/>
        <v>Exceeds Target</v>
      </c>
    </row>
    <row r="422" spans="2:11" ht="15" customHeight="1">
      <c r="B422" t="s">
        <v>707</v>
      </c>
      <c r="C422" t="s">
        <v>708</v>
      </c>
      <c r="D422" t="s">
        <v>69</v>
      </c>
      <c r="E422" t="s">
        <v>70</v>
      </c>
      <c r="F422" s="17">
        <v>1000</v>
      </c>
      <c r="G422" s="17">
        <v>150000</v>
      </c>
      <c r="H422" s="17">
        <v>149000</v>
      </c>
      <c r="I422" s="18">
        <v>0.63</v>
      </c>
      <c r="J422" s="14">
        <f t="shared" si="0"/>
        <v>149</v>
      </c>
      <c r="K422" s="15" t="str">
        <f t="shared" si="1"/>
        <v>Exceeds Target</v>
      </c>
    </row>
    <row r="423" spans="2:11" ht="15" customHeight="1">
      <c r="B423" t="s">
        <v>81</v>
      </c>
      <c r="C423" t="s">
        <v>709</v>
      </c>
      <c r="D423" t="s">
        <v>32</v>
      </c>
      <c r="E423" t="s">
        <v>27</v>
      </c>
      <c r="F423" s="17">
        <v>1500</v>
      </c>
      <c r="G423" s="17">
        <v>22000</v>
      </c>
      <c r="H423" s="17">
        <v>20500</v>
      </c>
      <c r="I423" s="18">
        <v>0.97</v>
      </c>
      <c r="J423" s="14">
        <f t="shared" si="0"/>
        <v>13.666666666666666</v>
      </c>
      <c r="K423" s="15" t="str">
        <f t="shared" si="1"/>
        <v>Exceeds Target</v>
      </c>
    </row>
    <row r="424" spans="2:11" ht="15" customHeight="1">
      <c r="B424" t="s">
        <v>496</v>
      </c>
      <c r="C424" t="s">
        <v>710</v>
      </c>
      <c r="D424" t="s">
        <v>35</v>
      </c>
      <c r="E424" t="s">
        <v>27</v>
      </c>
      <c r="F424" s="17">
        <v>3000</v>
      </c>
      <c r="G424" s="17">
        <v>240000</v>
      </c>
      <c r="H424" s="17">
        <v>237000</v>
      </c>
      <c r="I424" s="18">
        <v>0.51</v>
      </c>
      <c r="J424" s="14">
        <f t="shared" si="0"/>
        <v>79</v>
      </c>
      <c r="K424" s="15" t="str">
        <f t="shared" si="1"/>
        <v>Exceeds Target</v>
      </c>
    </row>
    <row r="425" spans="2:11" ht="15" customHeight="1">
      <c r="B425" t="s">
        <v>484</v>
      </c>
      <c r="C425" t="s">
        <v>711</v>
      </c>
      <c r="D425" t="s">
        <v>26</v>
      </c>
      <c r="E425" t="s">
        <v>27</v>
      </c>
      <c r="F425" s="17">
        <v>5000</v>
      </c>
      <c r="G425" s="17">
        <v>90000</v>
      </c>
      <c r="H425" s="17">
        <v>85000</v>
      </c>
      <c r="I425" s="18">
        <v>0.17</v>
      </c>
      <c r="J425" s="14">
        <f t="shared" si="0"/>
        <v>17</v>
      </c>
      <c r="K425" s="15" t="str">
        <f t="shared" si="1"/>
        <v>Exceeds Target</v>
      </c>
    </row>
    <row r="426" spans="2:11" ht="15" customHeight="1">
      <c r="B426" t="s">
        <v>195</v>
      </c>
      <c r="C426" t="s">
        <v>712</v>
      </c>
      <c r="D426" t="s">
        <v>35</v>
      </c>
      <c r="E426" t="s">
        <v>27</v>
      </c>
      <c r="F426" s="17">
        <v>3000</v>
      </c>
      <c r="G426" s="17">
        <v>220000</v>
      </c>
      <c r="H426" s="17">
        <v>217000</v>
      </c>
      <c r="I426" s="18">
        <v>0.79</v>
      </c>
      <c r="J426" s="14">
        <f t="shared" si="0"/>
        <v>72.333333333333329</v>
      </c>
      <c r="K426" s="15" t="str">
        <f t="shared" si="1"/>
        <v>Exceeds Target</v>
      </c>
    </row>
    <row r="427" spans="2:11" ht="15" customHeight="1">
      <c r="B427" t="s">
        <v>713</v>
      </c>
      <c r="C427" t="s">
        <v>714</v>
      </c>
      <c r="D427" t="s">
        <v>69</v>
      </c>
      <c r="E427" t="s">
        <v>70</v>
      </c>
      <c r="F427" s="17">
        <v>1000</v>
      </c>
      <c r="G427" s="17">
        <v>65000</v>
      </c>
      <c r="H427" s="17">
        <v>64000</v>
      </c>
      <c r="I427" s="18">
        <v>0.75</v>
      </c>
      <c r="J427" s="14">
        <f t="shared" si="0"/>
        <v>64</v>
      </c>
      <c r="K427" s="15" t="str">
        <f t="shared" si="1"/>
        <v>Exceeds Target</v>
      </c>
    </row>
    <row r="428" spans="2:11" ht="15" customHeight="1">
      <c r="B428" t="s">
        <v>78</v>
      </c>
      <c r="C428" t="s">
        <v>715</v>
      </c>
      <c r="D428" t="s">
        <v>32</v>
      </c>
      <c r="E428" t="s">
        <v>27</v>
      </c>
      <c r="F428" s="17">
        <v>1500</v>
      </c>
      <c r="G428" s="17">
        <v>58000</v>
      </c>
      <c r="H428" s="17">
        <v>56500</v>
      </c>
      <c r="I428" s="18">
        <v>0.9</v>
      </c>
      <c r="J428" s="14">
        <f t="shared" si="0"/>
        <v>37.666666666666664</v>
      </c>
      <c r="K428" s="15" t="str">
        <f t="shared" si="1"/>
        <v>Exceeds Target</v>
      </c>
    </row>
    <row r="429" spans="2:11" ht="15" customHeight="1">
      <c r="B429" t="s">
        <v>368</v>
      </c>
      <c r="C429" t="s">
        <v>716</v>
      </c>
      <c r="D429" t="s">
        <v>32</v>
      </c>
      <c r="E429" t="s">
        <v>27</v>
      </c>
      <c r="F429" s="17">
        <v>1500</v>
      </c>
      <c r="G429" s="17">
        <v>24000</v>
      </c>
      <c r="H429" s="17">
        <v>22500</v>
      </c>
      <c r="I429" s="18">
        <v>0.5</v>
      </c>
      <c r="J429" s="14">
        <f t="shared" si="0"/>
        <v>15</v>
      </c>
      <c r="K429" s="15" t="str">
        <f t="shared" si="1"/>
        <v>Exceeds Target</v>
      </c>
    </row>
    <row r="430" spans="2:11" ht="15" customHeight="1">
      <c r="B430" t="s">
        <v>465</v>
      </c>
      <c r="C430" t="s">
        <v>717</v>
      </c>
      <c r="D430" t="s">
        <v>80</v>
      </c>
      <c r="E430" t="s">
        <v>27</v>
      </c>
      <c r="F430" s="17">
        <v>1000</v>
      </c>
      <c r="G430" s="17">
        <v>120000</v>
      </c>
      <c r="H430" s="17">
        <v>119000</v>
      </c>
      <c r="I430" s="18">
        <v>0.73</v>
      </c>
      <c r="J430" s="14">
        <f t="shared" si="0"/>
        <v>119</v>
      </c>
      <c r="K430" s="15" t="str">
        <f t="shared" si="1"/>
        <v>Exceeds Target</v>
      </c>
    </row>
    <row r="431" spans="2:11" ht="15" customHeight="1">
      <c r="B431" t="s">
        <v>218</v>
      </c>
      <c r="C431" t="s">
        <v>718</v>
      </c>
      <c r="D431" t="s">
        <v>26</v>
      </c>
      <c r="E431" t="s">
        <v>27</v>
      </c>
      <c r="F431" s="17">
        <v>5000</v>
      </c>
      <c r="G431" s="17">
        <v>60000</v>
      </c>
      <c r="H431" s="17">
        <v>55000</v>
      </c>
      <c r="I431" s="18">
        <v>0.16</v>
      </c>
      <c r="J431" s="14">
        <f t="shared" si="0"/>
        <v>11</v>
      </c>
      <c r="K431" s="15" t="str">
        <f t="shared" si="1"/>
        <v>Exceeds Target</v>
      </c>
    </row>
    <row r="432" spans="2:11" ht="15" customHeight="1">
      <c r="B432" t="s">
        <v>305</v>
      </c>
      <c r="C432" t="s">
        <v>719</v>
      </c>
      <c r="D432" t="s">
        <v>35</v>
      </c>
      <c r="E432" t="s">
        <v>27</v>
      </c>
      <c r="F432" s="17">
        <v>3000</v>
      </c>
      <c r="G432" s="17">
        <v>100000</v>
      </c>
      <c r="H432" s="17">
        <v>97000</v>
      </c>
      <c r="I432" s="18">
        <v>0.68</v>
      </c>
      <c r="J432" s="14">
        <f t="shared" si="0"/>
        <v>32.333333333333336</v>
      </c>
      <c r="K432" s="15" t="str">
        <f t="shared" si="1"/>
        <v>Exceeds Target</v>
      </c>
    </row>
    <row r="433" spans="2:11" ht="15" customHeight="1">
      <c r="B433" t="s">
        <v>81</v>
      </c>
      <c r="C433" t="s">
        <v>720</v>
      </c>
      <c r="D433" t="s">
        <v>35</v>
      </c>
      <c r="E433" t="s">
        <v>27</v>
      </c>
      <c r="F433" s="17">
        <v>3000</v>
      </c>
      <c r="G433" s="17">
        <v>60000</v>
      </c>
      <c r="H433" s="17">
        <v>57000</v>
      </c>
      <c r="I433" s="18">
        <v>0.78</v>
      </c>
      <c r="J433" s="14">
        <f t="shared" si="0"/>
        <v>19</v>
      </c>
      <c r="K433" s="15" t="str">
        <f t="shared" si="1"/>
        <v>Exceeds Target</v>
      </c>
    </row>
    <row r="434" spans="2:11" ht="15" customHeight="1">
      <c r="B434" t="s">
        <v>113</v>
      </c>
      <c r="C434" t="s">
        <v>721</v>
      </c>
      <c r="D434" t="s">
        <v>26</v>
      </c>
      <c r="E434" t="s">
        <v>27</v>
      </c>
      <c r="F434" s="17">
        <v>5000</v>
      </c>
      <c r="G434" s="17">
        <v>90000</v>
      </c>
      <c r="H434" s="17">
        <v>85000</v>
      </c>
      <c r="I434" s="18">
        <v>0.21</v>
      </c>
      <c r="J434" s="14">
        <f t="shared" si="0"/>
        <v>17</v>
      </c>
      <c r="K434" s="15" t="str">
        <f t="shared" si="1"/>
        <v>Exceeds Target</v>
      </c>
    </row>
    <row r="435" spans="2:11" ht="15" customHeight="1">
      <c r="B435" t="s">
        <v>255</v>
      </c>
      <c r="C435" t="s">
        <v>722</v>
      </c>
      <c r="D435" t="s">
        <v>26</v>
      </c>
      <c r="E435" t="s">
        <v>27</v>
      </c>
      <c r="F435" s="17">
        <v>5000</v>
      </c>
      <c r="G435" s="17">
        <v>120000</v>
      </c>
      <c r="H435" s="17">
        <v>115000</v>
      </c>
      <c r="I435" s="18">
        <v>0.26</v>
      </c>
      <c r="J435" s="14">
        <f t="shared" si="0"/>
        <v>23</v>
      </c>
      <c r="K435" s="15" t="str">
        <f t="shared" si="1"/>
        <v>Exceeds Target</v>
      </c>
    </row>
    <row r="436" spans="2:11" ht="15" customHeight="1">
      <c r="B436" t="s">
        <v>352</v>
      </c>
      <c r="C436" t="s">
        <v>723</v>
      </c>
      <c r="D436" t="s">
        <v>35</v>
      </c>
      <c r="E436" t="s">
        <v>27</v>
      </c>
      <c r="F436" s="17">
        <v>3000</v>
      </c>
      <c r="G436" s="17">
        <v>120000</v>
      </c>
      <c r="H436" s="17">
        <v>117000</v>
      </c>
      <c r="I436" s="18">
        <v>0.57999999999999996</v>
      </c>
      <c r="J436" s="14">
        <f t="shared" si="0"/>
        <v>39</v>
      </c>
      <c r="K436" s="15" t="str">
        <f t="shared" si="1"/>
        <v>Exceeds Target</v>
      </c>
    </row>
    <row r="437" spans="2:11" ht="15" customHeight="1">
      <c r="B437" t="s">
        <v>188</v>
      </c>
      <c r="C437" t="s">
        <v>724</v>
      </c>
      <c r="D437" t="s">
        <v>35</v>
      </c>
      <c r="E437" t="s">
        <v>27</v>
      </c>
      <c r="F437" s="17">
        <v>3000</v>
      </c>
      <c r="G437" s="17">
        <v>200000</v>
      </c>
      <c r="H437" s="17">
        <v>197000</v>
      </c>
      <c r="I437" s="18">
        <v>0.79</v>
      </c>
      <c r="J437" s="14">
        <f t="shared" si="0"/>
        <v>65.666666666666671</v>
      </c>
      <c r="K437" s="15" t="str">
        <f t="shared" si="1"/>
        <v>Exceeds Target</v>
      </c>
    </row>
    <row r="438" spans="2:11" ht="15" customHeight="1">
      <c r="B438" t="s">
        <v>153</v>
      </c>
      <c r="C438" t="s">
        <v>725</v>
      </c>
      <c r="D438" t="s">
        <v>69</v>
      </c>
      <c r="E438" t="s">
        <v>70</v>
      </c>
      <c r="F438" s="17">
        <v>1000</v>
      </c>
      <c r="G438" s="17">
        <v>45000</v>
      </c>
      <c r="H438" s="17">
        <v>44000</v>
      </c>
      <c r="I438" s="18">
        <v>0.93</v>
      </c>
      <c r="J438" s="14">
        <f t="shared" si="0"/>
        <v>44</v>
      </c>
      <c r="K438" s="15" t="str">
        <f t="shared" si="1"/>
        <v>Exceeds Target</v>
      </c>
    </row>
    <row r="439" spans="2:11" ht="15" customHeight="1">
      <c r="B439" t="s">
        <v>598</v>
      </c>
      <c r="C439" t="s">
        <v>726</v>
      </c>
      <c r="D439" t="s">
        <v>26</v>
      </c>
      <c r="E439" t="s">
        <v>27</v>
      </c>
      <c r="F439" s="17">
        <v>5000</v>
      </c>
      <c r="G439" s="17">
        <v>30000</v>
      </c>
      <c r="H439" s="17">
        <v>25000</v>
      </c>
      <c r="I439" s="18">
        <v>0.2</v>
      </c>
      <c r="J439" s="14">
        <f t="shared" si="0"/>
        <v>5</v>
      </c>
      <c r="K439" s="15" t="str">
        <f t="shared" si="1"/>
        <v>Exceeds Target</v>
      </c>
    </row>
    <row r="440" spans="2:11" ht="15" customHeight="1">
      <c r="B440" t="s">
        <v>40</v>
      </c>
      <c r="C440" t="s">
        <v>727</v>
      </c>
      <c r="D440" t="s">
        <v>69</v>
      </c>
      <c r="E440" t="s">
        <v>70</v>
      </c>
      <c r="F440" s="17">
        <v>1000</v>
      </c>
      <c r="G440" s="17">
        <v>80000</v>
      </c>
      <c r="H440" s="17">
        <v>79000</v>
      </c>
      <c r="I440" s="18">
        <v>0.89</v>
      </c>
      <c r="J440" s="14">
        <f t="shared" si="0"/>
        <v>79</v>
      </c>
      <c r="K440" s="15" t="str">
        <f t="shared" si="1"/>
        <v>Exceeds Target</v>
      </c>
    </row>
    <row r="441" spans="2:11" ht="15" customHeight="1">
      <c r="B441" t="s">
        <v>105</v>
      </c>
      <c r="C441" t="s">
        <v>728</v>
      </c>
      <c r="D441" t="s">
        <v>26</v>
      </c>
      <c r="E441" t="s">
        <v>27</v>
      </c>
      <c r="F441" s="17">
        <v>5000</v>
      </c>
      <c r="G441" s="17">
        <v>150000</v>
      </c>
      <c r="H441" s="17">
        <v>145000</v>
      </c>
      <c r="I441" s="18">
        <v>0.09</v>
      </c>
      <c r="J441" s="14">
        <f t="shared" si="0"/>
        <v>29</v>
      </c>
      <c r="K441" s="15" t="str">
        <f t="shared" si="1"/>
        <v>Exceeds Target</v>
      </c>
    </row>
    <row r="442" spans="2:11" ht="15" customHeight="1">
      <c r="B442" t="s">
        <v>257</v>
      </c>
      <c r="C442" t="s">
        <v>729</v>
      </c>
      <c r="D442" t="s">
        <v>35</v>
      </c>
      <c r="E442" t="s">
        <v>27</v>
      </c>
      <c r="F442" s="17">
        <v>3000</v>
      </c>
      <c r="G442" s="17">
        <v>80000</v>
      </c>
      <c r="H442" s="17">
        <v>77000</v>
      </c>
      <c r="I442" s="18">
        <v>0.39</v>
      </c>
      <c r="J442" s="14">
        <f t="shared" si="0"/>
        <v>25.666666666666668</v>
      </c>
      <c r="K442" s="15" t="str">
        <f t="shared" si="1"/>
        <v>Exceeds Target</v>
      </c>
    </row>
    <row r="443" spans="2:11" ht="15" customHeight="1">
      <c r="B443" t="s">
        <v>730</v>
      </c>
      <c r="C443" t="s">
        <v>731</v>
      </c>
      <c r="D443" t="s">
        <v>26</v>
      </c>
      <c r="E443" t="s">
        <v>27</v>
      </c>
      <c r="F443" s="17">
        <v>5000</v>
      </c>
      <c r="G443" s="17">
        <v>60000</v>
      </c>
      <c r="H443" s="17">
        <v>55000</v>
      </c>
      <c r="I443" s="18">
        <v>0.12</v>
      </c>
      <c r="J443" s="14">
        <f t="shared" si="0"/>
        <v>11</v>
      </c>
      <c r="K443" s="15" t="str">
        <f t="shared" si="1"/>
        <v>Exceeds Target</v>
      </c>
    </row>
    <row r="444" spans="2:11" ht="15" customHeight="1">
      <c r="B444" t="s">
        <v>491</v>
      </c>
      <c r="C444" t="s">
        <v>732</v>
      </c>
      <c r="D444" t="s">
        <v>69</v>
      </c>
      <c r="E444" t="s">
        <v>70</v>
      </c>
      <c r="F444" s="17">
        <v>1000</v>
      </c>
      <c r="G444" s="17">
        <v>125000</v>
      </c>
      <c r="H444" s="17">
        <v>124000</v>
      </c>
      <c r="I444" s="18">
        <v>0.33</v>
      </c>
      <c r="J444" s="14">
        <f t="shared" si="0"/>
        <v>124</v>
      </c>
      <c r="K444" s="15" t="str">
        <f t="shared" si="1"/>
        <v>Exceeds Target</v>
      </c>
    </row>
    <row r="445" spans="2:11" ht="15" customHeight="1">
      <c r="B445" t="s">
        <v>169</v>
      </c>
      <c r="C445" t="s">
        <v>733</v>
      </c>
      <c r="D445" t="s">
        <v>80</v>
      </c>
      <c r="E445" t="s">
        <v>27</v>
      </c>
      <c r="F445" s="17">
        <v>1000</v>
      </c>
      <c r="G445" s="17">
        <v>81000</v>
      </c>
      <c r="H445" s="17">
        <v>80000</v>
      </c>
      <c r="I445" s="18">
        <v>0.93</v>
      </c>
      <c r="J445" s="14">
        <f t="shared" si="0"/>
        <v>80</v>
      </c>
      <c r="K445" s="15" t="str">
        <f t="shared" si="1"/>
        <v>Exceeds Target</v>
      </c>
    </row>
    <row r="446" spans="2:11" ht="15" customHeight="1">
      <c r="B446" t="s">
        <v>734</v>
      </c>
      <c r="C446" t="s">
        <v>735</v>
      </c>
      <c r="D446" t="s">
        <v>26</v>
      </c>
      <c r="E446" t="s">
        <v>27</v>
      </c>
      <c r="F446" s="17">
        <v>5000</v>
      </c>
      <c r="G446" s="17">
        <v>120000</v>
      </c>
      <c r="H446" s="17">
        <v>115000</v>
      </c>
      <c r="I446" s="18">
        <v>0.11</v>
      </c>
      <c r="J446" s="14">
        <f t="shared" si="0"/>
        <v>23</v>
      </c>
      <c r="K446" s="15" t="str">
        <f t="shared" si="1"/>
        <v>Exceeds Target</v>
      </c>
    </row>
    <row r="447" spans="2:11" ht="15" customHeight="1">
      <c r="B447" t="s">
        <v>736</v>
      </c>
      <c r="C447" t="s">
        <v>737</v>
      </c>
      <c r="D447" t="s">
        <v>32</v>
      </c>
      <c r="E447" t="s">
        <v>27</v>
      </c>
      <c r="F447" s="17">
        <v>1500</v>
      </c>
      <c r="G447" s="17">
        <v>52000</v>
      </c>
      <c r="H447" s="17">
        <v>50500</v>
      </c>
      <c r="I447" s="18">
        <v>0.5</v>
      </c>
      <c r="J447" s="14">
        <f t="shared" si="0"/>
        <v>33.666666666666664</v>
      </c>
      <c r="K447" s="15" t="str">
        <f t="shared" si="1"/>
        <v>Exceeds Target</v>
      </c>
    </row>
    <row r="448" spans="2:11" ht="15" customHeight="1">
      <c r="B448" t="s">
        <v>137</v>
      </c>
      <c r="C448" t="s">
        <v>738</v>
      </c>
      <c r="D448" t="s">
        <v>69</v>
      </c>
      <c r="E448" t="s">
        <v>70</v>
      </c>
      <c r="F448" s="17">
        <v>1000</v>
      </c>
      <c r="G448" s="17">
        <v>55000</v>
      </c>
      <c r="H448" s="17">
        <v>54000</v>
      </c>
      <c r="I448" s="18">
        <v>0.53</v>
      </c>
      <c r="J448" s="14">
        <f t="shared" si="0"/>
        <v>54</v>
      </c>
      <c r="K448" s="15" t="str">
        <f t="shared" si="1"/>
        <v>Exceeds Target</v>
      </c>
    </row>
    <row r="449" spans="2:11" ht="15" customHeight="1">
      <c r="B449" t="s">
        <v>277</v>
      </c>
      <c r="C449" t="s">
        <v>739</v>
      </c>
      <c r="D449" t="s">
        <v>69</v>
      </c>
      <c r="E449" t="s">
        <v>70</v>
      </c>
      <c r="F449" s="17">
        <v>1000</v>
      </c>
      <c r="G449" s="17">
        <v>80000</v>
      </c>
      <c r="H449" s="17">
        <v>79000</v>
      </c>
      <c r="I449" s="18">
        <v>0.54</v>
      </c>
      <c r="J449" s="14">
        <f t="shared" si="0"/>
        <v>79</v>
      </c>
      <c r="K449" s="15" t="str">
        <f t="shared" si="1"/>
        <v>Exceeds Target</v>
      </c>
    </row>
    <row r="450" spans="2:11" ht="15" customHeight="1">
      <c r="B450" t="s">
        <v>244</v>
      </c>
      <c r="C450" t="s">
        <v>740</v>
      </c>
      <c r="D450" t="s">
        <v>35</v>
      </c>
      <c r="E450" t="s">
        <v>27</v>
      </c>
      <c r="F450" s="17">
        <v>3000</v>
      </c>
      <c r="G450" s="17">
        <v>90000</v>
      </c>
      <c r="H450" s="17">
        <v>87000</v>
      </c>
      <c r="I450" s="18">
        <v>0.49</v>
      </c>
      <c r="J450" s="14">
        <f t="shared" si="0"/>
        <v>29</v>
      </c>
      <c r="K450" s="15" t="str">
        <f t="shared" si="1"/>
        <v>Exceeds Target</v>
      </c>
    </row>
    <row r="451" spans="2:11" ht="15" customHeight="1">
      <c r="B451" t="s">
        <v>426</v>
      </c>
      <c r="C451" t="s">
        <v>741</v>
      </c>
      <c r="D451" t="s">
        <v>69</v>
      </c>
      <c r="E451" t="s">
        <v>70</v>
      </c>
      <c r="F451" s="17">
        <v>1000</v>
      </c>
      <c r="G451" s="17">
        <v>135000</v>
      </c>
      <c r="H451" s="17">
        <v>134000</v>
      </c>
      <c r="I451" s="18">
        <v>0.78</v>
      </c>
      <c r="J451" s="14">
        <f t="shared" si="0"/>
        <v>134</v>
      </c>
      <c r="K451" s="15" t="str">
        <f t="shared" si="1"/>
        <v>Exceeds Target</v>
      </c>
    </row>
    <row r="452" spans="2:11" ht="15" customHeight="1">
      <c r="B452" t="s">
        <v>121</v>
      </c>
      <c r="C452" t="s">
        <v>742</v>
      </c>
      <c r="D452" t="s">
        <v>32</v>
      </c>
      <c r="E452" t="s">
        <v>27</v>
      </c>
      <c r="F452" s="17">
        <v>1500</v>
      </c>
      <c r="G452" s="17">
        <v>60000</v>
      </c>
      <c r="H452" s="17">
        <v>58500</v>
      </c>
      <c r="I452" s="18">
        <v>0.47</v>
      </c>
      <c r="J452" s="14">
        <f t="shared" si="0"/>
        <v>39</v>
      </c>
      <c r="K452" s="15" t="str">
        <f t="shared" si="1"/>
        <v>Exceeds Target</v>
      </c>
    </row>
    <row r="453" spans="2:11" ht="15" customHeight="1">
      <c r="B453" t="s">
        <v>743</v>
      </c>
      <c r="C453" t="s">
        <v>744</v>
      </c>
      <c r="D453" t="s">
        <v>32</v>
      </c>
      <c r="E453" t="s">
        <v>27</v>
      </c>
      <c r="F453" s="17">
        <v>1500</v>
      </c>
      <c r="G453" s="17">
        <v>28000</v>
      </c>
      <c r="H453" s="17">
        <v>26500</v>
      </c>
      <c r="I453" s="18">
        <v>0.79</v>
      </c>
      <c r="J453" s="14">
        <f t="shared" si="0"/>
        <v>17.666666666666668</v>
      </c>
      <c r="K453" s="15" t="str">
        <f t="shared" si="1"/>
        <v>Exceeds Target</v>
      </c>
    </row>
    <row r="454" spans="2:11" ht="15" customHeight="1">
      <c r="B454" t="s">
        <v>127</v>
      </c>
      <c r="C454" t="s">
        <v>745</v>
      </c>
      <c r="D454" t="s">
        <v>26</v>
      </c>
      <c r="E454" t="s">
        <v>27</v>
      </c>
      <c r="F454" s="17">
        <v>5000</v>
      </c>
      <c r="G454" s="17">
        <v>60000</v>
      </c>
      <c r="H454" s="17">
        <v>55000</v>
      </c>
      <c r="I454" s="18">
        <v>0.14000000000000001</v>
      </c>
      <c r="J454" s="14">
        <f t="shared" si="0"/>
        <v>11</v>
      </c>
      <c r="K454" s="15" t="str">
        <f t="shared" si="1"/>
        <v>Exceeds Target</v>
      </c>
    </row>
    <row r="455" spans="2:11" ht="15" customHeight="1">
      <c r="B455" t="s">
        <v>746</v>
      </c>
      <c r="C455" t="s">
        <v>747</v>
      </c>
      <c r="D455" t="s">
        <v>32</v>
      </c>
      <c r="E455" t="s">
        <v>27</v>
      </c>
      <c r="F455" s="17">
        <v>1500</v>
      </c>
      <c r="G455" s="17">
        <v>32000</v>
      </c>
      <c r="H455" s="17">
        <v>30500</v>
      </c>
      <c r="I455" s="18">
        <v>0.28999999999999998</v>
      </c>
      <c r="J455" s="14">
        <f t="shared" si="0"/>
        <v>20.333333333333332</v>
      </c>
      <c r="K455" s="15" t="str">
        <f t="shared" si="1"/>
        <v>Exceeds Target</v>
      </c>
    </row>
    <row r="456" spans="2:11" ht="15" customHeight="1">
      <c r="B456" t="s">
        <v>475</v>
      </c>
      <c r="C456" t="s">
        <v>748</v>
      </c>
      <c r="D456" t="s">
        <v>32</v>
      </c>
      <c r="E456" t="s">
        <v>27</v>
      </c>
      <c r="F456" s="17">
        <v>1500</v>
      </c>
      <c r="G456" s="17">
        <v>58000</v>
      </c>
      <c r="H456" s="17">
        <v>56500</v>
      </c>
      <c r="I456" s="18">
        <v>0.28999999999999998</v>
      </c>
      <c r="J456" s="14">
        <f t="shared" si="0"/>
        <v>37.666666666666664</v>
      </c>
      <c r="K456" s="15" t="str">
        <f t="shared" si="1"/>
        <v>Exceeds Target</v>
      </c>
    </row>
    <row r="457" spans="2:11" ht="15" customHeight="1">
      <c r="B457" t="s">
        <v>24</v>
      </c>
      <c r="C457" t="s">
        <v>749</v>
      </c>
      <c r="D457" t="s">
        <v>80</v>
      </c>
      <c r="E457" t="s">
        <v>27</v>
      </c>
      <c r="F457" s="17">
        <v>1000</v>
      </c>
      <c r="G457" s="17">
        <v>60000</v>
      </c>
      <c r="H457" s="17">
        <v>59000</v>
      </c>
      <c r="I457" s="18">
        <v>0.72</v>
      </c>
      <c r="J457" s="14">
        <f t="shared" si="0"/>
        <v>59</v>
      </c>
      <c r="K457" s="15" t="str">
        <f t="shared" si="1"/>
        <v>Exceeds Target</v>
      </c>
    </row>
    <row r="458" spans="2:11" ht="15" customHeight="1">
      <c r="B458" t="s">
        <v>192</v>
      </c>
      <c r="C458" t="s">
        <v>750</v>
      </c>
      <c r="D458" t="s">
        <v>32</v>
      </c>
      <c r="E458" t="s">
        <v>27</v>
      </c>
      <c r="F458" s="17">
        <v>1500</v>
      </c>
      <c r="G458" s="17">
        <v>50000</v>
      </c>
      <c r="H458" s="17">
        <v>48500</v>
      </c>
      <c r="I458" s="18">
        <v>0.42</v>
      </c>
      <c r="J458" s="14">
        <f t="shared" si="0"/>
        <v>32.333333333333336</v>
      </c>
      <c r="K458" s="15" t="str">
        <f t="shared" si="1"/>
        <v>Exceeds Target</v>
      </c>
    </row>
    <row r="459" spans="2:11" ht="15" customHeight="1">
      <c r="B459" t="s">
        <v>183</v>
      </c>
      <c r="C459" t="s">
        <v>751</v>
      </c>
      <c r="D459" t="s">
        <v>35</v>
      </c>
      <c r="E459" t="s">
        <v>27</v>
      </c>
      <c r="F459" s="17">
        <v>3000</v>
      </c>
      <c r="G459" s="17">
        <v>250000</v>
      </c>
      <c r="H459" s="17">
        <v>247000</v>
      </c>
      <c r="I459" s="18">
        <v>0.37</v>
      </c>
      <c r="J459" s="14">
        <f t="shared" si="0"/>
        <v>82.333333333333329</v>
      </c>
      <c r="K459" s="15" t="str">
        <f t="shared" si="1"/>
        <v>Exceeds Target</v>
      </c>
    </row>
    <row r="460" spans="2:11" ht="15" customHeight="1">
      <c r="B460" t="s">
        <v>386</v>
      </c>
      <c r="C460" t="s">
        <v>752</v>
      </c>
      <c r="D460" t="s">
        <v>26</v>
      </c>
      <c r="E460" t="s">
        <v>27</v>
      </c>
      <c r="F460" s="17">
        <v>5000</v>
      </c>
      <c r="G460" s="17">
        <v>120000</v>
      </c>
      <c r="H460" s="17">
        <v>115000</v>
      </c>
      <c r="I460" s="18">
        <v>0.13</v>
      </c>
      <c r="J460" s="14">
        <f t="shared" si="0"/>
        <v>23</v>
      </c>
      <c r="K460" s="15" t="str">
        <f t="shared" si="1"/>
        <v>Exceeds Target</v>
      </c>
    </row>
    <row r="461" spans="2:11" ht="15" customHeight="1">
      <c r="B461" t="s">
        <v>439</v>
      </c>
      <c r="C461" t="s">
        <v>753</v>
      </c>
      <c r="D461" t="s">
        <v>26</v>
      </c>
      <c r="E461" t="s">
        <v>27</v>
      </c>
      <c r="F461" s="17">
        <v>5000</v>
      </c>
      <c r="G461" s="17">
        <v>90000</v>
      </c>
      <c r="H461" s="17">
        <v>85000</v>
      </c>
      <c r="I461" s="18">
        <v>0.18</v>
      </c>
      <c r="J461" s="14">
        <f t="shared" si="0"/>
        <v>17</v>
      </c>
      <c r="K461" s="15" t="str">
        <f t="shared" si="1"/>
        <v>Exceeds Target</v>
      </c>
    </row>
    <row r="462" spans="2:11" ht="15" customHeight="1">
      <c r="B462" t="s">
        <v>754</v>
      </c>
      <c r="C462" t="s">
        <v>755</v>
      </c>
      <c r="D462" t="s">
        <v>32</v>
      </c>
      <c r="E462" t="s">
        <v>27</v>
      </c>
      <c r="F462" s="17">
        <v>1500</v>
      </c>
      <c r="G462" s="17">
        <v>38000</v>
      </c>
      <c r="H462" s="17">
        <v>36500</v>
      </c>
      <c r="I462" s="18">
        <v>0.75</v>
      </c>
      <c r="J462" s="14">
        <f t="shared" si="0"/>
        <v>24.333333333333332</v>
      </c>
      <c r="K462" s="15" t="str">
        <f t="shared" si="1"/>
        <v>Exceeds Target</v>
      </c>
    </row>
    <row r="463" spans="2:11" ht="15" customHeight="1">
      <c r="B463" t="s">
        <v>325</v>
      </c>
      <c r="C463" t="s">
        <v>756</v>
      </c>
      <c r="D463" t="s">
        <v>32</v>
      </c>
      <c r="E463" t="s">
        <v>27</v>
      </c>
      <c r="F463" s="17">
        <v>1500</v>
      </c>
      <c r="G463" s="17">
        <v>16000</v>
      </c>
      <c r="H463" s="17">
        <v>14500</v>
      </c>
      <c r="I463" s="18">
        <v>0.48</v>
      </c>
      <c r="J463" s="14">
        <f t="shared" si="0"/>
        <v>9.6666666666666661</v>
      </c>
      <c r="K463" s="15" t="str">
        <f t="shared" si="1"/>
        <v>Exceeds Target</v>
      </c>
    </row>
    <row r="464" spans="2:11" ht="15" customHeight="1">
      <c r="B464" t="s">
        <v>465</v>
      </c>
      <c r="C464" t="s">
        <v>757</v>
      </c>
      <c r="D464" t="s">
        <v>32</v>
      </c>
      <c r="E464" t="s">
        <v>27</v>
      </c>
      <c r="F464" s="17">
        <v>1500</v>
      </c>
      <c r="G464" s="17">
        <v>52000</v>
      </c>
      <c r="H464" s="17">
        <v>50500</v>
      </c>
      <c r="I464" s="18">
        <v>0.55000000000000004</v>
      </c>
      <c r="J464" s="14">
        <f t="shared" si="0"/>
        <v>33.666666666666664</v>
      </c>
      <c r="K464" s="15" t="str">
        <f t="shared" si="1"/>
        <v>Exceeds Target</v>
      </c>
    </row>
    <row r="465" spans="2:11" ht="15" customHeight="1">
      <c r="B465" t="s">
        <v>244</v>
      </c>
      <c r="C465" t="s">
        <v>758</v>
      </c>
      <c r="D465" t="s">
        <v>35</v>
      </c>
      <c r="E465" t="s">
        <v>27</v>
      </c>
      <c r="F465" s="17">
        <v>3000</v>
      </c>
      <c r="G465" s="17">
        <v>130000</v>
      </c>
      <c r="H465" s="17">
        <v>127000</v>
      </c>
      <c r="I465" s="18">
        <v>0.55000000000000004</v>
      </c>
      <c r="J465" s="14">
        <f t="shared" si="0"/>
        <v>42.333333333333336</v>
      </c>
      <c r="K465" s="15" t="str">
        <f t="shared" si="1"/>
        <v>Exceeds Target</v>
      </c>
    </row>
    <row r="466" spans="2:11" ht="15" customHeight="1">
      <c r="B466" t="s">
        <v>212</v>
      </c>
      <c r="C466" t="s">
        <v>759</v>
      </c>
      <c r="D466" t="s">
        <v>80</v>
      </c>
      <c r="E466" t="s">
        <v>27</v>
      </c>
      <c r="F466" s="17">
        <v>1000</v>
      </c>
      <c r="G466" s="17">
        <v>66000</v>
      </c>
      <c r="H466" s="17">
        <v>65000</v>
      </c>
      <c r="I466" s="18">
        <v>0.64</v>
      </c>
      <c r="J466" s="14">
        <f t="shared" si="0"/>
        <v>65</v>
      </c>
      <c r="K466" s="15" t="str">
        <f t="shared" si="1"/>
        <v>Exceeds Target</v>
      </c>
    </row>
    <row r="467" spans="2:11" ht="15" customHeight="1">
      <c r="B467" t="s">
        <v>760</v>
      </c>
      <c r="C467" t="s">
        <v>761</v>
      </c>
      <c r="D467" t="s">
        <v>35</v>
      </c>
      <c r="E467" t="s">
        <v>27</v>
      </c>
      <c r="F467" s="17">
        <v>3000</v>
      </c>
      <c r="G467" s="17">
        <v>270000</v>
      </c>
      <c r="H467" s="17">
        <v>267000</v>
      </c>
      <c r="I467" s="18">
        <v>0.62</v>
      </c>
      <c r="J467" s="14">
        <f t="shared" si="0"/>
        <v>89</v>
      </c>
      <c r="K467" s="15" t="str">
        <f t="shared" si="1"/>
        <v>Exceeds Target</v>
      </c>
    </row>
    <row r="468" spans="2:11" ht="15" customHeight="1">
      <c r="B468" t="s">
        <v>762</v>
      </c>
      <c r="C468" t="s">
        <v>763</v>
      </c>
      <c r="D468" t="s">
        <v>69</v>
      </c>
      <c r="E468" t="s">
        <v>70</v>
      </c>
      <c r="F468" s="17">
        <v>1000</v>
      </c>
      <c r="G468" s="17">
        <v>130000</v>
      </c>
      <c r="H468" s="17">
        <v>129000</v>
      </c>
      <c r="I468" s="18">
        <v>0.42</v>
      </c>
      <c r="J468" s="14">
        <f t="shared" si="0"/>
        <v>129</v>
      </c>
      <c r="K468" s="15" t="str">
        <f t="shared" si="1"/>
        <v>Exceeds Target</v>
      </c>
    </row>
    <row r="469" spans="2:11" ht="15" customHeight="1">
      <c r="B469" t="s">
        <v>428</v>
      </c>
      <c r="C469" t="s">
        <v>764</v>
      </c>
      <c r="D469" t="s">
        <v>35</v>
      </c>
      <c r="E469" t="s">
        <v>27</v>
      </c>
      <c r="F469" s="17">
        <v>3000</v>
      </c>
      <c r="G469" s="17">
        <v>80000</v>
      </c>
      <c r="H469" s="17">
        <v>77000</v>
      </c>
      <c r="I469" s="18">
        <v>0.59</v>
      </c>
      <c r="J469" s="14">
        <f t="shared" si="0"/>
        <v>25.666666666666668</v>
      </c>
      <c r="K469" s="15" t="str">
        <f t="shared" si="1"/>
        <v>Exceeds Target</v>
      </c>
    </row>
    <row r="470" spans="2:11" ht="15" customHeight="1">
      <c r="B470" t="s">
        <v>765</v>
      </c>
      <c r="C470" t="s">
        <v>766</v>
      </c>
      <c r="D470" t="s">
        <v>80</v>
      </c>
      <c r="E470" t="s">
        <v>27</v>
      </c>
      <c r="F470" s="17">
        <v>1000</v>
      </c>
      <c r="G470" s="17">
        <v>78000</v>
      </c>
      <c r="H470" s="17">
        <v>77000</v>
      </c>
      <c r="I470" s="18">
        <v>0.66</v>
      </c>
      <c r="J470" s="14">
        <f t="shared" si="0"/>
        <v>77</v>
      </c>
      <c r="K470" s="15" t="str">
        <f t="shared" si="1"/>
        <v>Exceeds Target</v>
      </c>
    </row>
    <row r="471" spans="2:11" ht="15" customHeight="1">
      <c r="B471" t="s">
        <v>93</v>
      </c>
      <c r="C471" t="s">
        <v>767</v>
      </c>
      <c r="D471" t="s">
        <v>80</v>
      </c>
      <c r="E471" t="s">
        <v>27</v>
      </c>
      <c r="F471" s="17">
        <v>1000</v>
      </c>
      <c r="G471" s="17">
        <v>45000</v>
      </c>
      <c r="H471" s="17">
        <v>44000</v>
      </c>
      <c r="I471" s="18">
        <v>0.83</v>
      </c>
      <c r="J471" s="14">
        <f t="shared" si="0"/>
        <v>44</v>
      </c>
      <c r="K471" s="15" t="str">
        <f t="shared" si="1"/>
        <v>Exceeds Target</v>
      </c>
    </row>
    <row r="472" spans="2:11" ht="15" customHeight="1">
      <c r="B472" t="s">
        <v>99</v>
      </c>
      <c r="C472" t="s">
        <v>768</v>
      </c>
      <c r="D472" t="s">
        <v>26</v>
      </c>
      <c r="E472" t="s">
        <v>27</v>
      </c>
      <c r="F472" s="17">
        <v>5000</v>
      </c>
      <c r="G472" s="17">
        <v>90000</v>
      </c>
      <c r="H472" s="17">
        <v>85000</v>
      </c>
      <c r="I472" s="18">
        <v>7.0000000000000007E-2</v>
      </c>
      <c r="J472" s="14">
        <f t="shared" si="0"/>
        <v>17</v>
      </c>
      <c r="K472" s="15" t="str">
        <f t="shared" si="1"/>
        <v>Exceeds Target</v>
      </c>
    </row>
    <row r="473" spans="2:11" ht="15" customHeight="1">
      <c r="B473" t="s">
        <v>769</v>
      </c>
      <c r="C473" t="s">
        <v>770</v>
      </c>
      <c r="D473" t="s">
        <v>35</v>
      </c>
      <c r="E473" t="s">
        <v>27</v>
      </c>
      <c r="F473" s="17">
        <v>3000</v>
      </c>
      <c r="G473" s="17">
        <v>60000</v>
      </c>
      <c r="H473" s="17">
        <v>57000</v>
      </c>
      <c r="I473" s="18">
        <v>0.89</v>
      </c>
      <c r="J473" s="14">
        <f t="shared" si="0"/>
        <v>19</v>
      </c>
      <c r="K473" s="15" t="str">
        <f t="shared" si="1"/>
        <v>Exceeds Target</v>
      </c>
    </row>
    <row r="474" spans="2:11" ht="15" customHeight="1">
      <c r="B474" t="s">
        <v>553</v>
      </c>
      <c r="C474" t="s">
        <v>771</v>
      </c>
      <c r="D474" t="s">
        <v>80</v>
      </c>
      <c r="E474" t="s">
        <v>27</v>
      </c>
      <c r="F474" s="17">
        <v>1000</v>
      </c>
      <c r="G474" s="17">
        <v>90000</v>
      </c>
      <c r="H474" s="17">
        <v>89000</v>
      </c>
      <c r="I474" s="18">
        <v>0.77</v>
      </c>
      <c r="J474" s="14">
        <f t="shared" si="0"/>
        <v>89</v>
      </c>
      <c r="K474" s="15" t="str">
        <f t="shared" si="1"/>
        <v>Exceeds Target</v>
      </c>
    </row>
    <row r="475" spans="2:11" ht="15" customHeight="1">
      <c r="B475" t="s">
        <v>772</v>
      </c>
      <c r="C475" t="s">
        <v>773</v>
      </c>
      <c r="D475" t="s">
        <v>35</v>
      </c>
      <c r="E475" t="s">
        <v>27</v>
      </c>
      <c r="F475" s="17">
        <v>3000</v>
      </c>
      <c r="G475" s="17">
        <v>280000</v>
      </c>
      <c r="H475" s="17">
        <v>277000</v>
      </c>
      <c r="I475" s="18">
        <v>0.78</v>
      </c>
      <c r="J475" s="14">
        <f t="shared" si="0"/>
        <v>92.333333333333329</v>
      </c>
      <c r="K475" s="15" t="str">
        <f t="shared" si="1"/>
        <v>Exceeds Target</v>
      </c>
    </row>
    <row r="476" spans="2:11" ht="15" customHeight="1">
      <c r="B476" t="s">
        <v>252</v>
      </c>
      <c r="C476" t="s">
        <v>774</v>
      </c>
      <c r="D476" t="s">
        <v>80</v>
      </c>
      <c r="E476" t="s">
        <v>27</v>
      </c>
      <c r="F476" s="17">
        <v>1000</v>
      </c>
      <c r="G476" s="17">
        <v>105000</v>
      </c>
      <c r="H476" s="17">
        <v>104000</v>
      </c>
      <c r="I476" s="18">
        <v>0.64</v>
      </c>
      <c r="J476" s="14">
        <f t="shared" si="0"/>
        <v>104</v>
      </c>
      <c r="K476" s="15" t="str">
        <f t="shared" si="1"/>
        <v>Exceeds Target</v>
      </c>
    </row>
    <row r="477" spans="2:11" ht="15" customHeight="1">
      <c r="B477" t="s">
        <v>401</v>
      </c>
      <c r="C477" t="s">
        <v>775</v>
      </c>
      <c r="D477" t="s">
        <v>26</v>
      </c>
      <c r="E477" t="s">
        <v>27</v>
      </c>
      <c r="F477" s="17">
        <v>5000</v>
      </c>
      <c r="G477" s="17">
        <v>120000</v>
      </c>
      <c r="H477" s="17">
        <v>115000</v>
      </c>
      <c r="I477" s="18">
        <v>0.04</v>
      </c>
      <c r="J477" s="14">
        <f t="shared" si="0"/>
        <v>23</v>
      </c>
      <c r="K477" s="15" t="str">
        <f t="shared" si="1"/>
        <v>Exceeds Target</v>
      </c>
    </row>
    <row r="478" spans="2:11" ht="15" customHeight="1">
      <c r="B478" t="s">
        <v>776</v>
      </c>
      <c r="C478" t="s">
        <v>777</v>
      </c>
      <c r="D478" t="s">
        <v>32</v>
      </c>
      <c r="E478" t="s">
        <v>27</v>
      </c>
      <c r="F478" s="17">
        <v>1500</v>
      </c>
      <c r="G478" s="17">
        <v>60000</v>
      </c>
      <c r="H478" s="17">
        <v>58500</v>
      </c>
      <c r="I478" s="18">
        <v>0.19</v>
      </c>
      <c r="J478" s="14">
        <f t="shared" si="0"/>
        <v>39</v>
      </c>
      <c r="K478" s="15" t="str">
        <f t="shared" si="1"/>
        <v>Exceeds Target</v>
      </c>
    </row>
    <row r="479" spans="2:11" ht="15" customHeight="1">
      <c r="B479" t="s">
        <v>317</v>
      </c>
      <c r="C479" t="s">
        <v>778</v>
      </c>
      <c r="D479" t="s">
        <v>80</v>
      </c>
      <c r="E479" t="s">
        <v>27</v>
      </c>
      <c r="F479" s="17">
        <v>1000</v>
      </c>
      <c r="G479" s="17">
        <v>60000</v>
      </c>
      <c r="H479" s="17">
        <v>59000</v>
      </c>
      <c r="I479" s="18">
        <v>0.92</v>
      </c>
      <c r="J479" s="14">
        <f t="shared" si="0"/>
        <v>59</v>
      </c>
      <c r="K479" s="15" t="str">
        <f t="shared" si="1"/>
        <v>Exceeds Target</v>
      </c>
    </row>
    <row r="480" spans="2:11" ht="15" customHeight="1">
      <c r="B480" t="s">
        <v>679</v>
      </c>
      <c r="C480" t="s">
        <v>779</v>
      </c>
      <c r="D480" t="s">
        <v>32</v>
      </c>
      <c r="E480" t="s">
        <v>27</v>
      </c>
      <c r="F480" s="17">
        <v>1500</v>
      </c>
      <c r="G480" s="17">
        <v>58000</v>
      </c>
      <c r="H480" s="17">
        <v>56500</v>
      </c>
      <c r="I480" s="18">
        <v>0.93</v>
      </c>
      <c r="J480" s="14">
        <f t="shared" si="0"/>
        <v>37.666666666666664</v>
      </c>
      <c r="K480" s="15" t="str">
        <f t="shared" si="1"/>
        <v>Exceeds Target</v>
      </c>
    </row>
    <row r="481" spans="2:11" ht="15" customHeight="1">
      <c r="B481" t="s">
        <v>430</v>
      </c>
      <c r="C481" t="s">
        <v>780</v>
      </c>
      <c r="D481" t="s">
        <v>26</v>
      </c>
      <c r="E481" t="s">
        <v>27</v>
      </c>
      <c r="F481" s="17">
        <v>5000</v>
      </c>
      <c r="G481" s="17">
        <v>150000</v>
      </c>
      <c r="H481" s="17">
        <v>145000</v>
      </c>
      <c r="I481" s="18">
        <v>0.28999999999999998</v>
      </c>
      <c r="J481" s="14">
        <f t="shared" si="0"/>
        <v>29</v>
      </c>
      <c r="K481" s="15" t="str">
        <f t="shared" si="1"/>
        <v>Exceeds Target</v>
      </c>
    </row>
    <row r="482" spans="2:11" ht="15" customHeight="1">
      <c r="B482" t="s">
        <v>551</v>
      </c>
      <c r="C482" t="s">
        <v>781</v>
      </c>
      <c r="D482" t="s">
        <v>32</v>
      </c>
      <c r="E482" t="s">
        <v>27</v>
      </c>
      <c r="F482" s="17">
        <v>1500</v>
      </c>
      <c r="G482" s="17">
        <v>48000</v>
      </c>
      <c r="H482" s="17">
        <v>46500</v>
      </c>
      <c r="I482" s="18">
        <v>0.69</v>
      </c>
      <c r="J482" s="14">
        <f t="shared" si="0"/>
        <v>31</v>
      </c>
      <c r="K482" s="15" t="str">
        <f t="shared" si="1"/>
        <v>Exceeds Target</v>
      </c>
    </row>
    <row r="483" spans="2:11" ht="15" customHeight="1">
      <c r="B483" t="s">
        <v>782</v>
      </c>
      <c r="C483" t="s">
        <v>783</v>
      </c>
      <c r="D483" t="s">
        <v>32</v>
      </c>
      <c r="E483" t="s">
        <v>27</v>
      </c>
      <c r="F483" s="17">
        <v>1500</v>
      </c>
      <c r="G483" s="17">
        <v>48000</v>
      </c>
      <c r="H483" s="17">
        <v>46500</v>
      </c>
      <c r="I483" s="18">
        <v>0.82</v>
      </c>
      <c r="J483" s="14">
        <f t="shared" si="0"/>
        <v>31</v>
      </c>
      <c r="K483" s="15" t="str">
        <f t="shared" si="1"/>
        <v>Exceeds Target</v>
      </c>
    </row>
    <row r="484" spans="2:11" ht="15" customHeight="1">
      <c r="B484" t="s">
        <v>63</v>
      </c>
      <c r="C484" t="s">
        <v>784</v>
      </c>
      <c r="D484" t="s">
        <v>69</v>
      </c>
      <c r="E484" t="s">
        <v>70</v>
      </c>
      <c r="F484" s="17">
        <v>1000</v>
      </c>
      <c r="G484" s="17">
        <v>140000</v>
      </c>
      <c r="H484" s="17">
        <v>139000</v>
      </c>
      <c r="I484" s="18">
        <v>0.62</v>
      </c>
      <c r="J484" s="14">
        <f t="shared" si="0"/>
        <v>139</v>
      </c>
      <c r="K484" s="15" t="str">
        <f t="shared" si="1"/>
        <v>Exceeds Target</v>
      </c>
    </row>
    <row r="485" spans="2:11" ht="15" customHeight="1">
      <c r="B485" t="s">
        <v>347</v>
      </c>
      <c r="C485" t="s">
        <v>785</v>
      </c>
      <c r="D485" t="s">
        <v>80</v>
      </c>
      <c r="E485" t="s">
        <v>27</v>
      </c>
      <c r="F485" s="17">
        <v>1000</v>
      </c>
      <c r="G485" s="17">
        <v>81000</v>
      </c>
      <c r="H485" s="17">
        <v>80000</v>
      </c>
      <c r="I485" s="18">
        <v>0.91</v>
      </c>
      <c r="J485" s="14">
        <f t="shared" si="0"/>
        <v>80</v>
      </c>
      <c r="K485" s="15" t="str">
        <f t="shared" si="1"/>
        <v>Exceeds Target</v>
      </c>
    </row>
    <row r="486" spans="2:11" ht="15" customHeight="1">
      <c r="B486" t="s">
        <v>356</v>
      </c>
      <c r="C486" t="s">
        <v>786</v>
      </c>
      <c r="D486" t="s">
        <v>26</v>
      </c>
      <c r="E486" t="s">
        <v>27</v>
      </c>
      <c r="F486" s="17">
        <v>5000</v>
      </c>
      <c r="G486" s="17">
        <v>150000</v>
      </c>
      <c r="H486" s="17">
        <v>145000</v>
      </c>
      <c r="I486" s="18">
        <v>0.24</v>
      </c>
      <c r="J486" s="14">
        <f t="shared" si="0"/>
        <v>29</v>
      </c>
      <c r="K486" s="15" t="str">
        <f t="shared" si="1"/>
        <v>Exceeds Target</v>
      </c>
    </row>
    <row r="487" spans="2:11" ht="15" customHeight="1">
      <c r="B487" t="s">
        <v>787</v>
      </c>
      <c r="C487" t="s">
        <v>788</v>
      </c>
      <c r="D487" t="s">
        <v>69</v>
      </c>
      <c r="E487" t="s">
        <v>70</v>
      </c>
      <c r="F487" s="17">
        <v>1000</v>
      </c>
      <c r="G487" s="17">
        <v>95000</v>
      </c>
      <c r="H487" s="17">
        <v>94000</v>
      </c>
      <c r="I487" s="18">
        <v>0.67</v>
      </c>
      <c r="J487" s="14">
        <f t="shared" si="0"/>
        <v>94</v>
      </c>
      <c r="K487" s="15" t="str">
        <f t="shared" si="1"/>
        <v>Exceeds Target</v>
      </c>
    </row>
    <row r="488" spans="2:11" ht="15" customHeight="1">
      <c r="B488" t="s">
        <v>141</v>
      </c>
      <c r="C488" t="s">
        <v>789</v>
      </c>
      <c r="D488" t="s">
        <v>32</v>
      </c>
      <c r="E488" t="s">
        <v>27</v>
      </c>
      <c r="F488" s="17">
        <v>1500</v>
      </c>
      <c r="G488" s="17">
        <v>46000</v>
      </c>
      <c r="H488" s="17">
        <v>44500</v>
      </c>
      <c r="I488" s="18">
        <v>0.53</v>
      </c>
      <c r="J488" s="14">
        <f t="shared" si="0"/>
        <v>29.666666666666668</v>
      </c>
      <c r="K488" s="15" t="str">
        <f t="shared" si="1"/>
        <v>Exceeds Target</v>
      </c>
    </row>
    <row r="489" spans="2:11" ht="15" customHeight="1">
      <c r="B489" t="s">
        <v>574</v>
      </c>
      <c r="C489" t="s">
        <v>790</v>
      </c>
      <c r="D489" t="s">
        <v>80</v>
      </c>
      <c r="E489" t="s">
        <v>27</v>
      </c>
      <c r="F489" s="17">
        <v>1000</v>
      </c>
      <c r="G489" s="17">
        <v>45000</v>
      </c>
      <c r="H489" s="17">
        <v>44000</v>
      </c>
      <c r="I489" s="18">
        <v>0.78</v>
      </c>
      <c r="J489" s="14">
        <f t="shared" si="0"/>
        <v>44</v>
      </c>
      <c r="K489" s="15" t="str">
        <f t="shared" si="1"/>
        <v>Exceeds Target</v>
      </c>
    </row>
    <row r="490" spans="2:11" ht="15" customHeight="1">
      <c r="B490" t="s">
        <v>446</v>
      </c>
      <c r="C490" t="s">
        <v>791</v>
      </c>
      <c r="D490" t="s">
        <v>32</v>
      </c>
      <c r="E490" t="s">
        <v>27</v>
      </c>
      <c r="F490" s="17">
        <v>1500</v>
      </c>
      <c r="G490" s="17">
        <v>48000</v>
      </c>
      <c r="H490" s="17">
        <v>46500</v>
      </c>
      <c r="I490" s="18">
        <v>0.66</v>
      </c>
      <c r="J490" s="14">
        <f t="shared" si="0"/>
        <v>31</v>
      </c>
      <c r="K490" s="15" t="str">
        <f t="shared" si="1"/>
        <v>Exceeds Target</v>
      </c>
    </row>
    <row r="491" spans="2:11" ht="15" customHeight="1">
      <c r="B491" t="s">
        <v>792</v>
      </c>
      <c r="C491" t="s">
        <v>793</v>
      </c>
      <c r="D491" t="s">
        <v>35</v>
      </c>
      <c r="E491" t="s">
        <v>27</v>
      </c>
      <c r="F491" s="17">
        <v>3000</v>
      </c>
      <c r="G491" s="17">
        <v>60000</v>
      </c>
      <c r="H491" s="17">
        <v>57000</v>
      </c>
      <c r="I491" s="18">
        <v>0.32</v>
      </c>
      <c r="J491" s="14">
        <f t="shared" si="0"/>
        <v>19</v>
      </c>
      <c r="K491" s="15" t="str">
        <f t="shared" si="1"/>
        <v>Exceeds Target</v>
      </c>
    </row>
    <row r="492" spans="2:11" ht="15" customHeight="1">
      <c r="B492" t="s">
        <v>794</v>
      </c>
      <c r="C492" t="s">
        <v>795</v>
      </c>
      <c r="D492" t="s">
        <v>26</v>
      </c>
      <c r="E492" t="s">
        <v>27</v>
      </c>
      <c r="F492" s="17">
        <v>5000</v>
      </c>
      <c r="G492" s="17">
        <v>60000</v>
      </c>
      <c r="H492" s="17">
        <v>55000</v>
      </c>
      <c r="I492" s="18">
        <v>0.1</v>
      </c>
      <c r="J492" s="14">
        <f t="shared" si="0"/>
        <v>11</v>
      </c>
      <c r="K492" s="15" t="str">
        <f t="shared" si="1"/>
        <v>Exceeds Target</v>
      </c>
    </row>
    <row r="493" spans="2:11" ht="15" customHeight="1">
      <c r="B493" t="s">
        <v>155</v>
      </c>
      <c r="C493" t="s">
        <v>796</v>
      </c>
      <c r="D493" t="s">
        <v>69</v>
      </c>
      <c r="E493" t="s">
        <v>70</v>
      </c>
      <c r="F493" s="17">
        <v>1000</v>
      </c>
      <c r="G493" s="17">
        <v>125000</v>
      </c>
      <c r="H493" s="17">
        <v>124000</v>
      </c>
      <c r="I493" s="18">
        <v>0.72</v>
      </c>
      <c r="J493" s="14">
        <f t="shared" si="0"/>
        <v>124</v>
      </c>
      <c r="K493" s="15" t="str">
        <f t="shared" si="1"/>
        <v>Exceeds Target</v>
      </c>
    </row>
    <row r="494" spans="2:11" ht="15" customHeight="1">
      <c r="B494" t="s">
        <v>263</v>
      </c>
      <c r="C494" t="s">
        <v>797</v>
      </c>
      <c r="D494" t="s">
        <v>69</v>
      </c>
      <c r="E494" t="s">
        <v>70</v>
      </c>
      <c r="F494" s="17">
        <v>1000</v>
      </c>
      <c r="G494" s="17">
        <v>115000</v>
      </c>
      <c r="H494" s="17">
        <v>114000</v>
      </c>
      <c r="I494" s="18">
        <v>0.21</v>
      </c>
      <c r="J494" s="14">
        <f t="shared" si="0"/>
        <v>114</v>
      </c>
      <c r="K494" s="15" t="str">
        <f t="shared" si="1"/>
        <v>Exceeds Target</v>
      </c>
    </row>
    <row r="495" spans="2:11" ht="15" customHeight="1">
      <c r="B495" t="s">
        <v>384</v>
      </c>
      <c r="C495" t="s">
        <v>798</v>
      </c>
      <c r="D495" t="s">
        <v>26</v>
      </c>
      <c r="E495" t="s">
        <v>27</v>
      </c>
      <c r="F495" s="17">
        <v>5000</v>
      </c>
      <c r="G495" s="17">
        <v>30000</v>
      </c>
      <c r="H495" s="17">
        <v>25000</v>
      </c>
      <c r="I495" s="18">
        <v>0.16</v>
      </c>
      <c r="J495" s="14">
        <f t="shared" si="0"/>
        <v>5</v>
      </c>
      <c r="K495" s="15" t="str">
        <f t="shared" si="1"/>
        <v>Exceeds Target</v>
      </c>
    </row>
    <row r="496" spans="2:11" ht="15" customHeight="1">
      <c r="B496" t="s">
        <v>494</v>
      </c>
      <c r="C496" t="s">
        <v>799</v>
      </c>
      <c r="D496" t="s">
        <v>80</v>
      </c>
      <c r="E496" t="s">
        <v>27</v>
      </c>
      <c r="F496" s="17">
        <v>1000</v>
      </c>
      <c r="G496" s="17">
        <v>78000</v>
      </c>
      <c r="H496" s="17">
        <v>77000</v>
      </c>
      <c r="I496" s="18">
        <v>0.8</v>
      </c>
      <c r="J496" s="14">
        <f t="shared" si="0"/>
        <v>77</v>
      </c>
      <c r="K496" s="15" t="str">
        <f t="shared" si="1"/>
        <v>Exceeds Target</v>
      </c>
    </row>
    <row r="497" spans="2:11" ht="15" customHeight="1">
      <c r="B497" t="s">
        <v>135</v>
      </c>
      <c r="C497" t="s">
        <v>800</v>
      </c>
      <c r="D497" t="s">
        <v>32</v>
      </c>
      <c r="E497" t="s">
        <v>27</v>
      </c>
      <c r="F497" s="17">
        <v>1500</v>
      </c>
      <c r="G497" s="17">
        <v>52000</v>
      </c>
      <c r="H497" s="17">
        <v>50500</v>
      </c>
      <c r="I497" s="18">
        <v>0.54</v>
      </c>
      <c r="J497" s="14">
        <f t="shared" si="0"/>
        <v>33.666666666666664</v>
      </c>
      <c r="K497" s="15" t="str">
        <f t="shared" si="1"/>
        <v>Exceeds Target</v>
      </c>
    </row>
    <row r="498" spans="2:11" ht="15" customHeight="1">
      <c r="B498" t="s">
        <v>267</v>
      </c>
      <c r="C498" t="s">
        <v>801</v>
      </c>
      <c r="D498" t="s">
        <v>35</v>
      </c>
      <c r="E498" t="s">
        <v>27</v>
      </c>
      <c r="F498" s="17">
        <v>3000</v>
      </c>
      <c r="G498" s="17">
        <v>250000</v>
      </c>
      <c r="H498" s="17">
        <v>247000</v>
      </c>
      <c r="I498" s="18">
        <v>0.81</v>
      </c>
      <c r="J498" s="14">
        <f t="shared" si="0"/>
        <v>82.333333333333329</v>
      </c>
      <c r="K498" s="15" t="str">
        <f t="shared" si="1"/>
        <v>Exceeds Target</v>
      </c>
    </row>
    <row r="499" spans="2:11" ht="15" customHeight="1">
      <c r="B499" t="s">
        <v>452</v>
      </c>
      <c r="C499" t="s">
        <v>802</v>
      </c>
      <c r="D499" t="s">
        <v>69</v>
      </c>
      <c r="E499" t="s">
        <v>70</v>
      </c>
      <c r="F499" s="17">
        <v>1000</v>
      </c>
      <c r="G499" s="17">
        <v>75000</v>
      </c>
      <c r="H499" s="17">
        <v>74000</v>
      </c>
      <c r="I499" s="18">
        <v>0.72</v>
      </c>
      <c r="J499" s="14">
        <f t="shared" si="0"/>
        <v>74</v>
      </c>
      <c r="K499" s="15" t="str">
        <f t="shared" si="1"/>
        <v>Exceeds Target</v>
      </c>
    </row>
    <row r="500" spans="2:11" ht="15" customHeight="1">
      <c r="B500" t="s">
        <v>119</v>
      </c>
      <c r="C500" t="s">
        <v>803</v>
      </c>
      <c r="D500" t="s">
        <v>35</v>
      </c>
      <c r="E500" t="s">
        <v>27</v>
      </c>
      <c r="F500" s="17">
        <v>3000</v>
      </c>
      <c r="G500" s="17">
        <v>90000</v>
      </c>
      <c r="H500" s="17">
        <v>87000</v>
      </c>
      <c r="I500" s="18">
        <v>0.32</v>
      </c>
      <c r="J500" s="14">
        <f t="shared" si="0"/>
        <v>29</v>
      </c>
      <c r="K500" s="15" t="str">
        <f t="shared" si="1"/>
        <v>Exceeds Target</v>
      </c>
    </row>
    <row r="501" spans="2:11" ht="15" customHeight="1">
      <c r="B501" t="s">
        <v>804</v>
      </c>
      <c r="C501" t="s">
        <v>805</v>
      </c>
      <c r="D501" t="s">
        <v>80</v>
      </c>
      <c r="E501" t="s">
        <v>27</v>
      </c>
      <c r="F501" s="17">
        <v>1000</v>
      </c>
      <c r="G501" s="17">
        <v>72000</v>
      </c>
      <c r="H501" s="17">
        <v>71000</v>
      </c>
      <c r="I501" s="18">
        <v>0.79</v>
      </c>
      <c r="J501" s="14">
        <f t="shared" si="0"/>
        <v>71</v>
      </c>
      <c r="K501" s="15" t="str">
        <f t="shared" si="1"/>
        <v>Exceeds Target</v>
      </c>
    </row>
    <row r="502" spans="2:11" ht="15" customHeight="1">
      <c r="B502" t="s">
        <v>165</v>
      </c>
      <c r="C502" t="s">
        <v>806</v>
      </c>
      <c r="D502" t="s">
        <v>69</v>
      </c>
      <c r="E502" t="s">
        <v>70</v>
      </c>
      <c r="F502" s="17">
        <v>1000</v>
      </c>
      <c r="G502" s="17">
        <v>60000</v>
      </c>
      <c r="H502" s="17">
        <v>59000</v>
      </c>
      <c r="I502" s="18">
        <v>0.9</v>
      </c>
      <c r="J502" s="14">
        <f t="shared" si="0"/>
        <v>59</v>
      </c>
      <c r="K502" s="15" t="str">
        <f t="shared" si="1"/>
        <v>Exceeds Target</v>
      </c>
    </row>
    <row r="503" spans="2:11" ht="15" customHeight="1">
      <c r="B503" t="s">
        <v>577</v>
      </c>
      <c r="C503" t="s">
        <v>807</v>
      </c>
      <c r="D503" t="s">
        <v>35</v>
      </c>
      <c r="E503" t="s">
        <v>27</v>
      </c>
      <c r="F503" s="17">
        <v>3000</v>
      </c>
      <c r="G503" s="17">
        <v>270000</v>
      </c>
      <c r="H503" s="17">
        <v>267000</v>
      </c>
      <c r="I503" s="18">
        <v>0.86</v>
      </c>
      <c r="J503" s="14">
        <f t="shared" si="0"/>
        <v>89</v>
      </c>
      <c r="K503" s="15" t="str">
        <f t="shared" si="1"/>
        <v>Exceeds Target</v>
      </c>
    </row>
    <row r="504" spans="2:11" ht="15" customHeight="1">
      <c r="B504" t="s">
        <v>81</v>
      </c>
      <c r="C504" t="s">
        <v>808</v>
      </c>
      <c r="D504" t="s">
        <v>32</v>
      </c>
      <c r="E504" t="s">
        <v>27</v>
      </c>
      <c r="F504" s="17">
        <v>1500</v>
      </c>
      <c r="G504" s="17">
        <v>54000</v>
      </c>
      <c r="H504" s="17">
        <v>52500</v>
      </c>
      <c r="I504" s="18">
        <v>0.38</v>
      </c>
      <c r="J504" s="14">
        <f t="shared" si="0"/>
        <v>35</v>
      </c>
      <c r="K504" s="15" t="str">
        <f t="shared" si="1"/>
        <v>Exceeds Target</v>
      </c>
    </row>
    <row r="505" spans="2:11" ht="15" customHeight="1">
      <c r="B505" t="s">
        <v>188</v>
      </c>
      <c r="C505" t="s">
        <v>809</v>
      </c>
      <c r="D505" t="s">
        <v>80</v>
      </c>
      <c r="E505" t="s">
        <v>27</v>
      </c>
      <c r="F505" s="17">
        <v>1000</v>
      </c>
      <c r="G505" s="17">
        <v>102000</v>
      </c>
      <c r="H505" s="17">
        <v>101000</v>
      </c>
      <c r="I505" s="18">
        <v>0.9</v>
      </c>
      <c r="J505" s="14">
        <f t="shared" si="0"/>
        <v>101</v>
      </c>
      <c r="K505" s="15" t="str">
        <f t="shared" si="1"/>
        <v>Exceeds Target</v>
      </c>
    </row>
    <row r="506" spans="2:11" ht="15" customHeight="1">
      <c r="B506" t="s">
        <v>810</v>
      </c>
      <c r="C506" t="s">
        <v>811</v>
      </c>
      <c r="D506" t="s">
        <v>35</v>
      </c>
      <c r="E506" t="s">
        <v>27</v>
      </c>
      <c r="F506" s="17">
        <v>3000</v>
      </c>
      <c r="G506" s="17">
        <v>260000</v>
      </c>
      <c r="H506" s="17">
        <v>257000</v>
      </c>
      <c r="I506" s="18">
        <v>0.71</v>
      </c>
      <c r="J506" s="14">
        <f t="shared" si="0"/>
        <v>85.666666666666671</v>
      </c>
      <c r="K506" s="15" t="str">
        <f t="shared" si="1"/>
        <v>Exceeds Target</v>
      </c>
    </row>
    <row r="507" spans="2:11" ht="15" customHeight="1">
      <c r="B507" t="s">
        <v>127</v>
      </c>
      <c r="C507" t="s">
        <v>812</v>
      </c>
      <c r="D507" t="s">
        <v>69</v>
      </c>
      <c r="E507" t="s">
        <v>70</v>
      </c>
      <c r="F507" s="17">
        <v>1000</v>
      </c>
      <c r="G507" s="17">
        <v>110000</v>
      </c>
      <c r="H507" s="17">
        <v>109000</v>
      </c>
      <c r="I507" s="18">
        <v>0.93</v>
      </c>
      <c r="J507" s="14">
        <f t="shared" si="0"/>
        <v>109</v>
      </c>
      <c r="K507" s="15" t="str">
        <f t="shared" si="1"/>
        <v>Exceeds Target</v>
      </c>
    </row>
    <row r="508" spans="2:11" ht="15" customHeight="1">
      <c r="B508" t="s">
        <v>557</v>
      </c>
      <c r="C508" t="s">
        <v>813</v>
      </c>
      <c r="D508" t="s">
        <v>32</v>
      </c>
      <c r="E508" t="s">
        <v>27</v>
      </c>
      <c r="F508" s="17">
        <v>1500</v>
      </c>
      <c r="G508" s="17">
        <v>16000</v>
      </c>
      <c r="H508" s="17">
        <v>14500</v>
      </c>
      <c r="I508" s="18">
        <v>0.62</v>
      </c>
      <c r="J508" s="14">
        <f t="shared" si="0"/>
        <v>9.6666666666666661</v>
      </c>
      <c r="K508" s="15" t="str">
        <f t="shared" si="1"/>
        <v>Exceeds Target</v>
      </c>
    </row>
    <row r="509" spans="2:11" ht="15" customHeight="1">
      <c r="B509" t="s">
        <v>165</v>
      </c>
      <c r="C509" t="s">
        <v>814</v>
      </c>
      <c r="D509" t="s">
        <v>80</v>
      </c>
      <c r="E509" t="s">
        <v>27</v>
      </c>
      <c r="F509" s="17">
        <v>1000</v>
      </c>
      <c r="G509" s="17">
        <v>78000</v>
      </c>
      <c r="H509" s="17">
        <v>77000</v>
      </c>
      <c r="I509" s="18">
        <v>0.79</v>
      </c>
      <c r="J509" s="14">
        <f t="shared" si="0"/>
        <v>77</v>
      </c>
      <c r="K509" s="15" t="str">
        <f t="shared" si="1"/>
        <v>Exceeds Target</v>
      </c>
    </row>
    <row r="510" spans="2:11" ht="15" customHeight="1">
      <c r="B510" t="s">
        <v>815</v>
      </c>
      <c r="C510" t="s">
        <v>816</v>
      </c>
      <c r="D510" t="s">
        <v>69</v>
      </c>
      <c r="E510" t="s">
        <v>70</v>
      </c>
      <c r="F510" s="17">
        <v>1000</v>
      </c>
      <c r="G510" s="17">
        <v>60000</v>
      </c>
      <c r="H510" s="17">
        <v>59000</v>
      </c>
      <c r="I510" s="18">
        <v>0.54</v>
      </c>
      <c r="J510" s="14">
        <f t="shared" si="0"/>
        <v>59</v>
      </c>
      <c r="K510" s="15" t="str">
        <f t="shared" si="1"/>
        <v>Exceeds Target</v>
      </c>
    </row>
    <row r="511" spans="2:11" ht="15" customHeight="1">
      <c r="B511" t="s">
        <v>386</v>
      </c>
      <c r="C511" t="s">
        <v>817</v>
      </c>
      <c r="D511" t="s">
        <v>69</v>
      </c>
      <c r="E511" t="s">
        <v>70</v>
      </c>
      <c r="F511" s="17">
        <v>1000</v>
      </c>
      <c r="G511" s="17">
        <v>110000</v>
      </c>
      <c r="H511" s="17">
        <v>109000</v>
      </c>
      <c r="I511" s="18">
        <v>0.39</v>
      </c>
      <c r="J511" s="14">
        <f t="shared" si="0"/>
        <v>109</v>
      </c>
      <c r="K511" s="15" t="str">
        <f t="shared" si="1"/>
        <v>Exceeds Target</v>
      </c>
    </row>
    <row r="512" spans="2:11" ht="15" customHeight="1">
      <c r="B512" t="s">
        <v>818</v>
      </c>
      <c r="C512" t="s">
        <v>819</v>
      </c>
      <c r="D512" t="s">
        <v>32</v>
      </c>
      <c r="E512" t="s">
        <v>27</v>
      </c>
      <c r="F512" s="17">
        <v>1500</v>
      </c>
      <c r="G512" s="17">
        <v>54000</v>
      </c>
      <c r="H512" s="17">
        <v>52500</v>
      </c>
      <c r="I512" s="18">
        <v>0.4</v>
      </c>
      <c r="J512" s="14">
        <f t="shared" si="0"/>
        <v>35</v>
      </c>
      <c r="K512" s="15" t="str">
        <f t="shared" si="1"/>
        <v>Exceeds Target</v>
      </c>
    </row>
    <row r="513" spans="2:11" ht="15" customHeight="1">
      <c r="B513" t="s">
        <v>418</v>
      </c>
      <c r="C513" t="s">
        <v>820</v>
      </c>
      <c r="D513" t="s">
        <v>80</v>
      </c>
      <c r="E513" t="s">
        <v>27</v>
      </c>
      <c r="F513" s="17">
        <v>1000</v>
      </c>
      <c r="G513" s="17">
        <v>111000</v>
      </c>
      <c r="H513" s="17">
        <v>110000</v>
      </c>
      <c r="I513" s="18">
        <v>0.87</v>
      </c>
      <c r="J513" s="14">
        <f t="shared" si="0"/>
        <v>110</v>
      </c>
      <c r="K513" s="15" t="str">
        <f t="shared" si="1"/>
        <v>Exceeds Target</v>
      </c>
    </row>
    <row r="514" spans="2:11" ht="15" customHeight="1">
      <c r="B514" t="s">
        <v>443</v>
      </c>
      <c r="C514" t="s">
        <v>821</v>
      </c>
      <c r="D514" t="s">
        <v>80</v>
      </c>
      <c r="E514" t="s">
        <v>27</v>
      </c>
      <c r="F514" s="17">
        <v>1000</v>
      </c>
      <c r="G514" s="17">
        <v>75000</v>
      </c>
      <c r="H514" s="17">
        <v>74000</v>
      </c>
      <c r="I514" s="18">
        <v>0.81</v>
      </c>
      <c r="J514" s="14">
        <f t="shared" si="0"/>
        <v>74</v>
      </c>
      <c r="K514" s="15" t="str">
        <f t="shared" si="1"/>
        <v>Exceeds Target</v>
      </c>
    </row>
    <row r="515" spans="2:11" ht="15" customHeight="1">
      <c r="B515" t="s">
        <v>313</v>
      </c>
      <c r="C515" t="s">
        <v>822</v>
      </c>
      <c r="D515" t="s">
        <v>35</v>
      </c>
      <c r="E515" t="s">
        <v>27</v>
      </c>
      <c r="F515" s="17">
        <v>3000</v>
      </c>
      <c r="G515" s="17">
        <v>190000</v>
      </c>
      <c r="H515" s="17">
        <v>187000</v>
      </c>
      <c r="I515" s="18">
        <v>0.75</v>
      </c>
      <c r="J515" s="14">
        <f t="shared" si="0"/>
        <v>62.333333333333336</v>
      </c>
      <c r="K515" s="15" t="str">
        <f t="shared" si="1"/>
        <v>Exceeds Target</v>
      </c>
    </row>
    <row r="516" spans="2:11" ht="15" customHeight="1">
      <c r="B516" t="s">
        <v>107</v>
      </c>
      <c r="C516" t="s">
        <v>823</v>
      </c>
      <c r="D516" t="s">
        <v>69</v>
      </c>
      <c r="E516" t="s">
        <v>70</v>
      </c>
      <c r="F516" s="17">
        <v>1000</v>
      </c>
      <c r="G516" s="17">
        <v>45000</v>
      </c>
      <c r="H516" s="17">
        <v>44000</v>
      </c>
      <c r="I516" s="18">
        <v>0.28000000000000003</v>
      </c>
      <c r="J516" s="14">
        <f t="shared" si="0"/>
        <v>44</v>
      </c>
      <c r="K516" s="15" t="str">
        <f t="shared" si="1"/>
        <v>Exceeds Target</v>
      </c>
    </row>
    <row r="517" spans="2:11" ht="15" customHeight="1">
      <c r="B517" t="s">
        <v>824</v>
      </c>
      <c r="C517" t="s">
        <v>825</v>
      </c>
      <c r="D517" t="s">
        <v>35</v>
      </c>
      <c r="E517" t="s">
        <v>27</v>
      </c>
      <c r="F517" s="17">
        <v>3000</v>
      </c>
      <c r="G517" s="17">
        <v>90000</v>
      </c>
      <c r="H517" s="17">
        <v>87000</v>
      </c>
      <c r="I517" s="18">
        <v>0.86</v>
      </c>
      <c r="J517" s="14">
        <f t="shared" si="0"/>
        <v>29</v>
      </c>
      <c r="K517" s="15" t="str">
        <f t="shared" si="1"/>
        <v>Exceeds Target</v>
      </c>
    </row>
    <row r="518" spans="2:11" ht="15" customHeight="1">
      <c r="B518" t="s">
        <v>319</v>
      </c>
      <c r="C518" t="s">
        <v>826</v>
      </c>
      <c r="D518" t="s">
        <v>80</v>
      </c>
      <c r="E518" t="s">
        <v>27</v>
      </c>
      <c r="F518" s="17">
        <v>1000</v>
      </c>
      <c r="G518" s="17">
        <v>60000</v>
      </c>
      <c r="H518" s="17">
        <v>59000</v>
      </c>
      <c r="I518" s="18">
        <v>0.79</v>
      </c>
      <c r="J518" s="14">
        <f t="shared" si="0"/>
        <v>59</v>
      </c>
      <c r="K518" s="15" t="str">
        <f t="shared" si="1"/>
        <v>Exceeds Target</v>
      </c>
    </row>
    <row r="519" spans="2:11" ht="15" customHeight="1">
      <c r="B519" t="s">
        <v>467</v>
      </c>
      <c r="C519" t="s">
        <v>827</v>
      </c>
      <c r="D519" t="s">
        <v>32</v>
      </c>
      <c r="E519" t="s">
        <v>27</v>
      </c>
      <c r="F519" s="17">
        <v>1500</v>
      </c>
      <c r="G519" s="17">
        <v>54000</v>
      </c>
      <c r="H519" s="17">
        <v>52500</v>
      </c>
      <c r="I519" s="18">
        <v>0.39</v>
      </c>
      <c r="J519" s="14">
        <f t="shared" si="0"/>
        <v>35</v>
      </c>
      <c r="K519" s="15" t="str">
        <f t="shared" si="1"/>
        <v>Exceeds Target</v>
      </c>
    </row>
    <row r="520" spans="2:11" ht="15" customHeight="1">
      <c r="B520" t="s">
        <v>828</v>
      </c>
      <c r="C520" t="s">
        <v>829</v>
      </c>
      <c r="D520" t="s">
        <v>35</v>
      </c>
      <c r="E520" t="s">
        <v>27</v>
      </c>
      <c r="F520" s="17">
        <v>3000</v>
      </c>
      <c r="G520" s="17">
        <v>250000</v>
      </c>
      <c r="H520" s="17">
        <v>247000</v>
      </c>
      <c r="I520" s="18">
        <v>0.88</v>
      </c>
      <c r="J520" s="14">
        <f t="shared" si="0"/>
        <v>82.333333333333329</v>
      </c>
      <c r="K520" s="15" t="str">
        <f t="shared" si="1"/>
        <v>Exceeds Target</v>
      </c>
    </row>
    <row r="521" spans="2:11" ht="15" customHeight="1">
      <c r="B521" t="s">
        <v>598</v>
      </c>
      <c r="C521" t="s">
        <v>830</v>
      </c>
      <c r="D521" t="s">
        <v>35</v>
      </c>
      <c r="E521" t="s">
        <v>27</v>
      </c>
      <c r="F521" s="17">
        <v>3000</v>
      </c>
      <c r="G521" s="17">
        <v>230000</v>
      </c>
      <c r="H521" s="17">
        <v>227000</v>
      </c>
      <c r="I521" s="18">
        <v>0.9</v>
      </c>
      <c r="J521" s="14">
        <f t="shared" si="0"/>
        <v>75.666666666666671</v>
      </c>
      <c r="K521" s="15" t="str">
        <f t="shared" si="1"/>
        <v>Exceeds Target</v>
      </c>
    </row>
    <row r="522" spans="2:11" ht="15" customHeight="1">
      <c r="B522" t="s">
        <v>687</v>
      </c>
      <c r="C522" t="s">
        <v>831</v>
      </c>
      <c r="D522" t="s">
        <v>80</v>
      </c>
      <c r="E522" t="s">
        <v>27</v>
      </c>
      <c r="F522" s="17">
        <v>1000</v>
      </c>
      <c r="G522" s="17">
        <v>81000</v>
      </c>
      <c r="H522" s="17">
        <v>80000</v>
      </c>
      <c r="I522" s="18">
        <v>0.99</v>
      </c>
      <c r="J522" s="14">
        <f t="shared" si="0"/>
        <v>80</v>
      </c>
      <c r="K522" s="15" t="str">
        <f t="shared" si="1"/>
        <v>Exceeds Target</v>
      </c>
    </row>
    <row r="523" spans="2:11" ht="15" customHeight="1">
      <c r="B523" t="s">
        <v>832</v>
      </c>
      <c r="C523" t="s">
        <v>833</v>
      </c>
      <c r="D523" t="s">
        <v>35</v>
      </c>
      <c r="E523" t="s">
        <v>27</v>
      </c>
      <c r="F523" s="17">
        <v>3000</v>
      </c>
      <c r="G523" s="17">
        <v>100000</v>
      </c>
      <c r="H523" s="17">
        <v>97000</v>
      </c>
      <c r="I523" s="18">
        <v>0.95</v>
      </c>
      <c r="J523" s="14">
        <f t="shared" si="0"/>
        <v>32.333333333333336</v>
      </c>
      <c r="K523" s="15" t="str">
        <f t="shared" si="1"/>
        <v>Exceeds Target</v>
      </c>
    </row>
    <row r="524" spans="2:11" ht="15" customHeight="1">
      <c r="B524" t="s">
        <v>422</v>
      </c>
      <c r="C524" t="s">
        <v>834</v>
      </c>
      <c r="D524" t="s">
        <v>35</v>
      </c>
      <c r="E524" t="s">
        <v>27</v>
      </c>
      <c r="F524" s="17">
        <v>3000</v>
      </c>
      <c r="G524" s="17">
        <v>290000</v>
      </c>
      <c r="H524" s="17">
        <v>287000</v>
      </c>
      <c r="I524" s="18">
        <v>0.53</v>
      </c>
      <c r="J524" s="14">
        <f t="shared" si="0"/>
        <v>95.666666666666671</v>
      </c>
      <c r="K524" s="15" t="str">
        <f t="shared" si="1"/>
        <v>Exceeds Target</v>
      </c>
    </row>
    <row r="525" spans="2:11" ht="15" customHeight="1">
      <c r="B525" t="s">
        <v>218</v>
      </c>
      <c r="C525" t="s">
        <v>835</v>
      </c>
      <c r="D525" t="s">
        <v>69</v>
      </c>
      <c r="E525" t="s">
        <v>70</v>
      </c>
      <c r="F525" s="17">
        <v>1000</v>
      </c>
      <c r="G525" s="17">
        <v>75000</v>
      </c>
      <c r="H525" s="17">
        <v>74000</v>
      </c>
      <c r="I525" s="18">
        <v>0.67</v>
      </c>
      <c r="J525" s="14">
        <f t="shared" si="0"/>
        <v>74</v>
      </c>
      <c r="K525" s="15" t="str">
        <f t="shared" si="1"/>
        <v>Exceeds Target</v>
      </c>
    </row>
    <row r="526" spans="2:11" ht="15" customHeight="1">
      <c r="B526" t="s">
        <v>401</v>
      </c>
      <c r="C526" t="s">
        <v>836</v>
      </c>
      <c r="D526" t="s">
        <v>26</v>
      </c>
      <c r="E526" t="s">
        <v>27</v>
      </c>
      <c r="F526" s="17">
        <v>5000</v>
      </c>
      <c r="G526" s="17">
        <v>30000</v>
      </c>
      <c r="H526" s="17">
        <v>25000</v>
      </c>
      <c r="I526" s="18">
        <v>0.22</v>
      </c>
      <c r="J526" s="14">
        <f t="shared" si="0"/>
        <v>5</v>
      </c>
      <c r="K526" s="15" t="str">
        <f t="shared" si="1"/>
        <v>Exceeds Target</v>
      </c>
    </row>
    <row r="527" spans="2:11" ht="15" customHeight="1">
      <c r="B527" t="s">
        <v>837</v>
      </c>
      <c r="C527" t="s">
        <v>838</v>
      </c>
      <c r="D527" t="s">
        <v>26</v>
      </c>
      <c r="E527" t="s">
        <v>27</v>
      </c>
      <c r="F527" s="17">
        <v>5000</v>
      </c>
      <c r="G527" s="17">
        <v>150000</v>
      </c>
      <c r="H527" s="17">
        <v>145000</v>
      </c>
      <c r="I527" s="18">
        <v>0.2</v>
      </c>
      <c r="J527" s="14">
        <f t="shared" si="0"/>
        <v>29</v>
      </c>
      <c r="K527" s="15" t="str">
        <f t="shared" si="1"/>
        <v>Exceeds Target</v>
      </c>
    </row>
    <row r="528" spans="2:11" ht="15" customHeight="1">
      <c r="B528" t="s">
        <v>561</v>
      </c>
      <c r="C528" t="s">
        <v>839</v>
      </c>
      <c r="D528" t="s">
        <v>32</v>
      </c>
      <c r="E528" t="s">
        <v>27</v>
      </c>
      <c r="F528" s="17">
        <v>1500</v>
      </c>
      <c r="G528" s="17">
        <v>52000</v>
      </c>
      <c r="H528" s="17">
        <v>50500</v>
      </c>
      <c r="I528" s="18">
        <v>0.34</v>
      </c>
      <c r="J528" s="14">
        <f t="shared" si="0"/>
        <v>33.666666666666664</v>
      </c>
      <c r="K528" s="15" t="str">
        <f t="shared" si="1"/>
        <v>Exceeds Target</v>
      </c>
    </row>
    <row r="529" spans="2:11" ht="15" customHeight="1">
      <c r="B529" t="s">
        <v>205</v>
      </c>
      <c r="C529" t="s">
        <v>840</v>
      </c>
      <c r="D529" t="s">
        <v>32</v>
      </c>
      <c r="E529" t="s">
        <v>27</v>
      </c>
      <c r="F529" s="17">
        <v>1500</v>
      </c>
      <c r="G529" s="17">
        <v>36000</v>
      </c>
      <c r="H529" s="17">
        <v>34500</v>
      </c>
      <c r="I529" s="18">
        <v>0.42</v>
      </c>
      <c r="J529" s="14">
        <f t="shared" si="0"/>
        <v>23</v>
      </c>
      <c r="K529" s="15" t="str">
        <f t="shared" si="1"/>
        <v>Exceeds Target</v>
      </c>
    </row>
    <row r="530" spans="2:11" ht="15" customHeight="1">
      <c r="B530" t="s">
        <v>841</v>
      </c>
      <c r="C530" t="s">
        <v>842</v>
      </c>
      <c r="D530" t="s">
        <v>32</v>
      </c>
      <c r="E530" t="s">
        <v>27</v>
      </c>
      <c r="F530" s="17">
        <v>1500</v>
      </c>
      <c r="G530" s="17">
        <v>60000</v>
      </c>
      <c r="H530" s="17">
        <v>58500</v>
      </c>
      <c r="I530" s="18">
        <v>0.18</v>
      </c>
      <c r="J530" s="14">
        <f t="shared" si="0"/>
        <v>39</v>
      </c>
      <c r="K530" s="15" t="str">
        <f t="shared" si="1"/>
        <v>Exceeds Target</v>
      </c>
    </row>
    <row r="531" spans="2:11" ht="15" customHeight="1">
      <c r="B531" t="s">
        <v>350</v>
      </c>
      <c r="C531" t="s">
        <v>843</v>
      </c>
      <c r="D531" t="s">
        <v>69</v>
      </c>
      <c r="E531" t="s">
        <v>70</v>
      </c>
      <c r="F531" s="17">
        <v>1000</v>
      </c>
      <c r="G531" s="17">
        <v>105000</v>
      </c>
      <c r="H531" s="17">
        <v>104000</v>
      </c>
      <c r="I531" s="18">
        <v>0.71</v>
      </c>
      <c r="J531" s="14">
        <f t="shared" si="0"/>
        <v>104</v>
      </c>
      <c r="K531" s="15" t="str">
        <f t="shared" si="1"/>
        <v>Exceeds Target</v>
      </c>
    </row>
    <row r="532" spans="2:11" ht="15" customHeight="1">
      <c r="B532" t="s">
        <v>441</v>
      </c>
      <c r="C532" t="s">
        <v>844</v>
      </c>
      <c r="D532" t="s">
        <v>35</v>
      </c>
      <c r="E532" t="s">
        <v>27</v>
      </c>
      <c r="F532" s="17">
        <v>3000</v>
      </c>
      <c r="G532" s="17">
        <v>170000</v>
      </c>
      <c r="H532" s="17">
        <v>167000</v>
      </c>
      <c r="I532" s="18">
        <v>0.88</v>
      </c>
      <c r="J532" s="14">
        <f t="shared" si="0"/>
        <v>55.666666666666664</v>
      </c>
      <c r="K532" s="15" t="str">
        <f t="shared" si="1"/>
        <v>Exceeds Target</v>
      </c>
    </row>
    <row r="533" spans="2:11" ht="15" customHeight="1">
      <c r="B533" t="s">
        <v>845</v>
      </c>
      <c r="C533" t="s">
        <v>846</v>
      </c>
      <c r="D533" t="s">
        <v>26</v>
      </c>
      <c r="E533" t="s">
        <v>27</v>
      </c>
      <c r="F533" s="17">
        <v>5000</v>
      </c>
      <c r="G533" s="17">
        <v>30000</v>
      </c>
      <c r="H533" s="17">
        <v>25000</v>
      </c>
      <c r="I533" s="18">
        <v>0.2</v>
      </c>
      <c r="J533" s="14">
        <f t="shared" si="0"/>
        <v>5</v>
      </c>
      <c r="K533" s="15" t="str">
        <f t="shared" si="1"/>
        <v>Exceeds Target</v>
      </c>
    </row>
    <row r="534" spans="2:11" ht="15" customHeight="1">
      <c r="B534" t="s">
        <v>441</v>
      </c>
      <c r="C534" t="s">
        <v>847</v>
      </c>
      <c r="D534" t="s">
        <v>69</v>
      </c>
      <c r="E534" t="s">
        <v>70</v>
      </c>
      <c r="F534" s="17">
        <v>1000</v>
      </c>
      <c r="G534" s="17">
        <v>45000</v>
      </c>
      <c r="H534" s="17">
        <v>44000</v>
      </c>
      <c r="I534" s="18">
        <v>0.33</v>
      </c>
      <c r="J534" s="14">
        <f t="shared" si="0"/>
        <v>44</v>
      </c>
      <c r="K534" s="15" t="str">
        <f t="shared" si="1"/>
        <v>Exceeds Target</v>
      </c>
    </row>
    <row r="535" spans="2:11" ht="15" customHeight="1">
      <c r="B535" t="s">
        <v>418</v>
      </c>
      <c r="C535" t="s">
        <v>848</v>
      </c>
      <c r="D535" t="s">
        <v>35</v>
      </c>
      <c r="E535" t="s">
        <v>27</v>
      </c>
      <c r="F535" s="17">
        <v>3000</v>
      </c>
      <c r="G535" s="17">
        <v>180000</v>
      </c>
      <c r="H535" s="17">
        <v>177000</v>
      </c>
      <c r="I535" s="18">
        <v>0.83</v>
      </c>
      <c r="J535" s="14">
        <f t="shared" si="0"/>
        <v>59</v>
      </c>
      <c r="K535" s="15" t="str">
        <f t="shared" si="1"/>
        <v>Exceeds Target</v>
      </c>
    </row>
    <row r="536" spans="2:11" ht="15" customHeight="1">
      <c r="B536" t="s">
        <v>159</v>
      </c>
      <c r="C536" t="s">
        <v>849</v>
      </c>
      <c r="D536" t="s">
        <v>69</v>
      </c>
      <c r="E536" t="s">
        <v>70</v>
      </c>
      <c r="F536" s="17">
        <v>1000</v>
      </c>
      <c r="G536" s="17">
        <v>80000</v>
      </c>
      <c r="H536" s="17">
        <v>79000</v>
      </c>
      <c r="I536" s="18">
        <v>0.6</v>
      </c>
      <c r="J536" s="14">
        <f t="shared" si="0"/>
        <v>79</v>
      </c>
      <c r="K536" s="15" t="str">
        <f t="shared" si="1"/>
        <v>Exceeds Target</v>
      </c>
    </row>
    <row r="537" spans="2:11" ht="15" customHeight="1">
      <c r="B537" t="s">
        <v>850</v>
      </c>
      <c r="C537" t="s">
        <v>851</v>
      </c>
      <c r="D537" t="s">
        <v>35</v>
      </c>
      <c r="E537" t="s">
        <v>27</v>
      </c>
      <c r="F537" s="17">
        <v>3000</v>
      </c>
      <c r="G537" s="17">
        <v>240000</v>
      </c>
      <c r="H537" s="17">
        <v>237000</v>
      </c>
      <c r="I537" s="18">
        <v>0.89</v>
      </c>
      <c r="J537" s="14">
        <f t="shared" si="0"/>
        <v>79</v>
      </c>
      <c r="K537" s="15" t="str">
        <f t="shared" si="1"/>
        <v>Exceeds Target</v>
      </c>
    </row>
    <row r="538" spans="2:11" ht="15" customHeight="1">
      <c r="B538" t="s">
        <v>317</v>
      </c>
      <c r="C538" t="s">
        <v>852</v>
      </c>
      <c r="D538" t="s">
        <v>69</v>
      </c>
      <c r="E538" t="s">
        <v>70</v>
      </c>
      <c r="F538" s="17">
        <v>1000</v>
      </c>
      <c r="G538" s="17">
        <v>135000</v>
      </c>
      <c r="H538" s="17">
        <v>134000</v>
      </c>
      <c r="I538" s="18">
        <v>0.77</v>
      </c>
      <c r="J538" s="14">
        <f t="shared" si="0"/>
        <v>134</v>
      </c>
      <c r="K538" s="15" t="str">
        <f t="shared" si="1"/>
        <v>Exceeds Target</v>
      </c>
    </row>
    <row r="539" spans="2:11" ht="15" customHeight="1">
      <c r="B539" t="s">
        <v>231</v>
      </c>
      <c r="C539" t="s">
        <v>853</v>
      </c>
      <c r="D539" t="s">
        <v>32</v>
      </c>
      <c r="E539" t="s">
        <v>27</v>
      </c>
      <c r="F539" s="17">
        <v>1500</v>
      </c>
      <c r="G539" s="17">
        <v>32000</v>
      </c>
      <c r="H539" s="17">
        <v>30500</v>
      </c>
      <c r="I539" s="18">
        <v>0.98</v>
      </c>
      <c r="J539" s="14">
        <f t="shared" si="0"/>
        <v>20.333333333333332</v>
      </c>
      <c r="K539" s="15" t="str">
        <f t="shared" si="1"/>
        <v>Exceeds Target</v>
      </c>
    </row>
    <row r="540" spans="2:11" ht="15" customHeight="1">
      <c r="B540" t="s">
        <v>854</v>
      </c>
      <c r="C540" t="s">
        <v>855</v>
      </c>
      <c r="D540" t="s">
        <v>35</v>
      </c>
      <c r="E540" t="s">
        <v>27</v>
      </c>
      <c r="F540" s="17">
        <v>3000</v>
      </c>
      <c r="G540" s="17">
        <v>250000</v>
      </c>
      <c r="H540" s="17">
        <v>247000</v>
      </c>
      <c r="I540" s="18">
        <v>0.45</v>
      </c>
      <c r="J540" s="14">
        <f t="shared" si="0"/>
        <v>82.333333333333329</v>
      </c>
      <c r="K540" s="15" t="str">
        <f t="shared" si="1"/>
        <v>Exceeds Target</v>
      </c>
    </row>
    <row r="541" spans="2:11" ht="15" customHeight="1">
      <c r="B541" t="s">
        <v>443</v>
      </c>
      <c r="C541" t="s">
        <v>856</v>
      </c>
      <c r="D541" t="s">
        <v>35</v>
      </c>
      <c r="E541" t="s">
        <v>27</v>
      </c>
      <c r="F541" s="17">
        <v>3000</v>
      </c>
      <c r="G541" s="17">
        <v>230000</v>
      </c>
      <c r="H541" s="17">
        <v>227000</v>
      </c>
      <c r="I541" s="18">
        <v>0.83</v>
      </c>
      <c r="J541" s="14">
        <f t="shared" si="0"/>
        <v>75.666666666666671</v>
      </c>
      <c r="K541" s="15" t="str">
        <f t="shared" si="1"/>
        <v>Exceeds Target</v>
      </c>
    </row>
    <row r="542" spans="2:11" ht="15" customHeight="1">
      <c r="B542" t="s">
        <v>857</v>
      </c>
      <c r="C542" t="s">
        <v>858</v>
      </c>
      <c r="D542" t="s">
        <v>26</v>
      </c>
      <c r="E542" t="s">
        <v>27</v>
      </c>
      <c r="F542" s="17">
        <v>5000</v>
      </c>
      <c r="G542" s="17">
        <v>90000</v>
      </c>
      <c r="H542" s="17">
        <v>85000</v>
      </c>
      <c r="I542" s="18">
        <v>0.2</v>
      </c>
      <c r="J542" s="14">
        <f t="shared" si="0"/>
        <v>17</v>
      </c>
      <c r="K542" s="15" t="str">
        <f t="shared" si="1"/>
        <v>Exceeds Target</v>
      </c>
    </row>
    <row r="543" spans="2:11" ht="15" customHeight="1">
      <c r="B543" t="s">
        <v>571</v>
      </c>
      <c r="C543" t="s">
        <v>859</v>
      </c>
      <c r="D543" t="s">
        <v>35</v>
      </c>
      <c r="E543" t="s">
        <v>27</v>
      </c>
      <c r="F543" s="17">
        <v>3000</v>
      </c>
      <c r="G543" s="17">
        <v>160000</v>
      </c>
      <c r="H543" s="17">
        <v>157000</v>
      </c>
      <c r="I543" s="18">
        <v>0.22</v>
      </c>
      <c r="J543" s="14">
        <f t="shared" si="0"/>
        <v>52.333333333333336</v>
      </c>
      <c r="K543" s="15" t="str">
        <f t="shared" si="1"/>
        <v>Exceeds Target</v>
      </c>
    </row>
    <row r="544" spans="2:11" ht="15" customHeight="1">
      <c r="B544" t="s">
        <v>860</v>
      </c>
      <c r="C544" t="s">
        <v>861</v>
      </c>
      <c r="D544" t="s">
        <v>26</v>
      </c>
      <c r="E544" t="s">
        <v>27</v>
      </c>
      <c r="F544" s="17">
        <v>5000</v>
      </c>
      <c r="G544" s="17">
        <v>30000</v>
      </c>
      <c r="H544" s="17">
        <v>25000</v>
      </c>
      <c r="I544" s="18">
        <v>0.14000000000000001</v>
      </c>
      <c r="J544" s="14">
        <f t="shared" si="0"/>
        <v>5</v>
      </c>
      <c r="K544" s="15" t="str">
        <f t="shared" si="1"/>
        <v>Exceeds Target</v>
      </c>
    </row>
    <row r="545" spans="2:11" ht="15" customHeight="1">
      <c r="B545" t="s">
        <v>772</v>
      </c>
      <c r="C545" t="s">
        <v>862</v>
      </c>
      <c r="D545" t="s">
        <v>80</v>
      </c>
      <c r="E545" t="s">
        <v>27</v>
      </c>
      <c r="F545" s="17">
        <v>1000</v>
      </c>
      <c r="G545" s="17">
        <v>60000</v>
      </c>
      <c r="H545" s="17">
        <v>59000</v>
      </c>
      <c r="I545" s="18">
        <v>0.89</v>
      </c>
      <c r="J545" s="14">
        <f t="shared" si="0"/>
        <v>59</v>
      </c>
      <c r="K545" s="15" t="str">
        <f t="shared" si="1"/>
        <v>Exceeds Target</v>
      </c>
    </row>
    <row r="546" spans="2:11" ht="15" customHeight="1">
      <c r="B546" t="s">
        <v>746</v>
      </c>
      <c r="C546" t="s">
        <v>863</v>
      </c>
      <c r="D546" t="s">
        <v>26</v>
      </c>
      <c r="E546" t="s">
        <v>27</v>
      </c>
      <c r="F546" s="17">
        <v>5000</v>
      </c>
      <c r="G546" s="17">
        <v>60000</v>
      </c>
      <c r="H546" s="17">
        <v>55000</v>
      </c>
      <c r="I546" s="18">
        <v>0.23</v>
      </c>
      <c r="J546" s="14">
        <f t="shared" si="0"/>
        <v>11</v>
      </c>
      <c r="K546" s="15" t="str">
        <f t="shared" si="1"/>
        <v>Exceeds Target</v>
      </c>
    </row>
    <row r="547" spans="2:11" ht="15" customHeight="1">
      <c r="B547" t="s">
        <v>494</v>
      </c>
      <c r="C547" t="s">
        <v>864</v>
      </c>
      <c r="D547" t="s">
        <v>35</v>
      </c>
      <c r="E547" t="s">
        <v>27</v>
      </c>
      <c r="F547" s="17">
        <v>3000</v>
      </c>
      <c r="G547" s="17">
        <v>120000</v>
      </c>
      <c r="H547" s="17">
        <v>117000</v>
      </c>
      <c r="I547" s="18">
        <v>0.25</v>
      </c>
      <c r="J547" s="14">
        <f t="shared" si="0"/>
        <v>39</v>
      </c>
      <c r="K547" s="15" t="str">
        <f t="shared" si="1"/>
        <v>Exceeds Target</v>
      </c>
    </row>
    <row r="548" spans="2:11" ht="15" customHeight="1">
      <c r="B548" t="s">
        <v>319</v>
      </c>
      <c r="C548" t="s">
        <v>865</v>
      </c>
      <c r="D548" t="s">
        <v>80</v>
      </c>
      <c r="E548" t="s">
        <v>27</v>
      </c>
      <c r="F548" s="17">
        <v>1000</v>
      </c>
      <c r="G548" s="17">
        <v>117000</v>
      </c>
      <c r="H548" s="17">
        <v>116000</v>
      </c>
      <c r="I548" s="18">
        <v>0.82</v>
      </c>
      <c r="J548" s="14">
        <f t="shared" si="0"/>
        <v>116</v>
      </c>
      <c r="K548" s="15" t="str">
        <f t="shared" si="1"/>
        <v>Exceeds Target</v>
      </c>
    </row>
    <row r="549" spans="2:11" ht="15" customHeight="1">
      <c r="B549" t="s">
        <v>397</v>
      </c>
      <c r="C549" t="s">
        <v>866</v>
      </c>
      <c r="D549" t="s">
        <v>35</v>
      </c>
      <c r="E549" t="s">
        <v>27</v>
      </c>
      <c r="F549" s="17">
        <v>3000</v>
      </c>
      <c r="G549" s="17">
        <v>100000</v>
      </c>
      <c r="H549" s="17">
        <v>97000</v>
      </c>
      <c r="I549" s="18">
        <v>0.63</v>
      </c>
      <c r="J549" s="14">
        <f t="shared" si="0"/>
        <v>32.333333333333336</v>
      </c>
      <c r="K549" s="15" t="str">
        <f t="shared" si="1"/>
        <v>Exceeds Target</v>
      </c>
    </row>
    <row r="550" spans="2:11" ht="15" customHeight="1">
      <c r="B550" t="s">
        <v>293</v>
      </c>
      <c r="C550" t="s">
        <v>867</v>
      </c>
      <c r="D550" t="s">
        <v>26</v>
      </c>
      <c r="E550" t="s">
        <v>27</v>
      </c>
      <c r="F550" s="17">
        <v>5000</v>
      </c>
      <c r="G550" s="17">
        <v>120000</v>
      </c>
      <c r="H550" s="17">
        <v>115000</v>
      </c>
      <c r="I550" s="18">
        <v>0.23</v>
      </c>
      <c r="J550" s="14">
        <f t="shared" si="0"/>
        <v>23</v>
      </c>
      <c r="K550" s="15" t="str">
        <f t="shared" si="1"/>
        <v>Exceeds Target</v>
      </c>
    </row>
    <row r="551" spans="2:11" ht="15" customHeight="1">
      <c r="B551" t="s">
        <v>279</v>
      </c>
      <c r="C551" t="s">
        <v>868</v>
      </c>
      <c r="D551" t="s">
        <v>80</v>
      </c>
      <c r="E551" t="s">
        <v>27</v>
      </c>
      <c r="F551" s="17">
        <v>1000</v>
      </c>
      <c r="G551" s="17">
        <v>117000</v>
      </c>
      <c r="H551" s="17">
        <v>116000</v>
      </c>
      <c r="I551" s="18">
        <v>0.87</v>
      </c>
      <c r="J551" s="14">
        <f t="shared" si="0"/>
        <v>116</v>
      </c>
      <c r="K551" s="15" t="str">
        <f t="shared" si="1"/>
        <v>Exceeds Target</v>
      </c>
    </row>
    <row r="552" spans="2:11" ht="15" customHeight="1">
      <c r="B552" t="s">
        <v>199</v>
      </c>
      <c r="C552" t="s">
        <v>869</v>
      </c>
      <c r="D552" t="s">
        <v>26</v>
      </c>
      <c r="E552" t="s">
        <v>27</v>
      </c>
      <c r="F552" s="17">
        <v>5000</v>
      </c>
      <c r="G552" s="17">
        <v>90000</v>
      </c>
      <c r="H552" s="17">
        <v>85000</v>
      </c>
      <c r="I552" s="18">
        <v>0.15</v>
      </c>
      <c r="J552" s="14">
        <f t="shared" si="0"/>
        <v>17</v>
      </c>
      <c r="K552" s="15" t="str">
        <f t="shared" si="1"/>
        <v>Exceeds Target</v>
      </c>
    </row>
    <row r="553" spans="2:11" ht="15" customHeight="1">
      <c r="B553" t="s">
        <v>201</v>
      </c>
      <c r="C553" t="s">
        <v>870</v>
      </c>
      <c r="D553" t="s">
        <v>26</v>
      </c>
      <c r="E553" t="s">
        <v>27</v>
      </c>
      <c r="F553" s="17">
        <v>5000</v>
      </c>
      <c r="G553" s="17">
        <v>30000</v>
      </c>
      <c r="H553" s="17">
        <v>25000</v>
      </c>
      <c r="I553" s="18">
        <v>0.27</v>
      </c>
      <c r="J553" s="14">
        <f t="shared" si="0"/>
        <v>5</v>
      </c>
      <c r="K553" s="15" t="str">
        <f t="shared" si="1"/>
        <v>Exceeds Target</v>
      </c>
    </row>
    <row r="554" spans="2:11" ht="15" customHeight="1">
      <c r="B554" t="s">
        <v>484</v>
      </c>
      <c r="C554" t="s">
        <v>871</v>
      </c>
      <c r="D554" t="s">
        <v>80</v>
      </c>
      <c r="E554" t="s">
        <v>27</v>
      </c>
      <c r="F554" s="17">
        <v>1000</v>
      </c>
      <c r="G554" s="17">
        <v>81000</v>
      </c>
      <c r="H554" s="17">
        <v>80000</v>
      </c>
      <c r="I554" s="18">
        <v>0.96</v>
      </c>
      <c r="J554" s="14">
        <f t="shared" si="0"/>
        <v>80</v>
      </c>
      <c r="K554" s="15" t="str">
        <f t="shared" si="1"/>
        <v>Exceeds Target</v>
      </c>
    </row>
    <row r="555" spans="2:11" ht="15" customHeight="1">
      <c r="B555" t="s">
        <v>46</v>
      </c>
      <c r="C555" t="s">
        <v>872</v>
      </c>
      <c r="D555" t="s">
        <v>32</v>
      </c>
      <c r="E555" t="s">
        <v>27</v>
      </c>
      <c r="F555" s="17">
        <v>1500</v>
      </c>
      <c r="G555" s="17">
        <v>30000</v>
      </c>
      <c r="H555" s="17">
        <v>28500</v>
      </c>
      <c r="I555" s="18">
        <v>0.97</v>
      </c>
      <c r="J555" s="14">
        <f t="shared" si="0"/>
        <v>19</v>
      </c>
      <c r="K555" s="15" t="str">
        <f t="shared" si="1"/>
        <v>Exceeds Target</v>
      </c>
    </row>
    <row r="556" spans="2:11" ht="15" customHeight="1">
      <c r="B556" t="s">
        <v>384</v>
      </c>
      <c r="C556" t="s">
        <v>873</v>
      </c>
      <c r="D556" t="s">
        <v>32</v>
      </c>
      <c r="E556" t="s">
        <v>27</v>
      </c>
      <c r="F556" s="17">
        <v>1500</v>
      </c>
      <c r="G556" s="17">
        <v>34000</v>
      </c>
      <c r="H556" s="17">
        <v>32500</v>
      </c>
      <c r="I556" s="18">
        <v>0.92</v>
      </c>
      <c r="J556" s="14">
        <f t="shared" si="0"/>
        <v>21.666666666666668</v>
      </c>
      <c r="K556" s="15" t="str">
        <f t="shared" si="1"/>
        <v>Exceeds Target</v>
      </c>
    </row>
    <row r="557" spans="2:11" ht="15" customHeight="1">
      <c r="B557" t="s">
        <v>571</v>
      </c>
      <c r="C557" t="s">
        <v>874</v>
      </c>
      <c r="D557" t="s">
        <v>69</v>
      </c>
      <c r="E557" t="s">
        <v>70</v>
      </c>
      <c r="F557" s="17">
        <v>1000</v>
      </c>
      <c r="G557" s="17">
        <v>110000</v>
      </c>
      <c r="H557" s="17">
        <v>109000</v>
      </c>
      <c r="I557" s="18">
        <v>0.39</v>
      </c>
      <c r="J557" s="14">
        <f t="shared" si="0"/>
        <v>109</v>
      </c>
      <c r="K557" s="15" t="str">
        <f t="shared" si="1"/>
        <v>Exceeds Target</v>
      </c>
    </row>
    <row r="558" spans="2:11" ht="15" customHeight="1">
      <c r="B558" t="s">
        <v>220</v>
      </c>
      <c r="C558" t="s">
        <v>875</v>
      </c>
      <c r="D558" t="s">
        <v>35</v>
      </c>
      <c r="E558" t="s">
        <v>27</v>
      </c>
      <c r="F558" s="17">
        <v>3000</v>
      </c>
      <c r="G558" s="17">
        <v>170000</v>
      </c>
      <c r="H558" s="17">
        <v>167000</v>
      </c>
      <c r="I558" s="18">
        <v>0.31</v>
      </c>
      <c r="J558" s="14">
        <f t="shared" si="0"/>
        <v>55.666666666666664</v>
      </c>
      <c r="K558" s="15" t="str">
        <f t="shared" si="1"/>
        <v>Exceeds Target</v>
      </c>
    </row>
    <row r="559" spans="2:11" ht="15" customHeight="1">
      <c r="B559" t="s">
        <v>329</v>
      </c>
      <c r="C559" t="s">
        <v>876</v>
      </c>
      <c r="D559" t="s">
        <v>35</v>
      </c>
      <c r="E559" t="s">
        <v>27</v>
      </c>
      <c r="F559" s="17">
        <v>3000</v>
      </c>
      <c r="G559" s="17">
        <v>120000</v>
      </c>
      <c r="H559" s="17">
        <v>117000</v>
      </c>
      <c r="I559" s="18">
        <v>0.95</v>
      </c>
      <c r="J559" s="14">
        <f t="shared" si="0"/>
        <v>39</v>
      </c>
      <c r="K559" s="15" t="str">
        <f t="shared" si="1"/>
        <v>Exceeds Target</v>
      </c>
    </row>
    <row r="560" spans="2:11" ht="15" customHeight="1">
      <c r="B560" t="s">
        <v>188</v>
      </c>
      <c r="C560" t="s">
        <v>877</v>
      </c>
      <c r="D560" t="s">
        <v>32</v>
      </c>
      <c r="E560" t="s">
        <v>27</v>
      </c>
      <c r="F560" s="17">
        <v>1500</v>
      </c>
      <c r="G560" s="17">
        <v>56000</v>
      </c>
      <c r="H560" s="17">
        <v>54500</v>
      </c>
      <c r="I560" s="18">
        <v>0.2</v>
      </c>
      <c r="J560" s="14">
        <f t="shared" si="0"/>
        <v>36.333333333333336</v>
      </c>
      <c r="K560" s="15" t="str">
        <f t="shared" si="1"/>
        <v>Exceeds Target</v>
      </c>
    </row>
    <row r="561" spans="2:11" ht="15" customHeight="1">
      <c r="B561" t="s">
        <v>285</v>
      </c>
      <c r="C561" t="s">
        <v>878</v>
      </c>
      <c r="D561" t="s">
        <v>35</v>
      </c>
      <c r="E561" t="s">
        <v>27</v>
      </c>
      <c r="F561" s="17">
        <v>3000</v>
      </c>
      <c r="G561" s="17">
        <v>80000</v>
      </c>
      <c r="H561" s="17">
        <v>77000</v>
      </c>
      <c r="I561" s="18">
        <v>0.6</v>
      </c>
      <c r="J561" s="14">
        <f t="shared" si="0"/>
        <v>25.666666666666668</v>
      </c>
      <c r="K561" s="15" t="str">
        <f t="shared" si="1"/>
        <v>Exceeds Target</v>
      </c>
    </row>
    <row r="562" spans="2:11" ht="15" customHeight="1">
      <c r="B562" t="s">
        <v>220</v>
      </c>
      <c r="C562" t="s">
        <v>879</v>
      </c>
      <c r="D562" t="s">
        <v>80</v>
      </c>
      <c r="E562" t="s">
        <v>27</v>
      </c>
      <c r="F562" s="17">
        <v>1000</v>
      </c>
      <c r="G562" s="17">
        <v>48000</v>
      </c>
      <c r="H562" s="17">
        <v>47000</v>
      </c>
      <c r="I562" s="18">
        <v>0.94</v>
      </c>
      <c r="J562" s="14">
        <f t="shared" si="0"/>
        <v>47</v>
      </c>
      <c r="K562" s="15" t="str">
        <f t="shared" si="1"/>
        <v>Exceeds Target</v>
      </c>
    </row>
    <row r="563" spans="2:11" ht="15" customHeight="1">
      <c r="B563" t="s">
        <v>880</v>
      </c>
      <c r="C563" t="s">
        <v>881</v>
      </c>
      <c r="D563" t="s">
        <v>32</v>
      </c>
      <c r="E563" t="s">
        <v>27</v>
      </c>
      <c r="F563" s="17">
        <v>1500</v>
      </c>
      <c r="G563" s="17">
        <v>14000</v>
      </c>
      <c r="H563" s="17">
        <v>12500</v>
      </c>
      <c r="I563" s="18">
        <v>0.45</v>
      </c>
      <c r="J563" s="14">
        <f t="shared" si="0"/>
        <v>8.3333333333333339</v>
      </c>
      <c r="K563" s="15" t="str">
        <f t="shared" si="1"/>
        <v>Exceeds Target</v>
      </c>
    </row>
    <row r="564" spans="2:11" ht="15" customHeight="1">
      <c r="B564" t="s">
        <v>882</v>
      </c>
      <c r="C564" t="s">
        <v>883</v>
      </c>
      <c r="D564" t="s">
        <v>69</v>
      </c>
      <c r="E564" t="s">
        <v>70</v>
      </c>
      <c r="F564" s="17">
        <v>1000</v>
      </c>
      <c r="G564" s="17">
        <v>40000</v>
      </c>
      <c r="H564" s="17">
        <v>39000</v>
      </c>
      <c r="I564" s="18">
        <v>0.46</v>
      </c>
      <c r="J564" s="14">
        <f t="shared" si="0"/>
        <v>39</v>
      </c>
      <c r="K564" s="15" t="str">
        <f t="shared" si="1"/>
        <v>Exceeds Target</v>
      </c>
    </row>
    <row r="565" spans="2:11" ht="15" customHeight="1">
      <c r="B565" t="s">
        <v>794</v>
      </c>
      <c r="C565" t="s">
        <v>884</v>
      </c>
      <c r="D565" t="s">
        <v>32</v>
      </c>
      <c r="E565" t="s">
        <v>27</v>
      </c>
      <c r="F565" s="17">
        <v>1500</v>
      </c>
      <c r="G565" s="17">
        <v>36000</v>
      </c>
      <c r="H565" s="17">
        <v>34500</v>
      </c>
      <c r="I565" s="18">
        <v>0.94</v>
      </c>
      <c r="J565" s="14">
        <f t="shared" si="0"/>
        <v>23</v>
      </c>
      <c r="K565" s="15" t="str">
        <f t="shared" si="1"/>
        <v>Exceeds Target</v>
      </c>
    </row>
    <row r="566" spans="2:11" ht="15" customHeight="1">
      <c r="B566" t="s">
        <v>432</v>
      </c>
      <c r="C566" t="s">
        <v>885</v>
      </c>
      <c r="D566" t="s">
        <v>32</v>
      </c>
      <c r="E566" t="s">
        <v>27</v>
      </c>
      <c r="F566" s="17">
        <v>1500</v>
      </c>
      <c r="G566" s="17">
        <v>24000</v>
      </c>
      <c r="H566" s="17">
        <v>22500</v>
      </c>
      <c r="I566" s="18">
        <v>0.71</v>
      </c>
      <c r="J566" s="14">
        <f t="shared" si="0"/>
        <v>15</v>
      </c>
      <c r="K566" s="15" t="str">
        <f t="shared" si="1"/>
        <v>Exceeds Target</v>
      </c>
    </row>
    <row r="567" spans="2:11" ht="15" customHeight="1">
      <c r="B567" t="s">
        <v>886</v>
      </c>
      <c r="C567" t="s">
        <v>887</v>
      </c>
      <c r="D567" t="s">
        <v>69</v>
      </c>
      <c r="E567" t="s">
        <v>70</v>
      </c>
      <c r="F567" s="17">
        <v>1000</v>
      </c>
      <c r="G567" s="17">
        <v>100000</v>
      </c>
      <c r="H567" s="17">
        <v>99000</v>
      </c>
      <c r="I567" s="18">
        <v>0.65</v>
      </c>
      <c r="J567" s="14">
        <f t="shared" si="0"/>
        <v>99</v>
      </c>
      <c r="K567" s="15" t="str">
        <f t="shared" si="1"/>
        <v>Exceeds Target</v>
      </c>
    </row>
    <row r="568" spans="2:11" ht="15" customHeight="1">
      <c r="B568" t="s">
        <v>317</v>
      </c>
      <c r="C568" t="s">
        <v>888</v>
      </c>
      <c r="D568" t="s">
        <v>80</v>
      </c>
      <c r="E568" t="s">
        <v>27</v>
      </c>
      <c r="F568" s="17">
        <v>1000</v>
      </c>
      <c r="G568" s="17">
        <v>99000</v>
      </c>
      <c r="H568" s="17">
        <v>98000</v>
      </c>
      <c r="I568" s="18">
        <v>0.99</v>
      </c>
      <c r="J568" s="14">
        <f t="shared" si="0"/>
        <v>98</v>
      </c>
      <c r="K568" s="15" t="str">
        <f t="shared" si="1"/>
        <v>Exceeds Target</v>
      </c>
    </row>
    <row r="569" spans="2:11" ht="15" customHeight="1">
      <c r="B569" t="s">
        <v>618</v>
      </c>
      <c r="C569" t="s">
        <v>889</v>
      </c>
      <c r="D569" t="s">
        <v>69</v>
      </c>
      <c r="E569" t="s">
        <v>70</v>
      </c>
      <c r="F569" s="17">
        <v>1000</v>
      </c>
      <c r="G569" s="17">
        <v>105000</v>
      </c>
      <c r="H569" s="17">
        <v>104000</v>
      </c>
      <c r="I569" s="18">
        <v>0.34</v>
      </c>
      <c r="J569" s="14">
        <f t="shared" si="0"/>
        <v>104</v>
      </c>
      <c r="K569" s="15" t="str">
        <f t="shared" si="1"/>
        <v>Exceeds Target</v>
      </c>
    </row>
    <row r="570" spans="2:11" ht="15" customHeight="1">
      <c r="B570" t="s">
        <v>890</v>
      </c>
      <c r="C570" t="s">
        <v>891</v>
      </c>
      <c r="D570" t="s">
        <v>80</v>
      </c>
      <c r="E570" t="s">
        <v>27</v>
      </c>
      <c r="F570" s="17">
        <v>1000</v>
      </c>
      <c r="G570" s="17">
        <v>84000</v>
      </c>
      <c r="H570" s="17">
        <v>83000</v>
      </c>
      <c r="I570" s="18">
        <v>0.74</v>
      </c>
      <c r="J570" s="14">
        <f t="shared" si="0"/>
        <v>83</v>
      </c>
      <c r="K570" s="15" t="str">
        <f t="shared" si="1"/>
        <v>Exceeds Target</v>
      </c>
    </row>
    <row r="571" spans="2:11" ht="15" customHeight="1">
      <c r="B571" t="s">
        <v>892</v>
      </c>
      <c r="C571" t="s">
        <v>893</v>
      </c>
      <c r="D571" t="s">
        <v>80</v>
      </c>
      <c r="E571" t="s">
        <v>27</v>
      </c>
      <c r="F571" s="17">
        <v>1000</v>
      </c>
      <c r="G571" s="17">
        <v>105000</v>
      </c>
      <c r="H571" s="17">
        <v>104000</v>
      </c>
      <c r="I571" s="18">
        <v>0.61</v>
      </c>
      <c r="J571" s="14">
        <f t="shared" si="0"/>
        <v>104</v>
      </c>
      <c r="K571" s="15" t="str">
        <f t="shared" si="1"/>
        <v>Exceeds Target</v>
      </c>
    </row>
    <row r="572" spans="2:11" ht="15" customHeight="1">
      <c r="B572" t="s">
        <v>81</v>
      </c>
      <c r="C572" t="s">
        <v>894</v>
      </c>
      <c r="D572" t="s">
        <v>35</v>
      </c>
      <c r="E572" t="s">
        <v>27</v>
      </c>
      <c r="F572" s="17">
        <v>3000</v>
      </c>
      <c r="G572" s="17">
        <v>140000</v>
      </c>
      <c r="H572" s="17">
        <v>137000</v>
      </c>
      <c r="I572" s="18">
        <v>0.57999999999999996</v>
      </c>
      <c r="J572" s="14">
        <f t="shared" si="0"/>
        <v>45.666666666666664</v>
      </c>
      <c r="K572" s="15" t="str">
        <f t="shared" si="1"/>
        <v>Exceeds Target</v>
      </c>
    </row>
    <row r="573" spans="2:11" ht="15" customHeight="1">
      <c r="B573" t="s">
        <v>252</v>
      </c>
      <c r="C573" t="s">
        <v>895</v>
      </c>
      <c r="D573" t="s">
        <v>35</v>
      </c>
      <c r="E573" t="s">
        <v>27</v>
      </c>
      <c r="F573" s="17">
        <v>3000</v>
      </c>
      <c r="G573" s="17">
        <v>260000</v>
      </c>
      <c r="H573" s="17">
        <v>257000</v>
      </c>
      <c r="I573" s="18">
        <v>0.8</v>
      </c>
      <c r="J573" s="14">
        <f t="shared" si="0"/>
        <v>85.666666666666671</v>
      </c>
      <c r="K573" s="15" t="str">
        <f t="shared" si="1"/>
        <v>Exceeds Target</v>
      </c>
    </row>
    <row r="574" spans="2:11" ht="15" customHeight="1">
      <c r="B574" t="s">
        <v>267</v>
      </c>
      <c r="C574" t="s">
        <v>896</v>
      </c>
      <c r="D574" t="s">
        <v>26</v>
      </c>
      <c r="E574" t="s">
        <v>27</v>
      </c>
      <c r="F574" s="17">
        <v>5000</v>
      </c>
      <c r="G574" s="17">
        <v>120000</v>
      </c>
      <c r="H574" s="17">
        <v>115000</v>
      </c>
      <c r="I574" s="18">
        <v>0.12</v>
      </c>
      <c r="J574" s="14">
        <f t="shared" si="0"/>
        <v>23</v>
      </c>
      <c r="K574" s="15" t="str">
        <f t="shared" si="1"/>
        <v>Exceeds Target</v>
      </c>
    </row>
    <row r="575" spans="2:11" ht="15" customHeight="1">
      <c r="B575" t="s">
        <v>566</v>
      </c>
      <c r="C575" t="s">
        <v>897</v>
      </c>
      <c r="D575" t="s">
        <v>35</v>
      </c>
      <c r="E575" t="s">
        <v>27</v>
      </c>
      <c r="F575" s="17">
        <v>3000</v>
      </c>
      <c r="G575" s="17">
        <v>250000</v>
      </c>
      <c r="H575" s="17">
        <v>247000</v>
      </c>
      <c r="I575" s="18">
        <v>0.48</v>
      </c>
      <c r="J575" s="14">
        <f t="shared" si="0"/>
        <v>82.333333333333329</v>
      </c>
      <c r="K575" s="15" t="str">
        <f t="shared" si="1"/>
        <v>Exceeds Target</v>
      </c>
    </row>
    <row r="576" spans="2:11" ht="15" customHeight="1">
      <c r="B576" t="s">
        <v>327</v>
      </c>
      <c r="C576" t="s">
        <v>898</v>
      </c>
      <c r="D576" t="s">
        <v>32</v>
      </c>
      <c r="E576" t="s">
        <v>27</v>
      </c>
      <c r="F576" s="17">
        <v>1500</v>
      </c>
      <c r="G576" s="17">
        <v>24000</v>
      </c>
      <c r="H576" s="17">
        <v>22500</v>
      </c>
      <c r="I576" s="18">
        <v>0.89</v>
      </c>
      <c r="J576" s="14">
        <f t="shared" si="0"/>
        <v>15</v>
      </c>
      <c r="K576" s="15" t="str">
        <f t="shared" si="1"/>
        <v>Exceeds Target</v>
      </c>
    </row>
    <row r="577" spans="2:11" ht="15" customHeight="1">
      <c r="B577" t="s">
        <v>899</v>
      </c>
      <c r="C577" t="s">
        <v>900</v>
      </c>
      <c r="D577" t="s">
        <v>69</v>
      </c>
      <c r="E577" t="s">
        <v>70</v>
      </c>
      <c r="F577" s="17">
        <v>1000</v>
      </c>
      <c r="G577" s="17">
        <v>60000</v>
      </c>
      <c r="H577" s="17">
        <v>59000</v>
      </c>
      <c r="I577" s="18">
        <v>0.62</v>
      </c>
      <c r="J577" s="14">
        <f t="shared" si="0"/>
        <v>59</v>
      </c>
      <c r="K577" s="15" t="str">
        <f t="shared" si="1"/>
        <v>Exceeds Target</v>
      </c>
    </row>
    <row r="578" spans="2:11" ht="15" customHeight="1">
      <c r="B578" t="s">
        <v>165</v>
      </c>
      <c r="C578" t="s">
        <v>901</v>
      </c>
      <c r="D578" t="s">
        <v>80</v>
      </c>
      <c r="E578" t="s">
        <v>27</v>
      </c>
      <c r="F578" s="17">
        <v>1000</v>
      </c>
      <c r="G578" s="17">
        <v>87000</v>
      </c>
      <c r="H578" s="17">
        <v>86000</v>
      </c>
      <c r="I578" s="18">
        <v>0.69</v>
      </c>
      <c r="J578" s="14">
        <f t="shared" si="0"/>
        <v>86</v>
      </c>
      <c r="K578" s="15" t="str">
        <f t="shared" si="1"/>
        <v>Exceeds Target</v>
      </c>
    </row>
    <row r="579" spans="2:11" ht="15" customHeight="1">
      <c r="B579" t="s">
        <v>815</v>
      </c>
      <c r="C579" t="s">
        <v>902</v>
      </c>
      <c r="D579" t="s">
        <v>80</v>
      </c>
      <c r="E579" t="s">
        <v>27</v>
      </c>
      <c r="F579" s="17">
        <v>1000</v>
      </c>
      <c r="G579" s="17">
        <v>57000</v>
      </c>
      <c r="H579" s="17">
        <v>56000</v>
      </c>
      <c r="I579" s="18">
        <v>0.69</v>
      </c>
      <c r="J579" s="14">
        <f t="shared" si="0"/>
        <v>56</v>
      </c>
      <c r="K579" s="15" t="str">
        <f t="shared" si="1"/>
        <v>Exceeds Target</v>
      </c>
    </row>
    <row r="580" spans="2:11" ht="15" customHeight="1">
      <c r="B580" t="s">
        <v>496</v>
      </c>
      <c r="C580" t="s">
        <v>903</v>
      </c>
      <c r="D580" t="s">
        <v>80</v>
      </c>
      <c r="E580" t="s">
        <v>27</v>
      </c>
      <c r="F580" s="17">
        <v>1000</v>
      </c>
      <c r="G580" s="17">
        <v>111000</v>
      </c>
      <c r="H580" s="17">
        <v>110000</v>
      </c>
      <c r="I580" s="18">
        <v>0.76</v>
      </c>
      <c r="J580" s="14">
        <f t="shared" si="0"/>
        <v>110</v>
      </c>
      <c r="K580" s="15" t="str">
        <f t="shared" si="1"/>
        <v>Exceeds Target</v>
      </c>
    </row>
    <row r="581" spans="2:11" ht="15" customHeight="1">
      <c r="B581" t="s">
        <v>85</v>
      </c>
      <c r="C581" t="s">
        <v>904</v>
      </c>
      <c r="D581" t="s">
        <v>26</v>
      </c>
      <c r="E581" t="s">
        <v>27</v>
      </c>
      <c r="F581" s="17">
        <v>5000</v>
      </c>
      <c r="G581" s="17">
        <v>90000</v>
      </c>
      <c r="H581" s="17">
        <v>85000</v>
      </c>
      <c r="I581" s="18">
        <v>0.21</v>
      </c>
      <c r="J581" s="14">
        <f t="shared" si="0"/>
        <v>17</v>
      </c>
      <c r="K581" s="15" t="str">
        <f t="shared" si="1"/>
        <v>Exceeds Target</v>
      </c>
    </row>
    <row r="582" spans="2:11" ht="15" customHeight="1">
      <c r="B582" t="s">
        <v>452</v>
      </c>
      <c r="C582" t="s">
        <v>905</v>
      </c>
      <c r="D582" t="s">
        <v>32</v>
      </c>
      <c r="E582" t="s">
        <v>27</v>
      </c>
      <c r="F582" s="17">
        <v>1500</v>
      </c>
      <c r="G582" s="17">
        <v>58000</v>
      </c>
      <c r="H582" s="17">
        <v>56500</v>
      </c>
      <c r="I582" s="18">
        <v>0.54</v>
      </c>
      <c r="J582" s="14">
        <f t="shared" si="0"/>
        <v>37.666666666666664</v>
      </c>
      <c r="K582" s="15" t="str">
        <f t="shared" si="1"/>
        <v>Exceeds Target</v>
      </c>
    </row>
    <row r="583" spans="2:11" ht="15" customHeight="1">
      <c r="B583" t="s">
        <v>457</v>
      </c>
      <c r="C583" t="s">
        <v>906</v>
      </c>
      <c r="D583" t="s">
        <v>80</v>
      </c>
      <c r="E583" t="s">
        <v>27</v>
      </c>
      <c r="F583" s="17">
        <v>1000</v>
      </c>
      <c r="G583" s="17">
        <v>45000</v>
      </c>
      <c r="H583" s="17">
        <v>44000</v>
      </c>
      <c r="I583" s="18">
        <v>0.83</v>
      </c>
      <c r="J583" s="14">
        <f t="shared" si="0"/>
        <v>44</v>
      </c>
      <c r="K583" s="15" t="str">
        <f t="shared" si="1"/>
        <v>Exceeds Target</v>
      </c>
    </row>
    <row r="584" spans="2:11" ht="15" customHeight="1">
      <c r="B584" t="s">
        <v>907</v>
      </c>
      <c r="C584" t="s">
        <v>908</v>
      </c>
      <c r="D584" t="s">
        <v>32</v>
      </c>
      <c r="E584" t="s">
        <v>27</v>
      </c>
      <c r="F584" s="17">
        <v>1500</v>
      </c>
      <c r="G584" s="17">
        <v>54000</v>
      </c>
      <c r="H584" s="17">
        <v>52500</v>
      </c>
      <c r="I584" s="18">
        <v>0.16</v>
      </c>
      <c r="J584" s="14">
        <f t="shared" si="0"/>
        <v>35</v>
      </c>
      <c r="K584" s="15" t="str">
        <f t="shared" si="1"/>
        <v>Exceeds Target</v>
      </c>
    </row>
    <row r="585" spans="2:11" ht="15" customHeight="1">
      <c r="B585" t="s">
        <v>378</v>
      </c>
      <c r="C585" t="s">
        <v>909</v>
      </c>
      <c r="D585" t="s">
        <v>69</v>
      </c>
      <c r="E585" t="s">
        <v>70</v>
      </c>
      <c r="F585" s="17">
        <v>1000</v>
      </c>
      <c r="G585" s="17">
        <v>140000</v>
      </c>
      <c r="H585" s="17">
        <v>139000</v>
      </c>
      <c r="I585" s="18">
        <v>0.63</v>
      </c>
      <c r="J585" s="14">
        <f t="shared" si="0"/>
        <v>139</v>
      </c>
      <c r="K585" s="15" t="str">
        <f t="shared" si="1"/>
        <v>Exceeds Target</v>
      </c>
    </row>
    <row r="586" spans="2:11" ht="15" customHeight="1">
      <c r="B586" t="s">
        <v>89</v>
      </c>
      <c r="C586" t="s">
        <v>910</v>
      </c>
      <c r="D586" t="s">
        <v>80</v>
      </c>
      <c r="E586" t="s">
        <v>27</v>
      </c>
      <c r="F586" s="17">
        <v>1000</v>
      </c>
      <c r="G586" s="17">
        <v>108000</v>
      </c>
      <c r="H586" s="17">
        <v>107000</v>
      </c>
      <c r="I586" s="18">
        <v>0.99</v>
      </c>
      <c r="J586" s="14">
        <f t="shared" si="0"/>
        <v>107</v>
      </c>
      <c r="K586" s="15" t="str">
        <f t="shared" si="1"/>
        <v>Exceeds Target</v>
      </c>
    </row>
    <row r="587" spans="2:11" ht="15" customHeight="1">
      <c r="B587" t="s">
        <v>225</v>
      </c>
      <c r="C587" t="s">
        <v>911</v>
      </c>
      <c r="D587" t="s">
        <v>69</v>
      </c>
      <c r="E587" t="s">
        <v>70</v>
      </c>
      <c r="F587" s="17">
        <v>1000</v>
      </c>
      <c r="G587" s="17">
        <v>110000</v>
      </c>
      <c r="H587" s="17">
        <v>109000</v>
      </c>
      <c r="I587" s="18">
        <v>0.9</v>
      </c>
      <c r="J587" s="14">
        <f t="shared" si="0"/>
        <v>109</v>
      </c>
      <c r="K587" s="15" t="str">
        <f t="shared" si="1"/>
        <v>Exceeds Target</v>
      </c>
    </row>
    <row r="588" spans="2:11" ht="15" customHeight="1">
      <c r="B588" t="s">
        <v>912</v>
      </c>
      <c r="C588" t="s">
        <v>913</v>
      </c>
      <c r="D588" t="s">
        <v>35</v>
      </c>
      <c r="E588" t="s">
        <v>27</v>
      </c>
      <c r="F588" s="17">
        <v>3000</v>
      </c>
      <c r="G588" s="17">
        <v>250000</v>
      </c>
      <c r="H588" s="17">
        <v>247000</v>
      </c>
      <c r="I588" s="18">
        <v>0.59</v>
      </c>
      <c r="J588" s="14">
        <f t="shared" si="0"/>
        <v>82.333333333333329</v>
      </c>
      <c r="K588" s="15" t="str">
        <f t="shared" si="1"/>
        <v>Exceeds Target</v>
      </c>
    </row>
    <row r="589" spans="2:11" ht="15" customHeight="1">
      <c r="B589" t="s">
        <v>313</v>
      </c>
      <c r="C589" t="s">
        <v>914</v>
      </c>
      <c r="D589" t="s">
        <v>32</v>
      </c>
      <c r="E589" t="s">
        <v>27</v>
      </c>
      <c r="F589" s="17">
        <v>1500</v>
      </c>
      <c r="G589" s="17">
        <v>32000</v>
      </c>
      <c r="H589" s="17">
        <v>30500</v>
      </c>
      <c r="I589" s="18">
        <v>0.59</v>
      </c>
      <c r="J589" s="14">
        <f t="shared" si="0"/>
        <v>20.333333333333332</v>
      </c>
      <c r="K589" s="15" t="str">
        <f t="shared" si="1"/>
        <v>Exceeds Target</v>
      </c>
    </row>
    <row r="590" spans="2:11" ht="15" customHeight="1">
      <c r="B590" t="s">
        <v>845</v>
      </c>
      <c r="C590" t="s">
        <v>915</v>
      </c>
      <c r="D590" t="s">
        <v>35</v>
      </c>
      <c r="E590" t="s">
        <v>27</v>
      </c>
      <c r="F590" s="17">
        <v>3000</v>
      </c>
      <c r="G590" s="17">
        <v>160000</v>
      </c>
      <c r="H590" s="17">
        <v>157000</v>
      </c>
      <c r="I590" s="18">
        <v>0.89</v>
      </c>
      <c r="J590" s="14">
        <f t="shared" si="0"/>
        <v>52.333333333333336</v>
      </c>
      <c r="K590" s="15" t="str">
        <f t="shared" si="1"/>
        <v>Exceeds Target</v>
      </c>
    </row>
    <row r="591" spans="2:11" ht="15" customHeight="1">
      <c r="B591" t="s">
        <v>916</v>
      </c>
      <c r="C591" t="s">
        <v>917</v>
      </c>
      <c r="D591" t="s">
        <v>69</v>
      </c>
      <c r="E591" t="s">
        <v>70</v>
      </c>
      <c r="F591" s="17">
        <v>1000</v>
      </c>
      <c r="G591" s="17">
        <v>85000</v>
      </c>
      <c r="H591" s="17">
        <v>84000</v>
      </c>
      <c r="I591" s="18">
        <v>0.19</v>
      </c>
      <c r="J591" s="14">
        <f t="shared" si="0"/>
        <v>84</v>
      </c>
      <c r="K591" s="15" t="str">
        <f t="shared" si="1"/>
        <v>Exceeds Target</v>
      </c>
    </row>
    <row r="592" spans="2:11" ht="15" customHeight="1">
      <c r="B592" t="s">
        <v>857</v>
      </c>
      <c r="C592" t="s">
        <v>918</v>
      </c>
      <c r="D592" t="s">
        <v>26</v>
      </c>
      <c r="E592" t="s">
        <v>27</v>
      </c>
      <c r="F592" s="17">
        <v>5000</v>
      </c>
      <c r="G592" s="17">
        <v>150000</v>
      </c>
      <c r="H592" s="17">
        <v>145000</v>
      </c>
      <c r="I592" s="18">
        <v>0.25</v>
      </c>
      <c r="J592" s="14">
        <f t="shared" si="0"/>
        <v>29</v>
      </c>
      <c r="K592" s="15" t="str">
        <f t="shared" si="1"/>
        <v>Exceeds Target</v>
      </c>
    </row>
    <row r="593" spans="2:11" ht="15" customHeight="1">
      <c r="B593" t="s">
        <v>613</v>
      </c>
      <c r="C593" t="s">
        <v>919</v>
      </c>
      <c r="D593" t="s">
        <v>35</v>
      </c>
      <c r="E593" t="s">
        <v>27</v>
      </c>
      <c r="F593" s="17">
        <v>3000</v>
      </c>
      <c r="G593" s="17">
        <v>220000</v>
      </c>
      <c r="H593" s="17">
        <v>217000</v>
      </c>
      <c r="I593" s="18">
        <v>0.9</v>
      </c>
      <c r="J593" s="14">
        <f t="shared" si="0"/>
        <v>72.333333333333329</v>
      </c>
      <c r="K593" s="15" t="str">
        <f t="shared" si="1"/>
        <v>Exceeds Target</v>
      </c>
    </row>
    <row r="594" spans="2:11" ht="15" customHeight="1">
      <c r="B594" t="s">
        <v>568</v>
      </c>
      <c r="C594" t="s">
        <v>920</v>
      </c>
      <c r="D594" t="s">
        <v>26</v>
      </c>
      <c r="E594" t="s">
        <v>27</v>
      </c>
      <c r="F594" s="17">
        <v>5000</v>
      </c>
      <c r="G594" s="17">
        <v>120000</v>
      </c>
      <c r="H594" s="17">
        <v>115000</v>
      </c>
      <c r="I594" s="18">
        <v>0.21</v>
      </c>
      <c r="J594" s="14">
        <f t="shared" si="0"/>
        <v>23</v>
      </c>
      <c r="K594" s="15" t="str">
        <f t="shared" si="1"/>
        <v>Exceeds Target</v>
      </c>
    </row>
    <row r="595" spans="2:11" ht="15" customHeight="1">
      <c r="B595" t="s">
        <v>734</v>
      </c>
      <c r="C595" t="s">
        <v>921</v>
      </c>
      <c r="D595" t="s">
        <v>32</v>
      </c>
      <c r="E595" t="s">
        <v>27</v>
      </c>
      <c r="F595" s="17">
        <v>1500</v>
      </c>
      <c r="G595" s="17">
        <v>48000</v>
      </c>
      <c r="H595" s="17">
        <v>46500</v>
      </c>
      <c r="I595" s="18">
        <v>0.56999999999999995</v>
      </c>
      <c r="J595" s="14">
        <f t="shared" si="0"/>
        <v>31</v>
      </c>
      <c r="K595" s="15" t="str">
        <f t="shared" si="1"/>
        <v>Exceeds Target</v>
      </c>
    </row>
    <row r="596" spans="2:11" ht="15" customHeight="1">
      <c r="B596" t="s">
        <v>337</v>
      </c>
      <c r="C596" t="s">
        <v>922</v>
      </c>
      <c r="D596" t="s">
        <v>35</v>
      </c>
      <c r="E596" t="s">
        <v>27</v>
      </c>
      <c r="F596" s="17">
        <v>3000</v>
      </c>
      <c r="G596" s="17">
        <v>290000</v>
      </c>
      <c r="H596" s="17">
        <v>287000</v>
      </c>
      <c r="I596" s="18">
        <v>0.76</v>
      </c>
      <c r="J596" s="14">
        <f t="shared" si="0"/>
        <v>95.666666666666671</v>
      </c>
      <c r="K596" s="15" t="str">
        <f t="shared" si="1"/>
        <v>Exceeds Target</v>
      </c>
    </row>
    <row r="597" spans="2:11" ht="15" customHeight="1">
      <c r="B597" t="s">
        <v>923</v>
      </c>
      <c r="C597" t="s">
        <v>924</v>
      </c>
      <c r="D597" t="s">
        <v>32</v>
      </c>
      <c r="E597" t="s">
        <v>27</v>
      </c>
      <c r="F597" s="17">
        <v>1500</v>
      </c>
      <c r="G597" s="17">
        <v>58000</v>
      </c>
      <c r="H597" s="17">
        <v>56500</v>
      </c>
      <c r="I597" s="18">
        <v>0.26</v>
      </c>
      <c r="J597" s="14">
        <f t="shared" si="0"/>
        <v>37.666666666666664</v>
      </c>
      <c r="K597" s="15" t="str">
        <f t="shared" si="1"/>
        <v>Exceeds Target</v>
      </c>
    </row>
    <row r="598" spans="2:11" ht="15" customHeight="1">
      <c r="B598" t="s">
        <v>257</v>
      </c>
      <c r="C598" t="s">
        <v>925</v>
      </c>
      <c r="D598" t="s">
        <v>80</v>
      </c>
      <c r="E598" t="s">
        <v>27</v>
      </c>
      <c r="F598" s="17">
        <v>1000</v>
      </c>
      <c r="G598" s="17">
        <v>72000</v>
      </c>
      <c r="H598" s="17">
        <v>71000</v>
      </c>
      <c r="I598" s="18">
        <v>0.72</v>
      </c>
      <c r="J598" s="14">
        <f t="shared" si="0"/>
        <v>71</v>
      </c>
      <c r="K598" s="15" t="str">
        <f t="shared" si="1"/>
        <v>Exceeds Target</v>
      </c>
    </row>
    <row r="599" spans="2:11" ht="15" customHeight="1">
      <c r="B599" t="s">
        <v>249</v>
      </c>
      <c r="C599" t="s">
        <v>926</v>
      </c>
      <c r="D599" t="s">
        <v>26</v>
      </c>
      <c r="E599" t="s">
        <v>27</v>
      </c>
      <c r="F599" s="17">
        <v>5000</v>
      </c>
      <c r="G599" s="17">
        <v>90000</v>
      </c>
      <c r="H599" s="17">
        <v>85000</v>
      </c>
      <c r="I599" s="18">
        <v>0.19</v>
      </c>
      <c r="J599" s="14">
        <f t="shared" si="0"/>
        <v>17</v>
      </c>
      <c r="K599" s="15" t="str">
        <f t="shared" si="1"/>
        <v>Exceeds Target</v>
      </c>
    </row>
    <row r="600" spans="2:11" ht="15" customHeight="1">
      <c r="B600" t="s">
        <v>287</v>
      </c>
      <c r="C600" t="s">
        <v>927</v>
      </c>
      <c r="D600" t="s">
        <v>32</v>
      </c>
      <c r="E600" t="s">
        <v>27</v>
      </c>
      <c r="F600" s="17">
        <v>1500</v>
      </c>
      <c r="G600" s="17">
        <v>12000</v>
      </c>
      <c r="H600" s="17">
        <v>10500</v>
      </c>
      <c r="I600" s="18">
        <v>0.53</v>
      </c>
      <c r="J600" s="14">
        <f t="shared" si="0"/>
        <v>7</v>
      </c>
      <c r="K600" s="15" t="str">
        <f t="shared" si="1"/>
        <v>Exceeds Target</v>
      </c>
    </row>
    <row r="601" spans="2:11" ht="15" customHeight="1">
      <c r="B601" t="s">
        <v>401</v>
      </c>
      <c r="C601" t="s">
        <v>928</v>
      </c>
      <c r="D601" t="s">
        <v>26</v>
      </c>
      <c r="E601" t="s">
        <v>27</v>
      </c>
      <c r="F601" s="17">
        <v>5000</v>
      </c>
      <c r="G601" s="17">
        <v>30000</v>
      </c>
      <c r="H601" s="17">
        <v>25000</v>
      </c>
      <c r="I601" s="18">
        <v>0.2</v>
      </c>
      <c r="J601" s="14">
        <f t="shared" si="0"/>
        <v>5</v>
      </c>
      <c r="K601" s="15" t="str">
        <f t="shared" si="1"/>
        <v>Exceeds Target</v>
      </c>
    </row>
    <row r="602" spans="2:11" ht="15" customHeight="1">
      <c r="B602" t="s">
        <v>929</v>
      </c>
      <c r="C602" t="s">
        <v>930</v>
      </c>
      <c r="D602" t="s">
        <v>69</v>
      </c>
      <c r="E602" t="s">
        <v>70</v>
      </c>
      <c r="F602" s="17">
        <v>1000</v>
      </c>
      <c r="G602" s="17">
        <v>60000</v>
      </c>
      <c r="H602" s="17">
        <v>59000</v>
      </c>
      <c r="I602" s="18">
        <v>0.27</v>
      </c>
      <c r="J602" s="14">
        <f t="shared" si="0"/>
        <v>59</v>
      </c>
      <c r="K602" s="15" t="str">
        <f t="shared" si="1"/>
        <v>Exceeds Target</v>
      </c>
    </row>
    <row r="603" spans="2:11" ht="15" customHeight="1">
      <c r="B603" t="s">
        <v>411</v>
      </c>
      <c r="C603" t="s">
        <v>931</v>
      </c>
      <c r="D603" t="s">
        <v>69</v>
      </c>
      <c r="E603" t="s">
        <v>70</v>
      </c>
      <c r="F603" s="17">
        <v>1000</v>
      </c>
      <c r="G603" s="17">
        <v>145000</v>
      </c>
      <c r="H603" s="17">
        <v>144000</v>
      </c>
      <c r="I603" s="18">
        <v>0.62</v>
      </c>
      <c r="J603" s="14">
        <f t="shared" si="0"/>
        <v>144</v>
      </c>
      <c r="K603" s="15" t="str">
        <f t="shared" si="1"/>
        <v>Exceeds Target</v>
      </c>
    </row>
    <row r="604" spans="2:11" ht="15" customHeight="1">
      <c r="B604" t="s">
        <v>932</v>
      </c>
      <c r="C604" t="s">
        <v>933</v>
      </c>
      <c r="D604" t="s">
        <v>26</v>
      </c>
      <c r="E604" t="s">
        <v>27</v>
      </c>
      <c r="F604" s="17">
        <v>5000</v>
      </c>
      <c r="G604" s="17">
        <v>90000</v>
      </c>
      <c r="H604" s="17">
        <v>85000</v>
      </c>
      <c r="I604" s="18">
        <v>0.09</v>
      </c>
      <c r="J604" s="14">
        <f t="shared" si="0"/>
        <v>17</v>
      </c>
      <c r="K604" s="15" t="str">
        <f t="shared" si="1"/>
        <v>Exceeds Target</v>
      </c>
    </row>
    <row r="605" spans="2:11" ht="15" customHeight="1">
      <c r="B605" t="s">
        <v>190</v>
      </c>
      <c r="C605" t="s">
        <v>934</v>
      </c>
      <c r="D605" t="s">
        <v>80</v>
      </c>
      <c r="E605" t="s">
        <v>27</v>
      </c>
      <c r="F605" s="17">
        <v>1000</v>
      </c>
      <c r="G605" s="17">
        <v>60000</v>
      </c>
      <c r="H605" s="17">
        <v>59000</v>
      </c>
      <c r="I605" s="18">
        <v>0.6</v>
      </c>
      <c r="J605" s="14">
        <f t="shared" si="0"/>
        <v>59</v>
      </c>
      <c r="K605" s="15" t="str">
        <f t="shared" si="1"/>
        <v>Exceeds Target</v>
      </c>
    </row>
    <row r="606" spans="2:11" ht="15" customHeight="1">
      <c r="B606" t="s">
        <v>115</v>
      </c>
      <c r="C606" t="s">
        <v>935</v>
      </c>
      <c r="D606" t="s">
        <v>35</v>
      </c>
      <c r="E606" t="s">
        <v>27</v>
      </c>
      <c r="F606" s="17">
        <v>3000</v>
      </c>
      <c r="G606" s="17">
        <v>200000</v>
      </c>
      <c r="H606" s="17">
        <v>197000</v>
      </c>
      <c r="I606" s="18">
        <v>0.28999999999999998</v>
      </c>
      <c r="J606" s="14">
        <f t="shared" si="0"/>
        <v>65.666666666666671</v>
      </c>
      <c r="K606" s="15" t="str">
        <f t="shared" si="1"/>
        <v>Exceeds Target</v>
      </c>
    </row>
    <row r="607" spans="2:11" ht="15" customHeight="1">
      <c r="B607" t="s">
        <v>509</v>
      </c>
      <c r="C607" t="s">
        <v>936</v>
      </c>
      <c r="D607" t="s">
        <v>80</v>
      </c>
      <c r="E607" t="s">
        <v>27</v>
      </c>
      <c r="F607" s="17">
        <v>1000</v>
      </c>
      <c r="G607" s="17">
        <v>51000</v>
      </c>
      <c r="H607" s="17">
        <v>50000</v>
      </c>
      <c r="I607" s="18">
        <v>0.97</v>
      </c>
      <c r="J607" s="14">
        <f t="shared" si="0"/>
        <v>50</v>
      </c>
      <c r="K607" s="15" t="str">
        <f t="shared" si="1"/>
        <v>Exceeds Target</v>
      </c>
    </row>
    <row r="608" spans="2:11" ht="15" customHeight="1">
      <c r="B608" t="s">
        <v>40</v>
      </c>
      <c r="C608" t="s">
        <v>937</v>
      </c>
      <c r="D608" t="s">
        <v>32</v>
      </c>
      <c r="E608" t="s">
        <v>27</v>
      </c>
      <c r="F608" s="17">
        <v>1500</v>
      </c>
      <c r="G608" s="17">
        <v>60000</v>
      </c>
      <c r="H608" s="17">
        <v>58500</v>
      </c>
      <c r="I608" s="18">
        <v>0.72</v>
      </c>
      <c r="J608" s="14">
        <f t="shared" si="0"/>
        <v>39</v>
      </c>
      <c r="K608" s="15" t="str">
        <f t="shared" si="1"/>
        <v>Exceeds Target</v>
      </c>
    </row>
    <row r="609" spans="2:11" ht="15" customHeight="1">
      <c r="B609" t="s">
        <v>167</v>
      </c>
      <c r="C609" t="s">
        <v>938</v>
      </c>
      <c r="D609" t="s">
        <v>35</v>
      </c>
      <c r="E609" t="s">
        <v>27</v>
      </c>
      <c r="F609" s="17">
        <v>3000</v>
      </c>
      <c r="G609" s="17">
        <v>290000</v>
      </c>
      <c r="H609" s="17">
        <v>287000</v>
      </c>
      <c r="I609" s="18">
        <v>0.79</v>
      </c>
      <c r="J609" s="14">
        <f t="shared" si="0"/>
        <v>95.666666666666671</v>
      </c>
      <c r="K609" s="15" t="str">
        <f t="shared" si="1"/>
        <v>Exceeds Target</v>
      </c>
    </row>
    <row r="610" spans="2:11" ht="15" customHeight="1">
      <c r="B610" t="s">
        <v>939</v>
      </c>
      <c r="C610" t="s">
        <v>940</v>
      </c>
      <c r="D610" t="s">
        <v>69</v>
      </c>
      <c r="E610" t="s">
        <v>70</v>
      </c>
      <c r="F610" s="17">
        <v>1000</v>
      </c>
      <c r="G610" s="17">
        <v>35000</v>
      </c>
      <c r="H610" s="17">
        <v>34000</v>
      </c>
      <c r="I610" s="18">
        <v>0.34</v>
      </c>
      <c r="J610" s="14">
        <f t="shared" si="0"/>
        <v>34</v>
      </c>
      <c r="K610" s="15" t="str">
        <f t="shared" si="1"/>
        <v>Exceeds Target</v>
      </c>
    </row>
    <row r="611" spans="2:11" ht="15" customHeight="1">
      <c r="B611" t="s">
        <v>529</v>
      </c>
      <c r="C611" t="s">
        <v>941</v>
      </c>
      <c r="D611" t="s">
        <v>26</v>
      </c>
      <c r="E611" t="s">
        <v>27</v>
      </c>
      <c r="F611" s="17">
        <v>5000</v>
      </c>
      <c r="G611" s="17">
        <v>120000</v>
      </c>
      <c r="H611" s="17">
        <v>115000</v>
      </c>
      <c r="I611" s="18">
        <v>0.4</v>
      </c>
      <c r="J611" s="14">
        <f t="shared" si="0"/>
        <v>23</v>
      </c>
      <c r="K611" s="15" t="str">
        <f t="shared" si="1"/>
        <v>Exceeds Target</v>
      </c>
    </row>
    <row r="612" spans="2:11" ht="15" customHeight="1">
      <c r="B612" t="s">
        <v>352</v>
      </c>
      <c r="C612" t="s">
        <v>942</v>
      </c>
      <c r="D612" t="s">
        <v>32</v>
      </c>
      <c r="E612" t="s">
        <v>27</v>
      </c>
      <c r="F612" s="17">
        <v>1500</v>
      </c>
      <c r="G612" s="17">
        <v>52000</v>
      </c>
      <c r="H612" s="17">
        <v>50500</v>
      </c>
      <c r="I612" s="18">
        <v>0.97</v>
      </c>
      <c r="J612" s="14">
        <f t="shared" si="0"/>
        <v>33.666666666666664</v>
      </c>
      <c r="K612" s="15" t="str">
        <f t="shared" si="1"/>
        <v>Exceeds Target</v>
      </c>
    </row>
    <row r="613" spans="2:11" ht="15" customHeight="1">
      <c r="B613" t="s">
        <v>188</v>
      </c>
      <c r="C613" t="s">
        <v>943</v>
      </c>
      <c r="D613" t="s">
        <v>26</v>
      </c>
      <c r="E613" t="s">
        <v>27</v>
      </c>
      <c r="F613" s="17">
        <v>5000</v>
      </c>
      <c r="G613" s="17">
        <v>60000</v>
      </c>
      <c r="H613" s="17">
        <v>55000</v>
      </c>
      <c r="I613" s="18">
        <v>0.26</v>
      </c>
      <c r="J613" s="14">
        <f t="shared" si="0"/>
        <v>11</v>
      </c>
      <c r="K613" s="15" t="str">
        <f t="shared" si="1"/>
        <v>Exceeds Target</v>
      </c>
    </row>
    <row r="614" spans="2:11" ht="15" customHeight="1">
      <c r="B614" t="s">
        <v>317</v>
      </c>
      <c r="C614" t="s">
        <v>944</v>
      </c>
      <c r="D614" t="s">
        <v>80</v>
      </c>
      <c r="E614" t="s">
        <v>27</v>
      </c>
      <c r="F614" s="17">
        <v>1000</v>
      </c>
      <c r="G614" s="17">
        <v>51000</v>
      </c>
      <c r="H614" s="17">
        <v>50000</v>
      </c>
      <c r="I614" s="18">
        <v>0.8</v>
      </c>
      <c r="J614" s="14">
        <f t="shared" si="0"/>
        <v>50</v>
      </c>
      <c r="K614" s="15" t="str">
        <f t="shared" si="1"/>
        <v>Exceeds Target</v>
      </c>
    </row>
    <row r="615" spans="2:11" ht="15" customHeight="1">
      <c r="B615" t="s">
        <v>500</v>
      </c>
      <c r="C615" t="s">
        <v>945</v>
      </c>
      <c r="D615" t="s">
        <v>69</v>
      </c>
      <c r="E615" t="s">
        <v>70</v>
      </c>
      <c r="F615" s="17">
        <v>1000</v>
      </c>
      <c r="G615" s="17">
        <v>65000</v>
      </c>
      <c r="H615" s="17">
        <v>64000</v>
      </c>
      <c r="I615" s="18">
        <v>0.59</v>
      </c>
      <c r="J615" s="14">
        <f t="shared" si="0"/>
        <v>64</v>
      </c>
      <c r="K615" s="15" t="str">
        <f t="shared" si="1"/>
        <v>Exceeds Target</v>
      </c>
    </row>
    <row r="616" spans="2:11" ht="15" customHeight="1">
      <c r="B616" t="s">
        <v>596</v>
      </c>
      <c r="C616" t="s">
        <v>946</v>
      </c>
      <c r="D616" t="s">
        <v>35</v>
      </c>
      <c r="E616" t="s">
        <v>27</v>
      </c>
      <c r="F616" s="17">
        <v>3000</v>
      </c>
      <c r="G616" s="17">
        <v>150000</v>
      </c>
      <c r="H616" s="17">
        <v>147000</v>
      </c>
      <c r="I616" s="18">
        <v>0.84</v>
      </c>
      <c r="J616" s="14">
        <f t="shared" si="0"/>
        <v>49</v>
      </c>
      <c r="K616" s="15" t="str">
        <f t="shared" si="1"/>
        <v>Exceeds Target</v>
      </c>
    </row>
    <row r="617" spans="2:11" ht="15" customHeight="1">
      <c r="B617" t="s">
        <v>123</v>
      </c>
      <c r="C617" t="s">
        <v>947</v>
      </c>
      <c r="D617" t="s">
        <v>32</v>
      </c>
      <c r="E617" t="s">
        <v>27</v>
      </c>
      <c r="F617" s="17">
        <v>1500</v>
      </c>
      <c r="G617" s="17">
        <v>36000</v>
      </c>
      <c r="H617" s="17">
        <v>34500</v>
      </c>
      <c r="I617" s="18">
        <v>0.45</v>
      </c>
      <c r="J617" s="14">
        <f t="shared" si="0"/>
        <v>23</v>
      </c>
      <c r="K617" s="15" t="str">
        <f t="shared" si="1"/>
        <v>Exceeds Target</v>
      </c>
    </row>
    <row r="618" spans="2:11" ht="15" customHeight="1">
      <c r="B618" t="s">
        <v>199</v>
      </c>
      <c r="C618" t="s">
        <v>948</v>
      </c>
      <c r="D618" t="s">
        <v>32</v>
      </c>
      <c r="E618" t="s">
        <v>27</v>
      </c>
      <c r="F618" s="17">
        <v>1500</v>
      </c>
      <c r="G618" s="17">
        <v>30000</v>
      </c>
      <c r="H618" s="17">
        <v>28500</v>
      </c>
      <c r="I618" s="18">
        <v>0.7</v>
      </c>
      <c r="J618" s="14">
        <f t="shared" si="0"/>
        <v>19</v>
      </c>
      <c r="K618" s="15" t="str">
        <f t="shared" si="1"/>
        <v>Exceeds Target</v>
      </c>
    </row>
    <row r="619" spans="2:11" ht="15" customHeight="1">
      <c r="B619" t="s">
        <v>615</v>
      </c>
      <c r="C619" t="s">
        <v>949</v>
      </c>
      <c r="D619" t="s">
        <v>80</v>
      </c>
      <c r="E619" t="s">
        <v>27</v>
      </c>
      <c r="F619" s="17">
        <v>1000</v>
      </c>
      <c r="G619" s="17">
        <v>57000</v>
      </c>
      <c r="H619" s="17">
        <v>56000</v>
      </c>
      <c r="I619" s="18">
        <v>0.88</v>
      </c>
      <c r="J619" s="14">
        <f t="shared" si="0"/>
        <v>56</v>
      </c>
      <c r="K619" s="15" t="str">
        <f t="shared" si="1"/>
        <v>Exceeds Target</v>
      </c>
    </row>
    <row r="620" spans="2:11" ht="15" customHeight="1">
      <c r="B620" t="s">
        <v>157</v>
      </c>
      <c r="C620" t="s">
        <v>950</v>
      </c>
      <c r="D620" t="s">
        <v>35</v>
      </c>
      <c r="E620" t="s">
        <v>27</v>
      </c>
      <c r="F620" s="17">
        <v>3000</v>
      </c>
      <c r="G620" s="17">
        <v>280000</v>
      </c>
      <c r="H620" s="17">
        <v>277000</v>
      </c>
      <c r="I620" s="18">
        <v>0.87</v>
      </c>
      <c r="J620" s="14">
        <f t="shared" si="0"/>
        <v>92.333333333333329</v>
      </c>
      <c r="K620" s="15" t="str">
        <f t="shared" si="1"/>
        <v>Exceeds Target</v>
      </c>
    </row>
    <row r="621" spans="2:11" ht="15" customHeight="1">
      <c r="B621" t="s">
        <v>119</v>
      </c>
      <c r="C621" t="s">
        <v>951</v>
      </c>
      <c r="D621" t="s">
        <v>32</v>
      </c>
      <c r="E621" t="s">
        <v>27</v>
      </c>
      <c r="F621" s="17">
        <v>1500</v>
      </c>
      <c r="G621" s="17">
        <v>52000</v>
      </c>
      <c r="H621" s="17">
        <v>50500</v>
      </c>
      <c r="I621" s="18">
        <v>0.16</v>
      </c>
      <c r="J621" s="14">
        <f t="shared" si="0"/>
        <v>33.666666666666664</v>
      </c>
      <c r="K621" s="15" t="str">
        <f t="shared" si="1"/>
        <v>Exceeds Target</v>
      </c>
    </row>
    <row r="622" spans="2:11" ht="15" customHeight="1">
      <c r="B622" t="s">
        <v>311</v>
      </c>
      <c r="C622" t="s">
        <v>952</v>
      </c>
      <c r="D622" t="s">
        <v>80</v>
      </c>
      <c r="E622" t="s">
        <v>27</v>
      </c>
      <c r="F622" s="17">
        <v>1000</v>
      </c>
      <c r="G622" s="17">
        <v>51000</v>
      </c>
      <c r="H622" s="17">
        <v>50000</v>
      </c>
      <c r="I622" s="18">
        <v>0.88</v>
      </c>
      <c r="J622" s="14">
        <f t="shared" si="0"/>
        <v>50</v>
      </c>
      <c r="K622" s="15" t="str">
        <f t="shared" si="1"/>
        <v>Exceeds Target</v>
      </c>
    </row>
    <row r="623" spans="2:11" ht="15" customHeight="1">
      <c r="B623" t="s">
        <v>101</v>
      </c>
      <c r="C623" t="s">
        <v>953</v>
      </c>
      <c r="D623" t="s">
        <v>80</v>
      </c>
      <c r="E623" t="s">
        <v>27</v>
      </c>
      <c r="F623" s="17">
        <v>1000</v>
      </c>
      <c r="G623" s="17">
        <v>75000</v>
      </c>
      <c r="H623" s="17">
        <v>74000</v>
      </c>
      <c r="I623" s="18">
        <v>0.7</v>
      </c>
      <c r="J623" s="14">
        <f t="shared" si="0"/>
        <v>74</v>
      </c>
      <c r="K623" s="15" t="str">
        <f t="shared" si="1"/>
        <v>Exceeds Target</v>
      </c>
    </row>
    <row r="624" spans="2:11" ht="15" customHeight="1">
      <c r="B624" t="s">
        <v>242</v>
      </c>
      <c r="C624" t="s">
        <v>954</v>
      </c>
      <c r="D624" t="s">
        <v>26</v>
      </c>
      <c r="E624" t="s">
        <v>27</v>
      </c>
      <c r="F624" s="17">
        <v>5000</v>
      </c>
      <c r="G624" s="17">
        <v>60000</v>
      </c>
      <c r="H624" s="17">
        <v>55000</v>
      </c>
      <c r="I624" s="18">
        <v>0.24</v>
      </c>
      <c r="J624" s="14">
        <f t="shared" si="0"/>
        <v>11</v>
      </c>
      <c r="K624" s="15" t="str">
        <f t="shared" si="1"/>
        <v>Exceeds Target</v>
      </c>
    </row>
    <row r="625" spans="2:11" ht="15" customHeight="1">
      <c r="B625" t="s">
        <v>677</v>
      </c>
      <c r="C625" t="s">
        <v>955</v>
      </c>
      <c r="D625" t="s">
        <v>80</v>
      </c>
      <c r="E625" t="s">
        <v>27</v>
      </c>
      <c r="F625" s="17">
        <v>1000</v>
      </c>
      <c r="G625" s="17">
        <v>69000</v>
      </c>
      <c r="H625" s="17">
        <v>68000</v>
      </c>
      <c r="I625" s="18">
        <v>0.79</v>
      </c>
      <c r="J625" s="14">
        <f t="shared" si="0"/>
        <v>68</v>
      </c>
      <c r="K625" s="15" t="str">
        <f t="shared" si="1"/>
        <v>Exceeds Target</v>
      </c>
    </row>
    <row r="626" spans="2:11" ht="15" customHeight="1">
      <c r="B626" t="s">
        <v>956</v>
      </c>
      <c r="C626" t="s">
        <v>957</v>
      </c>
      <c r="D626" t="s">
        <v>26</v>
      </c>
      <c r="E626" t="s">
        <v>27</v>
      </c>
      <c r="F626" s="17">
        <v>5000</v>
      </c>
      <c r="G626" s="17">
        <v>120000</v>
      </c>
      <c r="H626" s="17">
        <v>115000</v>
      </c>
      <c r="I626" s="18">
        <v>7.0000000000000007E-2</v>
      </c>
      <c r="J626" s="14">
        <f t="shared" si="0"/>
        <v>23</v>
      </c>
      <c r="K626" s="15" t="str">
        <f t="shared" si="1"/>
        <v>Exceeds Target</v>
      </c>
    </row>
    <row r="627" spans="2:11" ht="15" customHeight="1">
      <c r="B627" t="s">
        <v>958</v>
      </c>
      <c r="C627" t="s">
        <v>959</v>
      </c>
      <c r="D627" t="s">
        <v>80</v>
      </c>
      <c r="E627" t="s">
        <v>27</v>
      </c>
      <c r="F627" s="17">
        <v>1000</v>
      </c>
      <c r="G627" s="17">
        <v>60000</v>
      </c>
      <c r="H627" s="17">
        <v>59000</v>
      </c>
      <c r="I627" s="18">
        <v>0.65</v>
      </c>
      <c r="J627" s="14">
        <f t="shared" si="0"/>
        <v>59</v>
      </c>
      <c r="K627" s="15" t="str">
        <f t="shared" si="1"/>
        <v>Exceeds Target</v>
      </c>
    </row>
    <row r="628" spans="2:11" ht="15" customHeight="1">
      <c r="B628" t="s">
        <v>197</v>
      </c>
      <c r="C628" t="s">
        <v>960</v>
      </c>
      <c r="D628" t="s">
        <v>35</v>
      </c>
      <c r="E628" t="s">
        <v>27</v>
      </c>
      <c r="F628" s="17">
        <v>3000</v>
      </c>
      <c r="G628" s="17">
        <v>180000</v>
      </c>
      <c r="H628" s="17">
        <v>177000</v>
      </c>
      <c r="I628" s="18">
        <v>0.8</v>
      </c>
      <c r="J628" s="14">
        <f t="shared" si="0"/>
        <v>59</v>
      </c>
      <c r="K628" s="15" t="str">
        <f t="shared" si="1"/>
        <v>Exceeds Target</v>
      </c>
    </row>
    <row r="629" spans="2:11" ht="15" customHeight="1">
      <c r="B629" t="s">
        <v>384</v>
      </c>
      <c r="C629" t="s">
        <v>961</v>
      </c>
      <c r="D629" t="s">
        <v>69</v>
      </c>
      <c r="E629" t="s">
        <v>70</v>
      </c>
      <c r="F629" s="17">
        <v>1000</v>
      </c>
      <c r="G629" s="17">
        <v>35000</v>
      </c>
      <c r="H629" s="17">
        <v>34000</v>
      </c>
      <c r="I629" s="18">
        <v>0.6</v>
      </c>
      <c r="J629" s="14">
        <f t="shared" si="0"/>
        <v>34</v>
      </c>
      <c r="K629" s="15" t="str">
        <f t="shared" si="1"/>
        <v>Exceeds Target</v>
      </c>
    </row>
    <row r="630" spans="2:11" ht="15" customHeight="1">
      <c r="B630" t="s">
        <v>390</v>
      </c>
      <c r="C630" t="s">
        <v>962</v>
      </c>
      <c r="D630" t="s">
        <v>69</v>
      </c>
      <c r="E630" t="s">
        <v>70</v>
      </c>
      <c r="F630" s="17">
        <v>1000</v>
      </c>
      <c r="G630" s="17">
        <v>90000</v>
      </c>
      <c r="H630" s="17">
        <v>89000</v>
      </c>
      <c r="I630" s="18">
        <v>0.26</v>
      </c>
      <c r="J630" s="14">
        <f t="shared" si="0"/>
        <v>89</v>
      </c>
      <c r="K630" s="15" t="str">
        <f t="shared" si="1"/>
        <v>Exceeds Target</v>
      </c>
    </row>
    <row r="631" spans="2:11" ht="15" customHeight="1">
      <c r="B631" t="s">
        <v>625</v>
      </c>
      <c r="C631" t="s">
        <v>963</v>
      </c>
      <c r="D631" t="s">
        <v>35</v>
      </c>
      <c r="E631" t="s">
        <v>27</v>
      </c>
      <c r="F631" s="17">
        <v>3000</v>
      </c>
      <c r="G631" s="17">
        <v>170000</v>
      </c>
      <c r="H631" s="17">
        <v>167000</v>
      </c>
      <c r="I631" s="18">
        <v>0.57999999999999996</v>
      </c>
      <c r="J631" s="14">
        <f t="shared" si="0"/>
        <v>55.666666666666664</v>
      </c>
      <c r="K631" s="15" t="str">
        <f t="shared" si="1"/>
        <v>Exceeds Target</v>
      </c>
    </row>
    <row r="632" spans="2:11" ht="15" customHeight="1">
      <c r="B632" t="s">
        <v>964</v>
      </c>
      <c r="C632" t="s">
        <v>965</v>
      </c>
      <c r="D632" t="s">
        <v>69</v>
      </c>
      <c r="E632" t="s">
        <v>70</v>
      </c>
      <c r="F632" s="17">
        <v>1000</v>
      </c>
      <c r="G632" s="17">
        <v>135000</v>
      </c>
      <c r="H632" s="17">
        <v>134000</v>
      </c>
      <c r="I632" s="18">
        <v>0.61</v>
      </c>
      <c r="J632" s="14">
        <f t="shared" si="0"/>
        <v>134</v>
      </c>
      <c r="K632" s="15" t="str">
        <f t="shared" si="1"/>
        <v>Exceeds Target</v>
      </c>
    </row>
    <row r="633" spans="2:11" ht="15" customHeight="1">
      <c r="B633" t="s">
        <v>315</v>
      </c>
      <c r="C633" t="s">
        <v>966</v>
      </c>
      <c r="D633" t="s">
        <v>32</v>
      </c>
      <c r="E633" t="s">
        <v>27</v>
      </c>
      <c r="F633" s="17">
        <v>1500</v>
      </c>
      <c r="G633" s="17">
        <v>50000</v>
      </c>
      <c r="H633" s="17">
        <v>48500</v>
      </c>
      <c r="I633" s="18">
        <v>0.51</v>
      </c>
      <c r="J633" s="14">
        <f t="shared" si="0"/>
        <v>32.333333333333336</v>
      </c>
      <c r="K633" s="15" t="str">
        <f t="shared" si="1"/>
        <v>Exceeds Target</v>
      </c>
    </row>
    <row r="634" spans="2:11" ht="15" customHeight="1">
      <c r="B634" t="s">
        <v>685</v>
      </c>
      <c r="C634" t="s">
        <v>967</v>
      </c>
      <c r="D634" t="s">
        <v>69</v>
      </c>
      <c r="E634" t="s">
        <v>70</v>
      </c>
      <c r="F634" s="17">
        <v>1000</v>
      </c>
      <c r="G634" s="17">
        <v>120000</v>
      </c>
      <c r="H634" s="17">
        <v>119000</v>
      </c>
      <c r="I634" s="18">
        <v>0.45</v>
      </c>
      <c r="J634" s="14">
        <f t="shared" si="0"/>
        <v>119</v>
      </c>
      <c r="K634" s="15" t="str">
        <f t="shared" si="1"/>
        <v>Exceeds Target</v>
      </c>
    </row>
    <row r="635" spans="2:11" ht="15" customHeight="1">
      <c r="B635" t="s">
        <v>345</v>
      </c>
      <c r="C635" t="s">
        <v>968</v>
      </c>
      <c r="D635" t="s">
        <v>69</v>
      </c>
      <c r="E635" t="s">
        <v>70</v>
      </c>
      <c r="F635" s="17">
        <v>1000</v>
      </c>
      <c r="G635" s="17">
        <v>50000</v>
      </c>
      <c r="H635" s="17">
        <v>49000</v>
      </c>
      <c r="I635" s="18">
        <v>0.95</v>
      </c>
      <c r="J635" s="14">
        <f t="shared" si="0"/>
        <v>49</v>
      </c>
      <c r="K635" s="15" t="str">
        <f t="shared" si="1"/>
        <v>Exceeds Target</v>
      </c>
    </row>
    <row r="636" spans="2:11" ht="15" customHeight="1">
      <c r="B636" t="s">
        <v>185</v>
      </c>
      <c r="C636" t="s">
        <v>969</v>
      </c>
      <c r="D636" t="s">
        <v>80</v>
      </c>
      <c r="E636" t="s">
        <v>27</v>
      </c>
      <c r="F636" s="17">
        <v>1000</v>
      </c>
      <c r="G636" s="17">
        <v>84000</v>
      </c>
      <c r="H636" s="17">
        <v>83000</v>
      </c>
      <c r="I636" s="18">
        <v>0.7</v>
      </c>
      <c r="J636" s="14">
        <f t="shared" si="0"/>
        <v>83</v>
      </c>
      <c r="K636" s="15" t="str">
        <f t="shared" si="1"/>
        <v>Exceeds Target</v>
      </c>
    </row>
    <row r="637" spans="2:11" ht="15" customHeight="1">
      <c r="B637" t="s">
        <v>267</v>
      </c>
      <c r="C637" t="s">
        <v>970</v>
      </c>
      <c r="D637" t="s">
        <v>80</v>
      </c>
      <c r="E637" t="s">
        <v>27</v>
      </c>
      <c r="F637" s="17">
        <v>1000</v>
      </c>
      <c r="G637" s="17">
        <v>48000</v>
      </c>
      <c r="H637" s="17">
        <v>47000</v>
      </c>
      <c r="I637" s="18">
        <v>0.91</v>
      </c>
      <c r="J637" s="14">
        <f t="shared" si="0"/>
        <v>47</v>
      </c>
      <c r="K637" s="15" t="str">
        <f t="shared" si="1"/>
        <v>Exceeds Target</v>
      </c>
    </row>
    <row r="638" spans="2:11" ht="15" customHeight="1">
      <c r="B638" t="s">
        <v>971</v>
      </c>
      <c r="C638" t="s">
        <v>972</v>
      </c>
      <c r="D638" t="s">
        <v>69</v>
      </c>
      <c r="E638" t="s">
        <v>70</v>
      </c>
      <c r="F638" s="17">
        <v>1000</v>
      </c>
      <c r="G638" s="17">
        <v>125000</v>
      </c>
      <c r="H638" s="17">
        <v>124000</v>
      </c>
      <c r="I638" s="18">
        <v>0.38</v>
      </c>
      <c r="J638" s="14">
        <f t="shared" si="0"/>
        <v>124</v>
      </c>
      <c r="K638" s="15" t="str">
        <f t="shared" si="1"/>
        <v>Exceeds Target</v>
      </c>
    </row>
    <row r="639" spans="2:11" ht="15" customHeight="1">
      <c r="B639" t="s">
        <v>973</v>
      </c>
      <c r="C639" t="s">
        <v>974</v>
      </c>
      <c r="D639" t="s">
        <v>26</v>
      </c>
      <c r="E639" t="s">
        <v>27</v>
      </c>
      <c r="F639" s="17">
        <v>5000</v>
      </c>
      <c r="G639" s="17">
        <v>120000</v>
      </c>
      <c r="H639" s="17">
        <v>115000</v>
      </c>
      <c r="I639" s="18">
        <v>0.24</v>
      </c>
      <c r="J639" s="14">
        <f t="shared" si="0"/>
        <v>23</v>
      </c>
      <c r="K639" s="15" t="str">
        <f t="shared" si="1"/>
        <v>Exceeds Target</v>
      </c>
    </row>
    <row r="640" spans="2:11" ht="15" customHeight="1">
      <c r="B640" t="s">
        <v>713</v>
      </c>
      <c r="C640" t="s">
        <v>975</v>
      </c>
      <c r="D640" t="s">
        <v>26</v>
      </c>
      <c r="E640" t="s">
        <v>27</v>
      </c>
      <c r="F640" s="17">
        <v>5000</v>
      </c>
      <c r="G640" s="17">
        <v>120000</v>
      </c>
      <c r="H640" s="17">
        <v>115000</v>
      </c>
      <c r="I640" s="18">
        <v>0.11</v>
      </c>
      <c r="J640" s="14">
        <f t="shared" si="0"/>
        <v>23</v>
      </c>
      <c r="K640" s="15" t="str">
        <f t="shared" si="1"/>
        <v>Exceeds Target</v>
      </c>
    </row>
    <row r="641" spans="2:11" ht="15" customHeight="1">
      <c r="B641" t="s">
        <v>376</v>
      </c>
      <c r="C641" t="s">
        <v>976</v>
      </c>
      <c r="D641" t="s">
        <v>26</v>
      </c>
      <c r="E641" t="s">
        <v>27</v>
      </c>
      <c r="F641" s="17">
        <v>5000</v>
      </c>
      <c r="G641" s="17">
        <v>90000</v>
      </c>
      <c r="H641" s="17">
        <v>85000</v>
      </c>
      <c r="I641" s="18">
        <v>0.12</v>
      </c>
      <c r="J641" s="14">
        <f t="shared" si="0"/>
        <v>17</v>
      </c>
      <c r="K641" s="15" t="str">
        <f t="shared" si="1"/>
        <v>Exceeds Target</v>
      </c>
    </row>
    <row r="642" spans="2:11" ht="15" customHeight="1">
      <c r="B642" t="s">
        <v>416</v>
      </c>
      <c r="C642" t="s">
        <v>977</v>
      </c>
      <c r="D642" t="s">
        <v>69</v>
      </c>
      <c r="E642" t="s">
        <v>70</v>
      </c>
      <c r="F642" s="17">
        <v>1000</v>
      </c>
      <c r="G642" s="17">
        <v>145000</v>
      </c>
      <c r="H642" s="17">
        <v>144000</v>
      </c>
      <c r="I642" s="18">
        <v>0.49</v>
      </c>
      <c r="J642" s="14">
        <f t="shared" si="0"/>
        <v>144</v>
      </c>
      <c r="K642" s="15" t="str">
        <f t="shared" si="1"/>
        <v>Exceeds Target</v>
      </c>
    </row>
    <row r="643" spans="2:11" ht="15" customHeight="1">
      <c r="B643" t="s">
        <v>85</v>
      </c>
      <c r="C643" t="s">
        <v>978</v>
      </c>
      <c r="D643" t="s">
        <v>80</v>
      </c>
      <c r="E643" t="s">
        <v>27</v>
      </c>
      <c r="F643" s="17">
        <v>1000</v>
      </c>
      <c r="G643" s="17">
        <v>96000</v>
      </c>
      <c r="H643" s="17">
        <v>95000</v>
      </c>
      <c r="I643" s="18">
        <v>0.81</v>
      </c>
      <c r="J643" s="14">
        <f t="shared" si="0"/>
        <v>95</v>
      </c>
      <c r="K643" s="15" t="str">
        <f t="shared" si="1"/>
        <v>Exceeds Target</v>
      </c>
    </row>
    <row r="644" spans="2:11" ht="15" customHeight="1">
      <c r="B644" t="s">
        <v>713</v>
      </c>
      <c r="C644" t="s">
        <v>979</v>
      </c>
      <c r="D644" t="s">
        <v>32</v>
      </c>
      <c r="E644" t="s">
        <v>27</v>
      </c>
      <c r="F644" s="17">
        <v>1500</v>
      </c>
      <c r="G644" s="17">
        <v>42000</v>
      </c>
      <c r="H644" s="17">
        <v>40500</v>
      </c>
      <c r="I644" s="18">
        <v>0.48</v>
      </c>
      <c r="J644" s="14">
        <f t="shared" si="0"/>
        <v>27</v>
      </c>
      <c r="K644" s="15" t="str">
        <f t="shared" si="1"/>
        <v>Exceeds Target</v>
      </c>
    </row>
    <row r="645" spans="2:11" ht="15" customHeight="1">
      <c r="B645" t="s">
        <v>293</v>
      </c>
      <c r="C645" t="s">
        <v>980</v>
      </c>
      <c r="D645" t="s">
        <v>80</v>
      </c>
      <c r="E645" t="s">
        <v>27</v>
      </c>
      <c r="F645" s="17">
        <v>1000</v>
      </c>
      <c r="G645" s="17">
        <v>108000</v>
      </c>
      <c r="H645" s="17">
        <v>107000</v>
      </c>
      <c r="I645" s="18">
        <v>0.9</v>
      </c>
      <c r="J645" s="14">
        <f t="shared" si="0"/>
        <v>107</v>
      </c>
      <c r="K645" s="15" t="str">
        <f t="shared" si="1"/>
        <v>Exceeds Target</v>
      </c>
    </row>
    <row r="646" spans="2:11" ht="15" customHeight="1">
      <c r="B646" t="s">
        <v>701</v>
      </c>
      <c r="C646" t="s">
        <v>981</v>
      </c>
      <c r="D646" t="s">
        <v>69</v>
      </c>
      <c r="E646" t="s">
        <v>70</v>
      </c>
      <c r="F646" s="17">
        <v>1000</v>
      </c>
      <c r="G646" s="17">
        <v>80000</v>
      </c>
      <c r="H646" s="17">
        <v>79000</v>
      </c>
      <c r="I646" s="18">
        <v>0.19</v>
      </c>
      <c r="J646" s="14">
        <f t="shared" si="0"/>
        <v>79</v>
      </c>
      <c r="K646" s="15" t="str">
        <f t="shared" si="1"/>
        <v>Exceeds Target</v>
      </c>
    </row>
    <row r="647" spans="2:11" ht="15" customHeight="1">
      <c r="B647" t="s">
        <v>982</v>
      </c>
      <c r="C647" t="s">
        <v>983</v>
      </c>
      <c r="D647" t="s">
        <v>32</v>
      </c>
      <c r="E647" t="s">
        <v>27</v>
      </c>
      <c r="F647" s="17">
        <v>1500</v>
      </c>
      <c r="G647" s="17">
        <v>22000</v>
      </c>
      <c r="H647" s="17">
        <v>20500</v>
      </c>
      <c r="I647" s="18">
        <v>0.34</v>
      </c>
      <c r="J647" s="14">
        <f t="shared" si="0"/>
        <v>13.666666666666666</v>
      </c>
      <c r="K647" s="15" t="str">
        <f t="shared" si="1"/>
        <v>Exceeds Target</v>
      </c>
    </row>
    <row r="648" spans="2:11" ht="15" customHeight="1">
      <c r="B648" t="s">
        <v>563</v>
      </c>
      <c r="C648" t="s">
        <v>984</v>
      </c>
      <c r="D648" t="s">
        <v>26</v>
      </c>
      <c r="E648" t="s">
        <v>27</v>
      </c>
      <c r="F648" s="17">
        <v>5000</v>
      </c>
      <c r="G648" s="17">
        <v>90000</v>
      </c>
      <c r="H648" s="17">
        <v>85000</v>
      </c>
      <c r="I648" s="18">
        <v>0.11</v>
      </c>
      <c r="J648" s="14">
        <f t="shared" si="0"/>
        <v>17</v>
      </c>
      <c r="K648" s="15" t="str">
        <f t="shared" si="1"/>
        <v>Exceeds Target</v>
      </c>
    </row>
    <row r="649" spans="2:11" ht="15" customHeight="1">
      <c r="B649" t="s">
        <v>399</v>
      </c>
      <c r="C649" t="s">
        <v>985</v>
      </c>
      <c r="D649" t="s">
        <v>80</v>
      </c>
      <c r="E649" t="s">
        <v>27</v>
      </c>
      <c r="F649" s="17">
        <v>1000</v>
      </c>
      <c r="G649" s="17">
        <v>114000</v>
      </c>
      <c r="H649" s="17">
        <v>113000</v>
      </c>
      <c r="I649" s="18">
        <v>0.82</v>
      </c>
      <c r="J649" s="14">
        <f t="shared" si="0"/>
        <v>113</v>
      </c>
      <c r="K649" s="15" t="str">
        <f t="shared" si="1"/>
        <v>Exceeds Target</v>
      </c>
    </row>
    <row r="650" spans="2:11" ht="15" customHeight="1">
      <c r="B650" t="s">
        <v>207</v>
      </c>
      <c r="C650" t="s">
        <v>986</v>
      </c>
      <c r="D650" t="s">
        <v>69</v>
      </c>
      <c r="E650" t="s">
        <v>70</v>
      </c>
      <c r="F650" s="17">
        <v>1000</v>
      </c>
      <c r="G650" s="17">
        <v>50000</v>
      </c>
      <c r="H650" s="17">
        <v>49000</v>
      </c>
      <c r="I650" s="18">
        <v>0.78</v>
      </c>
      <c r="J650" s="14">
        <f t="shared" si="0"/>
        <v>49</v>
      </c>
      <c r="K650" s="15" t="str">
        <f t="shared" si="1"/>
        <v>Exceeds Target</v>
      </c>
    </row>
    <row r="651" spans="2:11" ht="15" customHeight="1">
      <c r="B651" t="s">
        <v>109</v>
      </c>
      <c r="C651" t="s">
        <v>987</v>
      </c>
      <c r="D651" t="s">
        <v>32</v>
      </c>
      <c r="E651" t="s">
        <v>27</v>
      </c>
      <c r="F651" s="17">
        <v>1500</v>
      </c>
      <c r="G651" s="17">
        <v>34000</v>
      </c>
      <c r="H651" s="17">
        <v>32500</v>
      </c>
      <c r="I651" s="18">
        <v>0.33</v>
      </c>
      <c r="J651" s="14">
        <f t="shared" si="0"/>
        <v>21.666666666666668</v>
      </c>
      <c r="K651" s="15" t="str">
        <f t="shared" si="1"/>
        <v>Exceeds Target</v>
      </c>
    </row>
    <row r="652" spans="2:11" ht="15" customHeight="1">
      <c r="B652" t="s">
        <v>538</v>
      </c>
      <c r="C652" t="s">
        <v>988</v>
      </c>
      <c r="D652" t="s">
        <v>69</v>
      </c>
      <c r="E652" t="s">
        <v>70</v>
      </c>
      <c r="F652" s="17">
        <v>1000</v>
      </c>
      <c r="G652" s="17">
        <v>125000</v>
      </c>
      <c r="H652" s="17">
        <v>124000</v>
      </c>
      <c r="I652" s="18">
        <v>0.95</v>
      </c>
      <c r="J652" s="14">
        <f t="shared" si="0"/>
        <v>124</v>
      </c>
      <c r="K652" s="15" t="str">
        <f t="shared" si="1"/>
        <v>Exceeds Target</v>
      </c>
    </row>
    <row r="653" spans="2:11" ht="15" customHeight="1">
      <c r="B653" t="s">
        <v>828</v>
      </c>
      <c r="C653" t="s">
        <v>989</v>
      </c>
      <c r="D653" t="s">
        <v>32</v>
      </c>
      <c r="E653" t="s">
        <v>27</v>
      </c>
      <c r="F653" s="17">
        <v>1500</v>
      </c>
      <c r="G653" s="17">
        <v>40000</v>
      </c>
      <c r="H653" s="17">
        <v>38500</v>
      </c>
      <c r="I653" s="18">
        <v>0.37</v>
      </c>
      <c r="J653" s="14">
        <f t="shared" si="0"/>
        <v>25.666666666666668</v>
      </c>
      <c r="K653" s="15" t="str">
        <f t="shared" si="1"/>
        <v>Exceeds Target</v>
      </c>
    </row>
    <row r="654" spans="2:11" ht="15" customHeight="1">
      <c r="B654" t="s">
        <v>890</v>
      </c>
      <c r="C654" t="s">
        <v>990</v>
      </c>
      <c r="D654" t="s">
        <v>35</v>
      </c>
      <c r="E654" t="s">
        <v>27</v>
      </c>
      <c r="F654" s="17">
        <v>3000</v>
      </c>
      <c r="G654" s="17">
        <v>220000</v>
      </c>
      <c r="H654" s="17">
        <v>217000</v>
      </c>
      <c r="I654" s="18">
        <v>0.83</v>
      </c>
      <c r="J654" s="14">
        <f t="shared" si="0"/>
        <v>72.333333333333329</v>
      </c>
      <c r="K654" s="15" t="str">
        <f t="shared" si="1"/>
        <v>Exceeds Target</v>
      </c>
    </row>
    <row r="655" spans="2:11" ht="15" customHeight="1">
      <c r="B655" t="s">
        <v>991</v>
      </c>
      <c r="C655" t="s">
        <v>992</v>
      </c>
      <c r="D655" t="s">
        <v>26</v>
      </c>
      <c r="E655" t="s">
        <v>27</v>
      </c>
      <c r="F655" s="17">
        <v>5000</v>
      </c>
      <c r="G655" s="17">
        <v>60000</v>
      </c>
      <c r="H655" s="17">
        <v>55000</v>
      </c>
      <c r="I655" s="18">
        <v>0.28000000000000003</v>
      </c>
      <c r="J655" s="14">
        <f t="shared" si="0"/>
        <v>11</v>
      </c>
      <c r="K655" s="15" t="str">
        <f t="shared" si="1"/>
        <v>Exceeds Target</v>
      </c>
    </row>
    <row r="656" spans="2:11" ht="15" customHeight="1">
      <c r="B656" t="s">
        <v>993</v>
      </c>
      <c r="C656" t="s">
        <v>994</v>
      </c>
      <c r="D656" t="s">
        <v>26</v>
      </c>
      <c r="E656" t="s">
        <v>27</v>
      </c>
      <c r="F656" s="17">
        <v>5000</v>
      </c>
      <c r="G656" s="17">
        <v>120000</v>
      </c>
      <c r="H656" s="17">
        <v>115000</v>
      </c>
      <c r="I656" s="18">
        <v>0.18</v>
      </c>
      <c r="J656" s="14">
        <f t="shared" si="0"/>
        <v>23</v>
      </c>
      <c r="K656" s="15" t="str">
        <f t="shared" si="1"/>
        <v>Exceeds Target</v>
      </c>
    </row>
    <row r="657" spans="2:11" ht="15" customHeight="1">
      <c r="B657" t="s">
        <v>345</v>
      </c>
      <c r="C657" t="s">
        <v>995</v>
      </c>
      <c r="D657" t="s">
        <v>26</v>
      </c>
      <c r="E657" t="s">
        <v>27</v>
      </c>
      <c r="F657" s="17">
        <v>5000</v>
      </c>
      <c r="G657" s="17">
        <v>90000</v>
      </c>
      <c r="H657" s="17">
        <v>85000</v>
      </c>
      <c r="I657" s="18">
        <v>0.13</v>
      </c>
      <c r="J657" s="14">
        <f t="shared" si="0"/>
        <v>17</v>
      </c>
      <c r="K657" s="15" t="str">
        <f t="shared" si="1"/>
        <v>Exceeds Target</v>
      </c>
    </row>
    <row r="658" spans="2:11" ht="15" customHeight="1">
      <c r="B658" t="s">
        <v>615</v>
      </c>
      <c r="C658" t="s">
        <v>996</v>
      </c>
      <c r="D658" t="s">
        <v>35</v>
      </c>
      <c r="E658" t="s">
        <v>27</v>
      </c>
      <c r="F658" s="17">
        <v>3000</v>
      </c>
      <c r="G658" s="17">
        <v>260000</v>
      </c>
      <c r="H658" s="17">
        <v>257000</v>
      </c>
      <c r="I658" s="18">
        <v>0.43</v>
      </c>
      <c r="J658" s="14">
        <f t="shared" si="0"/>
        <v>85.666666666666671</v>
      </c>
      <c r="K658" s="15" t="str">
        <f t="shared" si="1"/>
        <v>Exceeds Target</v>
      </c>
    </row>
    <row r="659" spans="2:11" ht="15" customHeight="1">
      <c r="B659" t="s">
        <v>687</v>
      </c>
      <c r="C659" t="s">
        <v>997</v>
      </c>
      <c r="D659" t="s">
        <v>69</v>
      </c>
      <c r="E659" t="s">
        <v>70</v>
      </c>
      <c r="F659" s="17">
        <v>1000</v>
      </c>
      <c r="G659" s="17">
        <v>55000</v>
      </c>
      <c r="H659" s="17">
        <v>54000</v>
      </c>
      <c r="I659" s="18">
        <v>0.66</v>
      </c>
      <c r="J659" s="14">
        <f t="shared" si="0"/>
        <v>54</v>
      </c>
      <c r="K659" s="15" t="str">
        <f t="shared" si="1"/>
        <v>Exceeds Target</v>
      </c>
    </row>
    <row r="660" spans="2:11" ht="15" customHeight="1">
      <c r="B660" t="s">
        <v>175</v>
      </c>
      <c r="C660" t="s">
        <v>998</v>
      </c>
      <c r="D660" t="s">
        <v>26</v>
      </c>
      <c r="E660" t="s">
        <v>27</v>
      </c>
      <c r="F660" s="17">
        <v>5000</v>
      </c>
      <c r="G660" s="17">
        <v>120000</v>
      </c>
      <c r="H660" s="17">
        <v>115000</v>
      </c>
      <c r="I660" s="18">
        <v>0.08</v>
      </c>
      <c r="J660" s="14">
        <f t="shared" si="0"/>
        <v>23</v>
      </c>
      <c r="K660" s="15" t="str">
        <f t="shared" si="1"/>
        <v>Exceeds Target</v>
      </c>
    </row>
    <row r="661" spans="2:11" ht="15" customHeight="1">
      <c r="B661" t="s">
        <v>999</v>
      </c>
      <c r="C661" t="s">
        <v>1000</v>
      </c>
      <c r="D661" t="s">
        <v>80</v>
      </c>
      <c r="E661" t="s">
        <v>27</v>
      </c>
      <c r="F661" s="17">
        <v>1000</v>
      </c>
      <c r="G661" s="17">
        <v>66000</v>
      </c>
      <c r="H661" s="17">
        <v>65000</v>
      </c>
      <c r="I661" s="18">
        <v>0.92</v>
      </c>
      <c r="J661" s="14">
        <f t="shared" si="0"/>
        <v>65</v>
      </c>
      <c r="K661" s="15" t="str">
        <f t="shared" si="1"/>
        <v>Exceeds Target</v>
      </c>
    </row>
    <row r="662" spans="2:11" ht="15" customHeight="1">
      <c r="B662" t="s">
        <v>471</v>
      </c>
      <c r="C662" t="s">
        <v>1001</v>
      </c>
      <c r="D662" t="s">
        <v>35</v>
      </c>
      <c r="E662" t="s">
        <v>27</v>
      </c>
      <c r="F662" s="17">
        <v>3000</v>
      </c>
      <c r="G662" s="17">
        <v>90000</v>
      </c>
      <c r="H662" s="17">
        <v>87000</v>
      </c>
      <c r="I662" s="18">
        <v>0.6</v>
      </c>
      <c r="J662" s="14">
        <f t="shared" si="0"/>
        <v>29</v>
      </c>
      <c r="K662" s="15" t="str">
        <f t="shared" si="1"/>
        <v>Exceeds Target</v>
      </c>
    </row>
    <row r="663" spans="2:11" ht="15" customHeight="1">
      <c r="B663" t="s">
        <v>101</v>
      </c>
      <c r="C663" t="s">
        <v>1002</v>
      </c>
      <c r="D663" t="s">
        <v>80</v>
      </c>
      <c r="E663" t="s">
        <v>27</v>
      </c>
      <c r="F663" s="17">
        <v>1000</v>
      </c>
      <c r="G663" s="17">
        <v>54000</v>
      </c>
      <c r="H663" s="17">
        <v>53000</v>
      </c>
      <c r="I663" s="18">
        <v>0.77</v>
      </c>
      <c r="J663" s="14">
        <f t="shared" si="0"/>
        <v>53</v>
      </c>
      <c r="K663" s="15" t="str">
        <f t="shared" si="1"/>
        <v>Exceeds Target</v>
      </c>
    </row>
    <row r="664" spans="2:11" ht="15" customHeight="1">
      <c r="B664" t="s">
        <v>111</v>
      </c>
      <c r="C664" t="s">
        <v>1003</v>
      </c>
      <c r="D664" t="s">
        <v>32</v>
      </c>
      <c r="E664" t="s">
        <v>27</v>
      </c>
      <c r="F664" s="17">
        <v>1500</v>
      </c>
      <c r="G664" s="17">
        <v>54000</v>
      </c>
      <c r="H664" s="17">
        <v>52500</v>
      </c>
      <c r="I664" s="18">
        <v>0.44</v>
      </c>
      <c r="J664" s="14">
        <f t="shared" si="0"/>
        <v>35</v>
      </c>
      <c r="K664" s="15" t="str">
        <f t="shared" si="1"/>
        <v>Exceeds Target</v>
      </c>
    </row>
    <row r="665" spans="2:11" ht="15" customHeight="1">
      <c r="B665" t="s">
        <v>244</v>
      </c>
      <c r="C665" t="s">
        <v>1004</v>
      </c>
      <c r="D665" t="s">
        <v>35</v>
      </c>
      <c r="E665" t="s">
        <v>27</v>
      </c>
      <c r="F665" s="17">
        <v>3000</v>
      </c>
      <c r="G665" s="17">
        <v>80000</v>
      </c>
      <c r="H665" s="17">
        <v>77000</v>
      </c>
      <c r="I665" s="18">
        <v>0.79</v>
      </c>
      <c r="J665" s="14">
        <f t="shared" si="0"/>
        <v>25.666666666666668</v>
      </c>
      <c r="K665" s="15" t="str">
        <f t="shared" si="1"/>
        <v>Exceeds Target</v>
      </c>
    </row>
    <row r="666" spans="2:11" ht="15" customHeight="1">
      <c r="B666" t="s">
        <v>345</v>
      </c>
      <c r="C666" t="s">
        <v>1005</v>
      </c>
      <c r="D666" t="s">
        <v>80</v>
      </c>
      <c r="E666" t="s">
        <v>27</v>
      </c>
      <c r="F666" s="17">
        <v>1000</v>
      </c>
      <c r="G666" s="17">
        <v>99000</v>
      </c>
      <c r="H666" s="17">
        <v>98000</v>
      </c>
      <c r="I666" s="18">
        <v>0.74</v>
      </c>
      <c r="J666" s="14">
        <f t="shared" si="0"/>
        <v>98</v>
      </c>
      <c r="K666" s="15" t="str">
        <f t="shared" si="1"/>
        <v>Exceeds Target</v>
      </c>
    </row>
    <row r="667" spans="2:11" ht="15" customHeight="1">
      <c r="B667" t="s">
        <v>399</v>
      </c>
      <c r="C667" t="s">
        <v>1006</v>
      </c>
      <c r="D667" t="s">
        <v>32</v>
      </c>
      <c r="E667" t="s">
        <v>27</v>
      </c>
      <c r="F667" s="17">
        <v>1500</v>
      </c>
      <c r="G667" s="17">
        <v>34000</v>
      </c>
      <c r="H667" s="17">
        <v>32500</v>
      </c>
      <c r="I667" s="18">
        <v>0.87</v>
      </c>
      <c r="J667" s="14">
        <f t="shared" si="0"/>
        <v>21.666666666666668</v>
      </c>
      <c r="K667" s="15" t="str">
        <f t="shared" si="1"/>
        <v>Exceeds Target</v>
      </c>
    </row>
    <row r="668" spans="2:11" ht="15" customHeight="1">
      <c r="B668" t="s">
        <v>1007</v>
      </c>
      <c r="C668" t="s">
        <v>1008</v>
      </c>
      <c r="D668" t="s">
        <v>26</v>
      </c>
      <c r="E668" t="s">
        <v>27</v>
      </c>
      <c r="F668" s="17">
        <v>5000</v>
      </c>
      <c r="G668" s="17">
        <v>120000</v>
      </c>
      <c r="H668" s="17">
        <v>115000</v>
      </c>
      <c r="I668" s="18">
        <v>0.1</v>
      </c>
      <c r="J668" s="14">
        <f t="shared" si="0"/>
        <v>23</v>
      </c>
      <c r="K668" s="15" t="str">
        <f t="shared" si="1"/>
        <v>Exceeds Target</v>
      </c>
    </row>
    <row r="669" spans="2:11" ht="15" customHeight="1">
      <c r="B669" t="s">
        <v>765</v>
      </c>
      <c r="C669" t="s">
        <v>1009</v>
      </c>
      <c r="D669" t="s">
        <v>32</v>
      </c>
      <c r="E669" t="s">
        <v>27</v>
      </c>
      <c r="F669" s="17">
        <v>1500</v>
      </c>
      <c r="G669" s="17">
        <v>44000</v>
      </c>
      <c r="H669" s="17">
        <v>42500</v>
      </c>
      <c r="I669" s="18">
        <v>0.91</v>
      </c>
      <c r="J669" s="14">
        <f t="shared" si="0"/>
        <v>28.333333333333332</v>
      </c>
      <c r="K669" s="15" t="str">
        <f t="shared" si="1"/>
        <v>Exceeds Target</v>
      </c>
    </row>
    <row r="670" spans="2:11" ht="15" customHeight="1">
      <c r="B670" t="s">
        <v>161</v>
      </c>
      <c r="C670" t="s">
        <v>1010</v>
      </c>
      <c r="D670" t="s">
        <v>26</v>
      </c>
      <c r="E670" t="s">
        <v>27</v>
      </c>
      <c r="F670" s="17">
        <v>5000</v>
      </c>
      <c r="G670" s="17">
        <v>90000</v>
      </c>
      <c r="H670" s="17">
        <v>85000</v>
      </c>
      <c r="I670" s="18">
        <v>0.1</v>
      </c>
      <c r="J670" s="14">
        <f t="shared" si="0"/>
        <v>17</v>
      </c>
      <c r="K670" s="15" t="str">
        <f t="shared" si="1"/>
        <v>Exceeds Target</v>
      </c>
    </row>
    <row r="671" spans="2:11" ht="15" customHeight="1">
      <c r="B671" t="s">
        <v>610</v>
      </c>
      <c r="C671" t="s">
        <v>1011</v>
      </c>
      <c r="D671" t="s">
        <v>69</v>
      </c>
      <c r="E671" t="s">
        <v>70</v>
      </c>
      <c r="F671" s="17">
        <v>1000</v>
      </c>
      <c r="G671" s="17">
        <v>35000</v>
      </c>
      <c r="H671" s="17">
        <v>34000</v>
      </c>
      <c r="I671" s="18">
        <v>0.62</v>
      </c>
      <c r="J671" s="14">
        <f t="shared" si="0"/>
        <v>34</v>
      </c>
      <c r="K671" s="15" t="str">
        <f t="shared" si="1"/>
        <v>Exceeds Target</v>
      </c>
    </row>
    <row r="672" spans="2:11" ht="15" customHeight="1">
      <c r="B672" t="s">
        <v>97</v>
      </c>
      <c r="C672" t="s">
        <v>1012</v>
      </c>
      <c r="D672" t="s">
        <v>69</v>
      </c>
      <c r="E672" t="s">
        <v>70</v>
      </c>
      <c r="F672" s="17">
        <v>1000</v>
      </c>
      <c r="G672" s="17">
        <v>115000</v>
      </c>
      <c r="H672" s="17">
        <v>114000</v>
      </c>
      <c r="I672" s="18">
        <v>0.59</v>
      </c>
      <c r="J672" s="14">
        <f t="shared" si="0"/>
        <v>114</v>
      </c>
      <c r="K672" s="15" t="str">
        <f t="shared" si="1"/>
        <v>Exceeds Target</v>
      </c>
    </row>
    <row r="673" spans="2:11" ht="15" customHeight="1">
      <c r="B673" t="s">
        <v>1013</v>
      </c>
      <c r="C673" t="s">
        <v>1014</v>
      </c>
      <c r="D673" t="s">
        <v>80</v>
      </c>
      <c r="E673" t="s">
        <v>27</v>
      </c>
      <c r="F673" s="17">
        <v>1000</v>
      </c>
      <c r="G673" s="17">
        <v>66000</v>
      </c>
      <c r="H673" s="17">
        <v>65000</v>
      </c>
      <c r="I673" s="18">
        <v>0.75</v>
      </c>
      <c r="J673" s="14">
        <f t="shared" si="0"/>
        <v>65</v>
      </c>
      <c r="K673" s="15" t="str">
        <f t="shared" si="1"/>
        <v>Exceeds Target</v>
      </c>
    </row>
    <row r="674" spans="2:11" ht="15" customHeight="1">
      <c r="B674" t="s">
        <v>828</v>
      </c>
      <c r="C674" t="s">
        <v>1015</v>
      </c>
      <c r="D674" t="s">
        <v>80</v>
      </c>
      <c r="E674" t="s">
        <v>27</v>
      </c>
      <c r="F674" s="17">
        <v>1000</v>
      </c>
      <c r="G674" s="17">
        <v>105000</v>
      </c>
      <c r="H674" s="17">
        <v>104000</v>
      </c>
      <c r="I674" s="18">
        <v>0.8</v>
      </c>
      <c r="J674" s="14">
        <f t="shared" si="0"/>
        <v>104</v>
      </c>
      <c r="K674" s="15" t="str">
        <f t="shared" si="1"/>
        <v>Exceeds Target</v>
      </c>
    </row>
    <row r="675" spans="2:11" ht="15" customHeight="1">
      <c r="B675" t="s">
        <v>1016</v>
      </c>
      <c r="C675" t="s">
        <v>1017</v>
      </c>
      <c r="D675" t="s">
        <v>32</v>
      </c>
      <c r="E675" t="s">
        <v>27</v>
      </c>
      <c r="F675" s="17">
        <v>1500</v>
      </c>
      <c r="G675" s="17">
        <v>56000</v>
      </c>
      <c r="H675" s="17">
        <v>54500</v>
      </c>
      <c r="I675" s="18">
        <v>0.99</v>
      </c>
      <c r="J675" s="14">
        <f t="shared" si="0"/>
        <v>36.333333333333336</v>
      </c>
      <c r="K675" s="15" t="str">
        <f t="shared" si="1"/>
        <v>Exceeds Target</v>
      </c>
    </row>
    <row r="676" spans="2:11" ht="15" customHeight="1">
      <c r="B676" t="s">
        <v>1018</v>
      </c>
      <c r="C676" t="s">
        <v>1019</v>
      </c>
      <c r="D676" t="s">
        <v>26</v>
      </c>
      <c r="E676" t="s">
        <v>27</v>
      </c>
      <c r="F676" s="17">
        <v>5000</v>
      </c>
      <c r="G676" s="17">
        <v>120000</v>
      </c>
      <c r="H676" s="17">
        <v>115000</v>
      </c>
      <c r="I676" s="18">
        <v>0.23</v>
      </c>
      <c r="J676" s="14">
        <f t="shared" si="0"/>
        <v>23</v>
      </c>
      <c r="K676" s="15" t="str">
        <f t="shared" si="1"/>
        <v>Exceeds Target</v>
      </c>
    </row>
    <row r="677" spans="2:11" ht="15" customHeight="1">
      <c r="B677" t="s">
        <v>272</v>
      </c>
      <c r="C677" t="s">
        <v>1020</v>
      </c>
      <c r="D677" t="s">
        <v>26</v>
      </c>
      <c r="E677" t="s">
        <v>27</v>
      </c>
      <c r="F677" s="17">
        <v>5000</v>
      </c>
      <c r="G677" s="17">
        <v>120000</v>
      </c>
      <c r="H677" s="17">
        <v>115000</v>
      </c>
      <c r="I677" s="18">
        <v>0.25</v>
      </c>
      <c r="J677" s="14">
        <f t="shared" si="0"/>
        <v>23</v>
      </c>
      <c r="K677" s="15" t="str">
        <f t="shared" si="1"/>
        <v>Exceeds Target</v>
      </c>
    </row>
    <row r="678" spans="2:11" ht="15" customHeight="1">
      <c r="B678" t="s">
        <v>165</v>
      </c>
      <c r="C678" t="s">
        <v>1021</v>
      </c>
      <c r="D678" t="s">
        <v>69</v>
      </c>
      <c r="E678" t="s">
        <v>70</v>
      </c>
      <c r="F678" s="17">
        <v>1000</v>
      </c>
      <c r="G678" s="17">
        <v>145000</v>
      </c>
      <c r="H678" s="17">
        <v>144000</v>
      </c>
      <c r="I678" s="18">
        <v>0.77</v>
      </c>
      <c r="J678" s="14">
        <f t="shared" si="0"/>
        <v>144</v>
      </c>
      <c r="K678" s="15" t="str">
        <f t="shared" si="1"/>
        <v>Exceeds Target</v>
      </c>
    </row>
    <row r="679" spans="2:11" ht="15" customHeight="1">
      <c r="B679" t="s">
        <v>51</v>
      </c>
      <c r="C679" t="s">
        <v>1022</v>
      </c>
      <c r="D679" t="s">
        <v>26</v>
      </c>
      <c r="E679" t="s">
        <v>27</v>
      </c>
      <c r="F679" s="17">
        <v>5000</v>
      </c>
      <c r="G679" s="17">
        <v>150000</v>
      </c>
      <c r="H679" s="17">
        <v>145000</v>
      </c>
      <c r="I679" s="18">
        <v>0.28000000000000003</v>
      </c>
      <c r="J679" s="14">
        <f t="shared" si="0"/>
        <v>29</v>
      </c>
      <c r="K679" s="15" t="str">
        <f t="shared" si="1"/>
        <v>Exceeds Target</v>
      </c>
    </row>
    <row r="680" spans="2:11" ht="15" customHeight="1">
      <c r="B680" t="s">
        <v>939</v>
      </c>
      <c r="C680" t="s">
        <v>1023</v>
      </c>
      <c r="D680" t="s">
        <v>32</v>
      </c>
      <c r="E680" t="s">
        <v>27</v>
      </c>
      <c r="F680" s="17">
        <v>1500</v>
      </c>
      <c r="G680" s="17">
        <v>18000</v>
      </c>
      <c r="H680" s="17">
        <v>16500</v>
      </c>
      <c r="I680" s="18">
        <v>0.84</v>
      </c>
      <c r="J680" s="14">
        <f t="shared" si="0"/>
        <v>11</v>
      </c>
      <c r="K680" s="15" t="str">
        <f t="shared" si="1"/>
        <v>Exceeds Target</v>
      </c>
    </row>
    <row r="681" spans="2:11" ht="15" customHeight="1">
      <c r="B681" t="s">
        <v>255</v>
      </c>
      <c r="C681" t="s">
        <v>1024</v>
      </c>
      <c r="D681" t="s">
        <v>35</v>
      </c>
      <c r="E681" t="s">
        <v>27</v>
      </c>
      <c r="F681" s="17">
        <v>3000</v>
      </c>
      <c r="G681" s="17">
        <v>160000</v>
      </c>
      <c r="H681" s="17">
        <v>157000</v>
      </c>
      <c r="I681" s="18">
        <v>0.51</v>
      </c>
      <c r="J681" s="14">
        <f t="shared" si="0"/>
        <v>52.333333333333336</v>
      </c>
      <c r="K681" s="15" t="str">
        <f t="shared" si="1"/>
        <v>Exceeds Target</v>
      </c>
    </row>
    <row r="682" spans="2:11" ht="15" customHeight="1">
      <c r="B682" t="s">
        <v>190</v>
      </c>
      <c r="C682" t="s">
        <v>1025</v>
      </c>
      <c r="D682" t="s">
        <v>26</v>
      </c>
      <c r="E682" t="s">
        <v>27</v>
      </c>
      <c r="F682" s="17">
        <v>5000</v>
      </c>
      <c r="G682" s="17">
        <v>30000</v>
      </c>
      <c r="H682" s="17">
        <v>25000</v>
      </c>
      <c r="I682" s="18">
        <v>0.28999999999999998</v>
      </c>
      <c r="J682" s="14">
        <f t="shared" si="0"/>
        <v>5</v>
      </c>
      <c r="K682" s="15" t="str">
        <f t="shared" si="1"/>
        <v>Exceeds Target</v>
      </c>
    </row>
    <row r="683" spans="2:11" ht="15" customHeight="1">
      <c r="B683" t="s">
        <v>428</v>
      </c>
      <c r="C683" t="s">
        <v>1026</v>
      </c>
      <c r="D683" t="s">
        <v>35</v>
      </c>
      <c r="E683" t="s">
        <v>27</v>
      </c>
      <c r="F683" s="17">
        <v>3000</v>
      </c>
      <c r="G683" s="17">
        <v>120000</v>
      </c>
      <c r="H683" s="17">
        <v>117000</v>
      </c>
      <c r="I683" s="18">
        <v>0.74</v>
      </c>
      <c r="J683" s="14">
        <f t="shared" si="0"/>
        <v>39</v>
      </c>
      <c r="K683" s="15" t="str">
        <f t="shared" si="1"/>
        <v>Exceeds Target</v>
      </c>
    </row>
    <row r="684" spans="2:11" ht="15" customHeight="1">
      <c r="B684" t="s">
        <v>287</v>
      </c>
      <c r="C684" t="s">
        <v>1027</v>
      </c>
      <c r="D684" t="s">
        <v>35</v>
      </c>
      <c r="E684" t="s">
        <v>27</v>
      </c>
      <c r="F684" s="17">
        <v>3000</v>
      </c>
      <c r="G684" s="17">
        <v>110000</v>
      </c>
      <c r="H684" s="17">
        <v>107000</v>
      </c>
      <c r="I684" s="18">
        <v>0.43</v>
      </c>
      <c r="J684" s="14">
        <f t="shared" si="0"/>
        <v>35.666666666666664</v>
      </c>
      <c r="K684" s="15" t="str">
        <f t="shared" si="1"/>
        <v>Exceeds Target</v>
      </c>
    </row>
    <row r="685" spans="2:11" ht="15" customHeight="1">
      <c r="B685" t="s">
        <v>54</v>
      </c>
      <c r="C685" t="s">
        <v>1028</v>
      </c>
      <c r="D685" t="s">
        <v>69</v>
      </c>
      <c r="E685" t="s">
        <v>70</v>
      </c>
      <c r="F685" s="17">
        <v>1000</v>
      </c>
      <c r="G685" s="17">
        <v>150000</v>
      </c>
      <c r="H685" s="17">
        <v>149000</v>
      </c>
      <c r="I685" s="18">
        <v>0.71</v>
      </c>
      <c r="J685" s="14">
        <f t="shared" si="0"/>
        <v>149</v>
      </c>
      <c r="K685" s="15" t="str">
        <f t="shared" si="1"/>
        <v>Exceeds Target</v>
      </c>
    </row>
    <row r="686" spans="2:11" ht="15" customHeight="1">
      <c r="B686" t="s">
        <v>1029</v>
      </c>
      <c r="C686" t="s">
        <v>1030</v>
      </c>
      <c r="D686" t="s">
        <v>32</v>
      </c>
      <c r="E686" t="s">
        <v>27</v>
      </c>
      <c r="F686" s="17">
        <v>1500</v>
      </c>
      <c r="G686" s="17">
        <v>58000</v>
      </c>
      <c r="H686" s="17">
        <v>56500</v>
      </c>
      <c r="I686" s="18">
        <v>0.99</v>
      </c>
      <c r="J686" s="14">
        <f t="shared" si="0"/>
        <v>37.666666666666664</v>
      </c>
      <c r="K686" s="15" t="str">
        <f t="shared" si="1"/>
        <v>Exceeds Target</v>
      </c>
    </row>
    <row r="687" spans="2:11" ht="15" customHeight="1">
      <c r="B687" t="s">
        <v>231</v>
      </c>
      <c r="C687" t="s">
        <v>1031</v>
      </c>
      <c r="D687" t="s">
        <v>69</v>
      </c>
      <c r="E687" t="s">
        <v>70</v>
      </c>
      <c r="F687" s="17">
        <v>1000</v>
      </c>
      <c r="G687" s="17">
        <v>65000</v>
      </c>
      <c r="H687" s="17">
        <v>64000</v>
      </c>
      <c r="I687" s="18">
        <v>0.77</v>
      </c>
      <c r="J687" s="14">
        <f t="shared" si="0"/>
        <v>64</v>
      </c>
      <c r="K687" s="15" t="str">
        <f t="shared" si="1"/>
        <v>Exceeds Target</v>
      </c>
    </row>
    <row r="688" spans="2:11" ht="15" customHeight="1">
      <c r="B688" t="s">
        <v>571</v>
      </c>
      <c r="C688" t="s">
        <v>1032</v>
      </c>
      <c r="D688" t="s">
        <v>69</v>
      </c>
      <c r="E688" t="s">
        <v>70</v>
      </c>
      <c r="F688" s="17">
        <v>1000</v>
      </c>
      <c r="G688" s="17">
        <v>60000</v>
      </c>
      <c r="H688" s="17">
        <v>59000</v>
      </c>
      <c r="I688" s="18">
        <v>0.36</v>
      </c>
      <c r="J688" s="14">
        <f t="shared" si="0"/>
        <v>59</v>
      </c>
      <c r="K688" s="15" t="str">
        <f t="shared" si="1"/>
        <v>Exceeds Target</v>
      </c>
    </row>
    <row r="689" spans="2:11" ht="15" customHeight="1">
      <c r="B689" t="s">
        <v>467</v>
      </c>
      <c r="C689" t="s">
        <v>1033</v>
      </c>
      <c r="D689" t="s">
        <v>35</v>
      </c>
      <c r="E689" t="s">
        <v>27</v>
      </c>
      <c r="F689" s="17">
        <v>3000</v>
      </c>
      <c r="G689" s="17">
        <v>290000</v>
      </c>
      <c r="H689" s="17">
        <v>287000</v>
      </c>
      <c r="I689" s="18">
        <v>0.23</v>
      </c>
      <c r="J689" s="14">
        <f t="shared" si="0"/>
        <v>95.666666666666671</v>
      </c>
      <c r="K689" s="15" t="str">
        <f t="shared" si="1"/>
        <v>Exceeds Target</v>
      </c>
    </row>
    <row r="690" spans="2:11" ht="15" customHeight="1">
      <c r="B690" t="s">
        <v>1034</v>
      </c>
      <c r="C690" t="s">
        <v>1035</v>
      </c>
      <c r="D690" t="s">
        <v>69</v>
      </c>
      <c r="E690" t="s">
        <v>70</v>
      </c>
      <c r="F690" s="17">
        <v>1000</v>
      </c>
      <c r="G690" s="17">
        <v>145000</v>
      </c>
      <c r="H690" s="17">
        <v>144000</v>
      </c>
      <c r="I690" s="18">
        <v>0.43</v>
      </c>
      <c r="J690" s="14">
        <f t="shared" si="0"/>
        <v>144</v>
      </c>
      <c r="K690" s="15" t="str">
        <f t="shared" si="1"/>
        <v>Exceeds Target</v>
      </c>
    </row>
    <row r="691" spans="2:11" ht="15" customHeight="1">
      <c r="B691" t="s">
        <v>1036</v>
      </c>
      <c r="C691" t="s">
        <v>1037</v>
      </c>
      <c r="D691" t="s">
        <v>35</v>
      </c>
      <c r="E691" t="s">
        <v>27</v>
      </c>
      <c r="F691" s="17">
        <v>3000</v>
      </c>
      <c r="G691" s="17">
        <v>210000</v>
      </c>
      <c r="H691" s="17">
        <v>207000</v>
      </c>
      <c r="I691" s="18">
        <v>0.63</v>
      </c>
      <c r="J691" s="14">
        <f t="shared" si="0"/>
        <v>69</v>
      </c>
      <c r="K691" s="15" t="str">
        <f t="shared" si="1"/>
        <v>Exceeds Target</v>
      </c>
    </row>
    <row r="692" spans="2:11" ht="15" customHeight="1">
      <c r="B692" t="s">
        <v>999</v>
      </c>
      <c r="C692" t="s">
        <v>1038</v>
      </c>
      <c r="D692" t="s">
        <v>35</v>
      </c>
      <c r="E692" t="s">
        <v>27</v>
      </c>
      <c r="F692" s="17">
        <v>3000</v>
      </c>
      <c r="G692" s="17">
        <v>180000</v>
      </c>
      <c r="H692" s="17">
        <v>177000</v>
      </c>
      <c r="I692" s="18">
        <v>0.82</v>
      </c>
      <c r="J692" s="14">
        <f t="shared" si="0"/>
        <v>59</v>
      </c>
      <c r="K692" s="15" t="str">
        <f t="shared" si="1"/>
        <v>Exceeds Target</v>
      </c>
    </row>
    <row r="693" spans="2:11" ht="15" customHeight="1">
      <c r="B693" t="s">
        <v>81</v>
      </c>
      <c r="C693" t="s">
        <v>1039</v>
      </c>
      <c r="D693" t="s">
        <v>80</v>
      </c>
      <c r="E693" t="s">
        <v>27</v>
      </c>
      <c r="F693" s="17">
        <v>1000</v>
      </c>
      <c r="G693" s="17">
        <v>48000</v>
      </c>
      <c r="H693" s="17">
        <v>47000</v>
      </c>
      <c r="I693" s="18">
        <v>0.82</v>
      </c>
      <c r="J693" s="14">
        <f t="shared" si="0"/>
        <v>47</v>
      </c>
      <c r="K693" s="15" t="str">
        <f t="shared" si="1"/>
        <v>Exceeds Target</v>
      </c>
    </row>
    <row r="694" spans="2:11" ht="15" customHeight="1">
      <c r="B694" t="s">
        <v>646</v>
      </c>
      <c r="C694" t="s">
        <v>1040</v>
      </c>
      <c r="D694" t="s">
        <v>26</v>
      </c>
      <c r="E694" t="s">
        <v>27</v>
      </c>
      <c r="F694" s="17">
        <v>5000</v>
      </c>
      <c r="G694" s="17">
        <v>150000</v>
      </c>
      <c r="H694" s="17">
        <v>145000</v>
      </c>
      <c r="I694" s="18">
        <v>0.2</v>
      </c>
      <c r="J694" s="14">
        <f t="shared" si="0"/>
        <v>29</v>
      </c>
      <c r="K694" s="15" t="str">
        <f t="shared" si="1"/>
        <v>Exceeds Target</v>
      </c>
    </row>
    <row r="695" spans="2:11" ht="15" customHeight="1">
      <c r="B695" t="s">
        <v>428</v>
      </c>
      <c r="C695" t="s">
        <v>1041</v>
      </c>
      <c r="D695" t="s">
        <v>35</v>
      </c>
      <c r="E695" t="s">
        <v>27</v>
      </c>
      <c r="F695" s="17">
        <v>3000</v>
      </c>
      <c r="G695" s="17">
        <v>170000</v>
      </c>
      <c r="H695" s="17">
        <v>167000</v>
      </c>
      <c r="I695" s="18">
        <v>0.97</v>
      </c>
      <c r="J695" s="14">
        <f t="shared" si="0"/>
        <v>55.666666666666664</v>
      </c>
      <c r="K695" s="15" t="str">
        <f t="shared" si="1"/>
        <v>Exceeds Target</v>
      </c>
    </row>
    <row r="696" spans="2:11" ht="15" customHeight="1">
      <c r="B696" t="s">
        <v>150</v>
      </c>
      <c r="C696" t="s">
        <v>1042</v>
      </c>
      <c r="D696" t="s">
        <v>35</v>
      </c>
      <c r="E696" t="s">
        <v>27</v>
      </c>
      <c r="F696" s="17">
        <v>3000</v>
      </c>
      <c r="G696" s="17">
        <v>130000</v>
      </c>
      <c r="H696" s="17">
        <v>127000</v>
      </c>
      <c r="I696" s="18">
        <v>0.88</v>
      </c>
      <c r="J696" s="14">
        <f t="shared" si="0"/>
        <v>42.333333333333336</v>
      </c>
      <c r="K696" s="15" t="str">
        <f t="shared" si="1"/>
        <v>Exceeds Target</v>
      </c>
    </row>
    <row r="697" spans="2:11" ht="15" customHeight="1">
      <c r="B697" t="s">
        <v>596</v>
      </c>
      <c r="C697" t="s">
        <v>1043</v>
      </c>
      <c r="D697" t="s">
        <v>26</v>
      </c>
      <c r="E697" t="s">
        <v>27</v>
      </c>
      <c r="F697" s="17">
        <v>5000</v>
      </c>
      <c r="G697" s="17">
        <v>150000</v>
      </c>
      <c r="H697" s="17">
        <v>145000</v>
      </c>
      <c r="I697" s="18">
        <v>0.28999999999999998</v>
      </c>
      <c r="J697" s="14">
        <f t="shared" si="0"/>
        <v>29</v>
      </c>
      <c r="K697" s="15" t="str">
        <f t="shared" si="1"/>
        <v>Exceeds Target</v>
      </c>
    </row>
    <row r="698" spans="2:11" ht="15" customHeight="1">
      <c r="B698" t="s">
        <v>533</v>
      </c>
      <c r="C698" t="s">
        <v>1044</v>
      </c>
      <c r="D698" t="s">
        <v>26</v>
      </c>
      <c r="E698" t="s">
        <v>27</v>
      </c>
      <c r="F698" s="17">
        <v>5000</v>
      </c>
      <c r="G698" s="17">
        <v>150000</v>
      </c>
      <c r="H698" s="17">
        <v>145000</v>
      </c>
      <c r="I698" s="18">
        <v>0.1</v>
      </c>
      <c r="J698" s="14">
        <f t="shared" si="0"/>
        <v>29</v>
      </c>
      <c r="K698" s="15" t="str">
        <f t="shared" si="1"/>
        <v>Exceeds Target</v>
      </c>
    </row>
    <row r="699" spans="2:11" ht="15" customHeight="1">
      <c r="B699" t="s">
        <v>307</v>
      </c>
      <c r="C699" t="s">
        <v>1045</v>
      </c>
      <c r="D699" t="s">
        <v>69</v>
      </c>
      <c r="E699" t="s">
        <v>70</v>
      </c>
      <c r="F699" s="17">
        <v>1000</v>
      </c>
      <c r="G699" s="17">
        <v>135000</v>
      </c>
      <c r="H699" s="17">
        <v>134000</v>
      </c>
      <c r="I699" s="18">
        <v>0.95</v>
      </c>
      <c r="J699" s="14">
        <f t="shared" si="0"/>
        <v>134</v>
      </c>
      <c r="K699" s="15" t="str">
        <f t="shared" si="1"/>
        <v>Exceeds Target</v>
      </c>
    </row>
    <row r="700" spans="2:11" ht="15" customHeight="1">
      <c r="B700" t="s">
        <v>125</v>
      </c>
      <c r="C700" t="s">
        <v>1046</v>
      </c>
      <c r="D700" t="s">
        <v>32</v>
      </c>
      <c r="E700" t="s">
        <v>27</v>
      </c>
      <c r="F700" s="17">
        <v>1500</v>
      </c>
      <c r="G700" s="17">
        <v>16000</v>
      </c>
      <c r="H700" s="17">
        <v>14500</v>
      </c>
      <c r="I700" s="18">
        <v>0.41</v>
      </c>
      <c r="J700" s="14">
        <f t="shared" si="0"/>
        <v>9.6666666666666661</v>
      </c>
      <c r="K700" s="15" t="str">
        <f t="shared" si="1"/>
        <v>Exceeds Target</v>
      </c>
    </row>
    <row r="701" spans="2:11" ht="15" customHeight="1">
      <c r="B701" t="s">
        <v>818</v>
      </c>
      <c r="C701" t="s">
        <v>1047</v>
      </c>
      <c r="D701" t="s">
        <v>26</v>
      </c>
      <c r="E701" t="s">
        <v>27</v>
      </c>
      <c r="F701" s="17">
        <v>5000</v>
      </c>
      <c r="G701" s="17">
        <v>30000</v>
      </c>
      <c r="H701" s="17">
        <v>25000</v>
      </c>
      <c r="I701" s="18">
        <v>0.23</v>
      </c>
      <c r="J701" s="14">
        <f t="shared" si="0"/>
        <v>5</v>
      </c>
      <c r="K701" s="15" t="str">
        <f t="shared" si="1"/>
        <v>Exceeds Target</v>
      </c>
    </row>
    <row r="702" spans="2:11" ht="15" customHeight="1">
      <c r="B702" t="s">
        <v>192</v>
      </c>
      <c r="C702" t="s">
        <v>1048</v>
      </c>
      <c r="D702" t="s">
        <v>69</v>
      </c>
      <c r="E702" t="s">
        <v>70</v>
      </c>
      <c r="F702" s="17">
        <v>1000</v>
      </c>
      <c r="G702" s="17">
        <v>150000</v>
      </c>
      <c r="H702" s="17">
        <v>149000</v>
      </c>
      <c r="I702" s="18">
        <v>0.6</v>
      </c>
      <c r="J702" s="14">
        <f t="shared" si="0"/>
        <v>149</v>
      </c>
      <c r="K702" s="15" t="str">
        <f t="shared" si="1"/>
        <v>Exceeds Target</v>
      </c>
    </row>
    <row r="703" spans="2:11" ht="15" customHeight="1">
      <c r="B703" t="s">
        <v>623</v>
      </c>
      <c r="C703" t="s">
        <v>1049</v>
      </c>
      <c r="D703" t="s">
        <v>26</v>
      </c>
      <c r="E703" t="s">
        <v>27</v>
      </c>
      <c r="F703" s="17">
        <v>5000</v>
      </c>
      <c r="G703" s="17">
        <v>90000</v>
      </c>
      <c r="H703" s="17">
        <v>85000</v>
      </c>
      <c r="I703" s="18">
        <v>0.26</v>
      </c>
      <c r="J703" s="14">
        <f t="shared" si="0"/>
        <v>17</v>
      </c>
      <c r="K703" s="15" t="str">
        <f t="shared" si="1"/>
        <v>Exceeds Target</v>
      </c>
    </row>
    <row r="704" spans="2:11" ht="15" customHeight="1">
      <c r="B704" t="s">
        <v>613</v>
      </c>
      <c r="C704" t="s">
        <v>1050</v>
      </c>
      <c r="D704" t="s">
        <v>26</v>
      </c>
      <c r="E704" t="s">
        <v>27</v>
      </c>
      <c r="F704" s="17">
        <v>5000</v>
      </c>
      <c r="G704" s="17">
        <v>90000</v>
      </c>
      <c r="H704" s="17">
        <v>85000</v>
      </c>
      <c r="I704" s="18">
        <v>0.24</v>
      </c>
      <c r="J704" s="14">
        <f t="shared" si="0"/>
        <v>17</v>
      </c>
      <c r="K704" s="15" t="str">
        <f t="shared" si="1"/>
        <v>Exceeds Target</v>
      </c>
    </row>
    <row r="705" spans="2:11" ht="15" customHeight="1">
      <c r="B705" t="s">
        <v>296</v>
      </c>
      <c r="C705" t="s">
        <v>1051</v>
      </c>
      <c r="D705" t="s">
        <v>26</v>
      </c>
      <c r="E705" t="s">
        <v>27</v>
      </c>
      <c r="F705" s="17">
        <v>5000</v>
      </c>
      <c r="G705" s="17">
        <v>150000</v>
      </c>
      <c r="H705" s="17">
        <v>145000</v>
      </c>
      <c r="I705" s="18">
        <v>0.05</v>
      </c>
      <c r="J705" s="14">
        <f t="shared" si="0"/>
        <v>29</v>
      </c>
      <c r="K705" s="15" t="str">
        <f t="shared" si="1"/>
        <v>Exceeds Target</v>
      </c>
    </row>
    <row r="706" spans="2:11" ht="15" customHeight="1">
      <c r="B706" t="s">
        <v>538</v>
      </c>
      <c r="C706" t="s">
        <v>1052</v>
      </c>
      <c r="D706" t="s">
        <v>26</v>
      </c>
      <c r="E706" t="s">
        <v>27</v>
      </c>
      <c r="F706" s="17">
        <v>5000</v>
      </c>
      <c r="G706" s="17">
        <v>60000</v>
      </c>
      <c r="H706" s="17">
        <v>55000</v>
      </c>
      <c r="I706" s="18">
        <v>0.22</v>
      </c>
      <c r="J706" s="14">
        <f t="shared" si="0"/>
        <v>11</v>
      </c>
      <c r="K706" s="15" t="str">
        <f t="shared" si="1"/>
        <v>Exceeds Target</v>
      </c>
    </row>
    <row r="707" spans="2:11" ht="15" customHeight="1">
      <c r="B707" t="s">
        <v>1053</v>
      </c>
      <c r="C707" t="s">
        <v>1054</v>
      </c>
      <c r="D707" t="s">
        <v>35</v>
      </c>
      <c r="E707" t="s">
        <v>27</v>
      </c>
      <c r="F707" s="17">
        <v>3000</v>
      </c>
      <c r="G707" s="17">
        <v>160000</v>
      </c>
      <c r="H707" s="17">
        <v>157000</v>
      </c>
      <c r="I707" s="18">
        <v>0.55000000000000004</v>
      </c>
      <c r="J707" s="14">
        <f t="shared" si="0"/>
        <v>52.333333333333336</v>
      </c>
      <c r="K707" s="15" t="str">
        <f t="shared" si="1"/>
        <v>Exceeds Target</v>
      </c>
    </row>
    <row r="708" spans="2:11" ht="15" customHeight="1">
      <c r="B708" t="s">
        <v>1055</v>
      </c>
      <c r="C708" t="s">
        <v>1056</v>
      </c>
      <c r="D708" t="s">
        <v>32</v>
      </c>
      <c r="E708" t="s">
        <v>27</v>
      </c>
      <c r="F708" s="17">
        <v>1500</v>
      </c>
      <c r="G708" s="17">
        <v>56000</v>
      </c>
      <c r="H708" s="17">
        <v>54500</v>
      </c>
      <c r="I708" s="18">
        <v>0.56000000000000005</v>
      </c>
      <c r="J708" s="14">
        <f t="shared" si="0"/>
        <v>36.333333333333336</v>
      </c>
      <c r="K708" s="15" t="str">
        <f t="shared" si="1"/>
        <v>Exceeds Target</v>
      </c>
    </row>
    <row r="709" spans="2:11" ht="15" customHeight="1">
      <c r="B709" t="s">
        <v>991</v>
      </c>
      <c r="C709" t="s">
        <v>1057</v>
      </c>
      <c r="D709" t="s">
        <v>26</v>
      </c>
      <c r="E709" t="s">
        <v>27</v>
      </c>
      <c r="F709" s="17">
        <v>5000</v>
      </c>
      <c r="G709" s="17">
        <v>90000</v>
      </c>
      <c r="H709" s="17">
        <v>85000</v>
      </c>
      <c r="I709" s="18">
        <v>0.35</v>
      </c>
      <c r="J709" s="14">
        <f t="shared" si="0"/>
        <v>17</v>
      </c>
      <c r="K709" s="15" t="str">
        <f t="shared" si="1"/>
        <v>Exceeds Target</v>
      </c>
    </row>
    <row r="710" spans="2:11" ht="15" customHeight="1">
      <c r="B710" t="s">
        <v>65</v>
      </c>
      <c r="C710" t="s">
        <v>1058</v>
      </c>
      <c r="D710" t="s">
        <v>35</v>
      </c>
      <c r="E710" t="s">
        <v>27</v>
      </c>
      <c r="F710" s="17">
        <v>3000</v>
      </c>
      <c r="G710" s="17">
        <v>150000</v>
      </c>
      <c r="H710" s="17">
        <v>147000</v>
      </c>
      <c r="I710" s="18">
        <v>0.23</v>
      </c>
      <c r="J710" s="14">
        <f t="shared" si="0"/>
        <v>49</v>
      </c>
      <c r="K710" s="15" t="str">
        <f t="shared" si="1"/>
        <v>Exceeds Target</v>
      </c>
    </row>
    <row r="711" spans="2:11" ht="15" customHeight="1">
      <c r="B711" t="s">
        <v>1059</v>
      </c>
      <c r="C711" t="s">
        <v>1060</v>
      </c>
      <c r="D711" t="s">
        <v>80</v>
      </c>
      <c r="E711" t="s">
        <v>27</v>
      </c>
      <c r="F711" s="17">
        <v>1000</v>
      </c>
      <c r="G711" s="17">
        <v>48000</v>
      </c>
      <c r="H711" s="17">
        <v>47000</v>
      </c>
      <c r="I711" s="18">
        <v>0.76</v>
      </c>
      <c r="J711" s="14">
        <f t="shared" si="0"/>
        <v>47</v>
      </c>
      <c r="K711" s="15" t="str">
        <f t="shared" si="1"/>
        <v>Exceeds Target</v>
      </c>
    </row>
    <row r="712" spans="2:11" ht="15" customHeight="1">
      <c r="B712" t="s">
        <v>542</v>
      </c>
      <c r="C712" t="s">
        <v>1061</v>
      </c>
      <c r="D712" t="s">
        <v>69</v>
      </c>
      <c r="E712" t="s">
        <v>70</v>
      </c>
      <c r="F712" s="17">
        <v>1000</v>
      </c>
      <c r="G712" s="17">
        <v>35000</v>
      </c>
      <c r="H712" s="17">
        <v>34000</v>
      </c>
      <c r="I712" s="18">
        <v>0.72</v>
      </c>
      <c r="J712" s="14">
        <f t="shared" si="0"/>
        <v>34</v>
      </c>
      <c r="K712" s="15" t="str">
        <f t="shared" si="1"/>
        <v>Exceeds Target</v>
      </c>
    </row>
    <row r="713" spans="2:11" ht="15" customHeight="1">
      <c r="B713" t="s">
        <v>49</v>
      </c>
      <c r="C713" t="s">
        <v>1062</v>
      </c>
      <c r="D713" t="s">
        <v>26</v>
      </c>
      <c r="E713" t="s">
        <v>27</v>
      </c>
      <c r="F713" s="17">
        <v>5000</v>
      </c>
      <c r="G713" s="17">
        <v>60000</v>
      </c>
      <c r="H713" s="17">
        <v>55000</v>
      </c>
      <c r="I713" s="18">
        <v>0.27</v>
      </c>
      <c r="J713" s="14">
        <f t="shared" si="0"/>
        <v>11</v>
      </c>
      <c r="K713" s="15" t="str">
        <f t="shared" si="1"/>
        <v>Exceeds Target</v>
      </c>
    </row>
    <row r="714" spans="2:11" ht="15" customHeight="1">
      <c r="B714" t="s">
        <v>1063</v>
      </c>
      <c r="C714" t="s">
        <v>1064</v>
      </c>
      <c r="D714" t="s">
        <v>69</v>
      </c>
      <c r="E714" t="s">
        <v>70</v>
      </c>
      <c r="F714" s="17">
        <v>1000</v>
      </c>
      <c r="G714" s="17">
        <v>80000</v>
      </c>
      <c r="H714" s="17">
        <v>79000</v>
      </c>
      <c r="I714" s="18">
        <v>0.97</v>
      </c>
      <c r="J714" s="14">
        <f t="shared" si="0"/>
        <v>79</v>
      </c>
      <c r="K714" s="15" t="str">
        <f t="shared" si="1"/>
        <v>Exceeds Target</v>
      </c>
    </row>
    <row r="715" spans="2:11" ht="15" customHeight="1">
      <c r="B715" t="s">
        <v>1065</v>
      </c>
      <c r="C715" t="s">
        <v>1066</v>
      </c>
      <c r="D715" t="s">
        <v>26</v>
      </c>
      <c r="E715" t="s">
        <v>27</v>
      </c>
      <c r="F715" s="17">
        <v>5000</v>
      </c>
      <c r="G715" s="17">
        <v>120000</v>
      </c>
      <c r="H715" s="17">
        <v>115000</v>
      </c>
      <c r="I715" s="18">
        <v>0.37</v>
      </c>
      <c r="J715" s="14">
        <f t="shared" si="0"/>
        <v>23</v>
      </c>
      <c r="K715" s="15" t="str">
        <f t="shared" si="1"/>
        <v>Exceeds Target</v>
      </c>
    </row>
    <row r="716" spans="2:11" ht="15" customHeight="1">
      <c r="B716" t="s">
        <v>418</v>
      </c>
      <c r="C716" t="s">
        <v>1067</v>
      </c>
      <c r="D716" t="s">
        <v>80</v>
      </c>
      <c r="E716" t="s">
        <v>27</v>
      </c>
      <c r="F716" s="17">
        <v>1000</v>
      </c>
      <c r="G716" s="17">
        <v>69000</v>
      </c>
      <c r="H716" s="17">
        <v>68000</v>
      </c>
      <c r="I716" s="18">
        <v>0.75</v>
      </c>
      <c r="J716" s="14">
        <f t="shared" si="0"/>
        <v>68</v>
      </c>
      <c r="K716" s="15" t="str">
        <f t="shared" si="1"/>
        <v>Exceeds Target</v>
      </c>
    </row>
    <row r="717" spans="2:11" ht="15" customHeight="1">
      <c r="B717" t="s">
        <v>577</v>
      </c>
      <c r="C717" t="s">
        <v>1068</v>
      </c>
      <c r="D717" t="s">
        <v>32</v>
      </c>
      <c r="E717" t="s">
        <v>27</v>
      </c>
      <c r="F717" s="17">
        <v>1500</v>
      </c>
      <c r="G717" s="17">
        <v>26000</v>
      </c>
      <c r="H717" s="17">
        <v>24500</v>
      </c>
      <c r="I717" s="18">
        <v>0.79</v>
      </c>
      <c r="J717" s="14">
        <f t="shared" si="0"/>
        <v>16.333333333333332</v>
      </c>
      <c r="K717" s="15" t="str">
        <f t="shared" si="1"/>
        <v>Exceeds Target</v>
      </c>
    </row>
    <row r="718" spans="2:11" ht="15" customHeight="1">
      <c r="B718" t="s">
        <v>664</v>
      </c>
      <c r="C718" t="s">
        <v>1069</v>
      </c>
      <c r="D718" t="s">
        <v>32</v>
      </c>
      <c r="E718" t="s">
        <v>27</v>
      </c>
      <c r="F718" s="17">
        <v>1500</v>
      </c>
      <c r="G718" s="17">
        <v>22000</v>
      </c>
      <c r="H718" s="17">
        <v>20500</v>
      </c>
      <c r="I718" s="18">
        <v>0.92</v>
      </c>
      <c r="J718" s="14">
        <f t="shared" si="0"/>
        <v>13.666666666666666</v>
      </c>
      <c r="K718" s="15" t="str">
        <f t="shared" si="1"/>
        <v>Exceeds Target</v>
      </c>
    </row>
    <row r="719" spans="2:11" ht="15" customHeight="1">
      <c r="B719" t="s">
        <v>37</v>
      </c>
      <c r="C719" t="s">
        <v>1070</v>
      </c>
      <c r="D719" t="s">
        <v>69</v>
      </c>
      <c r="E719" t="s">
        <v>70</v>
      </c>
      <c r="F719" s="17">
        <v>1000</v>
      </c>
      <c r="G719" s="17">
        <v>60000</v>
      </c>
      <c r="H719" s="17">
        <v>59000</v>
      </c>
      <c r="I719" s="18">
        <v>0.72</v>
      </c>
      <c r="J719" s="14">
        <f t="shared" si="0"/>
        <v>59</v>
      </c>
      <c r="K719" s="15" t="str">
        <f t="shared" si="1"/>
        <v>Exceeds Target</v>
      </c>
    </row>
    <row r="720" spans="2:11" ht="15" customHeight="1">
      <c r="B720" t="s">
        <v>272</v>
      </c>
      <c r="C720" t="s">
        <v>1071</v>
      </c>
      <c r="D720" t="s">
        <v>26</v>
      </c>
      <c r="E720" t="s">
        <v>27</v>
      </c>
      <c r="F720" s="17">
        <v>5000</v>
      </c>
      <c r="G720" s="17">
        <v>30000</v>
      </c>
      <c r="H720" s="17">
        <v>25000</v>
      </c>
      <c r="I720" s="18">
        <v>0.17</v>
      </c>
      <c r="J720" s="14">
        <f t="shared" si="0"/>
        <v>5</v>
      </c>
      <c r="K720" s="15" t="str">
        <f t="shared" si="1"/>
        <v>Exceeds Target</v>
      </c>
    </row>
    <row r="721" spans="2:11" ht="15" customHeight="1">
      <c r="B721" t="s">
        <v>244</v>
      </c>
      <c r="C721" t="s">
        <v>1072</v>
      </c>
      <c r="D721" t="s">
        <v>32</v>
      </c>
      <c r="E721" t="s">
        <v>27</v>
      </c>
      <c r="F721" s="17">
        <v>1500</v>
      </c>
      <c r="G721" s="17">
        <v>38000</v>
      </c>
      <c r="H721" s="17">
        <v>36500</v>
      </c>
      <c r="I721" s="18">
        <v>1</v>
      </c>
      <c r="J721" s="14">
        <f t="shared" si="0"/>
        <v>24.333333333333332</v>
      </c>
      <c r="K721" s="15" t="str">
        <f t="shared" si="1"/>
        <v>Exceeds Target</v>
      </c>
    </row>
    <row r="722" spans="2:11" ht="15" customHeight="1">
      <c r="B722" t="s">
        <v>163</v>
      </c>
      <c r="C722" t="s">
        <v>1073</v>
      </c>
      <c r="D722" t="s">
        <v>32</v>
      </c>
      <c r="E722" t="s">
        <v>27</v>
      </c>
      <c r="F722" s="17">
        <v>1500</v>
      </c>
      <c r="G722" s="17">
        <v>48000</v>
      </c>
      <c r="H722" s="17">
        <v>46500</v>
      </c>
      <c r="I722" s="18">
        <v>0.23</v>
      </c>
      <c r="J722" s="14">
        <f t="shared" si="0"/>
        <v>31</v>
      </c>
      <c r="K722" s="15" t="str">
        <f t="shared" si="1"/>
        <v>Exceeds Target</v>
      </c>
    </row>
    <row r="723" spans="2:11" ht="15" customHeight="1">
      <c r="B723" t="s">
        <v>465</v>
      </c>
      <c r="C723" t="s">
        <v>1074</v>
      </c>
      <c r="D723" t="s">
        <v>35</v>
      </c>
      <c r="E723" t="s">
        <v>27</v>
      </c>
      <c r="F723" s="17">
        <v>3000</v>
      </c>
      <c r="G723" s="17">
        <v>290000</v>
      </c>
      <c r="H723" s="17">
        <v>287000</v>
      </c>
      <c r="I723" s="18">
        <v>0.96</v>
      </c>
      <c r="J723" s="14">
        <f t="shared" si="0"/>
        <v>95.666666666666671</v>
      </c>
      <c r="K723" s="15" t="str">
        <f t="shared" si="1"/>
        <v>Exceeds Target</v>
      </c>
    </row>
    <row r="724" spans="2:11" ht="15" customHeight="1">
      <c r="B724" t="s">
        <v>1055</v>
      </c>
      <c r="C724" t="s">
        <v>1075</v>
      </c>
      <c r="D724" t="s">
        <v>26</v>
      </c>
      <c r="E724" t="s">
        <v>27</v>
      </c>
      <c r="F724" s="17">
        <v>5000</v>
      </c>
      <c r="G724" s="17">
        <v>60000</v>
      </c>
      <c r="H724" s="17">
        <v>55000</v>
      </c>
      <c r="I724" s="18">
        <v>0.19</v>
      </c>
      <c r="J724" s="14">
        <f t="shared" si="0"/>
        <v>11</v>
      </c>
      <c r="K724" s="15" t="str">
        <f t="shared" si="1"/>
        <v>Exceeds Target</v>
      </c>
    </row>
    <row r="725" spans="2:11" ht="15" customHeight="1">
      <c r="B725" t="s">
        <v>574</v>
      </c>
      <c r="C725" t="s">
        <v>1076</v>
      </c>
      <c r="D725" t="s">
        <v>26</v>
      </c>
      <c r="E725" t="s">
        <v>27</v>
      </c>
      <c r="F725" s="17">
        <v>5000</v>
      </c>
      <c r="G725" s="17">
        <v>120000</v>
      </c>
      <c r="H725" s="17">
        <v>115000</v>
      </c>
      <c r="I725" s="18">
        <v>0.41</v>
      </c>
      <c r="J725" s="14">
        <f t="shared" si="0"/>
        <v>23</v>
      </c>
      <c r="K725" s="15" t="str">
        <f t="shared" si="1"/>
        <v>Exceeds Target</v>
      </c>
    </row>
    <row r="726" spans="2:11" ht="15" customHeight="1">
      <c r="B726" t="s">
        <v>321</v>
      </c>
      <c r="C726" t="s">
        <v>1077</v>
      </c>
      <c r="D726" t="s">
        <v>35</v>
      </c>
      <c r="E726" t="s">
        <v>27</v>
      </c>
      <c r="F726" s="17">
        <v>3000</v>
      </c>
      <c r="G726" s="17">
        <v>200000</v>
      </c>
      <c r="H726" s="17">
        <v>197000</v>
      </c>
      <c r="I726" s="18">
        <v>0.23</v>
      </c>
      <c r="J726" s="14">
        <f t="shared" si="0"/>
        <v>65.666666666666671</v>
      </c>
      <c r="K726" s="15" t="str">
        <f t="shared" si="1"/>
        <v>Exceeds Target</v>
      </c>
    </row>
    <row r="727" spans="2:11" ht="15" customHeight="1">
      <c r="B727" t="s">
        <v>135</v>
      </c>
      <c r="C727" t="s">
        <v>1078</v>
      </c>
      <c r="D727" t="s">
        <v>35</v>
      </c>
      <c r="E727" t="s">
        <v>27</v>
      </c>
      <c r="F727" s="17">
        <v>3000</v>
      </c>
      <c r="G727" s="17">
        <v>140000</v>
      </c>
      <c r="H727" s="17">
        <v>137000</v>
      </c>
      <c r="I727" s="18">
        <v>0.27</v>
      </c>
      <c r="J727" s="14">
        <f t="shared" si="0"/>
        <v>45.666666666666664</v>
      </c>
      <c r="K727" s="15" t="str">
        <f t="shared" si="1"/>
        <v>Exceeds Target</v>
      </c>
    </row>
    <row r="728" spans="2:11" ht="15" customHeight="1">
      <c r="B728" t="s">
        <v>542</v>
      </c>
      <c r="C728" t="s">
        <v>1079</v>
      </c>
      <c r="D728" t="s">
        <v>69</v>
      </c>
      <c r="E728" t="s">
        <v>70</v>
      </c>
      <c r="F728" s="17">
        <v>1000</v>
      </c>
      <c r="G728" s="17">
        <v>90000</v>
      </c>
      <c r="H728" s="17">
        <v>89000</v>
      </c>
      <c r="I728" s="18">
        <v>0.46</v>
      </c>
      <c r="J728" s="14">
        <f t="shared" si="0"/>
        <v>89</v>
      </c>
      <c r="K728" s="15" t="str">
        <f t="shared" si="1"/>
        <v>Exceeds Target</v>
      </c>
    </row>
    <row r="729" spans="2:11" ht="15" customHeight="1">
      <c r="B729" t="s">
        <v>886</v>
      </c>
      <c r="C729" t="s">
        <v>1080</v>
      </c>
      <c r="D729" t="s">
        <v>32</v>
      </c>
      <c r="E729" t="s">
        <v>27</v>
      </c>
      <c r="F729" s="17">
        <v>1500</v>
      </c>
      <c r="G729" s="17">
        <v>34000</v>
      </c>
      <c r="H729" s="17">
        <v>32500</v>
      </c>
      <c r="I729" s="18">
        <v>0.7</v>
      </c>
      <c r="J729" s="14">
        <f t="shared" si="0"/>
        <v>21.666666666666668</v>
      </c>
      <c r="K729" s="15" t="str">
        <f t="shared" si="1"/>
        <v>Exceeds Target</v>
      </c>
    </row>
    <row r="730" spans="2:11" ht="15" customHeight="1">
      <c r="B730" t="s">
        <v>99</v>
      </c>
      <c r="C730" t="s">
        <v>1081</v>
      </c>
      <c r="D730" t="s">
        <v>32</v>
      </c>
      <c r="E730" t="s">
        <v>27</v>
      </c>
      <c r="F730" s="17">
        <v>1500</v>
      </c>
      <c r="G730" s="17">
        <v>26000</v>
      </c>
      <c r="H730" s="17">
        <v>24500</v>
      </c>
      <c r="I730" s="18">
        <v>0.63</v>
      </c>
      <c r="J730" s="14">
        <f t="shared" si="0"/>
        <v>16.333333333333332</v>
      </c>
      <c r="K730" s="15" t="str">
        <f t="shared" si="1"/>
        <v>Exceeds Target</v>
      </c>
    </row>
    <row r="731" spans="2:11" ht="15" customHeight="1">
      <c r="B731" t="s">
        <v>311</v>
      </c>
      <c r="C731" t="s">
        <v>1082</v>
      </c>
      <c r="D731" t="s">
        <v>35</v>
      </c>
      <c r="E731" t="s">
        <v>27</v>
      </c>
      <c r="F731" s="17">
        <v>3000</v>
      </c>
      <c r="G731" s="17">
        <v>200000</v>
      </c>
      <c r="H731" s="17">
        <v>197000</v>
      </c>
      <c r="I731" s="18">
        <v>0.75</v>
      </c>
      <c r="J731" s="14">
        <f t="shared" si="0"/>
        <v>65.666666666666671</v>
      </c>
      <c r="K731" s="15" t="str">
        <f t="shared" si="1"/>
        <v>Exceeds Target</v>
      </c>
    </row>
    <row r="732" spans="2:11" ht="15" customHeight="1">
      <c r="B732" t="s">
        <v>1083</v>
      </c>
      <c r="C732" t="s">
        <v>1084</v>
      </c>
      <c r="D732" t="s">
        <v>32</v>
      </c>
      <c r="E732" t="s">
        <v>27</v>
      </c>
      <c r="F732" s="17">
        <v>1500</v>
      </c>
      <c r="G732" s="17">
        <v>38000</v>
      </c>
      <c r="H732" s="17">
        <v>36500</v>
      </c>
      <c r="I732" s="18">
        <v>0.67</v>
      </c>
      <c r="J732" s="14">
        <f t="shared" si="0"/>
        <v>24.333333333333332</v>
      </c>
      <c r="K732" s="15" t="str">
        <f t="shared" si="1"/>
        <v>Exceeds Target</v>
      </c>
    </row>
    <row r="733" spans="2:11" ht="15" customHeight="1">
      <c r="B733" t="s">
        <v>837</v>
      </c>
      <c r="C733" t="s">
        <v>1085</v>
      </c>
      <c r="D733" t="s">
        <v>26</v>
      </c>
      <c r="E733" t="s">
        <v>27</v>
      </c>
      <c r="F733" s="17">
        <v>5000</v>
      </c>
      <c r="G733" s="17">
        <v>60000</v>
      </c>
      <c r="H733" s="17">
        <v>55000</v>
      </c>
      <c r="I733" s="18">
        <v>0.15</v>
      </c>
      <c r="J733" s="14">
        <f t="shared" si="0"/>
        <v>11</v>
      </c>
      <c r="K733" s="15" t="str">
        <f t="shared" si="1"/>
        <v>Exceeds Target</v>
      </c>
    </row>
    <row r="734" spans="2:11" ht="15" customHeight="1">
      <c r="B734" t="s">
        <v>24</v>
      </c>
      <c r="C734" t="s">
        <v>1086</v>
      </c>
      <c r="D734" t="s">
        <v>69</v>
      </c>
      <c r="E734" t="s">
        <v>70</v>
      </c>
      <c r="F734" s="17">
        <v>1000</v>
      </c>
      <c r="G734" s="17">
        <v>75000</v>
      </c>
      <c r="H734" s="17">
        <v>74000</v>
      </c>
      <c r="I734" s="18">
        <v>0.79</v>
      </c>
      <c r="J734" s="14">
        <f t="shared" si="0"/>
        <v>74</v>
      </c>
      <c r="K734" s="15" t="str">
        <f t="shared" si="1"/>
        <v>Exceeds Target</v>
      </c>
    </row>
    <row r="735" spans="2:11" ht="15" customHeight="1">
      <c r="B735" t="s">
        <v>33</v>
      </c>
      <c r="C735" t="s">
        <v>1087</v>
      </c>
      <c r="D735" t="s">
        <v>69</v>
      </c>
      <c r="E735" t="s">
        <v>70</v>
      </c>
      <c r="F735" s="17">
        <v>1000</v>
      </c>
      <c r="G735" s="17">
        <v>110000</v>
      </c>
      <c r="H735" s="17">
        <v>109000</v>
      </c>
      <c r="I735" s="18">
        <v>0.28000000000000003</v>
      </c>
      <c r="J735" s="14">
        <f t="shared" si="0"/>
        <v>109</v>
      </c>
      <c r="K735" s="15" t="str">
        <f t="shared" si="1"/>
        <v>Exceeds Target</v>
      </c>
    </row>
    <row r="736" spans="2:11" ht="15" customHeight="1">
      <c r="B736" t="s">
        <v>553</v>
      </c>
      <c r="C736" t="s">
        <v>1088</v>
      </c>
      <c r="D736" t="s">
        <v>80</v>
      </c>
      <c r="E736" t="s">
        <v>27</v>
      </c>
      <c r="F736" s="17">
        <v>1000</v>
      </c>
      <c r="G736" s="17">
        <v>54000</v>
      </c>
      <c r="H736" s="17">
        <v>53000</v>
      </c>
      <c r="I736" s="18">
        <v>0.76</v>
      </c>
      <c r="J736" s="14">
        <f t="shared" si="0"/>
        <v>53</v>
      </c>
      <c r="K736" s="15" t="str">
        <f t="shared" si="1"/>
        <v>Exceeds Target</v>
      </c>
    </row>
    <row r="737" spans="2:11" ht="15" customHeight="1">
      <c r="B737" t="s">
        <v>76</v>
      </c>
      <c r="C737" t="s">
        <v>1089</v>
      </c>
      <c r="D737" t="s">
        <v>32</v>
      </c>
      <c r="E737" t="s">
        <v>27</v>
      </c>
      <c r="F737" s="17">
        <v>1500</v>
      </c>
      <c r="G737" s="17">
        <v>54000</v>
      </c>
      <c r="H737" s="17">
        <v>52500</v>
      </c>
      <c r="I737" s="18">
        <v>0.46</v>
      </c>
      <c r="J737" s="14">
        <f t="shared" si="0"/>
        <v>35</v>
      </c>
      <c r="K737" s="15" t="str">
        <f t="shared" si="1"/>
        <v>Exceeds Target</v>
      </c>
    </row>
    <row r="738" spans="2:11" ht="15" customHeight="1">
      <c r="B738" t="s">
        <v>236</v>
      </c>
      <c r="C738" t="s">
        <v>1090</v>
      </c>
      <c r="D738" t="s">
        <v>26</v>
      </c>
      <c r="E738" t="s">
        <v>27</v>
      </c>
      <c r="F738" s="17">
        <v>5000</v>
      </c>
      <c r="G738" s="17">
        <v>60000</v>
      </c>
      <c r="H738" s="17">
        <v>55000</v>
      </c>
      <c r="I738" s="18">
        <v>0.33</v>
      </c>
      <c r="J738" s="14">
        <f t="shared" si="0"/>
        <v>11</v>
      </c>
      <c r="K738" s="15" t="str">
        <f t="shared" si="1"/>
        <v>Exceeds Target</v>
      </c>
    </row>
    <row r="739" spans="2:11" ht="15" customHeight="1">
      <c r="B739" t="s">
        <v>141</v>
      </c>
      <c r="C739" t="s">
        <v>1091</v>
      </c>
      <c r="D739" t="s">
        <v>26</v>
      </c>
      <c r="E739" t="s">
        <v>27</v>
      </c>
      <c r="F739" s="17">
        <v>5000</v>
      </c>
      <c r="G739" s="17">
        <v>60000</v>
      </c>
      <c r="H739" s="17">
        <v>55000</v>
      </c>
      <c r="I739" s="18">
        <v>0.11</v>
      </c>
      <c r="J739" s="14">
        <f t="shared" si="0"/>
        <v>11</v>
      </c>
      <c r="K739" s="15" t="str">
        <f t="shared" si="1"/>
        <v>Exceeds Target</v>
      </c>
    </row>
    <row r="740" spans="2:11" ht="15" customHeight="1">
      <c r="B740" t="s">
        <v>340</v>
      </c>
      <c r="C740" t="s">
        <v>1092</v>
      </c>
      <c r="D740" t="s">
        <v>35</v>
      </c>
      <c r="E740" t="s">
        <v>27</v>
      </c>
      <c r="F740" s="17">
        <v>3000</v>
      </c>
      <c r="G740" s="17">
        <v>270000</v>
      </c>
      <c r="H740" s="17">
        <v>267000</v>
      </c>
      <c r="I740" s="18">
        <v>0.45</v>
      </c>
      <c r="J740" s="14">
        <f t="shared" si="0"/>
        <v>89</v>
      </c>
      <c r="K740" s="15" t="str">
        <f t="shared" si="1"/>
        <v>Exceeds Target</v>
      </c>
    </row>
    <row r="741" spans="2:11" ht="15" customHeight="1">
      <c r="B741" t="s">
        <v>916</v>
      </c>
      <c r="C741" t="s">
        <v>1093</v>
      </c>
      <c r="D741" t="s">
        <v>26</v>
      </c>
      <c r="E741" t="s">
        <v>27</v>
      </c>
      <c r="F741" s="17">
        <v>5000</v>
      </c>
      <c r="G741" s="17">
        <v>90000</v>
      </c>
      <c r="H741" s="17">
        <v>85000</v>
      </c>
      <c r="I741" s="18">
        <v>0.21</v>
      </c>
      <c r="J741" s="14">
        <f t="shared" si="0"/>
        <v>17</v>
      </c>
      <c r="K741" s="15" t="str">
        <f t="shared" si="1"/>
        <v>Exceeds Target</v>
      </c>
    </row>
    <row r="742" spans="2:11" ht="15" customHeight="1">
      <c r="B742" t="s">
        <v>242</v>
      </c>
      <c r="C742" t="s">
        <v>1094</v>
      </c>
      <c r="D742" t="s">
        <v>32</v>
      </c>
      <c r="E742" t="s">
        <v>27</v>
      </c>
      <c r="F742" s="17">
        <v>1500</v>
      </c>
      <c r="G742" s="17">
        <v>54000</v>
      </c>
      <c r="H742" s="17">
        <v>52500</v>
      </c>
      <c r="I742" s="18">
        <v>0.54</v>
      </c>
      <c r="J742" s="14">
        <f t="shared" si="0"/>
        <v>35</v>
      </c>
      <c r="K742" s="15" t="str">
        <f t="shared" si="1"/>
        <v>Exceeds Target</v>
      </c>
    </row>
    <row r="743" spans="2:11" ht="15" customHeight="1">
      <c r="B743" t="s">
        <v>121</v>
      </c>
      <c r="C743" t="s">
        <v>1095</v>
      </c>
      <c r="D743" t="s">
        <v>80</v>
      </c>
      <c r="E743" t="s">
        <v>27</v>
      </c>
      <c r="F743" s="17">
        <v>1000</v>
      </c>
      <c r="G743" s="17">
        <v>75000</v>
      </c>
      <c r="H743" s="17">
        <v>74000</v>
      </c>
      <c r="I743" s="18">
        <v>0.67</v>
      </c>
      <c r="J743" s="14">
        <f t="shared" si="0"/>
        <v>74</v>
      </c>
      <c r="K743" s="15" t="str">
        <f t="shared" si="1"/>
        <v>Exceeds Target</v>
      </c>
    </row>
    <row r="744" spans="2:11" ht="15" customHeight="1">
      <c r="B744" t="s">
        <v>178</v>
      </c>
      <c r="C744" t="s">
        <v>1096</v>
      </c>
      <c r="D744" t="s">
        <v>32</v>
      </c>
      <c r="E744" t="s">
        <v>27</v>
      </c>
      <c r="F744" s="17">
        <v>1500</v>
      </c>
      <c r="G744" s="17">
        <v>24000</v>
      </c>
      <c r="H744" s="17">
        <v>22500</v>
      </c>
      <c r="I744" s="18">
        <v>0.39</v>
      </c>
      <c r="J744" s="14">
        <f t="shared" si="0"/>
        <v>15</v>
      </c>
      <c r="K744" s="15" t="str">
        <f t="shared" si="1"/>
        <v>Exceeds Target</v>
      </c>
    </row>
    <row r="745" spans="2:11" ht="15" customHeight="1">
      <c r="B745" t="s">
        <v>828</v>
      </c>
      <c r="C745" t="s">
        <v>1097</v>
      </c>
      <c r="D745" t="s">
        <v>69</v>
      </c>
      <c r="E745" t="s">
        <v>70</v>
      </c>
      <c r="F745" s="17">
        <v>1000</v>
      </c>
      <c r="G745" s="17">
        <v>65000</v>
      </c>
      <c r="H745" s="17">
        <v>64000</v>
      </c>
      <c r="I745" s="18">
        <v>0.93</v>
      </c>
      <c r="J745" s="14">
        <f t="shared" si="0"/>
        <v>64</v>
      </c>
      <c r="K745" s="15" t="str">
        <f t="shared" si="1"/>
        <v>Exceeds Target</v>
      </c>
    </row>
    <row r="746" spans="2:11" ht="15" customHeight="1">
      <c r="B746" t="s">
        <v>72</v>
      </c>
      <c r="C746" t="s">
        <v>1098</v>
      </c>
      <c r="D746" t="s">
        <v>32</v>
      </c>
      <c r="E746" t="s">
        <v>27</v>
      </c>
      <c r="F746" s="17">
        <v>1500</v>
      </c>
      <c r="G746" s="17">
        <v>16000</v>
      </c>
      <c r="H746" s="17">
        <v>14500</v>
      </c>
      <c r="I746" s="18">
        <v>0.69</v>
      </c>
      <c r="J746" s="14">
        <f t="shared" si="0"/>
        <v>9.6666666666666661</v>
      </c>
      <c r="K746" s="15" t="str">
        <f t="shared" si="1"/>
        <v>Exceeds Target</v>
      </c>
    </row>
    <row r="747" spans="2:11" ht="15" customHeight="1">
      <c r="B747" t="s">
        <v>522</v>
      </c>
      <c r="C747" t="s">
        <v>1099</v>
      </c>
      <c r="D747" t="s">
        <v>35</v>
      </c>
      <c r="E747" t="s">
        <v>27</v>
      </c>
      <c r="F747" s="17">
        <v>3000</v>
      </c>
      <c r="G747" s="17">
        <v>270000</v>
      </c>
      <c r="H747" s="17">
        <v>267000</v>
      </c>
      <c r="I747" s="18">
        <v>0.82</v>
      </c>
      <c r="J747" s="14">
        <f t="shared" si="0"/>
        <v>89</v>
      </c>
      <c r="K747" s="15" t="str">
        <f t="shared" si="1"/>
        <v>Exceeds Target</v>
      </c>
    </row>
    <row r="748" spans="2:11" ht="15" customHeight="1">
      <c r="B748" t="s">
        <v>220</v>
      </c>
      <c r="C748" t="s">
        <v>1100</v>
      </c>
      <c r="D748" t="s">
        <v>35</v>
      </c>
      <c r="E748" t="s">
        <v>27</v>
      </c>
      <c r="F748" s="17">
        <v>3000</v>
      </c>
      <c r="G748" s="17">
        <v>200000</v>
      </c>
      <c r="H748" s="17">
        <v>197000</v>
      </c>
      <c r="I748" s="18">
        <v>0.83</v>
      </c>
      <c r="J748" s="14">
        <f t="shared" si="0"/>
        <v>65.666666666666671</v>
      </c>
      <c r="K748" s="15" t="str">
        <f t="shared" si="1"/>
        <v>Exceeds Target</v>
      </c>
    </row>
    <row r="749" spans="2:11" ht="15" customHeight="1">
      <c r="B749" t="s">
        <v>535</v>
      </c>
      <c r="C749" t="s">
        <v>1101</v>
      </c>
      <c r="D749" t="s">
        <v>32</v>
      </c>
      <c r="E749" t="s">
        <v>27</v>
      </c>
      <c r="F749" s="17">
        <v>1500</v>
      </c>
      <c r="G749" s="17">
        <v>12000</v>
      </c>
      <c r="H749" s="17">
        <v>10500</v>
      </c>
      <c r="I749" s="18">
        <v>0.35</v>
      </c>
      <c r="J749" s="14">
        <f t="shared" si="0"/>
        <v>7</v>
      </c>
      <c r="K749" s="15" t="str">
        <f t="shared" si="1"/>
        <v>Exceeds Target</v>
      </c>
    </row>
    <row r="750" spans="2:11" ht="15" customHeight="1">
      <c r="B750" t="s">
        <v>192</v>
      </c>
      <c r="C750" t="s">
        <v>1102</v>
      </c>
      <c r="D750" t="s">
        <v>69</v>
      </c>
      <c r="E750" t="s">
        <v>70</v>
      </c>
      <c r="F750" s="17">
        <v>1000</v>
      </c>
      <c r="G750" s="17">
        <v>100000</v>
      </c>
      <c r="H750" s="17">
        <v>99000</v>
      </c>
      <c r="I750" s="18">
        <v>0.73</v>
      </c>
      <c r="J750" s="14">
        <f t="shared" si="0"/>
        <v>99</v>
      </c>
      <c r="K750" s="15" t="str">
        <f t="shared" si="1"/>
        <v>Exceeds Target</v>
      </c>
    </row>
    <row r="751" spans="2:11" ht="15" customHeight="1">
      <c r="B751" t="s">
        <v>411</v>
      </c>
      <c r="C751" t="s">
        <v>1103</v>
      </c>
      <c r="D751" t="s">
        <v>32</v>
      </c>
      <c r="E751" t="s">
        <v>27</v>
      </c>
      <c r="F751" s="17">
        <v>1500</v>
      </c>
      <c r="G751" s="17">
        <v>20000</v>
      </c>
      <c r="H751" s="17">
        <v>18500</v>
      </c>
      <c r="I751" s="18">
        <v>0.99</v>
      </c>
      <c r="J751" s="14">
        <f t="shared" si="0"/>
        <v>12.333333333333334</v>
      </c>
      <c r="K751" s="15" t="str">
        <f t="shared" si="1"/>
        <v>Exceeds Target</v>
      </c>
    </row>
    <row r="752" spans="2:11" ht="15" customHeight="1">
      <c r="B752" t="s">
        <v>494</v>
      </c>
      <c r="C752" t="s">
        <v>1104</v>
      </c>
      <c r="D752" t="s">
        <v>35</v>
      </c>
      <c r="E752" t="s">
        <v>27</v>
      </c>
      <c r="F752" s="17">
        <v>3000</v>
      </c>
      <c r="G752" s="17">
        <v>90000</v>
      </c>
      <c r="H752" s="17">
        <v>87000</v>
      </c>
      <c r="I752" s="18">
        <v>0.57999999999999996</v>
      </c>
      <c r="J752" s="14">
        <f t="shared" si="0"/>
        <v>29</v>
      </c>
      <c r="K752" s="15" t="str">
        <f t="shared" si="1"/>
        <v>Exceeds Target</v>
      </c>
    </row>
    <row r="753" spans="2:11" ht="15" customHeight="1">
      <c r="B753" t="s">
        <v>514</v>
      </c>
      <c r="C753" t="s">
        <v>1105</v>
      </c>
      <c r="D753" t="s">
        <v>26</v>
      </c>
      <c r="E753" t="s">
        <v>27</v>
      </c>
      <c r="F753" s="17">
        <v>5000</v>
      </c>
      <c r="G753" s="17">
        <v>30000</v>
      </c>
      <c r="H753" s="17">
        <v>25000</v>
      </c>
      <c r="I753" s="18">
        <v>0.15</v>
      </c>
      <c r="J753" s="14">
        <f t="shared" si="0"/>
        <v>5</v>
      </c>
      <c r="K753" s="15" t="str">
        <f t="shared" si="1"/>
        <v>Exceeds Target</v>
      </c>
    </row>
    <row r="754" spans="2:11" ht="15" customHeight="1">
      <c r="B754" t="s">
        <v>180</v>
      </c>
      <c r="C754" t="s">
        <v>1106</v>
      </c>
      <c r="D754" t="s">
        <v>26</v>
      </c>
      <c r="E754" t="s">
        <v>27</v>
      </c>
      <c r="F754" s="17">
        <v>5000</v>
      </c>
      <c r="G754" s="17">
        <v>60000</v>
      </c>
      <c r="H754" s="17">
        <v>55000</v>
      </c>
      <c r="I754" s="18">
        <v>0.39</v>
      </c>
      <c r="J754" s="14">
        <f t="shared" si="0"/>
        <v>11</v>
      </c>
      <c r="K754" s="15" t="str">
        <f t="shared" si="1"/>
        <v>Exceeds Target</v>
      </c>
    </row>
    <row r="755" spans="2:11" ht="15" customHeight="1">
      <c r="B755" t="s">
        <v>85</v>
      </c>
      <c r="C755" t="s">
        <v>1107</v>
      </c>
      <c r="D755" t="s">
        <v>32</v>
      </c>
      <c r="E755" t="s">
        <v>27</v>
      </c>
      <c r="F755" s="17">
        <v>1500</v>
      </c>
      <c r="G755" s="17">
        <v>58000</v>
      </c>
      <c r="H755" s="17">
        <v>56500</v>
      </c>
      <c r="I755" s="18">
        <v>0.79</v>
      </c>
      <c r="J755" s="14">
        <f t="shared" si="0"/>
        <v>37.666666666666664</v>
      </c>
      <c r="K755" s="15" t="str">
        <f t="shared" si="1"/>
        <v>Exceeds Target</v>
      </c>
    </row>
    <row r="756" spans="2:11" ht="15" customHeight="1">
      <c r="B756" t="s">
        <v>916</v>
      </c>
      <c r="C756" t="s">
        <v>1108</v>
      </c>
      <c r="D756" t="s">
        <v>32</v>
      </c>
      <c r="E756" t="s">
        <v>27</v>
      </c>
      <c r="F756" s="17">
        <v>1500</v>
      </c>
      <c r="G756" s="17">
        <v>22000</v>
      </c>
      <c r="H756" s="17">
        <v>20500</v>
      </c>
      <c r="I756" s="18">
        <v>0.32</v>
      </c>
      <c r="J756" s="14">
        <f t="shared" si="0"/>
        <v>13.666666666666666</v>
      </c>
      <c r="K756" s="15" t="str">
        <f t="shared" si="1"/>
        <v>Exceeds Target</v>
      </c>
    </row>
    <row r="757" spans="2:11" ht="15" customHeight="1">
      <c r="B757" t="s">
        <v>225</v>
      </c>
      <c r="C757" t="s">
        <v>1109</v>
      </c>
      <c r="D757" t="s">
        <v>32</v>
      </c>
      <c r="E757" t="s">
        <v>27</v>
      </c>
      <c r="F757" s="17">
        <v>1500</v>
      </c>
      <c r="G757" s="17">
        <v>16000</v>
      </c>
      <c r="H757" s="17">
        <v>14500</v>
      </c>
      <c r="I757" s="18">
        <v>0.48</v>
      </c>
      <c r="J757" s="14">
        <f t="shared" si="0"/>
        <v>9.6666666666666661</v>
      </c>
      <c r="K757" s="15" t="str">
        <f t="shared" si="1"/>
        <v>Exceeds Target</v>
      </c>
    </row>
    <row r="758" spans="2:11" ht="15" customHeight="1">
      <c r="B758" t="s">
        <v>673</v>
      </c>
      <c r="C758" t="s">
        <v>1110</v>
      </c>
      <c r="D758" t="s">
        <v>32</v>
      </c>
      <c r="E758" t="s">
        <v>27</v>
      </c>
      <c r="F758" s="17">
        <v>1500</v>
      </c>
      <c r="G758" s="17">
        <v>48000</v>
      </c>
      <c r="H758" s="17">
        <v>46500</v>
      </c>
      <c r="I758" s="18">
        <v>0.65</v>
      </c>
      <c r="J758" s="14">
        <f t="shared" si="0"/>
        <v>31</v>
      </c>
      <c r="K758" s="15" t="str">
        <f t="shared" si="1"/>
        <v>Exceeds Target</v>
      </c>
    </row>
    <row r="759" spans="2:11" ht="15" customHeight="1">
      <c r="B759" t="s">
        <v>598</v>
      </c>
      <c r="C759" t="s">
        <v>1111</v>
      </c>
      <c r="D759" t="s">
        <v>80</v>
      </c>
      <c r="E759" t="s">
        <v>27</v>
      </c>
      <c r="F759" s="17">
        <v>1000</v>
      </c>
      <c r="G759" s="17">
        <v>78000</v>
      </c>
      <c r="H759" s="17">
        <v>77000</v>
      </c>
      <c r="I759" s="18">
        <v>0.85</v>
      </c>
      <c r="J759" s="14">
        <f t="shared" si="0"/>
        <v>77</v>
      </c>
      <c r="K759" s="15" t="str">
        <f t="shared" si="1"/>
        <v>Exceeds Target</v>
      </c>
    </row>
    <row r="760" spans="2:11" ht="15" customHeight="1">
      <c r="B760" t="s">
        <v>613</v>
      </c>
      <c r="C760" t="s">
        <v>1112</v>
      </c>
      <c r="D760" t="s">
        <v>26</v>
      </c>
      <c r="E760" t="s">
        <v>27</v>
      </c>
      <c r="F760" s="17">
        <v>5000</v>
      </c>
      <c r="G760" s="17">
        <v>60000</v>
      </c>
      <c r="H760" s="17">
        <v>55000</v>
      </c>
      <c r="I760" s="18">
        <v>0.13</v>
      </c>
      <c r="J760" s="14">
        <f t="shared" si="0"/>
        <v>11</v>
      </c>
      <c r="K760" s="15" t="str">
        <f t="shared" si="1"/>
        <v>Exceeds Target</v>
      </c>
    </row>
    <row r="761" spans="2:11" ht="15" customHeight="1">
      <c r="B761" t="s">
        <v>1113</v>
      </c>
      <c r="C761" t="s">
        <v>1114</v>
      </c>
      <c r="D761" t="s">
        <v>32</v>
      </c>
      <c r="E761" t="s">
        <v>27</v>
      </c>
      <c r="F761" s="17">
        <v>1500</v>
      </c>
      <c r="G761" s="17">
        <v>22000</v>
      </c>
      <c r="H761" s="17">
        <v>20500</v>
      </c>
      <c r="I761" s="18">
        <v>0.31</v>
      </c>
      <c r="J761" s="14">
        <f t="shared" si="0"/>
        <v>13.666666666666666</v>
      </c>
      <c r="K761" s="15" t="str">
        <f t="shared" si="1"/>
        <v>Exceeds Target</v>
      </c>
    </row>
    <row r="762" spans="2:11" ht="15" customHeight="1">
      <c r="B762" t="s">
        <v>1115</v>
      </c>
      <c r="C762" t="s">
        <v>1116</v>
      </c>
      <c r="D762" t="s">
        <v>32</v>
      </c>
      <c r="E762" t="s">
        <v>27</v>
      </c>
      <c r="F762" s="17">
        <v>1500</v>
      </c>
      <c r="G762" s="17">
        <v>52000</v>
      </c>
      <c r="H762" s="17">
        <v>50500</v>
      </c>
      <c r="I762" s="18">
        <v>0.35</v>
      </c>
      <c r="J762" s="14">
        <f t="shared" si="0"/>
        <v>33.666666666666664</v>
      </c>
      <c r="K762" s="15" t="str">
        <f t="shared" si="1"/>
        <v>Exceeds Target</v>
      </c>
    </row>
    <row r="763" spans="2:11" ht="15" customHeight="1">
      <c r="B763" t="s">
        <v>103</v>
      </c>
      <c r="C763" t="s">
        <v>1117</v>
      </c>
      <c r="D763" t="s">
        <v>80</v>
      </c>
      <c r="E763" t="s">
        <v>27</v>
      </c>
      <c r="F763" s="17">
        <v>1000</v>
      </c>
      <c r="G763" s="17">
        <v>108000</v>
      </c>
      <c r="H763" s="17">
        <v>107000</v>
      </c>
      <c r="I763" s="18">
        <v>0.64</v>
      </c>
      <c r="J763" s="14">
        <f t="shared" si="0"/>
        <v>107</v>
      </c>
      <c r="K763" s="15" t="str">
        <f t="shared" si="1"/>
        <v>Exceeds Target</v>
      </c>
    </row>
    <row r="764" spans="2:11" ht="15" customHeight="1">
      <c r="B764" t="s">
        <v>113</v>
      </c>
      <c r="C764" t="s">
        <v>1118</v>
      </c>
      <c r="D764" t="s">
        <v>32</v>
      </c>
      <c r="E764" t="s">
        <v>27</v>
      </c>
      <c r="F764" s="17">
        <v>1500</v>
      </c>
      <c r="G764" s="17">
        <v>54000</v>
      </c>
      <c r="H764" s="17">
        <v>52500</v>
      </c>
      <c r="I764" s="18">
        <v>0.7</v>
      </c>
      <c r="J764" s="14">
        <f t="shared" si="0"/>
        <v>35</v>
      </c>
      <c r="K764" s="15" t="str">
        <f t="shared" si="1"/>
        <v>Exceeds Target</v>
      </c>
    </row>
    <row r="765" spans="2:11" ht="15" customHeight="1">
      <c r="B765" t="s">
        <v>261</v>
      </c>
      <c r="C765" t="s">
        <v>1119</v>
      </c>
      <c r="D765" t="s">
        <v>69</v>
      </c>
      <c r="E765" t="s">
        <v>70</v>
      </c>
      <c r="F765" s="17">
        <v>1000</v>
      </c>
      <c r="G765" s="17">
        <v>105000</v>
      </c>
      <c r="H765" s="17">
        <v>104000</v>
      </c>
      <c r="I765" s="18">
        <v>0.46</v>
      </c>
      <c r="J765" s="14">
        <f t="shared" si="0"/>
        <v>104</v>
      </c>
      <c r="K765" s="15" t="str">
        <f t="shared" si="1"/>
        <v>Exceeds Target</v>
      </c>
    </row>
    <row r="766" spans="2:11" ht="15" customHeight="1">
      <c r="B766" t="s">
        <v>374</v>
      </c>
      <c r="C766" t="s">
        <v>1120</v>
      </c>
      <c r="D766" t="s">
        <v>80</v>
      </c>
      <c r="E766" t="s">
        <v>27</v>
      </c>
      <c r="F766" s="17">
        <v>1000</v>
      </c>
      <c r="G766" s="17">
        <v>81000</v>
      </c>
      <c r="H766" s="17">
        <v>80000</v>
      </c>
      <c r="I766" s="18">
        <v>0.79</v>
      </c>
      <c r="J766" s="14">
        <f t="shared" si="0"/>
        <v>80</v>
      </c>
      <c r="K766" s="15" t="str">
        <f t="shared" si="1"/>
        <v>Exceeds Target</v>
      </c>
    </row>
    <row r="767" spans="2:11" ht="15" customHeight="1">
      <c r="B767" t="s">
        <v>83</v>
      </c>
      <c r="C767" t="s">
        <v>1121</v>
      </c>
      <c r="D767" t="s">
        <v>69</v>
      </c>
      <c r="E767" t="s">
        <v>70</v>
      </c>
      <c r="F767" s="17">
        <v>1000</v>
      </c>
      <c r="G767" s="17">
        <v>100000</v>
      </c>
      <c r="H767" s="17">
        <v>99000</v>
      </c>
      <c r="I767" s="18">
        <v>0.36</v>
      </c>
      <c r="J767" s="14">
        <f t="shared" si="0"/>
        <v>99</v>
      </c>
      <c r="K767" s="15" t="str">
        <f t="shared" si="1"/>
        <v>Exceeds Target</v>
      </c>
    </row>
    <row r="768" spans="2:11" ht="15" customHeight="1">
      <c r="B768" t="s">
        <v>1122</v>
      </c>
      <c r="C768" t="s">
        <v>1123</v>
      </c>
      <c r="D768" t="s">
        <v>35</v>
      </c>
      <c r="E768" t="s">
        <v>27</v>
      </c>
      <c r="F768" s="17">
        <v>3000</v>
      </c>
      <c r="G768" s="17">
        <v>130000</v>
      </c>
      <c r="H768" s="17">
        <v>127000</v>
      </c>
      <c r="I768" s="18">
        <v>0.93</v>
      </c>
      <c r="J768" s="14">
        <f t="shared" si="0"/>
        <v>42.333333333333336</v>
      </c>
      <c r="K768" s="15" t="str">
        <f t="shared" si="1"/>
        <v>Exceeds Target</v>
      </c>
    </row>
    <row r="769" spans="2:11" ht="15" customHeight="1">
      <c r="B769" t="s">
        <v>209</v>
      </c>
      <c r="C769" t="s">
        <v>1124</v>
      </c>
      <c r="D769" t="s">
        <v>35</v>
      </c>
      <c r="E769" t="s">
        <v>27</v>
      </c>
      <c r="F769" s="17">
        <v>3000</v>
      </c>
      <c r="G769" s="17">
        <v>90000</v>
      </c>
      <c r="H769" s="17">
        <v>87000</v>
      </c>
      <c r="I769" s="18">
        <v>0.71</v>
      </c>
      <c r="J769" s="14">
        <f t="shared" si="0"/>
        <v>29</v>
      </c>
      <c r="K769" s="15" t="str">
        <f t="shared" si="1"/>
        <v>Exceeds Target</v>
      </c>
    </row>
    <row r="770" spans="2:11" ht="15" customHeight="1">
      <c r="B770" t="s">
        <v>845</v>
      </c>
      <c r="C770" t="s">
        <v>1125</v>
      </c>
      <c r="D770" t="s">
        <v>69</v>
      </c>
      <c r="E770" t="s">
        <v>70</v>
      </c>
      <c r="F770" s="17">
        <v>1000</v>
      </c>
      <c r="G770" s="17">
        <v>45000</v>
      </c>
      <c r="H770" s="17">
        <v>44000</v>
      </c>
      <c r="I770" s="18">
        <v>0.2</v>
      </c>
      <c r="J770" s="14">
        <f t="shared" si="0"/>
        <v>44</v>
      </c>
      <c r="K770" s="15" t="str">
        <f t="shared" si="1"/>
        <v>Exceeds Target</v>
      </c>
    </row>
    <row r="771" spans="2:11" ht="15" customHeight="1">
      <c r="B771" t="s">
        <v>1126</v>
      </c>
      <c r="C771" t="s">
        <v>1127</v>
      </c>
      <c r="D771" t="s">
        <v>69</v>
      </c>
      <c r="E771" t="s">
        <v>70</v>
      </c>
      <c r="F771" s="17">
        <v>1000</v>
      </c>
      <c r="G771" s="17">
        <v>35000</v>
      </c>
      <c r="H771" s="17">
        <v>34000</v>
      </c>
      <c r="I771" s="18">
        <v>0.41</v>
      </c>
      <c r="J771" s="14">
        <f t="shared" si="0"/>
        <v>34</v>
      </c>
      <c r="K771" s="15" t="str">
        <f t="shared" si="1"/>
        <v>Exceeds Target</v>
      </c>
    </row>
    <row r="772" spans="2:11" ht="15" customHeight="1">
      <c r="B772" t="s">
        <v>259</v>
      </c>
      <c r="C772" t="s">
        <v>1128</v>
      </c>
      <c r="D772" t="s">
        <v>32</v>
      </c>
      <c r="E772" t="s">
        <v>27</v>
      </c>
      <c r="F772" s="17">
        <v>1500</v>
      </c>
      <c r="G772" s="17">
        <v>52000</v>
      </c>
      <c r="H772" s="17">
        <v>50500</v>
      </c>
      <c r="I772" s="18">
        <v>0.3</v>
      </c>
      <c r="J772" s="14">
        <f t="shared" si="0"/>
        <v>33.666666666666664</v>
      </c>
      <c r="K772" s="15" t="str">
        <f t="shared" si="1"/>
        <v>Exceeds Target</v>
      </c>
    </row>
    <row r="773" spans="2:11" ht="15" customHeight="1">
      <c r="B773" t="s">
        <v>932</v>
      </c>
      <c r="C773" t="s">
        <v>1129</v>
      </c>
      <c r="D773" t="s">
        <v>80</v>
      </c>
      <c r="E773" t="s">
        <v>27</v>
      </c>
      <c r="F773" s="17">
        <v>1000</v>
      </c>
      <c r="G773" s="17">
        <v>75000</v>
      </c>
      <c r="H773" s="17">
        <v>74000</v>
      </c>
      <c r="I773" s="18">
        <v>0.87</v>
      </c>
      <c r="J773" s="14">
        <f t="shared" si="0"/>
        <v>74</v>
      </c>
      <c r="K773" s="15" t="str">
        <f t="shared" si="1"/>
        <v>Exceeds Target</v>
      </c>
    </row>
    <row r="774" spans="2:11" ht="15" customHeight="1">
      <c r="B774" t="s">
        <v>471</v>
      </c>
      <c r="C774" t="s">
        <v>1130</v>
      </c>
      <c r="D774" t="s">
        <v>32</v>
      </c>
      <c r="E774" t="s">
        <v>27</v>
      </c>
      <c r="F774" s="17">
        <v>1500</v>
      </c>
      <c r="G774" s="17">
        <v>16000</v>
      </c>
      <c r="H774" s="17">
        <v>14500</v>
      </c>
      <c r="I774" s="18">
        <v>0.64</v>
      </c>
      <c r="J774" s="14">
        <f t="shared" si="0"/>
        <v>9.6666666666666661</v>
      </c>
      <c r="K774" s="15" t="str">
        <f t="shared" si="1"/>
        <v>Exceeds Target</v>
      </c>
    </row>
    <row r="775" spans="2:11" ht="15" customHeight="1">
      <c r="B775" t="s">
        <v>912</v>
      </c>
      <c r="C775" t="s">
        <v>1131</v>
      </c>
      <c r="D775" t="s">
        <v>35</v>
      </c>
      <c r="E775" t="s">
        <v>27</v>
      </c>
      <c r="F775" s="17">
        <v>3000</v>
      </c>
      <c r="G775" s="17">
        <v>290000</v>
      </c>
      <c r="H775" s="17">
        <v>287000</v>
      </c>
      <c r="I775" s="18">
        <v>0.41</v>
      </c>
      <c r="J775" s="14">
        <f t="shared" si="0"/>
        <v>95.666666666666671</v>
      </c>
      <c r="K775" s="15" t="str">
        <f t="shared" si="1"/>
        <v>Exceeds Target</v>
      </c>
    </row>
    <row r="776" spans="2:11" ht="15" customHeight="1">
      <c r="B776" t="s">
        <v>754</v>
      </c>
      <c r="C776" t="s">
        <v>1132</v>
      </c>
      <c r="D776" t="s">
        <v>26</v>
      </c>
      <c r="E776" t="s">
        <v>27</v>
      </c>
      <c r="F776" s="17">
        <v>5000</v>
      </c>
      <c r="G776" s="17">
        <v>60000</v>
      </c>
      <c r="H776" s="17">
        <v>55000</v>
      </c>
      <c r="I776" s="18">
        <v>0.13</v>
      </c>
      <c r="J776" s="14">
        <f t="shared" si="0"/>
        <v>11</v>
      </c>
      <c r="K776" s="15" t="str">
        <f t="shared" si="1"/>
        <v>Exceeds Target</v>
      </c>
    </row>
    <row r="777" spans="2:11" ht="15" customHeight="1">
      <c r="B777" t="s">
        <v>105</v>
      </c>
      <c r="C777" t="s">
        <v>1133</v>
      </c>
      <c r="D777" t="s">
        <v>69</v>
      </c>
      <c r="E777" t="s">
        <v>70</v>
      </c>
      <c r="F777" s="17">
        <v>1000</v>
      </c>
      <c r="G777" s="17">
        <v>90000</v>
      </c>
      <c r="H777" s="17">
        <v>89000</v>
      </c>
      <c r="I777" s="18">
        <v>0.87</v>
      </c>
      <c r="J777" s="14">
        <f t="shared" si="0"/>
        <v>89</v>
      </c>
      <c r="K777" s="15" t="str">
        <f t="shared" si="1"/>
        <v>Exceeds Target</v>
      </c>
    </row>
    <row r="778" spans="2:11" ht="15" customHeight="1">
      <c r="B778" t="s">
        <v>1134</v>
      </c>
      <c r="C778" t="s">
        <v>1135</v>
      </c>
      <c r="D778" t="s">
        <v>69</v>
      </c>
      <c r="E778" t="s">
        <v>70</v>
      </c>
      <c r="F778" s="17">
        <v>1000</v>
      </c>
      <c r="G778" s="17">
        <v>35000</v>
      </c>
      <c r="H778" s="17">
        <v>34000</v>
      </c>
      <c r="I778" s="18">
        <v>0.65</v>
      </c>
      <c r="J778" s="14">
        <f t="shared" si="0"/>
        <v>34</v>
      </c>
      <c r="K778" s="15" t="str">
        <f t="shared" si="1"/>
        <v>Exceeds Target</v>
      </c>
    </row>
    <row r="779" spans="2:11" ht="15" customHeight="1">
      <c r="B779" t="s">
        <v>512</v>
      </c>
      <c r="C779" t="s">
        <v>1136</v>
      </c>
      <c r="D779" t="s">
        <v>69</v>
      </c>
      <c r="E779" t="s">
        <v>70</v>
      </c>
      <c r="F779" s="17">
        <v>1000</v>
      </c>
      <c r="G779" s="17">
        <v>85000</v>
      </c>
      <c r="H779" s="17">
        <v>84000</v>
      </c>
      <c r="I779" s="18">
        <v>0.5</v>
      </c>
      <c r="J779" s="14">
        <f t="shared" si="0"/>
        <v>84</v>
      </c>
      <c r="K779" s="15" t="str">
        <f t="shared" si="1"/>
        <v>Exceeds Target</v>
      </c>
    </row>
    <row r="780" spans="2:11" ht="15" customHeight="1">
      <c r="B780" t="s">
        <v>97</v>
      </c>
      <c r="C780" t="s">
        <v>1137</v>
      </c>
      <c r="D780" t="s">
        <v>35</v>
      </c>
      <c r="E780" t="s">
        <v>27</v>
      </c>
      <c r="F780" s="17">
        <v>3000</v>
      </c>
      <c r="G780" s="17">
        <v>240000</v>
      </c>
      <c r="H780" s="17">
        <v>237000</v>
      </c>
      <c r="I780" s="18">
        <v>0.44</v>
      </c>
      <c r="J780" s="14">
        <f t="shared" si="0"/>
        <v>79</v>
      </c>
      <c r="K780" s="15" t="str">
        <f t="shared" si="1"/>
        <v>Exceeds Target</v>
      </c>
    </row>
    <row r="781" spans="2:11" ht="15" customHeight="1">
      <c r="B781" t="s">
        <v>287</v>
      </c>
      <c r="C781" t="s">
        <v>1138</v>
      </c>
      <c r="D781" t="s">
        <v>32</v>
      </c>
      <c r="E781" t="s">
        <v>27</v>
      </c>
      <c r="F781" s="17">
        <v>1500</v>
      </c>
      <c r="G781" s="17">
        <v>12000</v>
      </c>
      <c r="H781" s="17">
        <v>10500</v>
      </c>
      <c r="I781" s="18">
        <v>0.65</v>
      </c>
      <c r="J781" s="14">
        <f t="shared" si="0"/>
        <v>7</v>
      </c>
      <c r="K781" s="15" t="str">
        <f t="shared" si="1"/>
        <v>Exceeds Target</v>
      </c>
    </row>
    <row r="782" spans="2:11" ht="15" customHeight="1">
      <c r="B782" t="s">
        <v>625</v>
      </c>
      <c r="C782" t="s">
        <v>1139</v>
      </c>
      <c r="D782" t="s">
        <v>32</v>
      </c>
      <c r="E782" t="s">
        <v>27</v>
      </c>
      <c r="F782" s="17">
        <v>1500</v>
      </c>
      <c r="G782" s="17">
        <v>40000</v>
      </c>
      <c r="H782" s="17">
        <v>38500</v>
      </c>
      <c r="I782" s="18">
        <v>0.27</v>
      </c>
      <c r="J782" s="14">
        <f t="shared" si="0"/>
        <v>25.666666666666668</v>
      </c>
      <c r="K782" s="15" t="str">
        <f t="shared" si="1"/>
        <v>Exceeds Target</v>
      </c>
    </row>
    <row r="783" spans="2:11" ht="15" customHeight="1">
      <c r="B783" t="s">
        <v>255</v>
      </c>
      <c r="C783" t="s">
        <v>1140</v>
      </c>
      <c r="D783" t="s">
        <v>69</v>
      </c>
      <c r="E783" t="s">
        <v>70</v>
      </c>
      <c r="F783" s="17">
        <v>1000</v>
      </c>
      <c r="G783" s="17">
        <v>95000</v>
      </c>
      <c r="H783" s="17">
        <v>94000</v>
      </c>
      <c r="I783" s="18">
        <v>0.47</v>
      </c>
      <c r="J783" s="14">
        <f t="shared" si="0"/>
        <v>94</v>
      </c>
      <c r="K783" s="15" t="str">
        <f t="shared" si="1"/>
        <v>Exceeds Target</v>
      </c>
    </row>
    <row r="784" spans="2:11" ht="15" customHeight="1">
      <c r="B784" t="s">
        <v>892</v>
      </c>
      <c r="C784" t="s">
        <v>1141</v>
      </c>
      <c r="D784" t="s">
        <v>69</v>
      </c>
      <c r="E784" t="s">
        <v>70</v>
      </c>
      <c r="F784" s="17">
        <v>1000</v>
      </c>
      <c r="G784" s="17">
        <v>55000</v>
      </c>
      <c r="H784" s="17">
        <v>54000</v>
      </c>
      <c r="I784" s="18">
        <v>0.45</v>
      </c>
      <c r="J784" s="14">
        <f t="shared" si="0"/>
        <v>54</v>
      </c>
      <c r="K784" s="15" t="str">
        <f t="shared" si="1"/>
        <v>Exceeds Target</v>
      </c>
    </row>
    <row r="785" spans="2:11" ht="15" customHeight="1">
      <c r="B785" t="s">
        <v>661</v>
      </c>
      <c r="C785" t="s">
        <v>1142</v>
      </c>
      <c r="D785" t="s">
        <v>69</v>
      </c>
      <c r="E785" t="s">
        <v>70</v>
      </c>
      <c r="F785" s="17">
        <v>1000</v>
      </c>
      <c r="G785" s="17">
        <v>35000</v>
      </c>
      <c r="H785" s="17">
        <v>34000</v>
      </c>
      <c r="I785" s="18">
        <v>0.31</v>
      </c>
      <c r="J785" s="14">
        <f t="shared" si="0"/>
        <v>34</v>
      </c>
      <c r="K785" s="15" t="str">
        <f t="shared" si="1"/>
        <v>Exceeds Target</v>
      </c>
    </row>
    <row r="786" spans="2:11" ht="15" customHeight="1">
      <c r="B786" t="s">
        <v>1143</v>
      </c>
      <c r="C786" t="s">
        <v>1144</v>
      </c>
      <c r="D786" t="s">
        <v>80</v>
      </c>
      <c r="E786" t="s">
        <v>27</v>
      </c>
      <c r="F786" s="17">
        <v>1000</v>
      </c>
      <c r="G786" s="17">
        <v>75000</v>
      </c>
      <c r="H786" s="17">
        <v>74000</v>
      </c>
      <c r="I786" s="18">
        <v>0.72</v>
      </c>
      <c r="J786" s="14">
        <f t="shared" si="0"/>
        <v>74</v>
      </c>
      <c r="K786" s="15" t="str">
        <f t="shared" si="1"/>
        <v>Exceeds Target</v>
      </c>
    </row>
    <row r="787" spans="2:11" ht="15" customHeight="1">
      <c r="B787" t="s">
        <v>87</v>
      </c>
      <c r="C787" t="s">
        <v>1145</v>
      </c>
      <c r="D787" t="s">
        <v>26</v>
      </c>
      <c r="E787" t="s">
        <v>27</v>
      </c>
      <c r="F787" s="17">
        <v>5000</v>
      </c>
      <c r="G787" s="17">
        <v>120000</v>
      </c>
      <c r="H787" s="17">
        <v>115000</v>
      </c>
      <c r="I787" s="18">
        <v>0.2</v>
      </c>
      <c r="J787" s="14">
        <f t="shared" si="0"/>
        <v>23</v>
      </c>
      <c r="K787" s="15" t="str">
        <f t="shared" si="1"/>
        <v>Exceeds Target</v>
      </c>
    </row>
    <row r="788" spans="2:11" ht="15" customHeight="1">
      <c r="B788" t="s">
        <v>259</v>
      </c>
      <c r="C788" t="s">
        <v>1146</v>
      </c>
      <c r="D788" t="s">
        <v>26</v>
      </c>
      <c r="E788" t="s">
        <v>27</v>
      </c>
      <c r="F788" s="17">
        <v>5000</v>
      </c>
      <c r="G788" s="17">
        <v>60000</v>
      </c>
      <c r="H788" s="17">
        <v>55000</v>
      </c>
      <c r="I788" s="18">
        <v>0.32</v>
      </c>
      <c r="J788" s="14">
        <f t="shared" si="0"/>
        <v>11</v>
      </c>
      <c r="K788" s="15" t="str">
        <f t="shared" si="1"/>
        <v>Exceeds Target</v>
      </c>
    </row>
    <row r="789" spans="2:11" ht="15" customHeight="1">
      <c r="B789" t="s">
        <v>30</v>
      </c>
      <c r="C789" t="s">
        <v>1147</v>
      </c>
      <c r="D789" t="s">
        <v>32</v>
      </c>
      <c r="E789" t="s">
        <v>27</v>
      </c>
      <c r="F789" s="17">
        <v>1500</v>
      </c>
      <c r="G789" s="17">
        <v>32000</v>
      </c>
      <c r="H789" s="17">
        <v>30500</v>
      </c>
      <c r="I789" s="18">
        <v>0.88</v>
      </c>
      <c r="J789" s="14">
        <f t="shared" si="0"/>
        <v>20.333333333333332</v>
      </c>
      <c r="K789" s="15" t="str">
        <f t="shared" si="1"/>
        <v>Exceeds Target</v>
      </c>
    </row>
    <row r="790" spans="2:11" ht="15" customHeight="1">
      <c r="B790" t="s">
        <v>1016</v>
      </c>
      <c r="C790" t="s">
        <v>1148</v>
      </c>
      <c r="D790" t="s">
        <v>26</v>
      </c>
      <c r="E790" t="s">
        <v>27</v>
      </c>
      <c r="F790" s="17">
        <v>5000</v>
      </c>
      <c r="G790" s="17">
        <v>30000</v>
      </c>
      <c r="H790" s="17">
        <v>25000</v>
      </c>
      <c r="I790" s="18">
        <v>0.11</v>
      </c>
      <c r="J790" s="14">
        <f t="shared" si="0"/>
        <v>5</v>
      </c>
      <c r="K790" s="15" t="str">
        <f t="shared" si="1"/>
        <v>Exceeds Target</v>
      </c>
    </row>
    <row r="791" spans="2:11" ht="15" customHeight="1">
      <c r="B791" t="s">
        <v>216</v>
      </c>
      <c r="C791" t="s">
        <v>1149</v>
      </c>
      <c r="D791" t="s">
        <v>69</v>
      </c>
      <c r="E791" t="s">
        <v>70</v>
      </c>
      <c r="F791" s="17">
        <v>1000</v>
      </c>
      <c r="G791" s="17">
        <v>45000</v>
      </c>
      <c r="H791" s="17">
        <v>44000</v>
      </c>
      <c r="I791" s="18">
        <v>0.41</v>
      </c>
      <c r="J791" s="14">
        <f t="shared" si="0"/>
        <v>44</v>
      </c>
      <c r="K791" s="15" t="str">
        <f t="shared" si="1"/>
        <v>Exceeds Target</v>
      </c>
    </row>
    <row r="792" spans="2:11" ht="15" customHeight="1">
      <c r="B792" t="s">
        <v>291</v>
      </c>
      <c r="C792" t="s">
        <v>1150</v>
      </c>
      <c r="D792" t="s">
        <v>69</v>
      </c>
      <c r="E792" t="s">
        <v>70</v>
      </c>
      <c r="F792" s="17">
        <v>1000</v>
      </c>
      <c r="G792" s="17">
        <v>140000</v>
      </c>
      <c r="H792" s="17">
        <v>139000</v>
      </c>
      <c r="I792" s="18">
        <v>0.61</v>
      </c>
      <c r="J792" s="14">
        <f t="shared" si="0"/>
        <v>139</v>
      </c>
      <c r="K792" s="15" t="str">
        <f t="shared" si="1"/>
        <v>Exceeds Target</v>
      </c>
    </row>
    <row r="793" spans="2:11" ht="15" customHeight="1">
      <c r="B793" t="s">
        <v>670</v>
      </c>
      <c r="C793" t="s">
        <v>1151</v>
      </c>
      <c r="D793" t="s">
        <v>69</v>
      </c>
      <c r="E793" t="s">
        <v>70</v>
      </c>
      <c r="F793" s="17">
        <v>1000</v>
      </c>
      <c r="G793" s="17">
        <v>135000</v>
      </c>
      <c r="H793" s="17">
        <v>134000</v>
      </c>
      <c r="I793" s="18">
        <v>0.81</v>
      </c>
      <c r="J793" s="14">
        <f t="shared" si="0"/>
        <v>134</v>
      </c>
      <c r="K793" s="15" t="str">
        <f t="shared" si="1"/>
        <v>Exceeds Target</v>
      </c>
    </row>
    <row r="794" spans="2:11" ht="15" customHeight="1">
      <c r="B794" t="s">
        <v>223</v>
      </c>
      <c r="C794" t="s">
        <v>1152</v>
      </c>
      <c r="D794" t="s">
        <v>26</v>
      </c>
      <c r="E794" t="s">
        <v>27</v>
      </c>
      <c r="F794" s="17">
        <v>5000</v>
      </c>
      <c r="G794" s="17">
        <v>120000</v>
      </c>
      <c r="H794" s="17">
        <v>115000</v>
      </c>
      <c r="I794" s="18">
        <v>0.18</v>
      </c>
      <c r="J794" s="14">
        <f t="shared" si="0"/>
        <v>23</v>
      </c>
      <c r="K794" s="15" t="str">
        <f t="shared" si="1"/>
        <v>Exceeds Target</v>
      </c>
    </row>
    <row r="795" spans="2:11" ht="15" customHeight="1">
      <c r="B795" t="s">
        <v>293</v>
      </c>
      <c r="C795" t="s">
        <v>1153</v>
      </c>
      <c r="D795" t="s">
        <v>26</v>
      </c>
      <c r="E795" t="s">
        <v>27</v>
      </c>
      <c r="F795" s="17">
        <v>5000</v>
      </c>
      <c r="G795" s="17">
        <v>90000</v>
      </c>
      <c r="H795" s="17">
        <v>85000</v>
      </c>
      <c r="I795" s="18">
        <v>0.09</v>
      </c>
      <c r="J795" s="14">
        <f t="shared" si="0"/>
        <v>17</v>
      </c>
      <c r="K795" s="15" t="str">
        <f t="shared" si="1"/>
        <v>Exceeds Target</v>
      </c>
    </row>
    <row r="796" spans="2:11" ht="15" customHeight="1">
      <c r="B796" t="s">
        <v>850</v>
      </c>
      <c r="C796" t="s">
        <v>1154</v>
      </c>
      <c r="D796" t="s">
        <v>69</v>
      </c>
      <c r="E796" t="s">
        <v>70</v>
      </c>
      <c r="F796" s="17">
        <v>1000</v>
      </c>
      <c r="G796" s="17">
        <v>90000</v>
      </c>
      <c r="H796" s="17">
        <v>89000</v>
      </c>
      <c r="I796" s="18">
        <v>0.4</v>
      </c>
      <c r="J796" s="14">
        <f t="shared" si="0"/>
        <v>89</v>
      </c>
      <c r="K796" s="15" t="str">
        <f t="shared" si="1"/>
        <v>Exceeds Target</v>
      </c>
    </row>
    <row r="797" spans="2:11" ht="15" customHeight="1">
      <c r="B797" t="s">
        <v>815</v>
      </c>
      <c r="C797" t="s">
        <v>1155</v>
      </c>
      <c r="D797" t="s">
        <v>26</v>
      </c>
      <c r="E797" t="s">
        <v>27</v>
      </c>
      <c r="F797" s="17">
        <v>5000</v>
      </c>
      <c r="G797" s="17">
        <v>150000</v>
      </c>
      <c r="H797" s="17">
        <v>145000</v>
      </c>
      <c r="I797" s="18">
        <v>0.21</v>
      </c>
      <c r="J797" s="14">
        <f t="shared" si="0"/>
        <v>29</v>
      </c>
      <c r="K797" s="15" t="str">
        <f t="shared" si="1"/>
        <v>Exceeds Target</v>
      </c>
    </row>
    <row r="798" spans="2:11" ht="15" customHeight="1">
      <c r="B798" t="s">
        <v>376</v>
      </c>
      <c r="C798" t="s">
        <v>1156</v>
      </c>
      <c r="D798" t="s">
        <v>32</v>
      </c>
      <c r="E798" t="s">
        <v>27</v>
      </c>
      <c r="F798" s="17">
        <v>1500</v>
      </c>
      <c r="G798" s="17">
        <v>44000</v>
      </c>
      <c r="H798" s="17">
        <v>42500</v>
      </c>
      <c r="I798" s="18">
        <v>0.88</v>
      </c>
      <c r="J798" s="14">
        <f t="shared" si="0"/>
        <v>28.333333333333332</v>
      </c>
      <c r="K798" s="15" t="str">
        <f t="shared" si="1"/>
        <v>Exceeds Target</v>
      </c>
    </row>
    <row r="799" spans="2:11" ht="15" customHeight="1">
      <c r="B799" t="s">
        <v>1157</v>
      </c>
      <c r="C799" t="s">
        <v>1158</v>
      </c>
      <c r="D799" t="s">
        <v>26</v>
      </c>
      <c r="E799" t="s">
        <v>27</v>
      </c>
      <c r="F799" s="17">
        <v>5000</v>
      </c>
      <c r="G799" s="17">
        <v>150000</v>
      </c>
      <c r="H799" s="17">
        <v>145000</v>
      </c>
      <c r="I799" s="18">
        <v>0.28999999999999998</v>
      </c>
      <c r="J799" s="14">
        <f t="shared" si="0"/>
        <v>29</v>
      </c>
      <c r="K799" s="15" t="str">
        <f t="shared" si="1"/>
        <v>Exceeds Target</v>
      </c>
    </row>
    <row r="800" spans="2:11" ht="15" customHeight="1">
      <c r="B800" t="s">
        <v>285</v>
      </c>
      <c r="C800" t="s">
        <v>1159</v>
      </c>
      <c r="D800" t="s">
        <v>80</v>
      </c>
      <c r="E800" t="s">
        <v>27</v>
      </c>
      <c r="F800" s="17">
        <v>1000</v>
      </c>
      <c r="G800" s="17">
        <v>87000</v>
      </c>
      <c r="H800" s="17">
        <v>86000</v>
      </c>
      <c r="I800" s="18">
        <v>0.94</v>
      </c>
      <c r="J800" s="14">
        <f t="shared" si="0"/>
        <v>86</v>
      </c>
      <c r="K800" s="15" t="str">
        <f t="shared" si="1"/>
        <v>Exceeds Target</v>
      </c>
    </row>
    <row r="801" spans="2:11" ht="15" customHeight="1">
      <c r="B801" t="s">
        <v>860</v>
      </c>
      <c r="C801" t="s">
        <v>1160</v>
      </c>
      <c r="D801" t="s">
        <v>80</v>
      </c>
      <c r="E801" t="s">
        <v>27</v>
      </c>
      <c r="F801" s="17">
        <v>1000</v>
      </c>
      <c r="G801" s="17">
        <v>63000</v>
      </c>
      <c r="H801" s="17">
        <v>62000</v>
      </c>
      <c r="I801" s="18">
        <v>0.75</v>
      </c>
      <c r="J801" s="14">
        <f t="shared" si="0"/>
        <v>62</v>
      </c>
      <c r="K801" s="15" t="str">
        <f t="shared" si="1"/>
        <v>Exceeds Target</v>
      </c>
    </row>
    <row r="802" spans="2:11" ht="15" customHeight="1">
      <c r="B802" t="s">
        <v>673</v>
      </c>
      <c r="C802" t="s">
        <v>1161</v>
      </c>
      <c r="D802" t="s">
        <v>35</v>
      </c>
      <c r="E802" t="s">
        <v>27</v>
      </c>
      <c r="F802" s="17">
        <v>3000</v>
      </c>
      <c r="G802" s="17">
        <v>210000</v>
      </c>
      <c r="H802" s="17">
        <v>207000</v>
      </c>
      <c r="I802" s="18">
        <v>0.6</v>
      </c>
      <c r="J802" s="14">
        <f t="shared" si="0"/>
        <v>69</v>
      </c>
      <c r="K802" s="15" t="str">
        <f t="shared" si="1"/>
        <v>Exceeds Target</v>
      </c>
    </row>
    <row r="803" spans="2:11" ht="15" customHeight="1">
      <c r="B803" t="s">
        <v>376</v>
      </c>
      <c r="C803" t="s">
        <v>1162</v>
      </c>
      <c r="D803" t="s">
        <v>35</v>
      </c>
      <c r="E803" t="s">
        <v>27</v>
      </c>
      <c r="F803" s="17">
        <v>3000</v>
      </c>
      <c r="G803" s="17">
        <v>170000</v>
      </c>
      <c r="H803" s="17">
        <v>167000</v>
      </c>
      <c r="I803" s="18">
        <v>0.66</v>
      </c>
      <c r="J803" s="14">
        <f t="shared" si="0"/>
        <v>55.666666666666664</v>
      </c>
      <c r="K803" s="15" t="str">
        <f t="shared" si="1"/>
        <v>Exceeds Target</v>
      </c>
    </row>
    <row r="804" spans="2:11" ht="15" customHeight="1">
      <c r="B804" t="s">
        <v>227</v>
      </c>
      <c r="C804" t="s">
        <v>1163</v>
      </c>
      <c r="D804" t="s">
        <v>69</v>
      </c>
      <c r="E804" t="s">
        <v>70</v>
      </c>
      <c r="F804" s="17">
        <v>1000</v>
      </c>
      <c r="G804" s="17">
        <v>75000</v>
      </c>
      <c r="H804" s="17">
        <v>74000</v>
      </c>
      <c r="I804" s="18">
        <v>0.64</v>
      </c>
      <c r="J804" s="14">
        <f t="shared" si="0"/>
        <v>74</v>
      </c>
      <c r="K804" s="15" t="str">
        <f t="shared" si="1"/>
        <v>Exceeds Target</v>
      </c>
    </row>
    <row r="805" spans="2:11" ht="15" customHeight="1">
      <c r="B805" t="s">
        <v>78</v>
      </c>
      <c r="C805" t="s">
        <v>1164</v>
      </c>
      <c r="D805" t="s">
        <v>80</v>
      </c>
      <c r="E805" t="s">
        <v>27</v>
      </c>
      <c r="F805" s="17">
        <v>1000</v>
      </c>
      <c r="G805" s="17">
        <v>87000</v>
      </c>
      <c r="H805" s="17">
        <v>86000</v>
      </c>
      <c r="I805" s="18">
        <v>0.65</v>
      </c>
      <c r="J805" s="14">
        <f t="shared" si="0"/>
        <v>86</v>
      </c>
      <c r="K805" s="15" t="str">
        <f t="shared" si="1"/>
        <v>Exceeds Target</v>
      </c>
    </row>
    <row r="806" spans="2:11" ht="15" customHeight="1">
      <c r="B806" t="s">
        <v>319</v>
      </c>
      <c r="C806" t="s">
        <v>1165</v>
      </c>
      <c r="D806" t="s">
        <v>80</v>
      </c>
      <c r="E806" t="s">
        <v>27</v>
      </c>
      <c r="F806" s="17">
        <v>1000</v>
      </c>
      <c r="G806" s="17">
        <v>75000</v>
      </c>
      <c r="H806" s="17">
        <v>74000</v>
      </c>
      <c r="I806" s="18">
        <v>0.94</v>
      </c>
      <c r="J806" s="14">
        <f t="shared" si="0"/>
        <v>74</v>
      </c>
      <c r="K806" s="15" t="str">
        <f t="shared" si="1"/>
        <v>Exceeds Target</v>
      </c>
    </row>
    <row r="807" spans="2:11" ht="15" customHeight="1">
      <c r="B807" t="s">
        <v>225</v>
      </c>
      <c r="C807" t="s">
        <v>1166</v>
      </c>
      <c r="D807" t="s">
        <v>26</v>
      </c>
      <c r="E807" t="s">
        <v>27</v>
      </c>
      <c r="F807" s="17">
        <v>5000</v>
      </c>
      <c r="G807" s="17">
        <v>60000</v>
      </c>
      <c r="H807" s="17">
        <v>55000</v>
      </c>
      <c r="I807" s="18">
        <v>0.16</v>
      </c>
      <c r="J807" s="14">
        <f t="shared" si="0"/>
        <v>11</v>
      </c>
      <c r="K807" s="15" t="str">
        <f t="shared" si="1"/>
        <v>Exceeds Target</v>
      </c>
    </row>
    <row r="808" spans="2:11" ht="15" customHeight="1">
      <c r="B808" t="s">
        <v>85</v>
      </c>
      <c r="C808" t="s">
        <v>1167</v>
      </c>
      <c r="D808" t="s">
        <v>32</v>
      </c>
      <c r="E808" t="s">
        <v>27</v>
      </c>
      <c r="F808" s="17">
        <v>1500</v>
      </c>
      <c r="G808" s="17">
        <v>32000</v>
      </c>
      <c r="H808" s="17">
        <v>30500</v>
      </c>
      <c r="I808" s="18">
        <v>0.69</v>
      </c>
      <c r="J808" s="14">
        <f t="shared" si="0"/>
        <v>20.333333333333332</v>
      </c>
      <c r="K808" s="15" t="str">
        <f t="shared" si="1"/>
        <v>Exceeds Target</v>
      </c>
    </row>
    <row r="809" spans="2:11" ht="15" customHeight="1">
      <c r="B809" t="s">
        <v>973</v>
      </c>
      <c r="C809" t="s">
        <v>1168</v>
      </c>
      <c r="D809" t="s">
        <v>32</v>
      </c>
      <c r="E809" t="s">
        <v>27</v>
      </c>
      <c r="F809" s="17">
        <v>1500</v>
      </c>
      <c r="G809" s="17">
        <v>44000</v>
      </c>
      <c r="H809" s="17">
        <v>42500</v>
      </c>
      <c r="I809" s="18">
        <v>0.41</v>
      </c>
      <c r="J809" s="14">
        <f t="shared" si="0"/>
        <v>28.333333333333332</v>
      </c>
      <c r="K809" s="15" t="str">
        <f t="shared" si="1"/>
        <v>Exceeds Target</v>
      </c>
    </row>
    <row r="810" spans="2:11" ht="15" customHeight="1">
      <c r="B810" t="s">
        <v>585</v>
      </c>
      <c r="C810" t="s">
        <v>1169</v>
      </c>
      <c r="D810" t="s">
        <v>26</v>
      </c>
      <c r="E810" t="s">
        <v>27</v>
      </c>
      <c r="F810" s="17">
        <v>5000</v>
      </c>
      <c r="G810" s="17">
        <v>90000</v>
      </c>
      <c r="H810" s="17">
        <v>85000</v>
      </c>
      <c r="I810" s="18">
        <v>0.11</v>
      </c>
      <c r="J810" s="14">
        <f t="shared" si="0"/>
        <v>17</v>
      </c>
      <c r="K810" s="15" t="str">
        <f t="shared" si="1"/>
        <v>Exceeds Target</v>
      </c>
    </row>
    <row r="811" spans="2:11" ht="15" customHeight="1">
      <c r="B811" t="s">
        <v>1170</v>
      </c>
      <c r="C811" t="s">
        <v>1171</v>
      </c>
      <c r="D811" t="s">
        <v>32</v>
      </c>
      <c r="E811" t="s">
        <v>27</v>
      </c>
      <c r="F811" s="17">
        <v>1500</v>
      </c>
      <c r="G811" s="17">
        <v>26000</v>
      </c>
      <c r="H811" s="17">
        <v>24500</v>
      </c>
      <c r="I811" s="18">
        <v>0.46</v>
      </c>
      <c r="J811" s="14">
        <f t="shared" si="0"/>
        <v>16.333333333333332</v>
      </c>
      <c r="K811" s="15" t="str">
        <f t="shared" si="1"/>
        <v>Exceeds Target</v>
      </c>
    </row>
    <row r="812" spans="2:11" ht="15" customHeight="1">
      <c r="B812" t="s">
        <v>623</v>
      </c>
      <c r="C812" t="s">
        <v>1172</v>
      </c>
      <c r="D812" t="s">
        <v>80</v>
      </c>
      <c r="E812" t="s">
        <v>27</v>
      </c>
      <c r="F812" s="17">
        <v>1000</v>
      </c>
      <c r="G812" s="17">
        <v>87000</v>
      </c>
      <c r="H812" s="17">
        <v>86000</v>
      </c>
      <c r="I812" s="18">
        <v>0.95</v>
      </c>
      <c r="J812" s="14">
        <f t="shared" si="0"/>
        <v>86</v>
      </c>
      <c r="K812" s="15" t="str">
        <f t="shared" si="1"/>
        <v>Exceeds Target</v>
      </c>
    </row>
    <row r="813" spans="2:11" ht="15" customHeight="1">
      <c r="B813" t="s">
        <v>907</v>
      </c>
      <c r="C813" t="s">
        <v>1173</v>
      </c>
      <c r="D813" t="s">
        <v>80</v>
      </c>
      <c r="E813" t="s">
        <v>27</v>
      </c>
      <c r="F813" s="17">
        <v>1000</v>
      </c>
      <c r="G813" s="17">
        <v>90000</v>
      </c>
      <c r="H813" s="17">
        <v>89000</v>
      </c>
      <c r="I813" s="18">
        <v>0.81</v>
      </c>
      <c r="J813" s="14">
        <f t="shared" si="0"/>
        <v>89</v>
      </c>
      <c r="K813" s="15" t="str">
        <f t="shared" si="1"/>
        <v>Exceeds Target</v>
      </c>
    </row>
    <row r="814" spans="2:11" ht="15" customHeight="1">
      <c r="B814" t="s">
        <v>993</v>
      </c>
      <c r="C814" t="s">
        <v>1174</v>
      </c>
      <c r="D814" t="s">
        <v>69</v>
      </c>
      <c r="E814" t="s">
        <v>70</v>
      </c>
      <c r="F814" s="17">
        <v>1000</v>
      </c>
      <c r="G814" s="17">
        <v>130000</v>
      </c>
      <c r="H814" s="17">
        <v>129000</v>
      </c>
      <c r="I814" s="18">
        <v>0.83</v>
      </c>
      <c r="J814" s="14">
        <f t="shared" si="0"/>
        <v>129</v>
      </c>
      <c r="K814" s="15" t="str">
        <f t="shared" si="1"/>
        <v>Exceeds Target</v>
      </c>
    </row>
    <row r="815" spans="2:11" ht="15" customHeight="1">
      <c r="B815" t="s">
        <v>327</v>
      </c>
      <c r="C815" t="s">
        <v>1175</v>
      </c>
      <c r="D815" t="s">
        <v>35</v>
      </c>
      <c r="E815" t="s">
        <v>27</v>
      </c>
      <c r="F815" s="17">
        <v>3000</v>
      </c>
      <c r="G815" s="17">
        <v>140000</v>
      </c>
      <c r="H815" s="17">
        <v>137000</v>
      </c>
      <c r="I815" s="18">
        <v>0.88</v>
      </c>
      <c r="J815" s="14">
        <f t="shared" si="0"/>
        <v>45.666666666666664</v>
      </c>
      <c r="K815" s="15" t="str">
        <f t="shared" si="1"/>
        <v>Exceeds Target</v>
      </c>
    </row>
    <row r="816" spans="2:11" ht="15" customHeight="1">
      <c r="B816" t="s">
        <v>1176</v>
      </c>
      <c r="C816" t="s">
        <v>1177</v>
      </c>
      <c r="D816" t="s">
        <v>32</v>
      </c>
      <c r="E816" t="s">
        <v>27</v>
      </c>
      <c r="F816" s="17">
        <v>1500</v>
      </c>
      <c r="G816" s="17">
        <v>50000</v>
      </c>
      <c r="H816" s="17">
        <v>48500</v>
      </c>
      <c r="I816" s="18">
        <v>0.99</v>
      </c>
      <c r="J816" s="14">
        <f t="shared" si="0"/>
        <v>32.333333333333336</v>
      </c>
      <c r="K816" s="15" t="str">
        <f t="shared" si="1"/>
        <v>Exceeds Target</v>
      </c>
    </row>
    <row r="817" spans="2:11" ht="15" customHeight="1">
      <c r="B817" t="s">
        <v>754</v>
      </c>
      <c r="C817" t="s">
        <v>1178</v>
      </c>
      <c r="D817" t="s">
        <v>35</v>
      </c>
      <c r="E817" t="s">
        <v>27</v>
      </c>
      <c r="F817" s="17">
        <v>3000</v>
      </c>
      <c r="G817" s="17">
        <v>120000</v>
      </c>
      <c r="H817" s="17">
        <v>117000</v>
      </c>
      <c r="I817" s="18">
        <v>0.99</v>
      </c>
      <c r="J817" s="14">
        <f t="shared" si="0"/>
        <v>39</v>
      </c>
      <c r="K817" s="15" t="str">
        <f t="shared" si="1"/>
        <v>Exceeds Target</v>
      </c>
    </row>
    <row r="818" spans="2:11" ht="15" customHeight="1">
      <c r="B818" t="s">
        <v>223</v>
      </c>
      <c r="C818" t="s">
        <v>1179</v>
      </c>
      <c r="D818" t="s">
        <v>69</v>
      </c>
      <c r="E818" t="s">
        <v>70</v>
      </c>
      <c r="F818" s="17">
        <v>1000</v>
      </c>
      <c r="G818" s="17">
        <v>30000</v>
      </c>
      <c r="H818" s="17">
        <v>29000</v>
      </c>
      <c r="I818" s="18">
        <v>0.91</v>
      </c>
      <c r="J818" s="14">
        <f t="shared" si="0"/>
        <v>29</v>
      </c>
      <c r="K818" s="15" t="str">
        <f t="shared" si="1"/>
        <v>Exceeds Target</v>
      </c>
    </row>
    <row r="819" spans="2:11" ht="15" customHeight="1">
      <c r="B819" t="s">
        <v>625</v>
      </c>
      <c r="C819" t="s">
        <v>1180</v>
      </c>
      <c r="D819" t="s">
        <v>69</v>
      </c>
      <c r="E819" t="s">
        <v>70</v>
      </c>
      <c r="F819" s="17">
        <v>1000</v>
      </c>
      <c r="G819" s="17">
        <v>60000</v>
      </c>
      <c r="H819" s="17">
        <v>59000</v>
      </c>
      <c r="I819" s="18">
        <v>0.36</v>
      </c>
      <c r="J819" s="14">
        <f t="shared" si="0"/>
        <v>59</v>
      </c>
      <c r="K819" s="15" t="str">
        <f t="shared" si="1"/>
        <v>Exceeds Target</v>
      </c>
    </row>
    <row r="820" spans="2:11" ht="15" customHeight="1">
      <c r="B820" t="s">
        <v>129</v>
      </c>
      <c r="C820" t="s">
        <v>1181</v>
      </c>
      <c r="D820" t="s">
        <v>32</v>
      </c>
      <c r="E820" t="s">
        <v>27</v>
      </c>
      <c r="F820" s="17">
        <v>1500</v>
      </c>
      <c r="G820" s="17">
        <v>60000</v>
      </c>
      <c r="H820" s="17">
        <v>58500</v>
      </c>
      <c r="I820" s="18">
        <v>0.37</v>
      </c>
      <c r="J820" s="14">
        <f t="shared" si="0"/>
        <v>39</v>
      </c>
      <c r="K820" s="15" t="str">
        <f t="shared" si="1"/>
        <v>Exceeds Target</v>
      </c>
    </row>
    <row r="821" spans="2:11" ht="15" customHeight="1">
      <c r="B821" t="s">
        <v>261</v>
      </c>
      <c r="C821" t="s">
        <v>1182</v>
      </c>
      <c r="D821" t="s">
        <v>26</v>
      </c>
      <c r="E821" t="s">
        <v>27</v>
      </c>
      <c r="F821" s="17">
        <v>5000</v>
      </c>
      <c r="G821" s="17">
        <v>120000</v>
      </c>
      <c r="H821" s="17">
        <v>115000</v>
      </c>
      <c r="I821" s="18">
        <v>0.12</v>
      </c>
      <c r="J821" s="14">
        <f t="shared" si="0"/>
        <v>23</v>
      </c>
      <c r="K821" s="15" t="str">
        <f t="shared" si="1"/>
        <v>Exceeds Target</v>
      </c>
    </row>
    <row r="822" spans="2:11" ht="15" customHeight="1">
      <c r="B822" t="s">
        <v>340</v>
      </c>
      <c r="C822" t="s">
        <v>1183</v>
      </c>
      <c r="D822" t="s">
        <v>69</v>
      </c>
      <c r="E822" t="s">
        <v>70</v>
      </c>
      <c r="F822" s="17">
        <v>1000</v>
      </c>
      <c r="G822" s="17">
        <v>85000</v>
      </c>
      <c r="H822" s="17">
        <v>84000</v>
      </c>
      <c r="I822" s="18">
        <v>0.28000000000000003</v>
      </c>
      <c r="J822" s="14">
        <f t="shared" si="0"/>
        <v>84</v>
      </c>
      <c r="K822" s="15" t="str">
        <f t="shared" si="1"/>
        <v>Exceeds Target</v>
      </c>
    </row>
    <row r="823" spans="2:11" ht="15" customHeight="1">
      <c r="B823" t="s">
        <v>1184</v>
      </c>
      <c r="C823" t="s">
        <v>1185</v>
      </c>
      <c r="D823" t="s">
        <v>26</v>
      </c>
      <c r="E823" t="s">
        <v>27</v>
      </c>
      <c r="F823" s="17">
        <v>5000</v>
      </c>
      <c r="G823" s="17">
        <v>150000</v>
      </c>
      <c r="H823" s="17">
        <v>145000</v>
      </c>
      <c r="I823" s="18">
        <v>0.25</v>
      </c>
      <c r="J823" s="14">
        <f t="shared" si="0"/>
        <v>29</v>
      </c>
      <c r="K823" s="15" t="str">
        <f t="shared" si="1"/>
        <v>Exceeds Target</v>
      </c>
    </row>
    <row r="824" spans="2:11" ht="15" customHeight="1">
      <c r="B824" t="s">
        <v>563</v>
      </c>
      <c r="C824" t="s">
        <v>1186</v>
      </c>
      <c r="D824" t="s">
        <v>32</v>
      </c>
      <c r="E824" t="s">
        <v>27</v>
      </c>
      <c r="F824" s="17">
        <v>1500</v>
      </c>
      <c r="G824" s="17">
        <v>42000</v>
      </c>
      <c r="H824" s="17">
        <v>40500</v>
      </c>
      <c r="I824" s="18">
        <v>0.72</v>
      </c>
      <c r="J824" s="14">
        <f t="shared" si="0"/>
        <v>27</v>
      </c>
      <c r="K824" s="15" t="str">
        <f t="shared" si="1"/>
        <v>Exceeds Target</v>
      </c>
    </row>
    <row r="825" spans="2:11" ht="15" customHeight="1">
      <c r="B825" t="s">
        <v>730</v>
      </c>
      <c r="C825" t="s">
        <v>1187</v>
      </c>
      <c r="D825" t="s">
        <v>26</v>
      </c>
      <c r="E825" t="s">
        <v>27</v>
      </c>
      <c r="F825" s="17">
        <v>5000</v>
      </c>
      <c r="G825" s="17">
        <v>150000</v>
      </c>
      <c r="H825" s="17">
        <v>145000</v>
      </c>
      <c r="I825" s="18">
        <v>0.37</v>
      </c>
      <c r="J825" s="14">
        <f t="shared" si="0"/>
        <v>29</v>
      </c>
      <c r="K825" s="15" t="str">
        <f t="shared" si="1"/>
        <v>Exceeds Target</v>
      </c>
    </row>
    <row r="826" spans="2:11" ht="15" customHeight="1">
      <c r="B826" t="s">
        <v>307</v>
      </c>
      <c r="C826" t="s">
        <v>1188</v>
      </c>
      <c r="D826" t="s">
        <v>35</v>
      </c>
      <c r="E826" t="s">
        <v>27</v>
      </c>
      <c r="F826" s="17">
        <v>3000</v>
      </c>
      <c r="G826" s="17">
        <v>280000</v>
      </c>
      <c r="H826" s="17">
        <v>277000</v>
      </c>
      <c r="I826" s="18">
        <v>0.96</v>
      </c>
      <c r="J826" s="14">
        <f t="shared" si="0"/>
        <v>92.333333333333329</v>
      </c>
      <c r="K826" s="15" t="str">
        <f t="shared" si="1"/>
        <v>Exceeds Target</v>
      </c>
    </row>
    <row r="827" spans="2:11" ht="15" customHeight="1">
      <c r="B827" t="s">
        <v>171</v>
      </c>
      <c r="C827" t="s">
        <v>1189</v>
      </c>
      <c r="D827" t="s">
        <v>69</v>
      </c>
      <c r="E827" t="s">
        <v>70</v>
      </c>
      <c r="F827" s="17">
        <v>1000</v>
      </c>
      <c r="G827" s="17">
        <v>65000</v>
      </c>
      <c r="H827" s="17">
        <v>64000</v>
      </c>
      <c r="I827" s="18">
        <v>0.5</v>
      </c>
      <c r="J827" s="14">
        <f t="shared" si="0"/>
        <v>64</v>
      </c>
      <c r="K827" s="15" t="str">
        <f t="shared" si="1"/>
        <v>Exceeds Target</v>
      </c>
    </row>
    <row r="828" spans="2:11" ht="15" customHeight="1">
      <c r="B828" t="s">
        <v>325</v>
      </c>
      <c r="C828" t="s">
        <v>1190</v>
      </c>
      <c r="D828" t="s">
        <v>69</v>
      </c>
      <c r="E828" t="s">
        <v>70</v>
      </c>
      <c r="F828" s="17">
        <v>1000</v>
      </c>
      <c r="G828" s="17">
        <v>40000</v>
      </c>
      <c r="H828" s="17">
        <v>39000</v>
      </c>
      <c r="I828" s="18">
        <v>0.94</v>
      </c>
      <c r="J828" s="14">
        <f t="shared" si="0"/>
        <v>39</v>
      </c>
      <c r="K828" s="15" t="str">
        <f t="shared" si="1"/>
        <v>Exceeds Target</v>
      </c>
    </row>
    <row r="829" spans="2:11" ht="15" customHeight="1">
      <c r="B829" t="s">
        <v>568</v>
      </c>
      <c r="C829" t="s">
        <v>1191</v>
      </c>
      <c r="D829" t="s">
        <v>69</v>
      </c>
      <c r="E829" t="s">
        <v>70</v>
      </c>
      <c r="F829" s="17">
        <v>1000</v>
      </c>
      <c r="G829" s="17">
        <v>80000</v>
      </c>
      <c r="H829" s="17">
        <v>79000</v>
      </c>
      <c r="I829" s="18">
        <v>0.55000000000000004</v>
      </c>
      <c r="J829" s="14">
        <f t="shared" si="0"/>
        <v>79</v>
      </c>
      <c r="K829" s="15" t="str">
        <f t="shared" si="1"/>
        <v>Exceeds Target</v>
      </c>
    </row>
    <row r="830" spans="2:11" ht="15" customHeight="1">
      <c r="B830" t="s">
        <v>500</v>
      </c>
      <c r="C830" t="s">
        <v>1192</v>
      </c>
      <c r="D830" t="s">
        <v>26</v>
      </c>
      <c r="E830" t="s">
        <v>27</v>
      </c>
      <c r="F830" s="17">
        <v>5000</v>
      </c>
      <c r="G830" s="17">
        <v>120000</v>
      </c>
      <c r="H830" s="17">
        <v>115000</v>
      </c>
      <c r="I830" s="18">
        <v>0.15</v>
      </c>
      <c r="J830" s="14">
        <f t="shared" si="0"/>
        <v>23</v>
      </c>
      <c r="K830" s="15" t="str">
        <f t="shared" si="1"/>
        <v>Exceeds Target</v>
      </c>
    </row>
    <row r="831" spans="2:11" ht="15" customHeight="1">
      <c r="B831" t="s">
        <v>776</v>
      </c>
      <c r="C831" t="s">
        <v>1193</v>
      </c>
      <c r="D831" t="s">
        <v>69</v>
      </c>
      <c r="E831" t="s">
        <v>70</v>
      </c>
      <c r="F831" s="17">
        <v>1000</v>
      </c>
      <c r="G831" s="17">
        <v>115000</v>
      </c>
      <c r="H831" s="17">
        <v>114000</v>
      </c>
      <c r="I831" s="18">
        <v>0.78</v>
      </c>
      <c r="J831" s="14">
        <f t="shared" si="0"/>
        <v>114</v>
      </c>
      <c r="K831" s="15" t="str">
        <f t="shared" si="1"/>
        <v>Exceeds Target</v>
      </c>
    </row>
    <row r="832" spans="2:11" ht="15" customHeight="1">
      <c r="B832" t="s">
        <v>1194</v>
      </c>
      <c r="C832" t="s">
        <v>1195</v>
      </c>
      <c r="D832" t="s">
        <v>26</v>
      </c>
      <c r="E832" t="s">
        <v>27</v>
      </c>
      <c r="F832" s="17">
        <v>5000</v>
      </c>
      <c r="G832" s="17">
        <v>120000</v>
      </c>
      <c r="H832" s="17">
        <v>115000</v>
      </c>
      <c r="I832" s="18">
        <v>0.28000000000000003</v>
      </c>
      <c r="J832" s="14">
        <f t="shared" si="0"/>
        <v>23</v>
      </c>
      <c r="K832" s="15" t="str">
        <f t="shared" si="1"/>
        <v>Exceeds Target</v>
      </c>
    </row>
    <row r="833" spans="2:11" ht="15" customHeight="1">
      <c r="B833" t="s">
        <v>685</v>
      </c>
      <c r="C833" t="s">
        <v>1196</v>
      </c>
      <c r="D833" t="s">
        <v>26</v>
      </c>
      <c r="E833" t="s">
        <v>27</v>
      </c>
      <c r="F833" s="17">
        <v>5000</v>
      </c>
      <c r="G833" s="17">
        <v>150000</v>
      </c>
      <c r="H833" s="17">
        <v>145000</v>
      </c>
      <c r="I833" s="18">
        <v>0.28999999999999998</v>
      </c>
      <c r="J833" s="14">
        <f t="shared" si="0"/>
        <v>29</v>
      </c>
      <c r="K833" s="15" t="str">
        <f t="shared" si="1"/>
        <v>Exceeds Target</v>
      </c>
    </row>
    <row r="834" spans="2:11" ht="15" customHeight="1">
      <c r="B834" t="s">
        <v>212</v>
      </c>
      <c r="C834" t="s">
        <v>1197</v>
      </c>
      <c r="D834" t="s">
        <v>69</v>
      </c>
      <c r="E834" t="s">
        <v>70</v>
      </c>
      <c r="F834" s="17">
        <v>1000</v>
      </c>
      <c r="G834" s="17">
        <v>105000</v>
      </c>
      <c r="H834" s="17">
        <v>104000</v>
      </c>
      <c r="I834" s="18">
        <v>0.21</v>
      </c>
      <c r="J834" s="14">
        <f t="shared" si="0"/>
        <v>104</v>
      </c>
      <c r="K834" s="15" t="str">
        <f t="shared" si="1"/>
        <v>Exceeds Target</v>
      </c>
    </row>
    <row r="835" spans="2:11" ht="15" customHeight="1">
      <c r="B835" t="s">
        <v>173</v>
      </c>
      <c r="C835" t="s">
        <v>1198</v>
      </c>
      <c r="D835" t="s">
        <v>69</v>
      </c>
      <c r="E835" t="s">
        <v>70</v>
      </c>
      <c r="F835" s="17">
        <v>1000</v>
      </c>
      <c r="G835" s="17">
        <v>120000</v>
      </c>
      <c r="H835" s="17">
        <v>119000</v>
      </c>
      <c r="I835" s="18">
        <v>0.68</v>
      </c>
      <c r="J835" s="14">
        <f t="shared" si="0"/>
        <v>119</v>
      </c>
      <c r="K835" s="15" t="str">
        <f t="shared" si="1"/>
        <v>Exceeds Target</v>
      </c>
    </row>
    <row r="836" spans="2:11" ht="15" customHeight="1">
      <c r="B836" t="s">
        <v>496</v>
      </c>
      <c r="C836" t="s">
        <v>1199</v>
      </c>
      <c r="D836" t="s">
        <v>26</v>
      </c>
      <c r="E836" t="s">
        <v>27</v>
      </c>
      <c r="F836" s="17">
        <v>5000</v>
      </c>
      <c r="G836" s="17">
        <v>90000</v>
      </c>
      <c r="H836" s="17">
        <v>85000</v>
      </c>
      <c r="I836" s="18">
        <v>0.21</v>
      </c>
      <c r="J836" s="14">
        <f t="shared" si="0"/>
        <v>17</v>
      </c>
      <c r="K836" s="15" t="str">
        <f t="shared" si="1"/>
        <v>Exceeds Target</v>
      </c>
    </row>
    <row r="837" spans="2:11" ht="15" customHeight="1">
      <c r="B837" t="s">
        <v>416</v>
      </c>
      <c r="C837" t="s">
        <v>1200</v>
      </c>
      <c r="D837" t="s">
        <v>26</v>
      </c>
      <c r="E837" t="s">
        <v>27</v>
      </c>
      <c r="F837" s="17">
        <v>5000</v>
      </c>
      <c r="G837" s="17">
        <v>30000</v>
      </c>
      <c r="H837" s="17">
        <v>25000</v>
      </c>
      <c r="I837" s="18">
        <v>0.28000000000000003</v>
      </c>
      <c r="J837" s="14">
        <f t="shared" si="0"/>
        <v>5</v>
      </c>
      <c r="K837" s="15" t="str">
        <f t="shared" si="1"/>
        <v>Exceeds Target</v>
      </c>
    </row>
    <row r="838" spans="2:11" ht="15" customHeight="1">
      <c r="B838" t="s">
        <v>340</v>
      </c>
      <c r="C838" t="s">
        <v>1201</v>
      </c>
      <c r="D838" t="s">
        <v>69</v>
      </c>
      <c r="E838" t="s">
        <v>70</v>
      </c>
      <c r="F838" s="17">
        <v>1000</v>
      </c>
      <c r="G838" s="17">
        <v>80000</v>
      </c>
      <c r="H838" s="17">
        <v>79000</v>
      </c>
      <c r="I838" s="18">
        <v>0.57999999999999996</v>
      </c>
      <c r="J838" s="14">
        <f t="shared" si="0"/>
        <v>79</v>
      </c>
      <c r="K838" s="15" t="str">
        <f t="shared" si="1"/>
        <v>Exceeds Target</v>
      </c>
    </row>
    <row r="839" spans="2:11" ht="15" customHeight="1">
      <c r="B839" t="s">
        <v>818</v>
      </c>
      <c r="C839" t="s">
        <v>1202</v>
      </c>
      <c r="D839" t="s">
        <v>32</v>
      </c>
      <c r="E839" t="s">
        <v>27</v>
      </c>
      <c r="F839" s="17">
        <v>1500</v>
      </c>
      <c r="G839" s="17">
        <v>58000</v>
      </c>
      <c r="H839" s="17">
        <v>56500</v>
      </c>
      <c r="I839" s="18">
        <v>0.76</v>
      </c>
      <c r="J839" s="14">
        <f t="shared" si="0"/>
        <v>37.666666666666664</v>
      </c>
      <c r="K839" s="15" t="str">
        <f t="shared" si="1"/>
        <v>Exceeds Target</v>
      </c>
    </row>
    <row r="840" spans="2:11" ht="15" customHeight="1">
      <c r="B840" t="s">
        <v>644</v>
      </c>
      <c r="C840" t="s">
        <v>1203</v>
      </c>
      <c r="D840" t="s">
        <v>80</v>
      </c>
      <c r="E840" t="s">
        <v>27</v>
      </c>
      <c r="F840" s="17">
        <v>1000</v>
      </c>
      <c r="G840" s="17">
        <v>117000</v>
      </c>
      <c r="H840" s="17">
        <v>116000</v>
      </c>
      <c r="I840" s="18">
        <v>0.76</v>
      </c>
      <c r="J840" s="14">
        <f t="shared" si="0"/>
        <v>116</v>
      </c>
      <c r="K840" s="15" t="str">
        <f t="shared" si="1"/>
        <v>Exceeds Target</v>
      </c>
    </row>
    <row r="841" spans="2:11" ht="15" customHeight="1">
      <c r="B841" t="s">
        <v>713</v>
      </c>
      <c r="C841" t="s">
        <v>1204</v>
      </c>
      <c r="D841" t="s">
        <v>69</v>
      </c>
      <c r="E841" t="s">
        <v>70</v>
      </c>
      <c r="F841" s="17">
        <v>1000</v>
      </c>
      <c r="G841" s="17">
        <v>50000</v>
      </c>
      <c r="H841" s="17">
        <v>49000</v>
      </c>
      <c r="I841" s="18">
        <v>0.72</v>
      </c>
      <c r="J841" s="14">
        <f t="shared" si="0"/>
        <v>49</v>
      </c>
      <c r="K841" s="15" t="str">
        <f t="shared" si="1"/>
        <v>Exceeds Target</v>
      </c>
    </row>
    <row r="842" spans="2:11" ht="15" customHeight="1">
      <c r="B842" t="s">
        <v>860</v>
      </c>
      <c r="C842" t="s">
        <v>1205</v>
      </c>
      <c r="D842" t="s">
        <v>69</v>
      </c>
      <c r="E842" t="s">
        <v>70</v>
      </c>
      <c r="F842" s="17">
        <v>1000</v>
      </c>
      <c r="G842" s="17">
        <v>55000</v>
      </c>
      <c r="H842" s="17">
        <v>54000</v>
      </c>
      <c r="I842" s="18">
        <v>0.21</v>
      </c>
      <c r="J842" s="14">
        <f t="shared" si="0"/>
        <v>54</v>
      </c>
      <c r="K842" s="15" t="str">
        <f t="shared" si="1"/>
        <v>Exceeds Target</v>
      </c>
    </row>
    <row r="843" spans="2:11" ht="15" customHeight="1">
      <c r="B843" t="s">
        <v>628</v>
      </c>
      <c r="C843" t="s">
        <v>1206</v>
      </c>
      <c r="D843" t="s">
        <v>32</v>
      </c>
      <c r="E843" t="s">
        <v>27</v>
      </c>
      <c r="F843" s="17">
        <v>1500</v>
      </c>
      <c r="G843" s="17">
        <v>44000</v>
      </c>
      <c r="H843" s="17">
        <v>42500</v>
      </c>
      <c r="I843" s="18">
        <v>0.28999999999999998</v>
      </c>
      <c r="J843" s="14">
        <f t="shared" si="0"/>
        <v>28.333333333333332</v>
      </c>
      <c r="K843" s="15" t="str">
        <f t="shared" si="1"/>
        <v>Exceeds Target</v>
      </c>
    </row>
    <row r="844" spans="2:11" ht="15" customHeight="1">
      <c r="B844" t="s">
        <v>119</v>
      </c>
      <c r="C844" t="s">
        <v>1207</v>
      </c>
      <c r="D844" t="s">
        <v>32</v>
      </c>
      <c r="E844" t="s">
        <v>27</v>
      </c>
      <c r="F844" s="17">
        <v>1500</v>
      </c>
      <c r="G844" s="17">
        <v>22000</v>
      </c>
      <c r="H844" s="17">
        <v>20500</v>
      </c>
      <c r="I844" s="18">
        <v>0.73</v>
      </c>
      <c r="J844" s="14">
        <f t="shared" si="0"/>
        <v>13.666666666666666</v>
      </c>
      <c r="K844" s="15" t="str">
        <f t="shared" si="1"/>
        <v>Exceeds Target</v>
      </c>
    </row>
    <row r="845" spans="2:11" ht="15" customHeight="1">
      <c r="B845" t="s">
        <v>568</v>
      </c>
      <c r="C845" t="s">
        <v>1208</v>
      </c>
      <c r="D845" t="s">
        <v>26</v>
      </c>
      <c r="E845" t="s">
        <v>27</v>
      </c>
      <c r="F845" s="17">
        <v>5000</v>
      </c>
      <c r="G845" s="17">
        <v>30000</v>
      </c>
      <c r="H845" s="17">
        <v>25000</v>
      </c>
      <c r="I845" s="18">
        <v>0.05</v>
      </c>
      <c r="J845" s="14">
        <f t="shared" si="0"/>
        <v>5</v>
      </c>
      <c r="K845" s="15" t="str">
        <f t="shared" si="1"/>
        <v>Exceeds Target</v>
      </c>
    </row>
    <row r="846" spans="2:11" ht="15" customHeight="1">
      <c r="B846" t="s">
        <v>97</v>
      </c>
      <c r="C846" t="s">
        <v>1209</v>
      </c>
      <c r="D846" t="s">
        <v>35</v>
      </c>
      <c r="E846" t="s">
        <v>27</v>
      </c>
      <c r="F846" s="17">
        <v>3000</v>
      </c>
      <c r="G846" s="17">
        <v>130000</v>
      </c>
      <c r="H846" s="17">
        <v>127000</v>
      </c>
      <c r="I846" s="18">
        <v>0.24</v>
      </c>
      <c r="J846" s="14">
        <f t="shared" si="0"/>
        <v>42.333333333333336</v>
      </c>
      <c r="K846" s="15" t="str">
        <f t="shared" si="1"/>
        <v>Exceeds Target</v>
      </c>
    </row>
    <row r="847" spans="2:11" ht="15" customHeight="1">
      <c r="B847" t="s">
        <v>1210</v>
      </c>
      <c r="C847" t="s">
        <v>1211</v>
      </c>
      <c r="D847" t="s">
        <v>26</v>
      </c>
      <c r="E847" t="s">
        <v>27</v>
      </c>
      <c r="F847" s="17">
        <v>5000</v>
      </c>
      <c r="G847" s="17">
        <v>120000</v>
      </c>
      <c r="H847" s="17">
        <v>115000</v>
      </c>
      <c r="I847" s="18">
        <v>0.16</v>
      </c>
      <c r="J847" s="14">
        <f t="shared" si="0"/>
        <v>23</v>
      </c>
      <c r="K847" s="15" t="str">
        <f t="shared" si="1"/>
        <v>Exceeds Target</v>
      </c>
    </row>
    <row r="848" spans="2:11" ht="15" customHeight="1">
      <c r="B848" t="s">
        <v>127</v>
      </c>
      <c r="C848" t="s">
        <v>1212</v>
      </c>
      <c r="D848" t="s">
        <v>69</v>
      </c>
      <c r="E848" t="s">
        <v>70</v>
      </c>
      <c r="F848" s="17">
        <v>1000</v>
      </c>
      <c r="G848" s="17">
        <v>70000</v>
      </c>
      <c r="H848" s="17">
        <v>69000</v>
      </c>
      <c r="I848" s="18">
        <v>0.31</v>
      </c>
      <c r="J848" s="14">
        <f t="shared" si="0"/>
        <v>69</v>
      </c>
      <c r="K848" s="15" t="str">
        <f t="shared" si="1"/>
        <v>Exceeds Target</v>
      </c>
    </row>
    <row r="849" spans="2:11" ht="15" customHeight="1">
      <c r="B849" t="s">
        <v>185</v>
      </c>
      <c r="C849" t="s">
        <v>1213</v>
      </c>
      <c r="D849" t="s">
        <v>32</v>
      </c>
      <c r="E849" t="s">
        <v>27</v>
      </c>
      <c r="F849" s="17">
        <v>1500</v>
      </c>
      <c r="G849" s="17">
        <v>38000</v>
      </c>
      <c r="H849" s="17">
        <v>36500</v>
      </c>
      <c r="I849" s="18">
        <v>0.26</v>
      </c>
      <c r="J849" s="14">
        <f t="shared" si="0"/>
        <v>24.333333333333332</v>
      </c>
      <c r="K849" s="15" t="str">
        <f t="shared" si="1"/>
        <v>Exceeds Target</v>
      </c>
    </row>
    <row r="850" spans="2:11" ht="15" customHeight="1">
      <c r="B850" t="s">
        <v>993</v>
      </c>
      <c r="C850" t="s">
        <v>1214</v>
      </c>
      <c r="D850" t="s">
        <v>35</v>
      </c>
      <c r="E850" t="s">
        <v>27</v>
      </c>
      <c r="F850" s="17">
        <v>3000</v>
      </c>
      <c r="G850" s="17">
        <v>130000</v>
      </c>
      <c r="H850" s="17">
        <v>127000</v>
      </c>
      <c r="I850" s="18">
        <v>0.82</v>
      </c>
      <c r="J850" s="14">
        <f t="shared" si="0"/>
        <v>42.333333333333336</v>
      </c>
      <c r="K850" s="15" t="str">
        <f t="shared" si="1"/>
        <v>Exceeds Target</v>
      </c>
    </row>
    <row r="851" spans="2:11" ht="15" customHeight="1">
      <c r="B851" t="s">
        <v>982</v>
      </c>
      <c r="C851" t="s">
        <v>1215</v>
      </c>
      <c r="D851" t="s">
        <v>32</v>
      </c>
      <c r="E851" t="s">
        <v>27</v>
      </c>
      <c r="F851" s="17">
        <v>1500</v>
      </c>
      <c r="G851" s="17">
        <v>40000</v>
      </c>
      <c r="H851" s="17">
        <v>38500</v>
      </c>
      <c r="I851" s="18">
        <v>0.68</v>
      </c>
      <c r="J851" s="14">
        <f t="shared" si="0"/>
        <v>25.666666666666668</v>
      </c>
      <c r="K851" s="15" t="str">
        <f t="shared" si="1"/>
        <v>Exceeds Target</v>
      </c>
    </row>
    <row r="852" spans="2:11" ht="15" customHeight="1">
      <c r="B852" t="s">
        <v>1216</v>
      </c>
      <c r="C852" t="s">
        <v>1217</v>
      </c>
      <c r="D852" t="s">
        <v>80</v>
      </c>
      <c r="E852" t="s">
        <v>27</v>
      </c>
      <c r="F852" s="17">
        <v>1000</v>
      </c>
      <c r="G852" s="17">
        <v>48000</v>
      </c>
      <c r="H852" s="17">
        <v>47000</v>
      </c>
      <c r="I852" s="18">
        <v>0.57999999999999996</v>
      </c>
      <c r="J852" s="14">
        <f t="shared" si="0"/>
        <v>47</v>
      </c>
      <c r="K852" s="15" t="str">
        <f t="shared" si="1"/>
        <v>Exceeds Target</v>
      </c>
    </row>
    <row r="853" spans="2:11" ht="15" customHeight="1">
      <c r="B853" t="s">
        <v>685</v>
      </c>
      <c r="C853" t="s">
        <v>1218</v>
      </c>
      <c r="D853" t="s">
        <v>80</v>
      </c>
      <c r="E853" t="s">
        <v>27</v>
      </c>
      <c r="F853" s="17">
        <v>1000</v>
      </c>
      <c r="G853" s="17">
        <v>72000</v>
      </c>
      <c r="H853" s="17">
        <v>71000</v>
      </c>
      <c r="I853" s="18">
        <v>0.81</v>
      </c>
      <c r="J853" s="14">
        <f t="shared" si="0"/>
        <v>71</v>
      </c>
      <c r="K853" s="15" t="str">
        <f t="shared" si="1"/>
        <v>Exceeds Target</v>
      </c>
    </row>
    <row r="854" spans="2:11" ht="15" customHeight="1">
      <c r="B854" t="s">
        <v>489</v>
      </c>
      <c r="C854" t="s">
        <v>1219</v>
      </c>
      <c r="D854" t="s">
        <v>32</v>
      </c>
      <c r="E854" t="s">
        <v>27</v>
      </c>
      <c r="F854" s="17">
        <v>1500</v>
      </c>
      <c r="G854" s="17">
        <v>40000</v>
      </c>
      <c r="H854" s="17">
        <v>38500</v>
      </c>
      <c r="I854" s="18">
        <v>0.44</v>
      </c>
      <c r="J854" s="14">
        <f t="shared" si="0"/>
        <v>25.666666666666668</v>
      </c>
      <c r="K854" s="15" t="str">
        <f t="shared" si="1"/>
        <v>Exceeds Target</v>
      </c>
    </row>
    <row r="855" spans="2:11" ht="15" customHeight="1">
      <c r="B855" t="s">
        <v>517</v>
      </c>
      <c r="C855" t="s">
        <v>1220</v>
      </c>
      <c r="D855" t="s">
        <v>80</v>
      </c>
      <c r="E855" t="s">
        <v>27</v>
      </c>
      <c r="F855" s="17">
        <v>1000</v>
      </c>
      <c r="G855" s="17">
        <v>90000</v>
      </c>
      <c r="H855" s="17">
        <v>89000</v>
      </c>
      <c r="I855" s="18">
        <v>0.93</v>
      </c>
      <c r="J855" s="14">
        <f t="shared" si="0"/>
        <v>89</v>
      </c>
      <c r="K855" s="15" t="str">
        <f t="shared" si="1"/>
        <v>Exceeds Target</v>
      </c>
    </row>
    <row r="856" spans="2:11" ht="15" customHeight="1">
      <c r="B856" t="s">
        <v>559</v>
      </c>
      <c r="C856" t="s">
        <v>1221</v>
      </c>
      <c r="D856" t="s">
        <v>80</v>
      </c>
      <c r="E856" t="s">
        <v>27</v>
      </c>
      <c r="F856" s="17">
        <v>1000</v>
      </c>
      <c r="G856" s="17">
        <v>84000</v>
      </c>
      <c r="H856" s="17">
        <v>83000</v>
      </c>
      <c r="I856" s="18">
        <v>0.94</v>
      </c>
      <c r="J856" s="14">
        <f t="shared" si="0"/>
        <v>83</v>
      </c>
      <c r="K856" s="15" t="str">
        <f t="shared" si="1"/>
        <v>Exceeds Target</v>
      </c>
    </row>
    <row r="857" spans="2:11" ht="15" customHeight="1">
      <c r="B857" t="s">
        <v>1222</v>
      </c>
      <c r="C857" t="s">
        <v>1223</v>
      </c>
      <c r="D857" t="s">
        <v>69</v>
      </c>
      <c r="E857" t="s">
        <v>70</v>
      </c>
      <c r="F857" s="17">
        <v>1000</v>
      </c>
      <c r="G857" s="17">
        <v>65000</v>
      </c>
      <c r="H857" s="17">
        <v>64000</v>
      </c>
      <c r="I857" s="18">
        <v>0.71</v>
      </c>
      <c r="J857" s="14">
        <f t="shared" si="0"/>
        <v>64</v>
      </c>
      <c r="K857" s="15" t="str">
        <f t="shared" si="1"/>
        <v>Exceeds Target</v>
      </c>
    </row>
    <row r="858" spans="2:11" ht="15" customHeight="1">
      <c r="B858" t="s">
        <v>277</v>
      </c>
      <c r="C858" t="s">
        <v>1224</v>
      </c>
      <c r="D858" t="s">
        <v>26</v>
      </c>
      <c r="E858" t="s">
        <v>27</v>
      </c>
      <c r="F858" s="17">
        <v>5000</v>
      </c>
      <c r="G858" s="17">
        <v>120000</v>
      </c>
      <c r="H858" s="17">
        <v>115000</v>
      </c>
      <c r="I858" s="18">
        <v>0.28999999999999998</v>
      </c>
      <c r="J858" s="14">
        <f t="shared" si="0"/>
        <v>23</v>
      </c>
      <c r="K858" s="15" t="str">
        <f t="shared" si="1"/>
        <v>Exceeds Target</v>
      </c>
    </row>
    <row r="859" spans="2:11" ht="15" customHeight="1">
      <c r="B859" t="s">
        <v>657</v>
      </c>
      <c r="C859" t="s">
        <v>1225</v>
      </c>
      <c r="D859" t="s">
        <v>26</v>
      </c>
      <c r="E859" t="s">
        <v>27</v>
      </c>
      <c r="F859" s="17">
        <v>5000</v>
      </c>
      <c r="G859" s="17">
        <v>60000</v>
      </c>
      <c r="H859" s="17">
        <v>55000</v>
      </c>
      <c r="I859" s="18">
        <v>0.16</v>
      </c>
      <c r="J859" s="14">
        <f t="shared" si="0"/>
        <v>11</v>
      </c>
      <c r="K859" s="15" t="str">
        <f t="shared" si="1"/>
        <v>Exceeds Target</v>
      </c>
    </row>
    <row r="860" spans="2:11" ht="15" customHeight="1">
      <c r="B860" t="s">
        <v>197</v>
      </c>
      <c r="C860" t="s">
        <v>1226</v>
      </c>
      <c r="D860" t="s">
        <v>80</v>
      </c>
      <c r="E860" t="s">
        <v>27</v>
      </c>
      <c r="F860" s="17">
        <v>1000</v>
      </c>
      <c r="G860" s="17">
        <v>60000</v>
      </c>
      <c r="H860" s="17">
        <v>59000</v>
      </c>
      <c r="I860" s="18">
        <v>0.89</v>
      </c>
      <c r="J860" s="14">
        <f t="shared" si="0"/>
        <v>59</v>
      </c>
      <c r="K860" s="15" t="str">
        <f t="shared" si="1"/>
        <v>Exceeds Target</v>
      </c>
    </row>
    <row r="861" spans="2:11" ht="15" customHeight="1">
      <c r="B861" t="s">
        <v>465</v>
      </c>
      <c r="C861" t="s">
        <v>1227</v>
      </c>
      <c r="D861" t="s">
        <v>35</v>
      </c>
      <c r="E861" t="s">
        <v>27</v>
      </c>
      <c r="F861" s="17">
        <v>3000</v>
      </c>
      <c r="G861" s="17">
        <v>280000</v>
      </c>
      <c r="H861" s="17">
        <v>277000</v>
      </c>
      <c r="I861" s="18">
        <v>0.49</v>
      </c>
      <c r="J861" s="14">
        <f t="shared" si="0"/>
        <v>92.333333333333329</v>
      </c>
      <c r="K861" s="15" t="str">
        <f t="shared" si="1"/>
        <v>Exceeds Target</v>
      </c>
    </row>
    <row r="862" spans="2:11" ht="15" customHeight="1">
      <c r="B862" t="s">
        <v>648</v>
      </c>
      <c r="C862" t="s">
        <v>1228</v>
      </c>
      <c r="D862" t="s">
        <v>32</v>
      </c>
      <c r="E862" t="s">
        <v>27</v>
      </c>
      <c r="F862" s="17">
        <v>1500</v>
      </c>
      <c r="G862" s="17">
        <v>24000</v>
      </c>
      <c r="H862" s="17">
        <v>22500</v>
      </c>
      <c r="I862" s="18">
        <v>0.99</v>
      </c>
      <c r="J862" s="14">
        <f t="shared" si="0"/>
        <v>15</v>
      </c>
      <c r="K862" s="15" t="str">
        <f t="shared" si="1"/>
        <v>Exceeds Target</v>
      </c>
    </row>
    <row r="863" spans="2:11" ht="15" customHeight="1">
      <c r="B863" t="s">
        <v>127</v>
      </c>
      <c r="C863" t="s">
        <v>1229</v>
      </c>
      <c r="D863" t="s">
        <v>35</v>
      </c>
      <c r="E863" t="s">
        <v>27</v>
      </c>
      <c r="F863" s="17">
        <v>3000</v>
      </c>
      <c r="G863" s="17">
        <v>290000</v>
      </c>
      <c r="H863" s="17">
        <v>287000</v>
      </c>
      <c r="I863" s="18">
        <v>0.28000000000000003</v>
      </c>
      <c r="J863" s="14">
        <f t="shared" si="0"/>
        <v>95.666666666666671</v>
      </c>
      <c r="K863" s="15" t="str">
        <f t="shared" si="1"/>
        <v>Exceeds Target</v>
      </c>
    </row>
    <row r="864" spans="2:11" ht="15" customHeight="1">
      <c r="B864" t="s">
        <v>580</v>
      </c>
      <c r="C864" t="s">
        <v>1230</v>
      </c>
      <c r="D864" t="s">
        <v>35</v>
      </c>
      <c r="E864" t="s">
        <v>27</v>
      </c>
      <c r="F864" s="17">
        <v>3000</v>
      </c>
      <c r="G864" s="17">
        <v>230000</v>
      </c>
      <c r="H864" s="17">
        <v>227000</v>
      </c>
      <c r="I864" s="18">
        <v>0.54</v>
      </c>
      <c r="J864" s="14">
        <f t="shared" si="0"/>
        <v>75.666666666666671</v>
      </c>
      <c r="K864" s="15" t="str">
        <f t="shared" si="1"/>
        <v>Exceeds Target</v>
      </c>
    </row>
    <row r="865" spans="2:11" ht="15" customHeight="1">
      <c r="B865" t="s">
        <v>670</v>
      </c>
      <c r="C865" t="s">
        <v>1231</v>
      </c>
      <c r="D865" t="s">
        <v>26</v>
      </c>
      <c r="E865" t="s">
        <v>27</v>
      </c>
      <c r="F865" s="17">
        <v>5000</v>
      </c>
      <c r="G865" s="17">
        <v>150000</v>
      </c>
      <c r="H865" s="17">
        <v>145000</v>
      </c>
      <c r="I865" s="18">
        <v>7.0000000000000007E-2</v>
      </c>
      <c r="J865" s="14">
        <f t="shared" si="0"/>
        <v>29</v>
      </c>
      <c r="K865" s="15" t="str">
        <f t="shared" si="1"/>
        <v>Exceeds Target</v>
      </c>
    </row>
    <row r="866" spans="2:11" ht="15" customHeight="1">
      <c r="B866" t="s">
        <v>165</v>
      </c>
      <c r="C866" t="s">
        <v>1232</v>
      </c>
      <c r="D866" t="s">
        <v>32</v>
      </c>
      <c r="E866" t="s">
        <v>27</v>
      </c>
      <c r="F866" s="17">
        <v>1500</v>
      </c>
      <c r="G866" s="17">
        <v>48000</v>
      </c>
      <c r="H866" s="17">
        <v>46500</v>
      </c>
      <c r="I866" s="18">
        <v>1</v>
      </c>
      <c r="J866" s="14">
        <f t="shared" si="0"/>
        <v>31</v>
      </c>
      <c r="K866" s="15" t="str">
        <f t="shared" si="1"/>
        <v>Exceeds Target</v>
      </c>
    </row>
    <row r="867" spans="2:11" ht="15" customHeight="1">
      <c r="B867" t="s">
        <v>912</v>
      </c>
      <c r="C867" t="s">
        <v>1233</v>
      </c>
      <c r="D867" t="s">
        <v>32</v>
      </c>
      <c r="E867" t="s">
        <v>27</v>
      </c>
      <c r="F867" s="17">
        <v>1500</v>
      </c>
      <c r="G867" s="17">
        <v>20000</v>
      </c>
      <c r="H867" s="17">
        <v>18500</v>
      </c>
      <c r="I867" s="18">
        <v>0.81</v>
      </c>
      <c r="J867" s="14">
        <f t="shared" si="0"/>
        <v>12.333333333333334</v>
      </c>
      <c r="K867" s="15" t="str">
        <f t="shared" si="1"/>
        <v>Exceeds Target</v>
      </c>
    </row>
    <row r="868" spans="2:11" ht="15" customHeight="1">
      <c r="B868" t="s">
        <v>563</v>
      </c>
      <c r="C868" t="s">
        <v>1234</v>
      </c>
      <c r="D868" t="s">
        <v>32</v>
      </c>
      <c r="E868" t="s">
        <v>27</v>
      </c>
      <c r="F868" s="17">
        <v>1500</v>
      </c>
      <c r="G868" s="17">
        <v>58000</v>
      </c>
      <c r="H868" s="17">
        <v>56500</v>
      </c>
      <c r="I868" s="18">
        <v>0.39</v>
      </c>
      <c r="J868" s="14">
        <f t="shared" si="0"/>
        <v>37.666666666666664</v>
      </c>
      <c r="K868" s="15" t="str">
        <f t="shared" si="1"/>
        <v>Exceeds Target</v>
      </c>
    </row>
    <row r="869" spans="2:11" ht="15" customHeight="1">
      <c r="B869" t="s">
        <v>107</v>
      </c>
      <c r="C869" t="s">
        <v>1235</v>
      </c>
      <c r="D869" t="s">
        <v>26</v>
      </c>
      <c r="E869" t="s">
        <v>27</v>
      </c>
      <c r="F869" s="17">
        <v>5000</v>
      </c>
      <c r="G869" s="17">
        <v>30000</v>
      </c>
      <c r="H869" s="17">
        <v>25000</v>
      </c>
      <c r="I869" s="18">
        <v>0.11</v>
      </c>
      <c r="J869" s="14">
        <f t="shared" si="0"/>
        <v>5</v>
      </c>
      <c r="K869" s="15" t="str">
        <f t="shared" si="1"/>
        <v>Exceeds Target</v>
      </c>
    </row>
    <row r="870" spans="2:11" ht="15" customHeight="1">
      <c r="B870" t="s">
        <v>615</v>
      </c>
      <c r="C870" t="s">
        <v>1236</v>
      </c>
      <c r="D870" t="s">
        <v>35</v>
      </c>
      <c r="E870" t="s">
        <v>27</v>
      </c>
      <c r="F870" s="17">
        <v>3000</v>
      </c>
      <c r="G870" s="17">
        <v>150000</v>
      </c>
      <c r="H870" s="17">
        <v>147000</v>
      </c>
      <c r="I870" s="18">
        <v>0.69</v>
      </c>
      <c r="J870" s="14">
        <f t="shared" si="0"/>
        <v>49</v>
      </c>
      <c r="K870" s="15" t="str">
        <f t="shared" si="1"/>
        <v>Exceeds Target</v>
      </c>
    </row>
    <row r="871" spans="2:11" ht="15" customHeight="1">
      <c r="B871" t="s">
        <v>598</v>
      </c>
      <c r="C871" t="s">
        <v>1237</v>
      </c>
      <c r="D871" t="s">
        <v>69</v>
      </c>
      <c r="E871" t="s">
        <v>70</v>
      </c>
      <c r="F871" s="17">
        <v>1000</v>
      </c>
      <c r="G871" s="17">
        <v>30000</v>
      </c>
      <c r="H871" s="17">
        <v>29000</v>
      </c>
      <c r="I871" s="18">
        <v>0.84</v>
      </c>
      <c r="J871" s="14">
        <f t="shared" si="0"/>
        <v>29</v>
      </c>
      <c r="K871" s="15" t="str">
        <f t="shared" si="1"/>
        <v>Exceeds Target</v>
      </c>
    </row>
    <row r="872" spans="2:11" ht="15" customHeight="1">
      <c r="B872" t="s">
        <v>65</v>
      </c>
      <c r="C872" t="s">
        <v>1238</v>
      </c>
      <c r="D872" t="s">
        <v>26</v>
      </c>
      <c r="E872" t="s">
        <v>27</v>
      </c>
      <c r="F872" s="17">
        <v>5000</v>
      </c>
      <c r="G872" s="17">
        <v>120000</v>
      </c>
      <c r="H872" s="17">
        <v>115000</v>
      </c>
      <c r="I872" s="18">
        <v>0.05</v>
      </c>
      <c r="J872" s="14">
        <f t="shared" si="0"/>
        <v>23</v>
      </c>
      <c r="K872" s="15" t="str">
        <f t="shared" si="1"/>
        <v>Exceeds Target</v>
      </c>
    </row>
    <row r="873" spans="2:11" ht="15" customHeight="1">
      <c r="B873" t="s">
        <v>1239</v>
      </c>
      <c r="C873" t="s">
        <v>1240</v>
      </c>
      <c r="D873" t="s">
        <v>80</v>
      </c>
      <c r="E873" t="s">
        <v>27</v>
      </c>
      <c r="F873" s="17">
        <v>1000</v>
      </c>
      <c r="G873" s="17">
        <v>45000</v>
      </c>
      <c r="H873" s="17">
        <v>44000</v>
      </c>
      <c r="I873" s="18">
        <v>0.67</v>
      </c>
      <c r="J873" s="14">
        <f t="shared" si="0"/>
        <v>44</v>
      </c>
      <c r="K873" s="15" t="str">
        <f t="shared" si="1"/>
        <v>Exceeds Target</v>
      </c>
    </row>
    <row r="874" spans="2:11" ht="15" customHeight="1">
      <c r="B874" t="s">
        <v>1241</v>
      </c>
      <c r="C874" t="s">
        <v>1242</v>
      </c>
      <c r="D874" t="s">
        <v>69</v>
      </c>
      <c r="E874" t="s">
        <v>70</v>
      </c>
      <c r="F874" s="17">
        <v>1000</v>
      </c>
      <c r="G874" s="17">
        <v>135000</v>
      </c>
      <c r="H874" s="17">
        <v>134000</v>
      </c>
      <c r="I874" s="18">
        <v>0.91</v>
      </c>
      <c r="J874" s="14">
        <f t="shared" si="0"/>
        <v>134</v>
      </c>
      <c r="K874" s="15" t="str">
        <f t="shared" si="1"/>
        <v>Exceeds Target</v>
      </c>
    </row>
    <row r="875" spans="2:11" ht="15" customHeight="1">
      <c r="B875" t="s">
        <v>274</v>
      </c>
      <c r="C875" t="s">
        <v>1243</v>
      </c>
      <c r="D875" t="s">
        <v>69</v>
      </c>
      <c r="E875" t="s">
        <v>70</v>
      </c>
      <c r="F875" s="17">
        <v>1000</v>
      </c>
      <c r="G875" s="17">
        <v>65000</v>
      </c>
      <c r="H875" s="17">
        <v>64000</v>
      </c>
      <c r="I875" s="18">
        <v>0.62</v>
      </c>
      <c r="J875" s="14">
        <f t="shared" si="0"/>
        <v>64</v>
      </c>
      <c r="K875" s="15" t="str">
        <f t="shared" si="1"/>
        <v>Exceeds Target</v>
      </c>
    </row>
    <row r="876" spans="2:11" ht="15" customHeight="1">
      <c r="B876" t="s">
        <v>416</v>
      </c>
      <c r="C876" t="s">
        <v>1244</v>
      </c>
      <c r="D876" t="s">
        <v>80</v>
      </c>
      <c r="E876" t="s">
        <v>27</v>
      </c>
      <c r="F876" s="17">
        <v>1000</v>
      </c>
      <c r="G876" s="17">
        <v>87000</v>
      </c>
      <c r="H876" s="17">
        <v>86000</v>
      </c>
      <c r="I876" s="18">
        <v>0.57999999999999996</v>
      </c>
      <c r="J876" s="14">
        <f t="shared" si="0"/>
        <v>86</v>
      </c>
      <c r="K876" s="15" t="str">
        <f t="shared" si="1"/>
        <v>Exceeds Target</v>
      </c>
    </row>
    <row r="877" spans="2:11" ht="15" customHeight="1">
      <c r="B877" t="s">
        <v>1053</v>
      </c>
      <c r="C877" t="s">
        <v>1245</v>
      </c>
      <c r="D877" t="s">
        <v>69</v>
      </c>
      <c r="E877" t="s">
        <v>70</v>
      </c>
      <c r="F877" s="17">
        <v>1000</v>
      </c>
      <c r="G877" s="17">
        <v>75000</v>
      </c>
      <c r="H877" s="17">
        <v>74000</v>
      </c>
      <c r="I877" s="18">
        <v>0.74</v>
      </c>
      <c r="J877" s="14">
        <f t="shared" si="0"/>
        <v>74</v>
      </c>
      <c r="K877" s="15" t="str">
        <f t="shared" si="1"/>
        <v>Exceeds Target</v>
      </c>
    </row>
    <row r="878" spans="2:11" ht="15" customHeight="1">
      <c r="B878" t="s">
        <v>762</v>
      </c>
      <c r="C878" t="s">
        <v>1246</v>
      </c>
      <c r="D878" t="s">
        <v>69</v>
      </c>
      <c r="E878" t="s">
        <v>70</v>
      </c>
      <c r="F878" s="17">
        <v>1000</v>
      </c>
      <c r="G878" s="17">
        <v>30000</v>
      </c>
      <c r="H878" s="17">
        <v>29000</v>
      </c>
      <c r="I878" s="18">
        <v>0.81</v>
      </c>
      <c r="J878" s="14">
        <f t="shared" si="0"/>
        <v>29</v>
      </c>
      <c r="K878" s="15" t="str">
        <f t="shared" si="1"/>
        <v>Exceeds Target</v>
      </c>
    </row>
    <row r="879" spans="2:11" ht="15" customHeight="1">
      <c r="B879" t="s">
        <v>1247</v>
      </c>
      <c r="C879" t="s">
        <v>1248</v>
      </c>
      <c r="D879" t="s">
        <v>26</v>
      </c>
      <c r="E879" t="s">
        <v>27</v>
      </c>
      <c r="F879" s="17">
        <v>5000</v>
      </c>
      <c r="G879" s="17">
        <v>90000</v>
      </c>
      <c r="H879" s="17">
        <v>85000</v>
      </c>
      <c r="I879" s="18">
        <v>0.26</v>
      </c>
      <c r="J879" s="14">
        <f t="shared" si="0"/>
        <v>17</v>
      </c>
      <c r="K879" s="15" t="str">
        <f t="shared" si="1"/>
        <v>Exceeds Target</v>
      </c>
    </row>
    <row r="880" spans="2:11" ht="15" customHeight="1">
      <c r="B880" t="s">
        <v>424</v>
      </c>
      <c r="C880" t="s">
        <v>1249</v>
      </c>
      <c r="D880" t="s">
        <v>69</v>
      </c>
      <c r="E880" t="s">
        <v>70</v>
      </c>
      <c r="F880" s="17">
        <v>1000</v>
      </c>
      <c r="G880" s="17">
        <v>145000</v>
      </c>
      <c r="H880" s="17">
        <v>144000</v>
      </c>
      <c r="I880" s="18">
        <v>0.65</v>
      </c>
      <c r="J880" s="14">
        <f t="shared" si="0"/>
        <v>144</v>
      </c>
      <c r="K880" s="15" t="str">
        <f t="shared" si="1"/>
        <v>Exceeds Target</v>
      </c>
    </row>
    <row r="881" spans="2:11" ht="15" customHeight="1">
      <c r="B881" t="s">
        <v>85</v>
      </c>
      <c r="C881" t="s">
        <v>1250</v>
      </c>
      <c r="D881" t="s">
        <v>35</v>
      </c>
      <c r="E881" t="s">
        <v>27</v>
      </c>
      <c r="F881" s="17">
        <v>3000</v>
      </c>
      <c r="G881" s="17">
        <v>120000</v>
      </c>
      <c r="H881" s="17">
        <v>117000</v>
      </c>
      <c r="I881" s="18">
        <v>0.57999999999999996</v>
      </c>
      <c r="J881" s="14">
        <f t="shared" si="0"/>
        <v>39</v>
      </c>
      <c r="K881" s="15" t="str">
        <f t="shared" si="1"/>
        <v>Exceeds Target</v>
      </c>
    </row>
    <row r="882" spans="2:11" ht="15" customHeight="1">
      <c r="B882" t="s">
        <v>356</v>
      </c>
      <c r="C882" t="s">
        <v>1251</v>
      </c>
      <c r="D882" t="s">
        <v>35</v>
      </c>
      <c r="E882" t="s">
        <v>27</v>
      </c>
      <c r="F882" s="17">
        <v>3000</v>
      </c>
      <c r="G882" s="17">
        <v>180000</v>
      </c>
      <c r="H882" s="17">
        <v>177000</v>
      </c>
      <c r="I882" s="18">
        <v>0.66</v>
      </c>
      <c r="J882" s="14">
        <f t="shared" si="0"/>
        <v>59</v>
      </c>
      <c r="K882" s="15" t="str">
        <f t="shared" si="1"/>
        <v>Exceeds Target</v>
      </c>
    </row>
    <row r="883" spans="2:11" ht="15" customHeight="1">
      <c r="B883" t="s">
        <v>577</v>
      </c>
      <c r="C883" t="s">
        <v>1252</v>
      </c>
      <c r="D883" t="s">
        <v>35</v>
      </c>
      <c r="E883" t="s">
        <v>27</v>
      </c>
      <c r="F883" s="17">
        <v>3000</v>
      </c>
      <c r="G883" s="17">
        <v>300000</v>
      </c>
      <c r="H883" s="17">
        <v>297000</v>
      </c>
      <c r="I883" s="18">
        <v>0.7</v>
      </c>
      <c r="J883" s="14">
        <f t="shared" si="0"/>
        <v>99</v>
      </c>
      <c r="K883" s="15" t="str">
        <f t="shared" si="1"/>
        <v>Exceeds Target</v>
      </c>
    </row>
    <row r="884" spans="2:11" ht="15" customHeight="1">
      <c r="B884" t="s">
        <v>420</v>
      </c>
      <c r="C884" t="s">
        <v>1253</v>
      </c>
      <c r="D884" t="s">
        <v>35</v>
      </c>
      <c r="E884" t="s">
        <v>27</v>
      </c>
      <c r="F884" s="17">
        <v>3000</v>
      </c>
      <c r="G884" s="17">
        <v>180000</v>
      </c>
      <c r="H884" s="17">
        <v>177000</v>
      </c>
      <c r="I884" s="18">
        <v>0.71</v>
      </c>
      <c r="J884" s="14">
        <f t="shared" si="0"/>
        <v>59</v>
      </c>
      <c r="K884" s="15" t="str">
        <f t="shared" si="1"/>
        <v>Exceeds Target</v>
      </c>
    </row>
    <row r="885" spans="2:11" ht="15" customHeight="1">
      <c r="B885" t="s">
        <v>231</v>
      </c>
      <c r="C885" t="s">
        <v>1254</v>
      </c>
      <c r="D885" t="s">
        <v>69</v>
      </c>
      <c r="E885" t="s">
        <v>70</v>
      </c>
      <c r="F885" s="17">
        <v>1000</v>
      </c>
      <c r="G885" s="17">
        <v>100000</v>
      </c>
      <c r="H885" s="17">
        <v>99000</v>
      </c>
      <c r="I885" s="18">
        <v>0.32</v>
      </c>
      <c r="J885" s="14">
        <f t="shared" si="0"/>
        <v>99</v>
      </c>
      <c r="K885" s="15" t="str">
        <f t="shared" si="1"/>
        <v>Exceeds Target</v>
      </c>
    </row>
    <row r="886" spans="2:11" ht="15" customHeight="1">
      <c r="B886" t="s">
        <v>1210</v>
      </c>
      <c r="C886" t="s">
        <v>1255</v>
      </c>
      <c r="D886" t="s">
        <v>35</v>
      </c>
      <c r="E886" t="s">
        <v>27</v>
      </c>
      <c r="F886" s="17">
        <v>3000</v>
      </c>
      <c r="G886" s="17">
        <v>210000</v>
      </c>
      <c r="H886" s="17">
        <v>207000</v>
      </c>
      <c r="I886" s="18">
        <v>0.18</v>
      </c>
      <c r="J886" s="14">
        <f t="shared" si="0"/>
        <v>69</v>
      </c>
      <c r="K886" s="15" t="str">
        <f t="shared" si="1"/>
        <v>Exceeds Target</v>
      </c>
    </row>
    <row r="887" spans="2:11" ht="15" customHeight="1">
      <c r="B887" t="s">
        <v>74</v>
      </c>
      <c r="C887" t="s">
        <v>1256</v>
      </c>
      <c r="D887" t="s">
        <v>69</v>
      </c>
      <c r="E887" t="s">
        <v>70</v>
      </c>
      <c r="F887" s="17">
        <v>1000</v>
      </c>
      <c r="G887" s="17">
        <v>95000</v>
      </c>
      <c r="H887" s="17">
        <v>94000</v>
      </c>
      <c r="I887" s="18">
        <v>0.72</v>
      </c>
      <c r="J887" s="14">
        <f t="shared" si="0"/>
        <v>94</v>
      </c>
      <c r="K887" s="15" t="str">
        <f t="shared" si="1"/>
        <v>Exceeds Target</v>
      </c>
    </row>
    <row r="888" spans="2:11" ht="15" customHeight="1">
      <c r="B888" t="s">
        <v>434</v>
      </c>
      <c r="C888" t="s">
        <v>1257</v>
      </c>
      <c r="D888" t="s">
        <v>32</v>
      </c>
      <c r="E888" t="s">
        <v>27</v>
      </c>
      <c r="F888" s="17">
        <v>1500</v>
      </c>
      <c r="G888" s="17">
        <v>56000</v>
      </c>
      <c r="H888" s="17">
        <v>54500</v>
      </c>
      <c r="I888" s="18">
        <v>0.51</v>
      </c>
      <c r="J888" s="14">
        <f t="shared" si="0"/>
        <v>36.333333333333336</v>
      </c>
      <c r="K888" s="15" t="str">
        <f t="shared" si="1"/>
        <v>Exceeds Target</v>
      </c>
    </row>
    <row r="889" spans="2:11" ht="15" customHeight="1">
      <c r="B889" t="s">
        <v>345</v>
      </c>
      <c r="C889" t="s">
        <v>1258</v>
      </c>
      <c r="D889" t="s">
        <v>32</v>
      </c>
      <c r="E889" t="s">
        <v>27</v>
      </c>
      <c r="F889" s="17">
        <v>1500</v>
      </c>
      <c r="G889" s="17">
        <v>56000</v>
      </c>
      <c r="H889" s="17">
        <v>54500</v>
      </c>
      <c r="I889" s="18">
        <v>0.73</v>
      </c>
      <c r="J889" s="14">
        <f t="shared" si="0"/>
        <v>36.333333333333336</v>
      </c>
      <c r="K889" s="15" t="str">
        <f t="shared" si="1"/>
        <v>Exceeds Target</v>
      </c>
    </row>
    <row r="890" spans="2:11" ht="15" customHeight="1">
      <c r="B890" t="s">
        <v>886</v>
      </c>
      <c r="C890" t="s">
        <v>1259</v>
      </c>
      <c r="D890" t="s">
        <v>69</v>
      </c>
      <c r="E890" t="s">
        <v>70</v>
      </c>
      <c r="F890" s="17">
        <v>1000</v>
      </c>
      <c r="G890" s="17">
        <v>35000</v>
      </c>
      <c r="H890" s="17">
        <v>34000</v>
      </c>
      <c r="I890" s="18">
        <v>0.68</v>
      </c>
      <c r="J890" s="14">
        <f t="shared" si="0"/>
        <v>34</v>
      </c>
      <c r="K890" s="15" t="str">
        <f t="shared" si="1"/>
        <v>Exceeds Target</v>
      </c>
    </row>
    <row r="891" spans="2:11" ht="15" customHeight="1">
      <c r="B891" t="s">
        <v>1260</v>
      </c>
      <c r="C891" t="s">
        <v>1261</v>
      </c>
      <c r="D891" t="s">
        <v>32</v>
      </c>
      <c r="E891" t="s">
        <v>27</v>
      </c>
      <c r="F891" s="17">
        <v>1500</v>
      </c>
      <c r="G891" s="17">
        <v>12000</v>
      </c>
      <c r="H891" s="17">
        <v>10500</v>
      </c>
      <c r="I891" s="18">
        <v>0.96</v>
      </c>
      <c r="J891" s="14">
        <f t="shared" si="0"/>
        <v>7</v>
      </c>
      <c r="K891" s="15" t="str">
        <f t="shared" si="1"/>
        <v>Exceeds Target</v>
      </c>
    </row>
    <row r="892" spans="2:11" ht="15" customHeight="1">
      <c r="B892" t="s">
        <v>642</v>
      </c>
      <c r="C892" t="s">
        <v>1262</v>
      </c>
      <c r="D892" t="s">
        <v>35</v>
      </c>
      <c r="E892" t="s">
        <v>27</v>
      </c>
      <c r="F892" s="17">
        <v>3000</v>
      </c>
      <c r="G892" s="17">
        <v>150000</v>
      </c>
      <c r="H892" s="17">
        <v>147000</v>
      </c>
      <c r="I892" s="18">
        <v>0.93</v>
      </c>
      <c r="J892" s="14">
        <f t="shared" si="0"/>
        <v>49</v>
      </c>
      <c r="K892" s="15" t="str">
        <f t="shared" si="1"/>
        <v>Exceeds Target</v>
      </c>
    </row>
    <row r="893" spans="2:11" ht="15" customHeight="1">
      <c r="B893" t="s">
        <v>441</v>
      </c>
      <c r="C893" t="s">
        <v>1263</v>
      </c>
      <c r="D893" t="s">
        <v>80</v>
      </c>
      <c r="E893" t="s">
        <v>27</v>
      </c>
      <c r="F893" s="17">
        <v>1000</v>
      </c>
      <c r="G893" s="17">
        <v>117000</v>
      </c>
      <c r="H893" s="17">
        <v>116000</v>
      </c>
      <c r="I893" s="18">
        <v>0.91</v>
      </c>
      <c r="J893" s="14">
        <f t="shared" si="0"/>
        <v>116</v>
      </c>
      <c r="K893" s="15" t="str">
        <f t="shared" si="1"/>
        <v>Exceeds Target</v>
      </c>
    </row>
    <row r="894" spans="2:11" ht="15" customHeight="1">
      <c r="B894" t="s">
        <v>673</v>
      </c>
      <c r="C894" t="s">
        <v>1264</v>
      </c>
      <c r="D894" t="s">
        <v>26</v>
      </c>
      <c r="E894" t="s">
        <v>27</v>
      </c>
      <c r="F894" s="17">
        <v>5000</v>
      </c>
      <c r="G894" s="17">
        <v>90000</v>
      </c>
      <c r="H894" s="17">
        <v>85000</v>
      </c>
      <c r="I894" s="18">
        <v>0.3</v>
      </c>
      <c r="J894" s="14">
        <f t="shared" si="0"/>
        <v>17</v>
      </c>
      <c r="K894" s="15" t="str">
        <f t="shared" si="1"/>
        <v>Exceeds Target</v>
      </c>
    </row>
    <row r="895" spans="2:11" ht="15" customHeight="1">
      <c r="B895" t="s">
        <v>484</v>
      </c>
      <c r="C895" t="s">
        <v>1265</v>
      </c>
      <c r="D895" t="s">
        <v>80</v>
      </c>
      <c r="E895" t="s">
        <v>27</v>
      </c>
      <c r="F895" s="17">
        <v>1000</v>
      </c>
      <c r="G895" s="17">
        <v>102000</v>
      </c>
      <c r="H895" s="17">
        <v>101000</v>
      </c>
      <c r="I895" s="18">
        <v>0.7</v>
      </c>
      <c r="J895" s="14">
        <f t="shared" si="0"/>
        <v>101</v>
      </c>
      <c r="K895" s="15" t="str">
        <f t="shared" si="1"/>
        <v>Exceeds Target</v>
      </c>
    </row>
    <row r="896" spans="2:11" ht="15" customHeight="1">
      <c r="B896" t="s">
        <v>49</v>
      </c>
      <c r="C896" t="s">
        <v>1266</v>
      </c>
      <c r="D896" t="s">
        <v>26</v>
      </c>
      <c r="E896" t="s">
        <v>27</v>
      </c>
      <c r="F896" s="17">
        <v>5000</v>
      </c>
      <c r="G896" s="17">
        <v>150000</v>
      </c>
      <c r="H896" s="17">
        <v>145000</v>
      </c>
      <c r="I896" s="18">
        <v>0.26</v>
      </c>
      <c r="J896" s="14">
        <f t="shared" si="0"/>
        <v>29</v>
      </c>
      <c r="K896" s="15" t="str">
        <f t="shared" si="1"/>
        <v>Exceeds Target</v>
      </c>
    </row>
    <row r="897" spans="2:11" ht="15" customHeight="1">
      <c r="B897" t="s">
        <v>422</v>
      </c>
      <c r="C897" t="s">
        <v>1267</v>
      </c>
      <c r="D897" t="s">
        <v>26</v>
      </c>
      <c r="E897" t="s">
        <v>27</v>
      </c>
      <c r="F897" s="17">
        <v>5000</v>
      </c>
      <c r="G897" s="17">
        <v>150000</v>
      </c>
      <c r="H897" s="17">
        <v>145000</v>
      </c>
      <c r="I897" s="18">
        <v>0.05</v>
      </c>
      <c r="J897" s="14">
        <f t="shared" si="0"/>
        <v>29</v>
      </c>
      <c r="K897" s="15" t="str">
        <f t="shared" si="1"/>
        <v>Exceeds Target</v>
      </c>
    </row>
    <row r="898" spans="2:11" ht="15" customHeight="1">
      <c r="B898" t="s">
        <v>274</v>
      </c>
      <c r="C898" t="s">
        <v>1268</v>
      </c>
      <c r="D898" t="s">
        <v>80</v>
      </c>
      <c r="E898" t="s">
        <v>27</v>
      </c>
      <c r="F898" s="17">
        <v>1000</v>
      </c>
      <c r="G898" s="17">
        <v>84000</v>
      </c>
      <c r="H898" s="17">
        <v>83000</v>
      </c>
      <c r="I898" s="18">
        <v>0.6</v>
      </c>
      <c r="J898" s="14">
        <f t="shared" si="0"/>
        <v>83</v>
      </c>
      <c r="K898" s="15" t="str">
        <f t="shared" si="1"/>
        <v>Exceeds Target</v>
      </c>
    </row>
    <row r="899" spans="2:11" ht="15" customHeight="1">
      <c r="B899" t="s">
        <v>37</v>
      </c>
      <c r="C899" t="s">
        <v>1269</v>
      </c>
      <c r="D899" t="s">
        <v>69</v>
      </c>
      <c r="E899" t="s">
        <v>70</v>
      </c>
      <c r="F899" s="17">
        <v>1000</v>
      </c>
      <c r="G899" s="17">
        <v>135000</v>
      </c>
      <c r="H899" s="17">
        <v>134000</v>
      </c>
      <c r="I899" s="18">
        <v>0.4</v>
      </c>
      <c r="J899" s="14">
        <f t="shared" si="0"/>
        <v>134</v>
      </c>
      <c r="K899" s="15" t="str">
        <f t="shared" si="1"/>
        <v>Exceeds Target</v>
      </c>
    </row>
    <row r="900" spans="2:11" ht="15" customHeight="1">
      <c r="B900" t="s">
        <v>471</v>
      </c>
      <c r="C900" t="s">
        <v>1270</v>
      </c>
      <c r="D900" t="s">
        <v>80</v>
      </c>
      <c r="E900" t="s">
        <v>27</v>
      </c>
      <c r="F900" s="17">
        <v>1000</v>
      </c>
      <c r="G900" s="17">
        <v>102000</v>
      </c>
      <c r="H900" s="17">
        <v>101000</v>
      </c>
      <c r="I900" s="18">
        <v>0.78</v>
      </c>
      <c r="J900" s="14">
        <f t="shared" si="0"/>
        <v>101</v>
      </c>
      <c r="K900" s="15" t="str">
        <f t="shared" si="1"/>
        <v>Exceeds Target</v>
      </c>
    </row>
    <row r="901" spans="2:11" ht="15" customHeight="1">
      <c r="B901" t="s">
        <v>563</v>
      </c>
      <c r="C901" t="s">
        <v>1271</v>
      </c>
      <c r="D901" t="s">
        <v>69</v>
      </c>
      <c r="E901" t="s">
        <v>70</v>
      </c>
      <c r="F901" s="17">
        <v>1000</v>
      </c>
      <c r="G901" s="17">
        <v>85000</v>
      </c>
      <c r="H901" s="17">
        <v>84000</v>
      </c>
      <c r="I901" s="18">
        <v>0.91</v>
      </c>
      <c r="J901" s="14">
        <f t="shared" si="0"/>
        <v>84</v>
      </c>
      <c r="K901" s="15" t="str">
        <f t="shared" si="1"/>
        <v>Exceeds Target</v>
      </c>
    </row>
    <row r="902" spans="2:11" ht="15" customHeight="1">
      <c r="B902" t="s">
        <v>426</v>
      </c>
      <c r="C902" t="s">
        <v>1272</v>
      </c>
      <c r="D902" t="s">
        <v>32</v>
      </c>
      <c r="E902" t="s">
        <v>27</v>
      </c>
      <c r="F902" s="17">
        <v>1500</v>
      </c>
      <c r="G902" s="17">
        <v>24000</v>
      </c>
      <c r="H902" s="17">
        <v>22500</v>
      </c>
      <c r="I902" s="18">
        <v>0.59</v>
      </c>
      <c r="J902" s="14">
        <f t="shared" si="0"/>
        <v>15</v>
      </c>
      <c r="K902" s="15" t="str">
        <f t="shared" si="1"/>
        <v>Exceeds Target</v>
      </c>
    </row>
    <row r="903" spans="2:11" ht="15" customHeight="1">
      <c r="B903" t="s">
        <v>382</v>
      </c>
      <c r="C903" t="s">
        <v>1273</v>
      </c>
      <c r="D903" t="s">
        <v>80</v>
      </c>
      <c r="E903" t="s">
        <v>27</v>
      </c>
      <c r="F903" s="17">
        <v>1000</v>
      </c>
      <c r="G903" s="17">
        <v>105000</v>
      </c>
      <c r="H903" s="17">
        <v>104000</v>
      </c>
      <c r="I903" s="18">
        <v>0.95</v>
      </c>
      <c r="J903" s="14">
        <f t="shared" si="0"/>
        <v>104</v>
      </c>
      <c r="K903" s="15" t="str">
        <f t="shared" si="1"/>
        <v>Exceeds Target</v>
      </c>
    </row>
    <row r="904" spans="2:11" ht="15" customHeight="1">
      <c r="B904" t="s">
        <v>958</v>
      </c>
      <c r="C904" t="s">
        <v>1274</v>
      </c>
      <c r="D904" t="s">
        <v>69</v>
      </c>
      <c r="E904" t="s">
        <v>70</v>
      </c>
      <c r="F904" s="17">
        <v>1000</v>
      </c>
      <c r="G904" s="17">
        <v>70000</v>
      </c>
      <c r="H904" s="17">
        <v>69000</v>
      </c>
      <c r="I904" s="18">
        <v>0.38</v>
      </c>
      <c r="J904" s="14">
        <f t="shared" si="0"/>
        <v>69</v>
      </c>
      <c r="K904" s="15" t="str">
        <f t="shared" si="1"/>
        <v>Exceeds Target</v>
      </c>
    </row>
    <row r="905" spans="2:11" ht="15" customHeight="1">
      <c r="B905" t="s">
        <v>1018</v>
      </c>
      <c r="C905" t="s">
        <v>1275</v>
      </c>
      <c r="D905" t="s">
        <v>80</v>
      </c>
      <c r="E905" t="s">
        <v>27</v>
      </c>
      <c r="F905" s="17">
        <v>1000</v>
      </c>
      <c r="G905" s="17">
        <v>45000</v>
      </c>
      <c r="H905" s="17">
        <v>44000</v>
      </c>
      <c r="I905" s="18">
        <v>0.55000000000000004</v>
      </c>
      <c r="J905" s="14">
        <f t="shared" si="0"/>
        <v>44</v>
      </c>
      <c r="K905" s="15" t="str">
        <f t="shared" si="1"/>
        <v>Exceeds Target</v>
      </c>
    </row>
    <row r="906" spans="2:11" ht="15" customHeight="1">
      <c r="B906" t="s">
        <v>87</v>
      </c>
      <c r="C906" t="s">
        <v>1276</v>
      </c>
      <c r="D906" t="s">
        <v>35</v>
      </c>
      <c r="E906" t="s">
        <v>27</v>
      </c>
      <c r="F906" s="17">
        <v>3000</v>
      </c>
      <c r="G906" s="17">
        <v>180000</v>
      </c>
      <c r="H906" s="17">
        <v>177000</v>
      </c>
      <c r="I906" s="18">
        <v>0.61</v>
      </c>
      <c r="J906" s="14">
        <f t="shared" si="0"/>
        <v>59</v>
      </c>
      <c r="K906" s="15" t="str">
        <f t="shared" si="1"/>
        <v>Exceeds Target</v>
      </c>
    </row>
    <row r="907" spans="2:11" ht="15" customHeight="1">
      <c r="B907" t="s">
        <v>54</v>
      </c>
      <c r="C907" t="s">
        <v>1277</v>
      </c>
      <c r="D907" t="s">
        <v>35</v>
      </c>
      <c r="E907" t="s">
        <v>27</v>
      </c>
      <c r="F907" s="17">
        <v>3000</v>
      </c>
      <c r="G907" s="17">
        <v>190000</v>
      </c>
      <c r="H907" s="17">
        <v>187000</v>
      </c>
      <c r="I907" s="18">
        <v>0.82</v>
      </c>
      <c r="J907" s="14">
        <f t="shared" si="0"/>
        <v>62.333333333333336</v>
      </c>
      <c r="K907" s="15" t="str">
        <f t="shared" si="1"/>
        <v>Exceeds Target</v>
      </c>
    </row>
    <row r="908" spans="2:11" ht="15" customHeight="1">
      <c r="B908" t="s">
        <v>209</v>
      </c>
      <c r="C908" t="s">
        <v>1278</v>
      </c>
      <c r="D908" t="s">
        <v>69</v>
      </c>
      <c r="E908" t="s">
        <v>70</v>
      </c>
      <c r="F908" s="17">
        <v>1000</v>
      </c>
      <c r="G908" s="17">
        <v>100000</v>
      </c>
      <c r="H908" s="17">
        <v>99000</v>
      </c>
      <c r="I908" s="18">
        <v>0.64</v>
      </c>
      <c r="J908" s="14">
        <f t="shared" si="0"/>
        <v>99</v>
      </c>
      <c r="K908" s="15" t="str">
        <f t="shared" si="1"/>
        <v>Exceeds Target</v>
      </c>
    </row>
    <row r="909" spans="2:11" ht="15" customHeight="1">
      <c r="B909" t="s">
        <v>568</v>
      </c>
      <c r="C909" t="s">
        <v>1279</v>
      </c>
      <c r="D909" t="s">
        <v>32</v>
      </c>
      <c r="E909" t="s">
        <v>27</v>
      </c>
      <c r="F909" s="17">
        <v>1500</v>
      </c>
      <c r="G909" s="17">
        <v>44000</v>
      </c>
      <c r="H909" s="17">
        <v>42500</v>
      </c>
      <c r="I909" s="18">
        <v>0.26</v>
      </c>
      <c r="J909" s="14">
        <f t="shared" si="0"/>
        <v>28.333333333333332</v>
      </c>
      <c r="K909" s="15" t="str">
        <f t="shared" si="1"/>
        <v>Exceeds Target</v>
      </c>
    </row>
    <row r="910" spans="2:11" ht="15" customHeight="1">
      <c r="B910" t="s">
        <v>83</v>
      </c>
      <c r="C910" t="s">
        <v>1280</v>
      </c>
      <c r="D910" t="s">
        <v>26</v>
      </c>
      <c r="E910" t="s">
        <v>27</v>
      </c>
      <c r="F910" s="17">
        <v>5000</v>
      </c>
      <c r="G910" s="17">
        <v>90000</v>
      </c>
      <c r="H910" s="17">
        <v>85000</v>
      </c>
      <c r="I910" s="18">
        <v>0.13</v>
      </c>
      <c r="J910" s="14">
        <f t="shared" si="0"/>
        <v>17</v>
      </c>
      <c r="K910" s="15" t="str">
        <f t="shared" si="1"/>
        <v>Exceeds Target</v>
      </c>
    </row>
    <row r="911" spans="2:11" ht="15" customHeight="1">
      <c r="B911" t="s">
        <v>155</v>
      </c>
      <c r="C911" t="s">
        <v>1281</v>
      </c>
      <c r="D911" t="s">
        <v>26</v>
      </c>
      <c r="E911" t="s">
        <v>27</v>
      </c>
      <c r="F911" s="17">
        <v>5000</v>
      </c>
      <c r="G911" s="17">
        <v>30000</v>
      </c>
      <c r="H911" s="17">
        <v>25000</v>
      </c>
      <c r="I911" s="18">
        <v>0.18</v>
      </c>
      <c r="J911" s="14">
        <f t="shared" si="0"/>
        <v>5</v>
      </c>
      <c r="K911" s="15" t="str">
        <f t="shared" si="1"/>
        <v>Exceeds Target</v>
      </c>
    </row>
    <row r="912" spans="2:11" ht="15" customHeight="1">
      <c r="B912" t="s">
        <v>1282</v>
      </c>
      <c r="C912" t="s">
        <v>1283</v>
      </c>
      <c r="D912" t="s">
        <v>69</v>
      </c>
      <c r="E912" t="s">
        <v>70</v>
      </c>
      <c r="F912" s="17">
        <v>1000</v>
      </c>
      <c r="G912" s="17">
        <v>50000</v>
      </c>
      <c r="H912" s="17">
        <v>49000</v>
      </c>
      <c r="I912" s="18">
        <v>0.79</v>
      </c>
      <c r="J912" s="14">
        <f t="shared" si="0"/>
        <v>49</v>
      </c>
      <c r="K912" s="15" t="str">
        <f t="shared" si="1"/>
        <v>Exceeds Target</v>
      </c>
    </row>
    <row r="913" spans="2:11" ht="15" customHeight="1">
      <c r="B913" t="s">
        <v>782</v>
      </c>
      <c r="C913" t="s">
        <v>1284</v>
      </c>
      <c r="D913" t="s">
        <v>35</v>
      </c>
      <c r="E913" t="s">
        <v>27</v>
      </c>
      <c r="F913" s="17">
        <v>3000</v>
      </c>
      <c r="G913" s="17">
        <v>120000</v>
      </c>
      <c r="H913" s="17">
        <v>117000</v>
      </c>
      <c r="I913" s="18">
        <v>0.53</v>
      </c>
      <c r="J913" s="14">
        <f t="shared" si="0"/>
        <v>39</v>
      </c>
      <c r="K913" s="15" t="str">
        <f t="shared" si="1"/>
        <v>Exceeds Target</v>
      </c>
    </row>
    <row r="914" spans="2:11" ht="15" customHeight="1">
      <c r="B914" t="s">
        <v>1285</v>
      </c>
      <c r="C914" t="s">
        <v>1286</v>
      </c>
      <c r="D914" t="s">
        <v>80</v>
      </c>
      <c r="E914" t="s">
        <v>27</v>
      </c>
      <c r="F914" s="17">
        <v>1000</v>
      </c>
      <c r="G914" s="17">
        <v>48000</v>
      </c>
      <c r="H914" s="17">
        <v>47000</v>
      </c>
      <c r="I914" s="18">
        <v>0.99</v>
      </c>
      <c r="J914" s="14">
        <f t="shared" si="0"/>
        <v>47</v>
      </c>
      <c r="K914" s="15" t="str">
        <f t="shared" si="1"/>
        <v>Exceeds Target</v>
      </c>
    </row>
    <row r="915" spans="2:11" ht="15" customHeight="1">
      <c r="B915" t="s">
        <v>439</v>
      </c>
      <c r="C915" t="s">
        <v>1287</v>
      </c>
      <c r="D915" t="s">
        <v>26</v>
      </c>
      <c r="E915" t="s">
        <v>27</v>
      </c>
      <c r="F915" s="17">
        <v>5000</v>
      </c>
      <c r="G915" s="17">
        <v>150000</v>
      </c>
      <c r="H915" s="17">
        <v>145000</v>
      </c>
      <c r="I915" s="18">
        <v>0.04</v>
      </c>
      <c r="J915" s="14">
        <f t="shared" si="0"/>
        <v>29</v>
      </c>
      <c r="K915" s="15" t="str">
        <f t="shared" si="1"/>
        <v>Exceeds Target</v>
      </c>
    </row>
    <row r="916" spans="2:11" ht="15" customHeight="1">
      <c r="B916" t="s">
        <v>760</v>
      </c>
      <c r="C916" t="s">
        <v>1288</v>
      </c>
      <c r="D916" t="s">
        <v>26</v>
      </c>
      <c r="E916" t="s">
        <v>27</v>
      </c>
      <c r="F916" s="17">
        <v>5000</v>
      </c>
      <c r="G916" s="17">
        <v>60000</v>
      </c>
      <c r="H916" s="17">
        <v>55000</v>
      </c>
      <c r="I916" s="18">
        <v>0.25</v>
      </c>
      <c r="J916" s="14">
        <f t="shared" si="0"/>
        <v>11</v>
      </c>
      <c r="K916" s="15" t="str">
        <f t="shared" si="1"/>
        <v>Exceeds Target</v>
      </c>
    </row>
    <row r="917" spans="2:11" ht="15" customHeight="1">
      <c r="B917" t="s">
        <v>999</v>
      </c>
      <c r="C917" t="s">
        <v>1289</v>
      </c>
      <c r="D917" t="s">
        <v>32</v>
      </c>
      <c r="E917" t="s">
        <v>27</v>
      </c>
      <c r="F917" s="17">
        <v>1500</v>
      </c>
      <c r="G917" s="17">
        <v>30000</v>
      </c>
      <c r="H917" s="17">
        <v>28500</v>
      </c>
      <c r="I917" s="18">
        <v>0.66</v>
      </c>
      <c r="J917" s="14">
        <f t="shared" si="0"/>
        <v>19</v>
      </c>
      <c r="K917" s="15" t="str">
        <f t="shared" si="1"/>
        <v>Exceeds Target</v>
      </c>
    </row>
    <row r="918" spans="2:11" ht="15" customHeight="1">
      <c r="B918" t="s">
        <v>78</v>
      </c>
      <c r="C918" t="s">
        <v>1290</v>
      </c>
      <c r="D918" t="s">
        <v>26</v>
      </c>
      <c r="E918" t="s">
        <v>27</v>
      </c>
      <c r="F918" s="17">
        <v>5000</v>
      </c>
      <c r="G918" s="17">
        <v>150000</v>
      </c>
      <c r="H918" s="17">
        <v>145000</v>
      </c>
      <c r="I918" s="18">
        <v>0.5</v>
      </c>
      <c r="J918" s="14">
        <f t="shared" si="0"/>
        <v>29</v>
      </c>
      <c r="K918" s="15" t="str">
        <f t="shared" si="1"/>
        <v>Exceeds Target</v>
      </c>
    </row>
    <row r="919" spans="2:11" ht="15" customHeight="1">
      <c r="B919" t="s">
        <v>89</v>
      </c>
      <c r="C919" t="s">
        <v>1291</v>
      </c>
      <c r="D919" t="s">
        <v>80</v>
      </c>
      <c r="E919" t="s">
        <v>27</v>
      </c>
      <c r="F919" s="17">
        <v>1000</v>
      </c>
      <c r="G919" s="17">
        <v>51000</v>
      </c>
      <c r="H919" s="17">
        <v>50000</v>
      </c>
      <c r="I919" s="18">
        <v>0.68</v>
      </c>
      <c r="J919" s="14">
        <f t="shared" si="0"/>
        <v>50</v>
      </c>
      <c r="K919" s="15" t="str">
        <f t="shared" si="1"/>
        <v>Exceeds Target</v>
      </c>
    </row>
    <row r="920" spans="2:11" ht="15" customHeight="1">
      <c r="B920" t="s">
        <v>502</v>
      </c>
      <c r="C920" t="s">
        <v>1292</v>
      </c>
      <c r="D920" t="s">
        <v>26</v>
      </c>
      <c r="E920" t="s">
        <v>27</v>
      </c>
      <c r="F920" s="17">
        <v>5000</v>
      </c>
      <c r="G920" s="17">
        <v>30000</v>
      </c>
      <c r="H920" s="17">
        <v>25000</v>
      </c>
      <c r="I920" s="18">
        <v>0.03</v>
      </c>
      <c r="J920" s="14">
        <f t="shared" si="0"/>
        <v>5</v>
      </c>
      <c r="K920" s="15" t="str">
        <f t="shared" si="1"/>
        <v>Exceeds Target</v>
      </c>
    </row>
    <row r="921" spans="2:11" ht="15" customHeight="1">
      <c r="B921" t="s">
        <v>416</v>
      </c>
      <c r="C921" t="s">
        <v>1293</v>
      </c>
      <c r="D921" t="s">
        <v>80</v>
      </c>
      <c r="E921" t="s">
        <v>27</v>
      </c>
      <c r="F921" s="17">
        <v>1000</v>
      </c>
      <c r="G921" s="17">
        <v>54000</v>
      </c>
      <c r="H921" s="17">
        <v>53000</v>
      </c>
      <c r="I921" s="18">
        <v>0.81</v>
      </c>
      <c r="J921" s="14">
        <f t="shared" si="0"/>
        <v>53</v>
      </c>
      <c r="K921" s="15" t="str">
        <f t="shared" si="1"/>
        <v>Exceeds Target</v>
      </c>
    </row>
    <row r="922" spans="2:11" ht="15" customHeight="1">
      <c r="B922" t="s">
        <v>87</v>
      </c>
      <c r="C922" t="s">
        <v>1294</v>
      </c>
      <c r="D922" t="s">
        <v>35</v>
      </c>
      <c r="E922" t="s">
        <v>27</v>
      </c>
      <c r="F922" s="17">
        <v>3000</v>
      </c>
      <c r="G922" s="17">
        <v>110000</v>
      </c>
      <c r="H922" s="17">
        <v>107000</v>
      </c>
      <c r="I922" s="18">
        <v>0.45</v>
      </c>
      <c r="J922" s="14">
        <f t="shared" si="0"/>
        <v>35.666666666666664</v>
      </c>
      <c r="K922" s="15" t="str">
        <f t="shared" si="1"/>
        <v>Exceeds Target</v>
      </c>
    </row>
    <row r="923" spans="2:11" ht="15" customHeight="1">
      <c r="B923" t="s">
        <v>845</v>
      </c>
      <c r="C923" t="s">
        <v>1295</v>
      </c>
      <c r="D923" t="s">
        <v>80</v>
      </c>
      <c r="E923" t="s">
        <v>27</v>
      </c>
      <c r="F923" s="17">
        <v>1000</v>
      </c>
      <c r="G923" s="17">
        <v>63000</v>
      </c>
      <c r="H923" s="17">
        <v>62000</v>
      </c>
      <c r="I923" s="18">
        <v>0.91</v>
      </c>
      <c r="J923" s="14">
        <f t="shared" si="0"/>
        <v>62</v>
      </c>
      <c r="K923" s="15" t="str">
        <f t="shared" si="1"/>
        <v>Exceeds Target</v>
      </c>
    </row>
    <row r="924" spans="2:11" ht="15" customHeight="1">
      <c r="B924" t="s">
        <v>642</v>
      </c>
      <c r="C924" t="s">
        <v>1296</v>
      </c>
      <c r="D924" t="s">
        <v>69</v>
      </c>
      <c r="E924" t="s">
        <v>70</v>
      </c>
      <c r="F924" s="17">
        <v>1000</v>
      </c>
      <c r="G924" s="17">
        <v>150000</v>
      </c>
      <c r="H924" s="17">
        <v>149000</v>
      </c>
      <c r="I924" s="18">
        <v>0.41</v>
      </c>
      <c r="J924" s="14">
        <f t="shared" si="0"/>
        <v>149</v>
      </c>
      <c r="K924" s="15" t="str">
        <f t="shared" si="1"/>
        <v>Exceeds Target</v>
      </c>
    </row>
    <row r="925" spans="2:11" ht="15" customHeight="1">
      <c r="B925" t="s">
        <v>225</v>
      </c>
      <c r="C925" t="s">
        <v>1297</v>
      </c>
      <c r="D925" t="s">
        <v>32</v>
      </c>
      <c r="E925" t="s">
        <v>27</v>
      </c>
      <c r="F925" s="17">
        <v>1500</v>
      </c>
      <c r="G925" s="17">
        <v>54000</v>
      </c>
      <c r="H925" s="17">
        <v>52500</v>
      </c>
      <c r="I925" s="18">
        <v>0.79</v>
      </c>
      <c r="J925" s="14">
        <f t="shared" si="0"/>
        <v>35</v>
      </c>
      <c r="K925" s="15" t="str">
        <f t="shared" si="1"/>
        <v>Exceeds Target</v>
      </c>
    </row>
    <row r="926" spans="2:11" ht="15" customHeight="1">
      <c r="B926" t="s">
        <v>143</v>
      </c>
      <c r="C926" t="s">
        <v>1298</v>
      </c>
      <c r="D926" t="s">
        <v>80</v>
      </c>
      <c r="E926" t="s">
        <v>27</v>
      </c>
      <c r="F926" s="17">
        <v>1000</v>
      </c>
      <c r="G926" s="17">
        <v>57000</v>
      </c>
      <c r="H926" s="17">
        <v>56000</v>
      </c>
      <c r="I926" s="18">
        <v>0.83</v>
      </c>
      <c r="J926" s="14">
        <f t="shared" si="0"/>
        <v>56</v>
      </c>
      <c r="K926" s="15" t="str">
        <f t="shared" si="1"/>
        <v>Exceeds Target</v>
      </c>
    </row>
    <row r="927" spans="2:11" ht="15" customHeight="1">
      <c r="B927" t="s">
        <v>1063</v>
      </c>
      <c r="C927" t="s">
        <v>1299</v>
      </c>
      <c r="D927" t="s">
        <v>80</v>
      </c>
      <c r="E927" t="s">
        <v>27</v>
      </c>
      <c r="F927" s="17">
        <v>1000</v>
      </c>
      <c r="G927" s="17">
        <v>90000</v>
      </c>
      <c r="H927" s="17">
        <v>89000</v>
      </c>
      <c r="I927" s="18">
        <v>1</v>
      </c>
      <c r="J927" s="14">
        <f t="shared" si="0"/>
        <v>89</v>
      </c>
      <c r="K927" s="15" t="str">
        <f t="shared" si="1"/>
        <v>Exceeds Target</v>
      </c>
    </row>
    <row r="928" spans="2:11" ht="15" customHeight="1">
      <c r="B928" t="s">
        <v>272</v>
      </c>
      <c r="C928" t="s">
        <v>1300</v>
      </c>
      <c r="D928" t="s">
        <v>69</v>
      </c>
      <c r="E928" t="s">
        <v>70</v>
      </c>
      <c r="F928" s="17">
        <v>1000</v>
      </c>
      <c r="G928" s="17">
        <v>90000</v>
      </c>
      <c r="H928" s="17">
        <v>89000</v>
      </c>
      <c r="I928" s="18">
        <v>0.69</v>
      </c>
      <c r="J928" s="14">
        <f t="shared" si="0"/>
        <v>89</v>
      </c>
      <c r="K928" s="15" t="str">
        <f t="shared" si="1"/>
        <v>Exceeds Target</v>
      </c>
    </row>
    <row r="929" spans="2:11" ht="15" customHeight="1">
      <c r="B929" t="s">
        <v>1007</v>
      </c>
      <c r="C929" t="s">
        <v>1301</v>
      </c>
      <c r="D929" t="s">
        <v>26</v>
      </c>
      <c r="E929" t="s">
        <v>27</v>
      </c>
      <c r="F929" s="17">
        <v>5000</v>
      </c>
      <c r="G929" s="17">
        <v>150000</v>
      </c>
      <c r="H929" s="17">
        <v>145000</v>
      </c>
      <c r="I929" s="18">
        <v>0.36</v>
      </c>
      <c r="J929" s="14">
        <f t="shared" si="0"/>
        <v>29</v>
      </c>
      <c r="K929" s="15" t="str">
        <f t="shared" si="1"/>
        <v>Exceeds Target</v>
      </c>
    </row>
    <row r="930" spans="2:11" ht="15" customHeight="1">
      <c r="B930" t="s">
        <v>1034</v>
      </c>
      <c r="C930" t="s">
        <v>1302</v>
      </c>
      <c r="D930" t="s">
        <v>26</v>
      </c>
      <c r="E930" t="s">
        <v>27</v>
      </c>
      <c r="F930" s="17">
        <v>5000</v>
      </c>
      <c r="G930" s="17">
        <v>30000</v>
      </c>
      <c r="H930" s="17">
        <v>25000</v>
      </c>
      <c r="I930" s="18">
        <v>0.26</v>
      </c>
      <c r="J930" s="14">
        <f t="shared" si="0"/>
        <v>5</v>
      </c>
      <c r="K930" s="15" t="str">
        <f t="shared" si="1"/>
        <v>Exceeds Target</v>
      </c>
    </row>
    <row r="931" spans="2:11" ht="15" customHeight="1">
      <c r="B931" t="s">
        <v>1285</v>
      </c>
      <c r="C931" t="s">
        <v>1303</v>
      </c>
      <c r="D931" t="s">
        <v>32</v>
      </c>
      <c r="E931" t="s">
        <v>27</v>
      </c>
      <c r="F931" s="17">
        <v>1500</v>
      </c>
      <c r="G931" s="17">
        <v>28000</v>
      </c>
      <c r="H931" s="17">
        <v>26500</v>
      </c>
      <c r="I931" s="18">
        <v>0.61</v>
      </c>
      <c r="J931" s="14">
        <f t="shared" si="0"/>
        <v>17.666666666666668</v>
      </c>
      <c r="K931" s="15" t="str">
        <f t="shared" si="1"/>
        <v>Exceeds Target</v>
      </c>
    </row>
    <row r="932" spans="2:11" ht="15" customHeight="1">
      <c r="B932" t="s">
        <v>1018</v>
      </c>
      <c r="C932" t="s">
        <v>1304</v>
      </c>
      <c r="D932" t="s">
        <v>69</v>
      </c>
      <c r="E932" t="s">
        <v>70</v>
      </c>
      <c r="F932" s="17">
        <v>1000</v>
      </c>
      <c r="G932" s="17">
        <v>110000</v>
      </c>
      <c r="H932" s="17">
        <v>109000</v>
      </c>
      <c r="I932" s="18">
        <v>0.92</v>
      </c>
      <c r="J932" s="14">
        <f t="shared" si="0"/>
        <v>109</v>
      </c>
      <c r="K932" s="15" t="str">
        <f t="shared" si="1"/>
        <v>Exceeds Target</v>
      </c>
    </row>
    <row r="933" spans="2:11" ht="15" customHeight="1">
      <c r="B933" t="s">
        <v>1305</v>
      </c>
      <c r="C933" t="s">
        <v>1306</v>
      </c>
      <c r="D933" t="s">
        <v>32</v>
      </c>
      <c r="E933" t="s">
        <v>27</v>
      </c>
      <c r="F933" s="17">
        <v>1500</v>
      </c>
      <c r="G933" s="17">
        <v>14000</v>
      </c>
      <c r="H933" s="17">
        <v>12500</v>
      </c>
      <c r="I933" s="18">
        <v>0.78</v>
      </c>
      <c r="J933" s="14">
        <f t="shared" si="0"/>
        <v>8.3333333333333339</v>
      </c>
      <c r="K933" s="15" t="str">
        <f t="shared" si="1"/>
        <v>Exceeds Target</v>
      </c>
    </row>
    <row r="934" spans="2:11" ht="15" customHeight="1">
      <c r="B934" t="s">
        <v>1055</v>
      </c>
      <c r="C934" t="s">
        <v>1307</v>
      </c>
      <c r="D934" t="s">
        <v>32</v>
      </c>
      <c r="E934" t="s">
        <v>27</v>
      </c>
      <c r="F934" s="17">
        <v>1500</v>
      </c>
      <c r="G934" s="17">
        <v>38000</v>
      </c>
      <c r="H934" s="17">
        <v>36500</v>
      </c>
      <c r="I934" s="18">
        <v>0.59</v>
      </c>
      <c r="J934" s="14">
        <f t="shared" si="0"/>
        <v>24.333333333333332</v>
      </c>
      <c r="K934" s="15" t="str">
        <f t="shared" si="1"/>
        <v>Exceeds Target</v>
      </c>
    </row>
    <row r="935" spans="2:11" ht="15" customHeight="1">
      <c r="B935" t="s">
        <v>1194</v>
      </c>
      <c r="C935" t="s">
        <v>1308</v>
      </c>
      <c r="D935" t="s">
        <v>35</v>
      </c>
      <c r="E935" t="s">
        <v>27</v>
      </c>
      <c r="F935" s="17">
        <v>3000</v>
      </c>
      <c r="G935" s="17">
        <v>210000</v>
      </c>
      <c r="H935" s="17">
        <v>207000</v>
      </c>
      <c r="I935" s="18">
        <v>0.79</v>
      </c>
      <c r="J935" s="14">
        <f t="shared" si="0"/>
        <v>69</v>
      </c>
      <c r="K935" s="15" t="str">
        <f t="shared" si="1"/>
        <v>Exceeds Target</v>
      </c>
    </row>
    <row r="936" spans="2:11" ht="15" customHeight="1">
      <c r="B936" t="s">
        <v>1309</v>
      </c>
      <c r="C936" t="s">
        <v>1310</v>
      </c>
      <c r="D936" t="s">
        <v>35</v>
      </c>
      <c r="E936" t="s">
        <v>27</v>
      </c>
      <c r="F936" s="17">
        <v>3000</v>
      </c>
      <c r="G936" s="17">
        <v>120000</v>
      </c>
      <c r="H936" s="17">
        <v>117000</v>
      </c>
      <c r="I936" s="18">
        <v>0.27</v>
      </c>
      <c r="J936" s="14">
        <f t="shared" si="0"/>
        <v>39</v>
      </c>
      <c r="K936" s="15" t="str">
        <f t="shared" si="1"/>
        <v>Exceeds Target</v>
      </c>
    </row>
    <row r="937" spans="2:11" ht="15" customHeight="1">
      <c r="B937" t="s">
        <v>1222</v>
      </c>
      <c r="C937" t="s">
        <v>1311</v>
      </c>
      <c r="D937" t="s">
        <v>26</v>
      </c>
      <c r="E937" t="s">
        <v>27</v>
      </c>
      <c r="F937" s="17">
        <v>5000</v>
      </c>
      <c r="G937" s="17">
        <v>120000</v>
      </c>
      <c r="H937" s="17">
        <v>115000</v>
      </c>
      <c r="I937" s="18">
        <v>0.1</v>
      </c>
      <c r="J937" s="14">
        <f t="shared" si="0"/>
        <v>23</v>
      </c>
      <c r="K937" s="15" t="str">
        <f t="shared" si="1"/>
        <v>Exceeds Target</v>
      </c>
    </row>
    <row r="938" spans="2:11" ht="15" customHeight="1">
      <c r="B938" t="s">
        <v>522</v>
      </c>
      <c r="C938" t="s">
        <v>1312</v>
      </c>
      <c r="D938" t="s">
        <v>80</v>
      </c>
      <c r="E938" t="s">
        <v>27</v>
      </c>
      <c r="F938" s="17">
        <v>1000</v>
      </c>
      <c r="G938" s="17">
        <v>81000</v>
      </c>
      <c r="H938" s="17">
        <v>80000</v>
      </c>
      <c r="I938" s="18">
        <v>0.95</v>
      </c>
      <c r="J938" s="14">
        <f t="shared" si="0"/>
        <v>80</v>
      </c>
      <c r="K938" s="15" t="str">
        <f t="shared" si="1"/>
        <v>Exceeds Target</v>
      </c>
    </row>
    <row r="939" spans="2:11" ht="15" customHeight="1">
      <c r="B939" t="s">
        <v>54</v>
      </c>
      <c r="C939" t="s">
        <v>1313</v>
      </c>
      <c r="D939" t="s">
        <v>35</v>
      </c>
      <c r="E939" t="s">
        <v>27</v>
      </c>
      <c r="F939" s="17">
        <v>3000</v>
      </c>
      <c r="G939" s="17">
        <v>100000</v>
      </c>
      <c r="H939" s="17">
        <v>97000</v>
      </c>
      <c r="I939" s="18">
        <v>0.67</v>
      </c>
      <c r="J939" s="14">
        <f t="shared" si="0"/>
        <v>32.333333333333336</v>
      </c>
      <c r="K939" s="15" t="str">
        <f t="shared" si="1"/>
        <v>Exceeds Target</v>
      </c>
    </row>
    <row r="940" spans="2:11" ht="15" customHeight="1">
      <c r="B940" t="s">
        <v>89</v>
      </c>
      <c r="C940" t="s">
        <v>1314</v>
      </c>
      <c r="D940" t="s">
        <v>69</v>
      </c>
      <c r="E940" t="s">
        <v>70</v>
      </c>
      <c r="F940" s="17">
        <v>1000</v>
      </c>
      <c r="G940" s="17">
        <v>75000</v>
      </c>
      <c r="H940" s="17">
        <v>74000</v>
      </c>
      <c r="I940" s="18">
        <v>0.3</v>
      </c>
      <c r="J940" s="14">
        <f t="shared" si="0"/>
        <v>74</v>
      </c>
      <c r="K940" s="15" t="str">
        <f t="shared" si="1"/>
        <v>Exceeds Target</v>
      </c>
    </row>
    <row r="941" spans="2:11" ht="15" customHeight="1">
      <c r="B941" t="s">
        <v>257</v>
      </c>
      <c r="C941" t="s">
        <v>1315</v>
      </c>
      <c r="D941" t="s">
        <v>35</v>
      </c>
      <c r="E941" t="s">
        <v>27</v>
      </c>
      <c r="F941" s="17">
        <v>3000</v>
      </c>
      <c r="G941" s="17">
        <v>300000</v>
      </c>
      <c r="H941" s="17">
        <v>297000</v>
      </c>
      <c r="I941" s="18">
        <v>0.88</v>
      </c>
      <c r="J941" s="14">
        <f t="shared" si="0"/>
        <v>99</v>
      </c>
      <c r="K941" s="15" t="str">
        <f t="shared" si="1"/>
        <v>Exceeds Target</v>
      </c>
    </row>
    <row r="942" spans="2:11" ht="15" customHeight="1">
      <c r="B942" t="s">
        <v>601</v>
      </c>
      <c r="C942" t="s">
        <v>1316</v>
      </c>
      <c r="D942" t="s">
        <v>80</v>
      </c>
      <c r="E942" t="s">
        <v>27</v>
      </c>
      <c r="F942" s="17">
        <v>1000</v>
      </c>
      <c r="G942" s="17">
        <v>51000</v>
      </c>
      <c r="H942" s="17">
        <v>50000</v>
      </c>
      <c r="I942" s="18">
        <v>1</v>
      </c>
      <c r="J942" s="14">
        <f t="shared" si="0"/>
        <v>50</v>
      </c>
      <c r="K942" s="15" t="str">
        <f t="shared" si="1"/>
        <v>Exceeds Target</v>
      </c>
    </row>
    <row r="943" spans="2:11" ht="15" customHeight="1">
      <c r="B943" t="s">
        <v>390</v>
      </c>
      <c r="C943" t="s">
        <v>1317</v>
      </c>
      <c r="D943" t="s">
        <v>26</v>
      </c>
      <c r="E943" t="s">
        <v>27</v>
      </c>
      <c r="F943" s="17">
        <v>5000</v>
      </c>
      <c r="G943" s="17">
        <v>30000</v>
      </c>
      <c r="H943" s="17">
        <v>25000</v>
      </c>
      <c r="I943" s="18">
        <v>7.0000000000000007E-2</v>
      </c>
      <c r="J943" s="14">
        <f t="shared" si="0"/>
        <v>5</v>
      </c>
      <c r="K943" s="15" t="str">
        <f t="shared" si="1"/>
        <v>Exceeds Target</v>
      </c>
    </row>
    <row r="944" spans="2:11" ht="15" customHeight="1">
      <c r="B944" t="s">
        <v>175</v>
      </c>
      <c r="C944" t="s">
        <v>1318</v>
      </c>
      <c r="D944" t="s">
        <v>35</v>
      </c>
      <c r="E944" t="s">
        <v>27</v>
      </c>
      <c r="F944" s="17">
        <v>3000</v>
      </c>
      <c r="G944" s="17">
        <v>90000</v>
      </c>
      <c r="H944" s="17">
        <v>87000</v>
      </c>
      <c r="I944" s="18">
        <v>0.59</v>
      </c>
      <c r="J944" s="14">
        <f t="shared" si="0"/>
        <v>29</v>
      </c>
      <c r="K944" s="15" t="str">
        <f t="shared" si="1"/>
        <v>Exceeds Target</v>
      </c>
    </row>
    <row r="945" spans="2:11" ht="15" customHeight="1">
      <c r="B945" t="s">
        <v>150</v>
      </c>
      <c r="C945" t="s">
        <v>1319</v>
      </c>
      <c r="D945" t="s">
        <v>35</v>
      </c>
      <c r="E945" t="s">
        <v>27</v>
      </c>
      <c r="F945" s="17">
        <v>3000</v>
      </c>
      <c r="G945" s="17">
        <v>170000</v>
      </c>
      <c r="H945" s="17">
        <v>167000</v>
      </c>
      <c r="I945" s="18">
        <v>0.41</v>
      </c>
      <c r="J945" s="14">
        <f t="shared" si="0"/>
        <v>55.666666666666664</v>
      </c>
      <c r="K945" s="15" t="str">
        <f t="shared" si="1"/>
        <v>Exceeds Target</v>
      </c>
    </row>
    <row r="946" spans="2:11" ht="15" customHeight="1">
      <c r="B946" t="s">
        <v>1320</v>
      </c>
      <c r="C946" t="s">
        <v>1321</v>
      </c>
      <c r="D946" t="s">
        <v>32</v>
      </c>
      <c r="E946" t="s">
        <v>27</v>
      </c>
      <c r="F946" s="17">
        <v>1500</v>
      </c>
      <c r="G946" s="17">
        <v>12000</v>
      </c>
      <c r="H946" s="17">
        <v>10500</v>
      </c>
      <c r="I946" s="18">
        <v>0.81</v>
      </c>
      <c r="J946" s="14">
        <f t="shared" si="0"/>
        <v>7</v>
      </c>
      <c r="K946" s="15" t="str">
        <f t="shared" si="1"/>
        <v>Exceeds Target</v>
      </c>
    </row>
    <row r="947" spans="2:11" ht="15" customHeight="1">
      <c r="B947" t="s">
        <v>238</v>
      </c>
      <c r="C947" t="s">
        <v>1322</v>
      </c>
      <c r="D947" t="s">
        <v>32</v>
      </c>
      <c r="E947" t="s">
        <v>27</v>
      </c>
      <c r="F947" s="17">
        <v>1500</v>
      </c>
      <c r="G947" s="17">
        <v>54000</v>
      </c>
      <c r="H947" s="17">
        <v>52500</v>
      </c>
      <c r="I947" s="18">
        <v>0.67</v>
      </c>
      <c r="J947" s="14">
        <f t="shared" si="0"/>
        <v>35</v>
      </c>
      <c r="K947" s="15" t="str">
        <f t="shared" si="1"/>
        <v>Exceeds Target</v>
      </c>
    </row>
    <row r="948" spans="2:11" ht="15" customHeight="1">
      <c r="B948" t="s">
        <v>1323</v>
      </c>
      <c r="C948" t="s">
        <v>1324</v>
      </c>
      <c r="D948" t="s">
        <v>35</v>
      </c>
      <c r="E948" t="s">
        <v>27</v>
      </c>
      <c r="F948" s="17">
        <v>3000</v>
      </c>
      <c r="G948" s="17">
        <v>130000</v>
      </c>
      <c r="H948" s="17">
        <v>127000</v>
      </c>
      <c r="I948" s="18">
        <v>0.39</v>
      </c>
      <c r="J948" s="14">
        <f t="shared" si="0"/>
        <v>42.333333333333336</v>
      </c>
      <c r="K948" s="15" t="str">
        <f t="shared" si="1"/>
        <v>Exceeds Target</v>
      </c>
    </row>
    <row r="949" spans="2:11" ht="15" customHeight="1">
      <c r="B949" t="s">
        <v>408</v>
      </c>
      <c r="C949" t="s">
        <v>1325</v>
      </c>
      <c r="D949" t="s">
        <v>32</v>
      </c>
      <c r="E949" t="s">
        <v>27</v>
      </c>
      <c r="F949" s="17">
        <v>1500</v>
      </c>
      <c r="G949" s="17">
        <v>36000</v>
      </c>
      <c r="H949" s="17">
        <v>34500</v>
      </c>
      <c r="I949" s="18">
        <v>0.79</v>
      </c>
      <c r="J949" s="14">
        <f t="shared" si="0"/>
        <v>23</v>
      </c>
      <c r="K949" s="15" t="str">
        <f t="shared" si="1"/>
        <v>Exceeds Target</v>
      </c>
    </row>
    <row r="950" spans="2:11" ht="15" customHeight="1">
      <c r="B950" t="s">
        <v>639</v>
      </c>
      <c r="C950" t="s">
        <v>1326</v>
      </c>
      <c r="D950" t="s">
        <v>80</v>
      </c>
      <c r="E950" t="s">
        <v>27</v>
      </c>
      <c r="F950" s="17">
        <v>1000</v>
      </c>
      <c r="G950" s="17">
        <v>78000</v>
      </c>
      <c r="H950" s="17">
        <v>77000</v>
      </c>
      <c r="I950" s="18">
        <v>0.86</v>
      </c>
      <c r="J950" s="14">
        <f t="shared" si="0"/>
        <v>77</v>
      </c>
      <c r="K950" s="15" t="str">
        <f t="shared" si="1"/>
        <v>Exceeds Target</v>
      </c>
    </row>
    <row r="951" spans="2:11" ht="15" customHeight="1">
      <c r="B951" t="s">
        <v>551</v>
      </c>
      <c r="C951" t="s">
        <v>1327</v>
      </c>
      <c r="D951" t="s">
        <v>32</v>
      </c>
      <c r="E951" t="s">
        <v>27</v>
      </c>
      <c r="F951" s="17">
        <v>1500</v>
      </c>
      <c r="G951" s="17">
        <v>50000</v>
      </c>
      <c r="H951" s="17">
        <v>48500</v>
      </c>
      <c r="I951" s="18">
        <v>0.31</v>
      </c>
      <c r="J951" s="14">
        <f t="shared" si="0"/>
        <v>32.333333333333336</v>
      </c>
      <c r="K951" s="15" t="str">
        <f t="shared" si="1"/>
        <v>Exceeds Target</v>
      </c>
    </row>
    <row r="952" spans="2:11" ht="15" customHeight="1">
      <c r="B952" t="s">
        <v>394</v>
      </c>
      <c r="C952" t="s">
        <v>1328</v>
      </c>
      <c r="D952" t="s">
        <v>35</v>
      </c>
      <c r="E952" t="s">
        <v>27</v>
      </c>
      <c r="F952" s="17">
        <v>3000</v>
      </c>
      <c r="G952" s="17">
        <v>70000</v>
      </c>
      <c r="H952" s="17">
        <v>67000</v>
      </c>
      <c r="I952" s="18">
        <v>0.94</v>
      </c>
      <c r="J952" s="14">
        <f t="shared" si="0"/>
        <v>22.333333333333332</v>
      </c>
      <c r="K952" s="15" t="str">
        <f t="shared" si="1"/>
        <v>Exceeds Target</v>
      </c>
    </row>
    <row r="953" spans="2:11" ht="15" customHeight="1">
      <c r="B953" t="s">
        <v>993</v>
      </c>
      <c r="C953" t="s">
        <v>1329</v>
      </c>
      <c r="D953" t="s">
        <v>35</v>
      </c>
      <c r="E953" t="s">
        <v>27</v>
      </c>
      <c r="F953" s="17">
        <v>3000</v>
      </c>
      <c r="G953" s="17">
        <v>130000</v>
      </c>
      <c r="H953" s="17">
        <v>127000</v>
      </c>
      <c r="I953" s="18">
        <v>0.3</v>
      </c>
      <c r="J953" s="14">
        <f t="shared" si="0"/>
        <v>42.333333333333336</v>
      </c>
      <c r="K953" s="15" t="str">
        <f t="shared" si="1"/>
        <v>Exceeds Target</v>
      </c>
    </row>
    <row r="954" spans="2:11" ht="15" customHeight="1">
      <c r="B954" t="s">
        <v>1285</v>
      </c>
      <c r="C954" t="s">
        <v>1330</v>
      </c>
      <c r="D954" t="s">
        <v>35</v>
      </c>
      <c r="E954" t="s">
        <v>27</v>
      </c>
      <c r="F954" s="17">
        <v>3000</v>
      </c>
      <c r="G954" s="17">
        <v>280000</v>
      </c>
      <c r="H954" s="17">
        <v>277000</v>
      </c>
      <c r="I954" s="18">
        <v>0.57999999999999996</v>
      </c>
      <c r="J954" s="14">
        <f t="shared" si="0"/>
        <v>92.333333333333329</v>
      </c>
      <c r="K954" s="15" t="str">
        <f t="shared" si="1"/>
        <v>Exceeds Target</v>
      </c>
    </row>
    <row r="955" spans="2:11" ht="15" customHeight="1">
      <c r="B955" t="s">
        <v>999</v>
      </c>
      <c r="C955" t="s">
        <v>1331</v>
      </c>
      <c r="D955" t="s">
        <v>69</v>
      </c>
      <c r="E955" t="s">
        <v>70</v>
      </c>
      <c r="F955" s="17">
        <v>1000</v>
      </c>
      <c r="G955" s="17">
        <v>45000</v>
      </c>
      <c r="H955" s="17">
        <v>44000</v>
      </c>
      <c r="I955" s="18">
        <v>0.95</v>
      </c>
      <c r="J955" s="14">
        <f t="shared" si="0"/>
        <v>44</v>
      </c>
      <c r="K955" s="15" t="str">
        <f t="shared" si="1"/>
        <v>Exceeds Target</v>
      </c>
    </row>
    <row r="956" spans="2:11" ht="15" customHeight="1">
      <c r="B956" t="s">
        <v>613</v>
      </c>
      <c r="C956" t="s">
        <v>1332</v>
      </c>
      <c r="D956" t="s">
        <v>80</v>
      </c>
      <c r="E956" t="s">
        <v>27</v>
      </c>
      <c r="F956" s="17">
        <v>1000</v>
      </c>
      <c r="G956" s="17">
        <v>102000</v>
      </c>
      <c r="H956" s="17">
        <v>101000</v>
      </c>
      <c r="I956" s="18">
        <v>0.94</v>
      </c>
      <c r="J956" s="14">
        <f t="shared" si="0"/>
        <v>101</v>
      </c>
      <c r="K956" s="15" t="str">
        <f t="shared" si="1"/>
        <v>Exceeds Target</v>
      </c>
    </row>
    <row r="957" spans="2:11" ht="15" customHeight="1">
      <c r="B957" t="s">
        <v>1210</v>
      </c>
      <c r="C957" t="s">
        <v>1333</v>
      </c>
      <c r="D957" t="s">
        <v>32</v>
      </c>
      <c r="E957" t="s">
        <v>27</v>
      </c>
      <c r="F957" s="17">
        <v>1500</v>
      </c>
      <c r="G957" s="17">
        <v>20000</v>
      </c>
      <c r="H957" s="17">
        <v>18500</v>
      </c>
      <c r="I957" s="18">
        <v>0.75</v>
      </c>
      <c r="J957" s="14">
        <f t="shared" si="0"/>
        <v>12.333333333333334</v>
      </c>
      <c r="K957" s="15" t="str">
        <f t="shared" si="1"/>
        <v>Exceeds Target</v>
      </c>
    </row>
    <row r="958" spans="2:11" ht="15" customHeight="1">
      <c r="B958" t="s">
        <v>67</v>
      </c>
      <c r="C958" t="s">
        <v>1334</v>
      </c>
      <c r="D958" t="s">
        <v>69</v>
      </c>
      <c r="E958" t="s">
        <v>70</v>
      </c>
      <c r="F958" s="17">
        <v>1000</v>
      </c>
      <c r="G958" s="17">
        <v>105000</v>
      </c>
      <c r="H958" s="17">
        <v>104000</v>
      </c>
      <c r="I958" s="18">
        <v>0.4</v>
      </c>
      <c r="J958" s="14">
        <f t="shared" si="0"/>
        <v>104</v>
      </c>
      <c r="K958" s="15" t="str">
        <f t="shared" si="1"/>
        <v>Exceeds Target</v>
      </c>
    </row>
    <row r="959" spans="2:11" ht="15" customHeight="1">
      <c r="B959" t="s">
        <v>1053</v>
      </c>
      <c r="C959" t="s">
        <v>1335</v>
      </c>
      <c r="D959" t="s">
        <v>35</v>
      </c>
      <c r="E959" t="s">
        <v>27</v>
      </c>
      <c r="F959" s="17">
        <v>3000</v>
      </c>
      <c r="G959" s="17">
        <v>290000</v>
      </c>
      <c r="H959" s="17">
        <v>287000</v>
      </c>
      <c r="I959" s="18">
        <v>0.49</v>
      </c>
      <c r="J959" s="14">
        <f t="shared" si="0"/>
        <v>95.666666666666671</v>
      </c>
      <c r="K959" s="15" t="str">
        <f t="shared" si="1"/>
        <v>Exceeds Target</v>
      </c>
    </row>
    <row r="960" spans="2:11" ht="15" customHeight="1">
      <c r="B960" t="s">
        <v>596</v>
      </c>
      <c r="C960" t="s">
        <v>1336</v>
      </c>
      <c r="D960" t="s">
        <v>69</v>
      </c>
      <c r="E960" t="s">
        <v>70</v>
      </c>
      <c r="F960" s="17">
        <v>1000</v>
      </c>
      <c r="G960" s="17">
        <v>60000</v>
      </c>
      <c r="H960" s="17">
        <v>59000</v>
      </c>
      <c r="I960" s="18">
        <v>0.26</v>
      </c>
      <c r="J960" s="14">
        <f t="shared" si="0"/>
        <v>59</v>
      </c>
      <c r="K960" s="15" t="str">
        <f t="shared" si="1"/>
        <v>Exceeds Target</v>
      </c>
    </row>
    <row r="961" spans="2:11" ht="15" customHeight="1">
      <c r="B961" t="s">
        <v>1337</v>
      </c>
      <c r="C961" t="s">
        <v>1338</v>
      </c>
      <c r="D961" t="s">
        <v>32</v>
      </c>
      <c r="E961" t="s">
        <v>27</v>
      </c>
      <c r="F961" s="17">
        <v>1500</v>
      </c>
      <c r="G961" s="17">
        <v>44000</v>
      </c>
      <c r="H961" s="17">
        <v>42500</v>
      </c>
      <c r="I961" s="18">
        <v>0.99</v>
      </c>
      <c r="J961" s="14">
        <f t="shared" si="0"/>
        <v>28.333333333333332</v>
      </c>
      <c r="K961" s="15" t="str">
        <f t="shared" si="1"/>
        <v>Exceeds Target</v>
      </c>
    </row>
    <row r="962" spans="2:11" ht="15" customHeight="1">
      <c r="B962" t="s">
        <v>880</v>
      </c>
      <c r="C962" t="s">
        <v>1339</v>
      </c>
      <c r="D962" t="s">
        <v>35</v>
      </c>
      <c r="E962" t="s">
        <v>27</v>
      </c>
      <c r="F962" s="17">
        <v>3000</v>
      </c>
      <c r="G962" s="17">
        <v>300000</v>
      </c>
      <c r="H962" s="17">
        <v>297000</v>
      </c>
      <c r="I962" s="18">
        <v>0.51</v>
      </c>
      <c r="J962" s="14">
        <f t="shared" si="0"/>
        <v>99</v>
      </c>
      <c r="K962" s="15" t="str">
        <f t="shared" si="1"/>
        <v>Exceeds Target</v>
      </c>
    </row>
    <row r="963" spans="2:11" ht="15" customHeight="1">
      <c r="B963" t="s">
        <v>74</v>
      </c>
      <c r="C963" t="s">
        <v>1340</v>
      </c>
      <c r="D963" t="s">
        <v>35</v>
      </c>
      <c r="E963" t="s">
        <v>27</v>
      </c>
      <c r="F963" s="17">
        <v>3000</v>
      </c>
      <c r="G963" s="17">
        <v>240000</v>
      </c>
      <c r="H963" s="17">
        <v>237000</v>
      </c>
      <c r="I963" s="18">
        <v>0.82</v>
      </c>
      <c r="J963" s="14">
        <f t="shared" si="0"/>
        <v>79</v>
      </c>
      <c r="K963" s="15" t="str">
        <f t="shared" si="1"/>
        <v>Exceeds Target</v>
      </c>
    </row>
    <row r="964" spans="2:11" ht="15" customHeight="1">
      <c r="B964" t="s">
        <v>1063</v>
      </c>
      <c r="C964" t="s">
        <v>1341</v>
      </c>
      <c r="D964" t="s">
        <v>80</v>
      </c>
      <c r="E964" t="s">
        <v>27</v>
      </c>
      <c r="F964" s="17">
        <v>1000</v>
      </c>
      <c r="G964" s="17">
        <v>93000</v>
      </c>
      <c r="H964" s="17">
        <v>92000</v>
      </c>
      <c r="I964" s="18">
        <v>0.78</v>
      </c>
      <c r="J964" s="14">
        <f t="shared" si="0"/>
        <v>92</v>
      </c>
      <c r="K964" s="15" t="str">
        <f t="shared" si="1"/>
        <v>Exceeds Target</v>
      </c>
    </row>
    <row r="965" spans="2:11" ht="15" customHeight="1">
      <c r="B965" t="s">
        <v>615</v>
      </c>
      <c r="C965" t="s">
        <v>1342</v>
      </c>
      <c r="D965" t="s">
        <v>32</v>
      </c>
      <c r="E965" t="s">
        <v>27</v>
      </c>
      <c r="F965" s="17">
        <v>1500</v>
      </c>
      <c r="G965" s="17">
        <v>52000</v>
      </c>
      <c r="H965" s="17">
        <v>50500</v>
      </c>
      <c r="I965" s="18">
        <v>0.87</v>
      </c>
      <c r="J965" s="14">
        <f t="shared" si="0"/>
        <v>33.666666666666664</v>
      </c>
      <c r="K965" s="15" t="str">
        <f t="shared" si="1"/>
        <v>Exceeds Target</v>
      </c>
    </row>
    <row r="966" spans="2:11" ht="15" customHeight="1">
      <c r="B966" t="s">
        <v>93</v>
      </c>
      <c r="C966" t="s">
        <v>1343</v>
      </c>
      <c r="D966" t="s">
        <v>35</v>
      </c>
      <c r="E966" t="s">
        <v>27</v>
      </c>
      <c r="F966" s="17">
        <v>3000</v>
      </c>
      <c r="G966" s="17">
        <v>60000</v>
      </c>
      <c r="H966" s="17">
        <v>57000</v>
      </c>
      <c r="I966" s="18">
        <v>0.42</v>
      </c>
      <c r="J966" s="14">
        <f t="shared" si="0"/>
        <v>19</v>
      </c>
      <c r="K966" s="15" t="str">
        <f t="shared" si="1"/>
        <v>Exceeds Target</v>
      </c>
    </row>
    <row r="967" spans="2:11" ht="15" customHeight="1">
      <c r="B967" t="s">
        <v>359</v>
      </c>
      <c r="C967" t="s">
        <v>1344</v>
      </c>
      <c r="D967" t="s">
        <v>32</v>
      </c>
      <c r="E967" t="s">
        <v>27</v>
      </c>
      <c r="F967" s="17">
        <v>1500</v>
      </c>
      <c r="G967" s="17">
        <v>24000</v>
      </c>
      <c r="H967" s="17">
        <v>22500</v>
      </c>
      <c r="I967" s="18">
        <v>0.54</v>
      </c>
      <c r="J967" s="14">
        <f t="shared" si="0"/>
        <v>15</v>
      </c>
      <c r="K967" s="15" t="str">
        <f t="shared" si="1"/>
        <v>Exceeds Target</v>
      </c>
    </row>
    <row r="968" spans="2:11" ht="15" customHeight="1">
      <c r="B968" t="s">
        <v>754</v>
      </c>
      <c r="C968" t="s">
        <v>1345</v>
      </c>
      <c r="D968" t="s">
        <v>80</v>
      </c>
      <c r="E968" t="s">
        <v>27</v>
      </c>
      <c r="F968" s="17">
        <v>1000</v>
      </c>
      <c r="G968" s="17">
        <v>108000</v>
      </c>
      <c r="H968" s="17">
        <v>107000</v>
      </c>
      <c r="I968" s="18">
        <v>0.84</v>
      </c>
      <c r="J968" s="14">
        <f t="shared" si="0"/>
        <v>107</v>
      </c>
      <c r="K968" s="15" t="str">
        <f t="shared" si="1"/>
        <v>Exceeds Target</v>
      </c>
    </row>
    <row r="969" spans="2:11" ht="15" customHeight="1">
      <c r="B969" t="s">
        <v>1346</v>
      </c>
      <c r="C969" t="s">
        <v>1347</v>
      </c>
      <c r="D969" t="s">
        <v>69</v>
      </c>
      <c r="E969" t="s">
        <v>70</v>
      </c>
      <c r="F969" s="17">
        <v>1000</v>
      </c>
      <c r="G969" s="17">
        <v>90000</v>
      </c>
      <c r="H969" s="17">
        <v>89000</v>
      </c>
      <c r="I969" s="18">
        <v>0.92</v>
      </c>
      <c r="J969" s="14">
        <f t="shared" si="0"/>
        <v>89</v>
      </c>
      <c r="K969" s="15" t="str">
        <f t="shared" si="1"/>
        <v>Exceeds Target</v>
      </c>
    </row>
    <row r="970" spans="2:11" ht="15" customHeight="1">
      <c r="B970" t="s">
        <v>815</v>
      </c>
      <c r="C970" t="s">
        <v>1348</v>
      </c>
      <c r="D970" t="s">
        <v>80</v>
      </c>
      <c r="E970" t="s">
        <v>27</v>
      </c>
      <c r="F970" s="17">
        <v>1000</v>
      </c>
      <c r="G970" s="17">
        <v>102000</v>
      </c>
      <c r="H970" s="17">
        <v>101000</v>
      </c>
      <c r="I970" s="18">
        <v>0.79</v>
      </c>
      <c r="J970" s="14">
        <f t="shared" si="0"/>
        <v>101</v>
      </c>
      <c r="K970" s="15" t="str">
        <f t="shared" si="1"/>
        <v>Exceeds Target</v>
      </c>
    </row>
    <row r="971" spans="2:11" ht="15" customHeight="1">
      <c r="B971" t="s">
        <v>1349</v>
      </c>
      <c r="C971" t="s">
        <v>1350</v>
      </c>
      <c r="D971" t="s">
        <v>32</v>
      </c>
      <c r="E971" t="s">
        <v>27</v>
      </c>
      <c r="F971" s="17">
        <v>1500</v>
      </c>
      <c r="G971" s="17">
        <v>38000</v>
      </c>
      <c r="H971" s="17">
        <v>36500</v>
      </c>
      <c r="I971" s="18">
        <v>0.33</v>
      </c>
      <c r="J971" s="14">
        <f t="shared" si="0"/>
        <v>24.333333333333332</v>
      </c>
      <c r="K971" s="15" t="str">
        <f t="shared" si="1"/>
        <v>Exceeds Target</v>
      </c>
    </row>
    <row r="972" spans="2:11" ht="15" customHeight="1">
      <c r="B972" t="s">
        <v>54</v>
      </c>
      <c r="C972" t="s">
        <v>1351</v>
      </c>
      <c r="D972" t="s">
        <v>35</v>
      </c>
      <c r="E972" t="s">
        <v>27</v>
      </c>
      <c r="F972" s="17">
        <v>3000</v>
      </c>
      <c r="G972" s="17">
        <v>270000</v>
      </c>
      <c r="H972" s="17">
        <v>267000</v>
      </c>
      <c r="I972" s="18">
        <v>0.66</v>
      </c>
      <c r="J972" s="14">
        <f t="shared" si="0"/>
        <v>89</v>
      </c>
      <c r="K972" s="15" t="str">
        <f t="shared" si="1"/>
        <v>Exceeds Target</v>
      </c>
    </row>
    <row r="973" spans="2:11" ht="15" customHeight="1">
      <c r="B973" t="s">
        <v>465</v>
      </c>
      <c r="C973" t="s">
        <v>1352</v>
      </c>
      <c r="D973" t="s">
        <v>32</v>
      </c>
      <c r="E973" t="s">
        <v>27</v>
      </c>
      <c r="F973" s="17">
        <v>1500</v>
      </c>
      <c r="G973" s="17">
        <v>52000</v>
      </c>
      <c r="H973" s="17">
        <v>50500</v>
      </c>
      <c r="I973" s="18">
        <v>0.51</v>
      </c>
      <c r="J973" s="14">
        <f t="shared" si="0"/>
        <v>33.666666666666664</v>
      </c>
      <c r="K973" s="15" t="str">
        <f t="shared" si="1"/>
        <v>Exceeds Target</v>
      </c>
    </row>
    <row r="974" spans="2:11" ht="15" customHeight="1">
      <c r="B974" t="s">
        <v>413</v>
      </c>
      <c r="C974" t="s">
        <v>1353</v>
      </c>
      <c r="D974" t="s">
        <v>32</v>
      </c>
      <c r="E974" t="s">
        <v>27</v>
      </c>
      <c r="F974" s="17">
        <v>1500</v>
      </c>
      <c r="G974" s="17">
        <v>16000</v>
      </c>
      <c r="H974" s="17">
        <v>14500</v>
      </c>
      <c r="I974" s="18">
        <v>0.62</v>
      </c>
      <c r="J974" s="14">
        <f t="shared" si="0"/>
        <v>9.6666666666666661</v>
      </c>
      <c r="K974" s="15" t="str">
        <f t="shared" si="1"/>
        <v>Exceeds Target</v>
      </c>
    </row>
    <row r="975" spans="2:11" ht="15" customHeight="1">
      <c r="B975" t="s">
        <v>1065</v>
      </c>
      <c r="C975" t="s">
        <v>1354</v>
      </c>
      <c r="D975" t="s">
        <v>69</v>
      </c>
      <c r="E975" t="s">
        <v>70</v>
      </c>
      <c r="F975" s="17">
        <v>1000</v>
      </c>
      <c r="G975" s="17">
        <v>50000</v>
      </c>
      <c r="H975" s="17">
        <v>49000</v>
      </c>
      <c r="I975" s="18">
        <v>0.19</v>
      </c>
      <c r="J975" s="14">
        <f t="shared" si="0"/>
        <v>49</v>
      </c>
      <c r="K975" s="15" t="str">
        <f t="shared" si="1"/>
        <v>Exceeds Target</v>
      </c>
    </row>
    <row r="976" spans="2:11" ht="15" customHeight="1">
      <c r="B976" t="s">
        <v>329</v>
      </c>
      <c r="C976" t="s">
        <v>1355</v>
      </c>
      <c r="D976" t="s">
        <v>26</v>
      </c>
      <c r="E976" t="s">
        <v>27</v>
      </c>
      <c r="F976" s="17">
        <v>5000</v>
      </c>
      <c r="G976" s="17">
        <v>120000</v>
      </c>
      <c r="H976" s="17">
        <v>115000</v>
      </c>
      <c r="I976" s="18">
        <v>0.21</v>
      </c>
      <c r="J976" s="14">
        <f t="shared" si="0"/>
        <v>23</v>
      </c>
      <c r="K976" s="15" t="str">
        <f t="shared" si="1"/>
        <v>Exceeds Target</v>
      </c>
    </row>
    <row r="977" spans="2:11" ht="15" customHeight="1">
      <c r="B977" t="s">
        <v>754</v>
      </c>
      <c r="C977" t="s">
        <v>1356</v>
      </c>
      <c r="D977" t="s">
        <v>32</v>
      </c>
      <c r="E977" t="s">
        <v>27</v>
      </c>
      <c r="F977" s="17">
        <v>1500</v>
      </c>
      <c r="G977" s="17">
        <v>12000</v>
      </c>
      <c r="H977" s="17">
        <v>10500</v>
      </c>
      <c r="I977" s="18">
        <v>0.99</v>
      </c>
      <c r="J977" s="14">
        <f t="shared" si="0"/>
        <v>7</v>
      </c>
      <c r="K977" s="15" t="str">
        <f t="shared" si="1"/>
        <v>Exceeds Target</v>
      </c>
    </row>
    <row r="978" spans="2:11" ht="15" customHeight="1">
      <c r="B978" t="s">
        <v>291</v>
      </c>
      <c r="C978" t="s">
        <v>1357</v>
      </c>
      <c r="D978" t="s">
        <v>35</v>
      </c>
      <c r="E978" t="s">
        <v>27</v>
      </c>
      <c r="F978" s="17">
        <v>3000</v>
      </c>
      <c r="G978" s="17">
        <v>90000</v>
      </c>
      <c r="H978" s="17">
        <v>87000</v>
      </c>
      <c r="I978" s="18">
        <v>0.35</v>
      </c>
      <c r="J978" s="14">
        <f t="shared" si="0"/>
        <v>29</v>
      </c>
      <c r="K978" s="15" t="str">
        <f t="shared" si="1"/>
        <v>Exceeds Target</v>
      </c>
    </row>
    <row r="979" spans="2:11" ht="15" customHeight="1">
      <c r="B979" t="s">
        <v>1358</v>
      </c>
      <c r="C979" t="s">
        <v>1359</v>
      </c>
      <c r="D979" t="s">
        <v>69</v>
      </c>
      <c r="E979" t="s">
        <v>70</v>
      </c>
      <c r="F979" s="17">
        <v>1000</v>
      </c>
      <c r="G979" s="17">
        <v>40000</v>
      </c>
      <c r="H979" s="17">
        <v>39000</v>
      </c>
      <c r="I979" s="18">
        <v>0.91</v>
      </c>
      <c r="J979" s="14">
        <f t="shared" si="0"/>
        <v>39</v>
      </c>
      <c r="K979" s="15" t="str">
        <f t="shared" si="1"/>
        <v>Exceeds Target</v>
      </c>
    </row>
    <row r="980" spans="2:11" ht="15" customHeight="1">
      <c r="B980" t="s">
        <v>265</v>
      </c>
      <c r="C980" t="s">
        <v>1360</v>
      </c>
      <c r="D980" t="s">
        <v>35</v>
      </c>
      <c r="E980" t="s">
        <v>27</v>
      </c>
      <c r="F980" s="17">
        <v>3000</v>
      </c>
      <c r="G980" s="17">
        <v>140000</v>
      </c>
      <c r="H980" s="17">
        <v>137000</v>
      </c>
      <c r="I980" s="18">
        <v>0.65</v>
      </c>
      <c r="J980" s="14">
        <f t="shared" si="0"/>
        <v>45.666666666666664</v>
      </c>
      <c r="K980" s="15" t="str">
        <f t="shared" si="1"/>
        <v>Exceeds Target</v>
      </c>
    </row>
    <row r="981" spans="2:11" ht="15" customHeight="1">
      <c r="B981" t="s">
        <v>335</v>
      </c>
      <c r="C981" t="s">
        <v>1361</v>
      </c>
      <c r="D981" t="s">
        <v>26</v>
      </c>
      <c r="E981" t="s">
        <v>27</v>
      </c>
      <c r="F981" s="17">
        <v>5000</v>
      </c>
      <c r="G981" s="17">
        <v>60000</v>
      </c>
      <c r="H981" s="17">
        <v>55000</v>
      </c>
      <c r="I981" s="18">
        <v>0.24</v>
      </c>
      <c r="J981" s="14">
        <f t="shared" si="0"/>
        <v>11</v>
      </c>
      <c r="K981" s="15" t="str">
        <f t="shared" si="1"/>
        <v>Exceeds Target</v>
      </c>
    </row>
    <row r="982" spans="2:11" ht="15" customHeight="1">
      <c r="B982" t="s">
        <v>195</v>
      </c>
      <c r="C982" t="s">
        <v>1362</v>
      </c>
      <c r="D982" t="s">
        <v>35</v>
      </c>
      <c r="E982" t="s">
        <v>27</v>
      </c>
      <c r="F982" s="17">
        <v>3000</v>
      </c>
      <c r="G982" s="17">
        <v>280000</v>
      </c>
      <c r="H982" s="17">
        <v>277000</v>
      </c>
      <c r="I982" s="18">
        <v>0.62</v>
      </c>
      <c r="J982" s="14">
        <f t="shared" si="0"/>
        <v>92.333333333333329</v>
      </c>
      <c r="K982" s="15" t="str">
        <f t="shared" si="1"/>
        <v>Exceeds Target</v>
      </c>
    </row>
    <row r="983" spans="2:11" ht="15" customHeight="1">
      <c r="B983" t="s">
        <v>137</v>
      </c>
      <c r="C983" t="s">
        <v>1363</v>
      </c>
      <c r="D983" t="s">
        <v>35</v>
      </c>
      <c r="E983" t="s">
        <v>27</v>
      </c>
      <c r="F983" s="17">
        <v>3000</v>
      </c>
      <c r="G983" s="17">
        <v>290000</v>
      </c>
      <c r="H983" s="17">
        <v>287000</v>
      </c>
      <c r="I983" s="18">
        <v>0.3</v>
      </c>
      <c r="J983" s="14">
        <f t="shared" si="0"/>
        <v>95.666666666666671</v>
      </c>
      <c r="K983" s="15" t="str">
        <f t="shared" si="1"/>
        <v>Exceeds Target</v>
      </c>
    </row>
    <row r="984" spans="2:11" ht="15" customHeight="1">
      <c r="B984" t="s">
        <v>370</v>
      </c>
      <c r="C984" t="s">
        <v>1364</v>
      </c>
      <c r="D984" t="s">
        <v>69</v>
      </c>
      <c r="E984" t="s">
        <v>70</v>
      </c>
      <c r="F984" s="17">
        <v>1000</v>
      </c>
      <c r="G984" s="17">
        <v>130000</v>
      </c>
      <c r="H984" s="17">
        <v>129000</v>
      </c>
      <c r="I984" s="18">
        <v>0.35</v>
      </c>
      <c r="J984" s="14">
        <f t="shared" si="0"/>
        <v>129</v>
      </c>
      <c r="K984" s="15" t="str">
        <f t="shared" si="1"/>
        <v>Exceeds Target</v>
      </c>
    </row>
    <row r="985" spans="2:11" ht="15" customHeight="1">
      <c r="B985" t="s">
        <v>163</v>
      </c>
      <c r="C985" t="s">
        <v>1365</v>
      </c>
      <c r="D985" t="s">
        <v>69</v>
      </c>
      <c r="E985" t="s">
        <v>70</v>
      </c>
      <c r="F985" s="17">
        <v>1000</v>
      </c>
      <c r="G985" s="17">
        <v>65000</v>
      </c>
      <c r="H985" s="17">
        <v>64000</v>
      </c>
      <c r="I985" s="18">
        <v>0.99</v>
      </c>
      <c r="J985" s="14">
        <f t="shared" si="0"/>
        <v>64</v>
      </c>
      <c r="K985" s="15" t="str">
        <f t="shared" si="1"/>
        <v>Exceeds Target</v>
      </c>
    </row>
    <row r="986" spans="2:11" ht="15" customHeight="1">
      <c r="B986" t="s">
        <v>730</v>
      </c>
      <c r="C986" t="s">
        <v>1366</v>
      </c>
      <c r="D986" t="s">
        <v>80</v>
      </c>
      <c r="E986" t="s">
        <v>27</v>
      </c>
      <c r="F986" s="17">
        <v>1000</v>
      </c>
      <c r="G986" s="17">
        <v>117000</v>
      </c>
      <c r="H986" s="17">
        <v>116000</v>
      </c>
      <c r="I986" s="18">
        <v>0.85</v>
      </c>
      <c r="J986" s="14">
        <f t="shared" si="0"/>
        <v>116</v>
      </c>
      <c r="K986" s="15" t="str">
        <f t="shared" si="1"/>
        <v>Exceeds Target</v>
      </c>
    </row>
    <row r="987" spans="2:11" ht="15" customHeight="1">
      <c r="B987" t="s">
        <v>155</v>
      </c>
      <c r="C987" t="s">
        <v>1367</v>
      </c>
      <c r="D987" t="s">
        <v>35</v>
      </c>
      <c r="E987" t="s">
        <v>27</v>
      </c>
      <c r="F987" s="17">
        <v>3000</v>
      </c>
      <c r="G987" s="17">
        <v>210000</v>
      </c>
      <c r="H987" s="17">
        <v>207000</v>
      </c>
      <c r="I987" s="18">
        <v>0.55000000000000004</v>
      </c>
      <c r="J987" s="14">
        <f t="shared" si="0"/>
        <v>69</v>
      </c>
      <c r="K987" s="15" t="str">
        <f t="shared" si="1"/>
        <v>Exceeds Target</v>
      </c>
    </row>
    <row r="988" spans="2:11" ht="15" customHeight="1">
      <c r="B988" t="s">
        <v>982</v>
      </c>
      <c r="C988" t="s">
        <v>1368</v>
      </c>
      <c r="D988" t="s">
        <v>32</v>
      </c>
      <c r="E988" t="s">
        <v>27</v>
      </c>
      <c r="F988" s="17">
        <v>1500</v>
      </c>
      <c r="G988" s="17">
        <v>42000</v>
      </c>
      <c r="H988" s="17">
        <v>40500</v>
      </c>
      <c r="I988" s="18">
        <v>0.38</v>
      </c>
      <c r="J988" s="14">
        <f t="shared" si="0"/>
        <v>27</v>
      </c>
      <c r="K988" s="15" t="str">
        <f t="shared" si="1"/>
        <v>Exceeds Target</v>
      </c>
    </row>
    <row r="989" spans="2:11" ht="15" customHeight="1">
      <c r="B989" t="s">
        <v>828</v>
      </c>
      <c r="C989" t="s">
        <v>1369</v>
      </c>
      <c r="D989" t="s">
        <v>80</v>
      </c>
      <c r="E989" t="s">
        <v>27</v>
      </c>
      <c r="F989" s="17">
        <v>1000</v>
      </c>
      <c r="G989" s="17">
        <v>105000</v>
      </c>
      <c r="H989" s="17">
        <v>104000</v>
      </c>
      <c r="I989" s="18">
        <v>0.75</v>
      </c>
      <c r="J989" s="14">
        <f t="shared" si="0"/>
        <v>104</v>
      </c>
      <c r="K989" s="15" t="str">
        <f t="shared" si="1"/>
        <v>Exceeds Target</v>
      </c>
    </row>
    <row r="990" spans="2:11" ht="15" customHeight="1">
      <c r="B990" t="s">
        <v>509</v>
      </c>
      <c r="C990" t="s">
        <v>1370</v>
      </c>
      <c r="D990" t="s">
        <v>32</v>
      </c>
      <c r="E990" t="s">
        <v>27</v>
      </c>
      <c r="F990" s="17">
        <v>1500</v>
      </c>
      <c r="G990" s="17">
        <v>24000</v>
      </c>
      <c r="H990" s="17">
        <v>22500</v>
      </c>
      <c r="I990" s="18">
        <v>0.86</v>
      </c>
      <c r="J990" s="14">
        <f t="shared" si="0"/>
        <v>15</v>
      </c>
      <c r="K990" s="15" t="str">
        <f t="shared" si="1"/>
        <v>Exceeds Target</v>
      </c>
    </row>
    <row r="991" spans="2:11" ht="15" customHeight="1">
      <c r="B991" t="s">
        <v>1018</v>
      </c>
      <c r="C991" t="s">
        <v>1371</v>
      </c>
      <c r="D991" t="s">
        <v>80</v>
      </c>
      <c r="E991" t="s">
        <v>27</v>
      </c>
      <c r="F991" s="17">
        <v>1000</v>
      </c>
      <c r="G991" s="17">
        <v>96000</v>
      </c>
      <c r="H991" s="17">
        <v>95000</v>
      </c>
      <c r="I991" s="18">
        <v>0.86</v>
      </c>
      <c r="J991" s="14">
        <f t="shared" si="0"/>
        <v>95</v>
      </c>
      <c r="K991" s="15" t="str">
        <f t="shared" si="1"/>
        <v>Exceeds Target</v>
      </c>
    </row>
    <row r="992" spans="2:11" ht="15" customHeight="1">
      <c r="B992" t="s">
        <v>559</v>
      </c>
      <c r="C992" t="s">
        <v>1372</v>
      </c>
      <c r="D992" t="s">
        <v>26</v>
      </c>
      <c r="E992" t="s">
        <v>27</v>
      </c>
      <c r="F992" s="17">
        <v>5000</v>
      </c>
      <c r="G992" s="17">
        <v>150000</v>
      </c>
      <c r="H992" s="17">
        <v>145000</v>
      </c>
      <c r="I992" s="18">
        <v>0.26</v>
      </c>
      <c r="J992" s="14">
        <f t="shared" si="0"/>
        <v>29</v>
      </c>
      <c r="K992" s="15" t="str">
        <f t="shared" si="1"/>
        <v>Exceeds Target</v>
      </c>
    </row>
    <row r="993" spans="2:11" ht="15" customHeight="1">
      <c r="B993" t="s">
        <v>229</v>
      </c>
      <c r="C993" t="s">
        <v>1373</v>
      </c>
      <c r="D993" t="s">
        <v>26</v>
      </c>
      <c r="E993" t="s">
        <v>27</v>
      </c>
      <c r="F993" s="17">
        <v>5000</v>
      </c>
      <c r="G993" s="17">
        <v>120000</v>
      </c>
      <c r="H993" s="17">
        <v>115000</v>
      </c>
      <c r="I993" s="18">
        <v>0.21</v>
      </c>
      <c r="J993" s="14">
        <f t="shared" si="0"/>
        <v>23</v>
      </c>
      <c r="K993" s="15" t="str">
        <f t="shared" si="1"/>
        <v>Exceeds Target</v>
      </c>
    </row>
    <row r="994" spans="2:11" ht="15" customHeight="1">
      <c r="B994" t="s">
        <v>648</v>
      </c>
      <c r="C994" t="s">
        <v>1374</v>
      </c>
      <c r="D994" t="s">
        <v>26</v>
      </c>
      <c r="E994" t="s">
        <v>27</v>
      </c>
      <c r="F994" s="17">
        <v>5000</v>
      </c>
      <c r="G994" s="17">
        <v>120000</v>
      </c>
      <c r="H994" s="17">
        <v>115000</v>
      </c>
      <c r="I994" s="18">
        <v>7.0000000000000007E-2</v>
      </c>
      <c r="J994" s="14">
        <f t="shared" si="0"/>
        <v>23</v>
      </c>
      <c r="K994" s="15" t="str">
        <f t="shared" si="1"/>
        <v>Exceeds Target</v>
      </c>
    </row>
    <row r="995" spans="2:11" ht="15" customHeight="1">
      <c r="B995" t="s">
        <v>137</v>
      </c>
      <c r="C995" t="s">
        <v>1375</v>
      </c>
      <c r="D995" t="s">
        <v>26</v>
      </c>
      <c r="E995" t="s">
        <v>27</v>
      </c>
      <c r="F995" s="17">
        <v>5000</v>
      </c>
      <c r="G995" s="17">
        <v>60000</v>
      </c>
      <c r="H995" s="17">
        <v>55000</v>
      </c>
      <c r="I995" s="18">
        <v>0.3</v>
      </c>
      <c r="J995" s="14">
        <f t="shared" si="0"/>
        <v>11</v>
      </c>
      <c r="K995" s="15" t="str">
        <f t="shared" si="1"/>
        <v>Exceeds Target</v>
      </c>
    </row>
    <row r="996" spans="2:11" ht="15" customHeight="1">
      <c r="B996" t="s">
        <v>403</v>
      </c>
      <c r="C996" t="s">
        <v>1376</v>
      </c>
      <c r="D996" t="s">
        <v>35</v>
      </c>
      <c r="E996" t="s">
        <v>27</v>
      </c>
      <c r="F996" s="17">
        <v>3000</v>
      </c>
      <c r="G996" s="17">
        <v>210000</v>
      </c>
      <c r="H996" s="17">
        <v>207000</v>
      </c>
      <c r="I996" s="18">
        <v>0.96</v>
      </c>
      <c r="J996" s="14">
        <f t="shared" si="0"/>
        <v>69</v>
      </c>
      <c r="K996" s="15" t="str">
        <f t="shared" si="1"/>
        <v>Exceeds Target</v>
      </c>
    </row>
    <row r="997" spans="2:11" ht="15" customHeight="1">
      <c r="B997" t="s">
        <v>730</v>
      </c>
      <c r="C997" t="s">
        <v>1377</v>
      </c>
      <c r="D997" t="s">
        <v>80</v>
      </c>
      <c r="E997" t="s">
        <v>27</v>
      </c>
      <c r="F997" s="17">
        <v>1000</v>
      </c>
      <c r="G997" s="17">
        <v>111000</v>
      </c>
      <c r="H997" s="17">
        <v>110000</v>
      </c>
      <c r="I997" s="18">
        <v>0.56999999999999995</v>
      </c>
      <c r="J997" s="14">
        <f t="shared" si="0"/>
        <v>110</v>
      </c>
      <c r="K997" s="15" t="str">
        <f t="shared" si="1"/>
        <v>Exceeds Target</v>
      </c>
    </row>
    <row r="998" spans="2:11" ht="15" customHeight="1">
      <c r="B998" t="s">
        <v>598</v>
      </c>
      <c r="C998" t="s">
        <v>1378</v>
      </c>
      <c r="D998" t="s">
        <v>80</v>
      </c>
      <c r="E998" t="s">
        <v>27</v>
      </c>
      <c r="F998" s="17">
        <v>1000</v>
      </c>
      <c r="G998" s="17">
        <v>108000</v>
      </c>
      <c r="H998" s="17">
        <v>107000</v>
      </c>
      <c r="I998" s="18">
        <v>0.85</v>
      </c>
      <c r="J998" s="14">
        <f t="shared" si="0"/>
        <v>107</v>
      </c>
      <c r="K998" s="15" t="str">
        <f t="shared" si="1"/>
        <v>Exceeds Target</v>
      </c>
    </row>
    <row r="999" spans="2:11" ht="15" customHeight="1">
      <c r="B999" t="s">
        <v>121</v>
      </c>
      <c r="C999" t="s">
        <v>1379</v>
      </c>
      <c r="D999" t="s">
        <v>26</v>
      </c>
      <c r="E999" t="s">
        <v>27</v>
      </c>
      <c r="F999" s="17">
        <v>5000</v>
      </c>
      <c r="G999" s="17">
        <v>60000</v>
      </c>
      <c r="H999" s="17">
        <v>55000</v>
      </c>
      <c r="I999" s="18">
        <v>0.08</v>
      </c>
      <c r="J999" s="14">
        <f t="shared" si="0"/>
        <v>11</v>
      </c>
      <c r="K999" s="15" t="str">
        <f t="shared" si="1"/>
        <v>Exceeds Target</v>
      </c>
    </row>
    <row r="1000" spans="2:11" ht="15" customHeight="1">
      <c r="B1000" t="s">
        <v>78</v>
      </c>
      <c r="C1000" t="s">
        <v>1380</v>
      </c>
      <c r="D1000" t="s">
        <v>26</v>
      </c>
      <c r="E1000" t="s">
        <v>27</v>
      </c>
      <c r="F1000" s="17">
        <v>5000</v>
      </c>
      <c r="G1000" s="17">
        <v>120000</v>
      </c>
      <c r="H1000" s="17">
        <v>115000</v>
      </c>
      <c r="I1000" s="18">
        <v>0.11</v>
      </c>
      <c r="J1000" s="14">
        <f t="shared" si="0"/>
        <v>23</v>
      </c>
      <c r="K1000" s="15" t="str">
        <f t="shared" si="1"/>
        <v>Exceeds Target</v>
      </c>
    </row>
    <row r="1001" spans="2:11" ht="15" customHeight="1">
      <c r="B1001" t="s">
        <v>685</v>
      </c>
      <c r="C1001" t="s">
        <v>1381</v>
      </c>
      <c r="D1001" t="s">
        <v>80</v>
      </c>
      <c r="E1001" t="s">
        <v>27</v>
      </c>
      <c r="F1001" s="17">
        <v>1000</v>
      </c>
      <c r="G1001" s="17">
        <v>81000</v>
      </c>
      <c r="H1001" s="17">
        <v>80000</v>
      </c>
      <c r="I1001" s="18">
        <v>0.63</v>
      </c>
      <c r="J1001" s="14">
        <f t="shared" si="0"/>
        <v>80</v>
      </c>
      <c r="K1001" s="15" t="str">
        <f t="shared" si="1"/>
        <v>Exceeds Target</v>
      </c>
    </row>
    <row r="1002" spans="2:11" ht="15" customHeight="1">
      <c r="B1002" t="s">
        <v>850</v>
      </c>
      <c r="C1002" t="s">
        <v>1382</v>
      </c>
      <c r="D1002" t="s">
        <v>32</v>
      </c>
      <c r="E1002" t="s">
        <v>27</v>
      </c>
      <c r="F1002" s="17">
        <v>1500</v>
      </c>
      <c r="G1002" s="17">
        <v>48000</v>
      </c>
      <c r="H1002" s="17">
        <v>46500</v>
      </c>
      <c r="I1002" s="18">
        <v>0.54</v>
      </c>
      <c r="J1002" s="14">
        <f t="shared" si="0"/>
        <v>31</v>
      </c>
      <c r="K1002" s="15" t="str">
        <f t="shared" si="1"/>
        <v>Exceeds Target</v>
      </c>
    </row>
    <row r="1003" spans="2:11" ht="15" customHeight="1">
      <c r="B1003" t="s">
        <v>384</v>
      </c>
      <c r="C1003" t="s">
        <v>1383</v>
      </c>
      <c r="D1003" t="s">
        <v>32</v>
      </c>
      <c r="E1003" t="s">
        <v>27</v>
      </c>
      <c r="F1003" s="17">
        <v>1500</v>
      </c>
      <c r="G1003" s="17">
        <v>16000</v>
      </c>
      <c r="H1003" s="17">
        <v>14500</v>
      </c>
      <c r="I1003" s="18">
        <v>0.37</v>
      </c>
      <c r="J1003" s="14">
        <f t="shared" si="0"/>
        <v>9.6666666666666661</v>
      </c>
      <c r="K1003" s="15" t="str">
        <f t="shared" si="1"/>
        <v>Exceeds Target</v>
      </c>
    </row>
    <row r="1004" spans="2:11" ht="15" customHeight="1">
      <c r="B1004" t="s">
        <v>141</v>
      </c>
      <c r="C1004" t="s">
        <v>1384</v>
      </c>
      <c r="D1004" t="s">
        <v>69</v>
      </c>
      <c r="E1004" t="s">
        <v>70</v>
      </c>
      <c r="F1004" s="17">
        <v>1000</v>
      </c>
      <c r="G1004" s="17">
        <v>45000</v>
      </c>
      <c r="H1004" s="17">
        <v>44000</v>
      </c>
      <c r="I1004" s="18">
        <v>0.28999999999999998</v>
      </c>
      <c r="J1004" s="14">
        <f t="shared" si="0"/>
        <v>44</v>
      </c>
      <c r="K1004" s="15" t="str">
        <f t="shared" si="1"/>
        <v>Exceeds Target</v>
      </c>
    </row>
    <row r="1005" spans="2:11" ht="15" customHeight="1">
      <c r="B1005" t="s">
        <v>277</v>
      </c>
      <c r="C1005" t="s">
        <v>1385</v>
      </c>
      <c r="D1005" t="s">
        <v>80</v>
      </c>
      <c r="E1005" t="s">
        <v>27</v>
      </c>
      <c r="F1005" s="17">
        <v>1000</v>
      </c>
      <c r="G1005" s="17">
        <v>120000</v>
      </c>
      <c r="H1005" s="17">
        <v>119000</v>
      </c>
      <c r="I1005" s="18">
        <v>0.97</v>
      </c>
      <c r="J1005" s="14">
        <f t="shared" si="0"/>
        <v>119</v>
      </c>
      <c r="K1005" s="15" t="str">
        <f t="shared" si="1"/>
        <v>Exceeds Target</v>
      </c>
    </row>
    <row r="1006" spans="2:11" ht="15" customHeight="1">
      <c r="B1006" t="s">
        <v>648</v>
      </c>
      <c r="C1006" t="s">
        <v>1386</v>
      </c>
      <c r="D1006" t="s">
        <v>32</v>
      </c>
      <c r="E1006" t="s">
        <v>27</v>
      </c>
      <c r="F1006" s="17">
        <v>1500</v>
      </c>
      <c r="G1006" s="17">
        <v>40000</v>
      </c>
      <c r="H1006" s="17">
        <v>38500</v>
      </c>
      <c r="I1006" s="18">
        <v>0.98</v>
      </c>
      <c r="J1006" s="14">
        <f t="shared" si="0"/>
        <v>25.666666666666668</v>
      </c>
      <c r="K1006" s="15" t="str">
        <f t="shared" si="1"/>
        <v>Exceeds Target</v>
      </c>
    </row>
    <row r="1007" spans="2:11" ht="15" customHeight="1">
      <c r="B1007" t="s">
        <v>1309</v>
      </c>
      <c r="C1007" t="s">
        <v>1387</v>
      </c>
      <c r="D1007" t="s">
        <v>35</v>
      </c>
      <c r="E1007" t="s">
        <v>27</v>
      </c>
      <c r="F1007" s="17">
        <v>3000</v>
      </c>
      <c r="G1007" s="17">
        <v>60000</v>
      </c>
      <c r="H1007" s="17">
        <v>57000</v>
      </c>
      <c r="I1007" s="18">
        <v>0.31</v>
      </c>
      <c r="J1007" s="14">
        <f t="shared" si="0"/>
        <v>19</v>
      </c>
      <c r="K1007" s="15" t="str">
        <f t="shared" si="1"/>
        <v>Exceeds Target</v>
      </c>
    </row>
    <row r="1008" spans="2:11" ht="15" customHeight="1">
      <c r="B1008" t="s">
        <v>471</v>
      </c>
      <c r="C1008" t="s">
        <v>1388</v>
      </c>
      <c r="D1008" t="s">
        <v>80</v>
      </c>
      <c r="E1008" t="s">
        <v>27</v>
      </c>
      <c r="F1008" s="17">
        <v>1000</v>
      </c>
      <c r="G1008" s="17">
        <v>57000</v>
      </c>
      <c r="H1008" s="17">
        <v>56000</v>
      </c>
      <c r="I1008" s="18">
        <v>0.78</v>
      </c>
      <c r="J1008" s="14">
        <f t="shared" si="0"/>
        <v>56</v>
      </c>
      <c r="K1008" s="15" t="str">
        <f t="shared" si="1"/>
        <v>Exceeds Target</v>
      </c>
    </row>
    <row r="1009" spans="2:11" ht="15" customHeight="1">
      <c r="B1009" t="s">
        <v>72</v>
      </c>
      <c r="C1009" t="s">
        <v>1389</v>
      </c>
      <c r="D1009" t="s">
        <v>32</v>
      </c>
      <c r="E1009" t="s">
        <v>27</v>
      </c>
      <c r="F1009" s="17">
        <v>1500</v>
      </c>
      <c r="G1009" s="17">
        <v>14000</v>
      </c>
      <c r="H1009" s="17">
        <v>12500</v>
      </c>
      <c r="I1009" s="18">
        <v>0.98</v>
      </c>
      <c r="J1009" s="14">
        <f t="shared" si="0"/>
        <v>8.3333333333333339</v>
      </c>
      <c r="K1009" s="15" t="str">
        <f t="shared" si="1"/>
        <v>Exceeds Target</v>
      </c>
    </row>
    <row r="1010" spans="2:11" ht="15" customHeight="1">
      <c r="B1010" t="s">
        <v>471</v>
      </c>
      <c r="C1010" t="s">
        <v>1390</v>
      </c>
      <c r="D1010" t="s">
        <v>69</v>
      </c>
      <c r="E1010" t="s">
        <v>70</v>
      </c>
      <c r="F1010" s="17">
        <v>1000</v>
      </c>
      <c r="G1010" s="17">
        <v>100000</v>
      </c>
      <c r="H1010" s="17">
        <v>99000</v>
      </c>
      <c r="I1010" s="18">
        <v>0.72</v>
      </c>
      <c r="J1010" s="14">
        <f t="shared" si="0"/>
        <v>99</v>
      </c>
      <c r="K1010" s="15" t="str">
        <f t="shared" si="1"/>
        <v>Exceeds Target</v>
      </c>
    </row>
    <row r="1011" spans="2:11" ht="15" customHeight="1">
      <c r="B1011" t="s">
        <v>117</v>
      </c>
      <c r="C1011" t="s">
        <v>1391</v>
      </c>
      <c r="D1011" t="s">
        <v>35</v>
      </c>
      <c r="E1011" t="s">
        <v>27</v>
      </c>
      <c r="F1011" s="17">
        <v>3000</v>
      </c>
      <c r="G1011" s="17">
        <v>110000</v>
      </c>
      <c r="H1011" s="17">
        <v>107000</v>
      </c>
      <c r="I1011" s="18">
        <v>0.84</v>
      </c>
      <c r="J1011" s="14">
        <f t="shared" si="0"/>
        <v>35.666666666666664</v>
      </c>
      <c r="K1011" s="15" t="str">
        <f t="shared" si="1"/>
        <v>Exceeds Target</v>
      </c>
    </row>
    <row r="1012" spans="2:11" ht="15" customHeight="1">
      <c r="B1012" t="s">
        <v>153</v>
      </c>
      <c r="C1012" t="s">
        <v>1392</v>
      </c>
      <c r="D1012" t="s">
        <v>35</v>
      </c>
      <c r="E1012" t="s">
        <v>27</v>
      </c>
      <c r="F1012" s="17">
        <v>3000</v>
      </c>
      <c r="G1012" s="17">
        <v>270000</v>
      </c>
      <c r="H1012" s="17">
        <v>267000</v>
      </c>
      <c r="I1012" s="18">
        <v>0.23</v>
      </c>
      <c r="J1012" s="14">
        <f t="shared" si="0"/>
        <v>89</v>
      </c>
      <c r="K1012" s="15" t="str">
        <f t="shared" si="1"/>
        <v>Exceeds Target</v>
      </c>
    </row>
    <row r="1013" spans="2:11" ht="15" customHeight="1">
      <c r="B1013" t="s">
        <v>625</v>
      </c>
      <c r="C1013" t="s">
        <v>1393</v>
      </c>
      <c r="D1013" t="s">
        <v>35</v>
      </c>
      <c r="E1013" t="s">
        <v>27</v>
      </c>
      <c r="F1013" s="17">
        <v>3000</v>
      </c>
      <c r="G1013" s="17">
        <v>100000</v>
      </c>
      <c r="H1013" s="17">
        <v>97000</v>
      </c>
      <c r="I1013" s="18">
        <v>0.77</v>
      </c>
      <c r="J1013" s="14">
        <f t="shared" si="0"/>
        <v>32.333333333333336</v>
      </c>
      <c r="K1013" s="15" t="str">
        <f t="shared" si="1"/>
        <v>Exceeds Target</v>
      </c>
    </row>
    <row r="1014" spans="2:11" ht="15" customHeight="1">
      <c r="B1014" t="s">
        <v>394</v>
      </c>
      <c r="C1014" t="s">
        <v>1394</v>
      </c>
      <c r="D1014" t="s">
        <v>80</v>
      </c>
      <c r="E1014" t="s">
        <v>27</v>
      </c>
      <c r="F1014" s="17">
        <v>1000</v>
      </c>
      <c r="G1014" s="17">
        <v>96000</v>
      </c>
      <c r="H1014" s="17">
        <v>95000</v>
      </c>
      <c r="I1014" s="18">
        <v>0.97</v>
      </c>
      <c r="J1014" s="14">
        <f t="shared" si="0"/>
        <v>95</v>
      </c>
      <c r="K1014" s="15" t="str">
        <f t="shared" si="1"/>
        <v>Exceeds Target</v>
      </c>
    </row>
    <row r="1015" spans="2:11" ht="15" customHeight="1">
      <c r="B1015" t="s">
        <v>107</v>
      </c>
      <c r="C1015" t="s">
        <v>1395</v>
      </c>
      <c r="D1015" t="s">
        <v>26</v>
      </c>
      <c r="E1015" t="s">
        <v>27</v>
      </c>
      <c r="F1015" s="17">
        <v>5000</v>
      </c>
      <c r="G1015" s="17">
        <v>90000</v>
      </c>
      <c r="H1015" s="17">
        <v>85000</v>
      </c>
      <c r="I1015" s="18">
        <v>7.0000000000000007E-2</v>
      </c>
      <c r="J1015" s="14">
        <f t="shared" si="0"/>
        <v>17</v>
      </c>
      <c r="K1015" s="15" t="str">
        <f t="shared" si="1"/>
        <v>Exceeds Target</v>
      </c>
    </row>
    <row r="1016" spans="2:11" ht="15" customHeight="1">
      <c r="B1016" t="s">
        <v>657</v>
      </c>
      <c r="C1016" t="s">
        <v>1396</v>
      </c>
      <c r="D1016" t="s">
        <v>35</v>
      </c>
      <c r="E1016" t="s">
        <v>27</v>
      </c>
      <c r="F1016" s="17">
        <v>3000</v>
      </c>
      <c r="G1016" s="17">
        <v>280000</v>
      </c>
      <c r="H1016" s="17">
        <v>277000</v>
      </c>
      <c r="I1016" s="18">
        <v>0.76</v>
      </c>
      <c r="J1016" s="14">
        <f t="shared" si="0"/>
        <v>92.333333333333329</v>
      </c>
      <c r="K1016" s="15" t="str">
        <f t="shared" si="1"/>
        <v>Exceeds Target</v>
      </c>
    </row>
    <row r="1017" spans="2:11" ht="15" customHeight="1">
      <c r="B1017" t="s">
        <v>730</v>
      </c>
      <c r="C1017" t="s">
        <v>1397</v>
      </c>
      <c r="D1017" t="s">
        <v>26</v>
      </c>
      <c r="E1017" t="s">
        <v>27</v>
      </c>
      <c r="F1017" s="17">
        <v>5000</v>
      </c>
      <c r="G1017" s="17">
        <v>60000</v>
      </c>
      <c r="H1017" s="17">
        <v>55000</v>
      </c>
      <c r="I1017" s="18">
        <v>0.43</v>
      </c>
      <c r="J1017" s="14">
        <f t="shared" si="0"/>
        <v>11</v>
      </c>
      <c r="K1017" s="15" t="str">
        <f t="shared" si="1"/>
        <v>Exceeds Target</v>
      </c>
    </row>
    <row r="1018" spans="2:11" ht="15" customHeight="1">
      <c r="B1018" t="s">
        <v>850</v>
      </c>
      <c r="C1018" t="s">
        <v>1398</v>
      </c>
      <c r="D1018" t="s">
        <v>26</v>
      </c>
      <c r="E1018" t="s">
        <v>27</v>
      </c>
      <c r="F1018" s="17">
        <v>5000</v>
      </c>
      <c r="G1018" s="17">
        <v>150000</v>
      </c>
      <c r="H1018" s="17">
        <v>145000</v>
      </c>
      <c r="I1018" s="18">
        <v>0.19</v>
      </c>
      <c r="J1018" s="14">
        <f t="shared" si="0"/>
        <v>29</v>
      </c>
      <c r="K1018" s="15" t="str">
        <f t="shared" si="1"/>
        <v>Exceeds Target</v>
      </c>
    </row>
    <row r="1019" spans="2:11" ht="15" customHeight="1">
      <c r="B1019" t="s">
        <v>195</v>
      </c>
      <c r="C1019" t="s">
        <v>1399</v>
      </c>
      <c r="D1019" t="s">
        <v>69</v>
      </c>
      <c r="E1019" t="s">
        <v>70</v>
      </c>
      <c r="F1019" s="17">
        <v>1000</v>
      </c>
      <c r="G1019" s="17">
        <v>85000</v>
      </c>
      <c r="H1019" s="17">
        <v>84000</v>
      </c>
      <c r="I1019" s="18">
        <v>0.31</v>
      </c>
      <c r="J1019" s="14">
        <f t="shared" si="0"/>
        <v>84</v>
      </c>
      <c r="K1019" s="15" t="str">
        <f t="shared" si="1"/>
        <v>Exceeds Target</v>
      </c>
    </row>
    <row r="1020" spans="2:11" ht="15" customHeight="1">
      <c r="B1020" t="s">
        <v>618</v>
      </c>
      <c r="C1020" t="s">
        <v>1400</v>
      </c>
      <c r="D1020" t="s">
        <v>35</v>
      </c>
      <c r="E1020" t="s">
        <v>27</v>
      </c>
      <c r="F1020" s="17">
        <v>3000</v>
      </c>
      <c r="G1020" s="17">
        <v>100000</v>
      </c>
      <c r="H1020" s="17">
        <v>97000</v>
      </c>
      <c r="I1020" s="18">
        <v>0.35</v>
      </c>
      <c r="J1020" s="14">
        <f t="shared" si="0"/>
        <v>32.333333333333336</v>
      </c>
      <c r="K1020" s="15" t="str">
        <f t="shared" si="1"/>
        <v>Exceeds Target</v>
      </c>
    </row>
    <row r="1021" spans="2:11" ht="15" customHeight="1">
      <c r="B1021" t="s">
        <v>420</v>
      </c>
      <c r="C1021" t="s">
        <v>1401</v>
      </c>
      <c r="D1021" t="s">
        <v>32</v>
      </c>
      <c r="E1021" t="s">
        <v>27</v>
      </c>
      <c r="F1021" s="17">
        <v>1500</v>
      </c>
      <c r="G1021" s="17">
        <v>36000</v>
      </c>
      <c r="H1021" s="17">
        <v>34500</v>
      </c>
      <c r="I1021" s="18">
        <v>0.47</v>
      </c>
      <c r="J1021" s="14">
        <f t="shared" si="0"/>
        <v>23</v>
      </c>
      <c r="K1021" s="15" t="str">
        <f t="shared" si="1"/>
        <v>Exceeds Target</v>
      </c>
    </row>
    <row r="1022" spans="2:11" ht="15" customHeight="1">
      <c r="B1022" t="s">
        <v>247</v>
      </c>
      <c r="C1022" t="s">
        <v>1402</v>
      </c>
      <c r="D1022" t="s">
        <v>26</v>
      </c>
      <c r="E1022" t="s">
        <v>27</v>
      </c>
      <c r="F1022" s="17">
        <v>5000</v>
      </c>
      <c r="G1022" s="17">
        <v>30000</v>
      </c>
      <c r="H1022" s="17">
        <v>25000</v>
      </c>
      <c r="I1022" s="18">
        <v>0.13</v>
      </c>
      <c r="J1022" s="14">
        <f t="shared" si="0"/>
        <v>5</v>
      </c>
      <c r="K1022" s="15" t="str">
        <f t="shared" si="1"/>
        <v>Exceeds Target</v>
      </c>
    </row>
    <row r="1023" spans="2:11" ht="15" customHeight="1">
      <c r="B1023" t="s">
        <v>502</v>
      </c>
      <c r="C1023" t="s">
        <v>1403</v>
      </c>
      <c r="D1023" t="s">
        <v>69</v>
      </c>
      <c r="E1023" t="s">
        <v>70</v>
      </c>
      <c r="F1023" s="17">
        <v>1000</v>
      </c>
      <c r="G1023" s="17">
        <v>40000</v>
      </c>
      <c r="H1023" s="17">
        <v>39000</v>
      </c>
      <c r="I1023" s="18">
        <v>0.54</v>
      </c>
      <c r="J1023" s="14">
        <f t="shared" si="0"/>
        <v>39</v>
      </c>
      <c r="K1023" s="15" t="str">
        <f t="shared" si="1"/>
        <v>Exceeds Target</v>
      </c>
    </row>
    <row r="1024" spans="2:11" ht="15" customHeight="1">
      <c r="B1024" t="s">
        <v>999</v>
      </c>
      <c r="C1024" t="s">
        <v>1404</v>
      </c>
      <c r="D1024" t="s">
        <v>35</v>
      </c>
      <c r="E1024" t="s">
        <v>27</v>
      </c>
      <c r="F1024" s="17">
        <v>3000</v>
      </c>
      <c r="G1024" s="17">
        <v>200000</v>
      </c>
      <c r="H1024" s="17">
        <v>197000</v>
      </c>
      <c r="I1024" s="18">
        <v>0.91</v>
      </c>
      <c r="J1024" s="14">
        <f t="shared" si="0"/>
        <v>65.666666666666671</v>
      </c>
      <c r="K1024" s="15" t="str">
        <f t="shared" si="1"/>
        <v>Exceeds Target</v>
      </c>
    </row>
    <row r="1025" spans="2:11" ht="15" customHeight="1">
      <c r="B1025" t="s">
        <v>772</v>
      </c>
      <c r="C1025" t="s">
        <v>1405</v>
      </c>
      <c r="D1025" t="s">
        <v>35</v>
      </c>
      <c r="E1025" t="s">
        <v>27</v>
      </c>
      <c r="F1025" s="17">
        <v>3000</v>
      </c>
      <c r="G1025" s="17">
        <v>260000</v>
      </c>
      <c r="H1025" s="17">
        <v>257000</v>
      </c>
      <c r="I1025" s="18">
        <v>0.96</v>
      </c>
      <c r="J1025" s="14">
        <f t="shared" si="0"/>
        <v>85.666666666666671</v>
      </c>
      <c r="K1025" s="15" t="str">
        <f t="shared" si="1"/>
        <v>Exceeds Target</v>
      </c>
    </row>
    <row r="1026" spans="2:11" ht="15" customHeight="1">
      <c r="B1026" t="s">
        <v>1063</v>
      </c>
      <c r="C1026" t="s">
        <v>1406</v>
      </c>
      <c r="D1026" t="s">
        <v>35</v>
      </c>
      <c r="E1026" t="s">
        <v>27</v>
      </c>
      <c r="F1026" s="17">
        <v>3000</v>
      </c>
      <c r="G1026" s="17">
        <v>170000</v>
      </c>
      <c r="H1026" s="17">
        <v>167000</v>
      </c>
      <c r="I1026" s="18">
        <v>0.31</v>
      </c>
      <c r="J1026" s="14">
        <f t="shared" si="0"/>
        <v>55.666666666666664</v>
      </c>
      <c r="K1026" s="15" t="str">
        <f t="shared" si="1"/>
        <v>Exceeds Target</v>
      </c>
    </row>
    <row r="1027" spans="2:11" ht="15" customHeight="1">
      <c r="B1027" t="s">
        <v>279</v>
      </c>
      <c r="C1027" t="s">
        <v>1407</v>
      </c>
      <c r="D1027" t="s">
        <v>26</v>
      </c>
      <c r="E1027" t="s">
        <v>27</v>
      </c>
      <c r="F1027" s="17">
        <v>5000</v>
      </c>
      <c r="G1027" s="17">
        <v>120000</v>
      </c>
      <c r="H1027" s="17">
        <v>115000</v>
      </c>
      <c r="I1027" s="18">
        <v>0.34</v>
      </c>
      <c r="J1027" s="14">
        <f t="shared" si="0"/>
        <v>23</v>
      </c>
      <c r="K1027" s="15" t="str">
        <f t="shared" si="1"/>
        <v>Exceeds Target</v>
      </c>
    </row>
    <row r="1028" spans="2:11" ht="15" customHeight="1">
      <c r="B1028" t="s">
        <v>1115</v>
      </c>
      <c r="C1028" t="s">
        <v>1408</v>
      </c>
      <c r="D1028" t="s">
        <v>69</v>
      </c>
      <c r="E1028" t="s">
        <v>70</v>
      </c>
      <c r="F1028" s="17">
        <v>1000</v>
      </c>
      <c r="G1028" s="17">
        <v>55000</v>
      </c>
      <c r="H1028" s="17">
        <v>54000</v>
      </c>
      <c r="I1028" s="18">
        <v>0.42</v>
      </c>
      <c r="J1028" s="14">
        <f t="shared" si="0"/>
        <v>54</v>
      </c>
      <c r="K1028" s="15" t="str">
        <f t="shared" si="1"/>
        <v>Exceeds Target</v>
      </c>
    </row>
    <row r="1029" spans="2:11" ht="15" customHeight="1">
      <c r="B1029" t="s">
        <v>201</v>
      </c>
      <c r="C1029" t="s">
        <v>1409</v>
      </c>
      <c r="D1029" t="s">
        <v>32</v>
      </c>
      <c r="E1029" t="s">
        <v>27</v>
      </c>
      <c r="F1029" s="17">
        <v>1500</v>
      </c>
      <c r="G1029" s="17">
        <v>46000</v>
      </c>
      <c r="H1029" s="17">
        <v>44500</v>
      </c>
      <c r="I1029" s="18">
        <v>0.57999999999999996</v>
      </c>
      <c r="J1029" s="14">
        <f t="shared" si="0"/>
        <v>29.666666666666668</v>
      </c>
      <c r="K1029" s="15" t="str">
        <f t="shared" si="1"/>
        <v>Exceeds Target</v>
      </c>
    </row>
    <row r="1030" spans="2:11" ht="15" customHeight="1">
      <c r="B1030" t="s">
        <v>467</v>
      </c>
      <c r="C1030" t="s">
        <v>1410</v>
      </c>
      <c r="D1030" t="s">
        <v>26</v>
      </c>
      <c r="E1030" t="s">
        <v>27</v>
      </c>
      <c r="F1030" s="17">
        <v>5000</v>
      </c>
      <c r="G1030" s="17">
        <v>150000</v>
      </c>
      <c r="H1030" s="17">
        <v>145000</v>
      </c>
      <c r="I1030" s="18">
        <v>0.04</v>
      </c>
      <c r="J1030" s="14">
        <f t="shared" si="0"/>
        <v>29</v>
      </c>
      <c r="K1030" s="15" t="str">
        <f t="shared" si="1"/>
        <v>Exceeds Target</v>
      </c>
    </row>
    <row r="1031" spans="2:11" ht="15" customHeight="1">
      <c r="B1031" t="s">
        <v>386</v>
      </c>
      <c r="C1031" t="s">
        <v>1411</v>
      </c>
      <c r="D1031" t="s">
        <v>69</v>
      </c>
      <c r="E1031" t="s">
        <v>70</v>
      </c>
      <c r="F1031" s="17">
        <v>1000</v>
      </c>
      <c r="G1031" s="17">
        <v>65000</v>
      </c>
      <c r="H1031" s="17">
        <v>64000</v>
      </c>
      <c r="I1031" s="18">
        <v>0.19</v>
      </c>
      <c r="J1031" s="14">
        <f t="shared" si="0"/>
        <v>64</v>
      </c>
      <c r="K1031" s="15" t="str">
        <f t="shared" si="1"/>
        <v>Exceeds Target</v>
      </c>
    </row>
    <row r="1032" spans="2:11" ht="15" customHeight="1">
      <c r="B1032" t="s">
        <v>272</v>
      </c>
      <c r="C1032" t="s">
        <v>1412</v>
      </c>
      <c r="D1032" t="s">
        <v>80</v>
      </c>
      <c r="E1032" t="s">
        <v>27</v>
      </c>
      <c r="F1032" s="17">
        <v>1000</v>
      </c>
      <c r="G1032" s="17">
        <v>105000</v>
      </c>
      <c r="H1032" s="17">
        <v>104000</v>
      </c>
      <c r="I1032" s="18">
        <v>0.78</v>
      </c>
      <c r="J1032" s="14">
        <f t="shared" si="0"/>
        <v>104</v>
      </c>
      <c r="K1032" s="15" t="str">
        <f t="shared" si="1"/>
        <v>Exceeds Target</v>
      </c>
    </row>
    <row r="1033" spans="2:11" ht="15" customHeight="1">
      <c r="B1033" t="s">
        <v>644</v>
      </c>
      <c r="C1033" t="s">
        <v>1413</v>
      </c>
      <c r="D1033" t="s">
        <v>35</v>
      </c>
      <c r="E1033" t="s">
        <v>27</v>
      </c>
      <c r="F1033" s="17">
        <v>3000</v>
      </c>
      <c r="G1033" s="17">
        <v>240000</v>
      </c>
      <c r="H1033" s="17">
        <v>237000</v>
      </c>
      <c r="I1033" s="18">
        <v>0.46</v>
      </c>
      <c r="J1033" s="14">
        <f t="shared" si="0"/>
        <v>79</v>
      </c>
      <c r="K1033" s="15" t="str">
        <f t="shared" si="1"/>
        <v>Exceeds Target</v>
      </c>
    </row>
    <row r="1034" spans="2:11" ht="15" customHeight="1">
      <c r="B1034" t="s">
        <v>227</v>
      </c>
      <c r="C1034" t="s">
        <v>1414</v>
      </c>
      <c r="D1034" t="s">
        <v>80</v>
      </c>
      <c r="E1034" t="s">
        <v>27</v>
      </c>
      <c r="F1034" s="17">
        <v>1000</v>
      </c>
      <c r="G1034" s="17">
        <v>93000</v>
      </c>
      <c r="H1034" s="17">
        <v>92000</v>
      </c>
      <c r="I1034" s="18">
        <v>0.78</v>
      </c>
      <c r="J1034" s="14">
        <f t="shared" si="0"/>
        <v>92</v>
      </c>
      <c r="K1034" s="15" t="str">
        <f t="shared" si="1"/>
        <v>Exceeds Target</v>
      </c>
    </row>
    <row r="1035" spans="2:11" ht="15" customHeight="1">
      <c r="B1035" t="s">
        <v>30</v>
      </c>
      <c r="C1035" t="s">
        <v>1415</v>
      </c>
      <c r="D1035" t="s">
        <v>69</v>
      </c>
      <c r="E1035" t="s">
        <v>70</v>
      </c>
      <c r="F1035" s="17">
        <v>1000</v>
      </c>
      <c r="G1035" s="17">
        <v>55000</v>
      </c>
      <c r="H1035" s="17">
        <v>54000</v>
      </c>
      <c r="I1035" s="18">
        <v>0.41</v>
      </c>
      <c r="J1035" s="14">
        <f t="shared" si="0"/>
        <v>54</v>
      </c>
      <c r="K1035" s="15" t="str">
        <f t="shared" si="1"/>
        <v>Exceeds Target</v>
      </c>
    </row>
    <row r="1036" spans="2:11" ht="15" customHeight="1">
      <c r="B1036" t="s">
        <v>117</v>
      </c>
      <c r="C1036" t="s">
        <v>1416</v>
      </c>
      <c r="D1036" t="s">
        <v>69</v>
      </c>
      <c r="E1036" t="s">
        <v>70</v>
      </c>
      <c r="F1036" s="17">
        <v>1000</v>
      </c>
      <c r="G1036" s="17">
        <v>40000</v>
      </c>
      <c r="H1036" s="17">
        <v>39000</v>
      </c>
      <c r="I1036" s="18">
        <v>0.97</v>
      </c>
      <c r="J1036" s="14">
        <f t="shared" si="0"/>
        <v>39</v>
      </c>
      <c r="K1036" s="15" t="str">
        <f t="shared" si="1"/>
        <v>Exceeds Target</v>
      </c>
    </row>
    <row r="1037" spans="2:11" ht="15" customHeight="1">
      <c r="B1037" t="s">
        <v>1126</v>
      </c>
      <c r="C1037" t="s">
        <v>1417</v>
      </c>
      <c r="D1037" t="s">
        <v>32</v>
      </c>
      <c r="E1037" t="s">
        <v>27</v>
      </c>
      <c r="F1037" s="17">
        <v>1500</v>
      </c>
      <c r="G1037" s="17">
        <v>50000</v>
      </c>
      <c r="H1037" s="17">
        <v>48500</v>
      </c>
      <c r="I1037" s="18">
        <v>0.83</v>
      </c>
      <c r="J1037" s="14">
        <f t="shared" si="0"/>
        <v>32.333333333333336</v>
      </c>
      <c r="K1037" s="15" t="str">
        <f t="shared" si="1"/>
        <v>Exceeds Target</v>
      </c>
    </row>
    <row r="1038" spans="2:11" ht="15" customHeight="1">
      <c r="B1038" t="s">
        <v>509</v>
      </c>
      <c r="C1038" t="s">
        <v>1418</v>
      </c>
      <c r="D1038" t="s">
        <v>26</v>
      </c>
      <c r="E1038" t="s">
        <v>27</v>
      </c>
      <c r="F1038" s="17">
        <v>5000</v>
      </c>
      <c r="G1038" s="17">
        <v>120000</v>
      </c>
      <c r="H1038" s="17">
        <v>115000</v>
      </c>
      <c r="I1038" s="18">
        <v>0.28999999999999998</v>
      </c>
      <c r="J1038" s="14">
        <f t="shared" si="0"/>
        <v>23</v>
      </c>
      <c r="K1038" s="15" t="str">
        <f t="shared" si="1"/>
        <v>Exceeds Target</v>
      </c>
    </row>
    <row r="1039" spans="2:11" ht="15" customHeight="1">
      <c r="B1039" t="s">
        <v>370</v>
      </c>
      <c r="C1039" t="s">
        <v>1419</v>
      </c>
      <c r="D1039" t="s">
        <v>35</v>
      </c>
      <c r="E1039" t="s">
        <v>27</v>
      </c>
      <c r="F1039" s="17">
        <v>3000</v>
      </c>
      <c r="G1039" s="17">
        <v>210000</v>
      </c>
      <c r="H1039" s="17">
        <v>207000</v>
      </c>
      <c r="I1039" s="18">
        <v>0.76</v>
      </c>
      <c r="J1039" s="14">
        <f t="shared" si="0"/>
        <v>69</v>
      </c>
      <c r="K1039" s="15" t="str">
        <f t="shared" si="1"/>
        <v>Exceeds Target</v>
      </c>
    </row>
    <row r="1040" spans="2:11" ht="15" customHeight="1">
      <c r="B1040" t="s">
        <v>209</v>
      </c>
      <c r="C1040" t="s">
        <v>1420</v>
      </c>
      <c r="D1040" t="s">
        <v>35</v>
      </c>
      <c r="E1040" t="s">
        <v>27</v>
      </c>
      <c r="F1040" s="17">
        <v>3000</v>
      </c>
      <c r="G1040" s="17">
        <v>80000</v>
      </c>
      <c r="H1040" s="17">
        <v>77000</v>
      </c>
      <c r="I1040" s="18">
        <v>0.32</v>
      </c>
      <c r="J1040" s="14">
        <f t="shared" si="0"/>
        <v>25.666666666666668</v>
      </c>
      <c r="K1040" s="15" t="str">
        <f t="shared" si="1"/>
        <v>Exceeds Target</v>
      </c>
    </row>
    <row r="1041" spans="2:11" ht="15" customHeight="1">
      <c r="B1041" t="s">
        <v>993</v>
      </c>
      <c r="C1041" t="s">
        <v>1421</v>
      </c>
      <c r="D1041" t="s">
        <v>32</v>
      </c>
      <c r="E1041" t="s">
        <v>27</v>
      </c>
      <c r="F1041" s="17">
        <v>1500</v>
      </c>
      <c r="G1041" s="17">
        <v>60000</v>
      </c>
      <c r="H1041" s="17">
        <v>58500</v>
      </c>
      <c r="I1041" s="18">
        <v>0.52</v>
      </c>
      <c r="J1041" s="14">
        <f t="shared" si="0"/>
        <v>39</v>
      </c>
      <c r="K1041" s="15" t="str">
        <f t="shared" si="1"/>
        <v>Exceeds Target</v>
      </c>
    </row>
    <row r="1042" spans="2:11" ht="15" customHeight="1">
      <c r="B1042" t="s">
        <v>434</v>
      </c>
      <c r="C1042" t="s">
        <v>1422</v>
      </c>
      <c r="D1042" t="s">
        <v>69</v>
      </c>
      <c r="E1042" t="s">
        <v>70</v>
      </c>
      <c r="F1042" s="17">
        <v>1000</v>
      </c>
      <c r="G1042" s="17">
        <v>30000</v>
      </c>
      <c r="H1042" s="17">
        <v>29000</v>
      </c>
      <c r="I1042" s="18">
        <v>0.83</v>
      </c>
      <c r="J1042" s="14">
        <f t="shared" si="0"/>
        <v>29</v>
      </c>
      <c r="K1042" s="15" t="str">
        <f t="shared" si="1"/>
        <v>Exceeds Target</v>
      </c>
    </row>
    <row r="1043" spans="2:11" ht="15" customHeight="1">
      <c r="B1043" t="s">
        <v>167</v>
      </c>
      <c r="C1043" t="s">
        <v>1423</v>
      </c>
      <c r="D1043" t="s">
        <v>26</v>
      </c>
      <c r="E1043" t="s">
        <v>27</v>
      </c>
      <c r="F1043" s="17">
        <v>5000</v>
      </c>
      <c r="G1043" s="17">
        <v>150000</v>
      </c>
      <c r="H1043" s="17">
        <v>145000</v>
      </c>
      <c r="I1043" s="18">
        <v>0.24</v>
      </c>
      <c r="J1043" s="14">
        <f t="shared" si="0"/>
        <v>29</v>
      </c>
      <c r="K1043" s="15" t="str">
        <f t="shared" si="1"/>
        <v>Exceeds Target</v>
      </c>
    </row>
    <row r="1044" spans="2:11" ht="15" customHeight="1">
      <c r="B1044" t="s">
        <v>89</v>
      </c>
      <c r="C1044" t="s">
        <v>1424</v>
      </c>
      <c r="D1044" t="s">
        <v>32</v>
      </c>
      <c r="E1044" t="s">
        <v>27</v>
      </c>
      <c r="F1044" s="17">
        <v>1500</v>
      </c>
      <c r="G1044" s="17">
        <v>52000</v>
      </c>
      <c r="H1044" s="17">
        <v>50500</v>
      </c>
      <c r="I1044" s="18">
        <v>0.75</v>
      </c>
      <c r="J1044" s="14">
        <f t="shared" si="0"/>
        <v>33.666666666666664</v>
      </c>
      <c r="K1044" s="15" t="str">
        <f t="shared" si="1"/>
        <v>Exceeds Target</v>
      </c>
    </row>
    <row r="1045" spans="2:11" ht="15" customHeight="1">
      <c r="B1045" t="s">
        <v>701</v>
      </c>
      <c r="C1045" t="s">
        <v>1425</v>
      </c>
      <c r="D1045" t="s">
        <v>80</v>
      </c>
      <c r="E1045" t="s">
        <v>27</v>
      </c>
      <c r="F1045" s="17">
        <v>1000</v>
      </c>
      <c r="G1045" s="17">
        <v>117000</v>
      </c>
      <c r="H1045" s="17">
        <v>116000</v>
      </c>
      <c r="I1045" s="18">
        <v>0.69</v>
      </c>
      <c r="J1045" s="14">
        <f t="shared" si="0"/>
        <v>116</v>
      </c>
      <c r="K1045" s="15" t="str">
        <f t="shared" si="1"/>
        <v>Exceeds Target</v>
      </c>
    </row>
    <row r="1046" spans="2:11" ht="15" customHeight="1">
      <c r="B1046" t="s">
        <v>548</v>
      </c>
      <c r="C1046" t="s">
        <v>1426</v>
      </c>
      <c r="D1046" t="s">
        <v>69</v>
      </c>
      <c r="E1046" t="s">
        <v>70</v>
      </c>
      <c r="F1046" s="17">
        <v>1000</v>
      </c>
      <c r="G1046" s="17">
        <v>65000</v>
      </c>
      <c r="H1046" s="17">
        <v>64000</v>
      </c>
      <c r="I1046" s="18">
        <v>0.96</v>
      </c>
      <c r="J1046" s="14">
        <f t="shared" si="0"/>
        <v>64</v>
      </c>
      <c r="K1046" s="15" t="str">
        <f t="shared" si="1"/>
        <v>Exceeds Target</v>
      </c>
    </row>
    <row r="1047" spans="2:11" ht="15" customHeight="1">
      <c r="B1047" t="s">
        <v>157</v>
      </c>
      <c r="C1047" t="s">
        <v>1427</v>
      </c>
      <c r="D1047" t="s">
        <v>26</v>
      </c>
      <c r="E1047" t="s">
        <v>27</v>
      </c>
      <c r="F1047" s="17">
        <v>5000</v>
      </c>
      <c r="G1047" s="17">
        <v>30000</v>
      </c>
      <c r="H1047" s="17">
        <v>25000</v>
      </c>
      <c r="I1047" s="18">
        <v>0.2</v>
      </c>
      <c r="J1047" s="14">
        <f t="shared" si="0"/>
        <v>5</v>
      </c>
      <c r="K1047" s="15" t="str">
        <f t="shared" si="1"/>
        <v>Exceeds Target</v>
      </c>
    </row>
    <row r="1048" spans="2:11" ht="15" customHeight="1">
      <c r="B1048" t="s">
        <v>1194</v>
      </c>
      <c r="C1048" t="s">
        <v>1428</v>
      </c>
      <c r="D1048" t="s">
        <v>80</v>
      </c>
      <c r="E1048" t="s">
        <v>27</v>
      </c>
      <c r="F1048" s="17">
        <v>1000</v>
      </c>
      <c r="G1048" s="17">
        <v>66000</v>
      </c>
      <c r="H1048" s="17">
        <v>65000</v>
      </c>
      <c r="I1048" s="18">
        <v>0.99</v>
      </c>
      <c r="J1048" s="14">
        <f t="shared" si="0"/>
        <v>65</v>
      </c>
      <c r="K1048" s="15" t="str">
        <f t="shared" si="1"/>
        <v>Exceeds Target</v>
      </c>
    </row>
    <row r="1049" spans="2:11" ht="15" customHeight="1">
      <c r="B1049" t="s">
        <v>97</v>
      </c>
      <c r="C1049" t="s">
        <v>1429</v>
      </c>
      <c r="D1049" t="s">
        <v>26</v>
      </c>
      <c r="E1049" t="s">
        <v>27</v>
      </c>
      <c r="F1049" s="17">
        <v>5000</v>
      </c>
      <c r="G1049" s="17">
        <v>30000</v>
      </c>
      <c r="H1049" s="17">
        <v>25000</v>
      </c>
      <c r="I1049" s="18">
        <v>7.0000000000000007E-2</v>
      </c>
      <c r="J1049" s="14">
        <f t="shared" si="0"/>
        <v>5</v>
      </c>
      <c r="K1049" s="15" t="str">
        <f t="shared" si="1"/>
        <v>Exceeds Target</v>
      </c>
    </row>
    <row r="1050" spans="2:11" ht="15" customHeight="1">
      <c r="B1050" t="s">
        <v>450</v>
      </c>
      <c r="C1050" t="s">
        <v>1430</v>
      </c>
      <c r="D1050" t="s">
        <v>80</v>
      </c>
      <c r="E1050" t="s">
        <v>27</v>
      </c>
      <c r="F1050" s="17">
        <v>1000</v>
      </c>
      <c r="G1050" s="17">
        <v>99000</v>
      </c>
      <c r="H1050" s="17">
        <v>98000</v>
      </c>
      <c r="I1050" s="18">
        <v>0.5</v>
      </c>
      <c r="J1050" s="14">
        <f t="shared" si="0"/>
        <v>98</v>
      </c>
      <c r="K1050" s="15" t="str">
        <f t="shared" si="1"/>
        <v>Exceeds Target</v>
      </c>
    </row>
    <row r="1051" spans="2:11" ht="15" customHeight="1">
      <c r="B1051" t="s">
        <v>207</v>
      </c>
      <c r="C1051" t="s">
        <v>1431</v>
      </c>
      <c r="D1051" t="s">
        <v>80</v>
      </c>
      <c r="E1051" t="s">
        <v>27</v>
      </c>
      <c r="F1051" s="17">
        <v>1000</v>
      </c>
      <c r="G1051" s="17">
        <v>102000</v>
      </c>
      <c r="H1051" s="17">
        <v>101000</v>
      </c>
      <c r="I1051" s="18">
        <v>0.7</v>
      </c>
      <c r="J1051" s="14">
        <f t="shared" si="0"/>
        <v>101</v>
      </c>
      <c r="K1051" s="15" t="str">
        <f t="shared" si="1"/>
        <v>Exceeds Target</v>
      </c>
    </row>
    <row r="1052" spans="2:11" ht="15" customHeight="1">
      <c r="B1052" t="s">
        <v>30</v>
      </c>
      <c r="C1052" t="s">
        <v>1432</v>
      </c>
      <c r="D1052" t="s">
        <v>80</v>
      </c>
      <c r="E1052" t="s">
        <v>27</v>
      </c>
      <c r="F1052" s="17">
        <v>1000</v>
      </c>
      <c r="G1052" s="17">
        <v>72000</v>
      </c>
      <c r="H1052" s="17">
        <v>71000</v>
      </c>
      <c r="I1052" s="18">
        <v>0.94</v>
      </c>
      <c r="J1052" s="14">
        <f t="shared" si="0"/>
        <v>71</v>
      </c>
      <c r="K1052" s="15" t="str">
        <f t="shared" si="1"/>
        <v>Exceeds Target</v>
      </c>
    </row>
    <row r="1053" spans="2:11" ht="15" customHeight="1">
      <c r="B1053" t="s">
        <v>815</v>
      </c>
      <c r="C1053" t="s">
        <v>1433</v>
      </c>
      <c r="D1053" t="s">
        <v>32</v>
      </c>
      <c r="E1053" t="s">
        <v>27</v>
      </c>
      <c r="F1053" s="17">
        <v>1500</v>
      </c>
      <c r="G1053" s="17">
        <v>18000</v>
      </c>
      <c r="H1053" s="17">
        <v>16500</v>
      </c>
      <c r="I1053" s="18">
        <v>0.98</v>
      </c>
      <c r="J1053" s="14">
        <f t="shared" si="0"/>
        <v>11</v>
      </c>
      <c r="K1053" s="15" t="str">
        <f t="shared" si="1"/>
        <v>Exceeds Target</v>
      </c>
    </row>
    <row r="1054" spans="2:11" ht="15" customHeight="1">
      <c r="B1054" t="s">
        <v>352</v>
      </c>
      <c r="C1054" t="s">
        <v>1434</v>
      </c>
      <c r="D1054" t="s">
        <v>69</v>
      </c>
      <c r="E1054" t="s">
        <v>70</v>
      </c>
      <c r="F1054" s="17">
        <v>1000</v>
      </c>
      <c r="G1054" s="17">
        <v>40000</v>
      </c>
      <c r="H1054" s="17">
        <v>39000</v>
      </c>
      <c r="I1054" s="18">
        <v>0.77</v>
      </c>
      <c r="J1054" s="14">
        <f t="shared" si="0"/>
        <v>39</v>
      </c>
      <c r="K1054" s="15" t="str">
        <f t="shared" si="1"/>
        <v>Exceeds Target</v>
      </c>
    </row>
    <row r="1055" spans="2:11" ht="15" customHeight="1">
      <c r="B1055" t="s">
        <v>203</v>
      </c>
      <c r="C1055" t="s">
        <v>1435</v>
      </c>
      <c r="D1055" t="s">
        <v>35</v>
      </c>
      <c r="E1055" t="s">
        <v>27</v>
      </c>
      <c r="F1055" s="17">
        <v>3000</v>
      </c>
      <c r="G1055" s="17">
        <v>270000</v>
      </c>
      <c r="H1055" s="17">
        <v>267000</v>
      </c>
      <c r="I1055" s="18">
        <v>0.45</v>
      </c>
      <c r="J1055" s="14">
        <f t="shared" si="0"/>
        <v>89</v>
      </c>
      <c r="K1055" s="15" t="str">
        <f t="shared" si="1"/>
        <v>Exceeds Target</v>
      </c>
    </row>
    <row r="1056" spans="2:11" ht="15" customHeight="1">
      <c r="B1056" t="s">
        <v>259</v>
      </c>
      <c r="C1056" t="s">
        <v>1436</v>
      </c>
      <c r="D1056" t="s">
        <v>32</v>
      </c>
      <c r="E1056" t="s">
        <v>27</v>
      </c>
      <c r="F1056" s="17">
        <v>1500</v>
      </c>
      <c r="G1056" s="17">
        <v>34000</v>
      </c>
      <c r="H1056" s="17">
        <v>32500</v>
      </c>
      <c r="I1056" s="18">
        <v>0.77</v>
      </c>
      <c r="J1056" s="14">
        <f t="shared" si="0"/>
        <v>21.666666666666668</v>
      </c>
      <c r="K1056" s="15" t="str">
        <f t="shared" si="1"/>
        <v>Exceeds Target</v>
      </c>
    </row>
    <row r="1057" spans="2:11" ht="15" customHeight="1">
      <c r="B1057" t="s">
        <v>1285</v>
      </c>
      <c r="C1057" t="s">
        <v>1437</v>
      </c>
      <c r="D1057" t="s">
        <v>80</v>
      </c>
      <c r="E1057" t="s">
        <v>27</v>
      </c>
      <c r="F1057" s="17">
        <v>1000</v>
      </c>
      <c r="G1057" s="17">
        <v>48000</v>
      </c>
      <c r="H1057" s="17">
        <v>47000</v>
      </c>
      <c r="I1057" s="18">
        <v>0.79</v>
      </c>
      <c r="J1057" s="14">
        <f t="shared" si="0"/>
        <v>47</v>
      </c>
      <c r="K1057" s="15" t="str">
        <f t="shared" si="1"/>
        <v>Exceeds Target</v>
      </c>
    </row>
    <row r="1058" spans="2:11" ht="15" customHeight="1">
      <c r="B1058" t="s">
        <v>201</v>
      </c>
      <c r="C1058" t="s">
        <v>1438</v>
      </c>
      <c r="D1058" t="s">
        <v>80</v>
      </c>
      <c r="E1058" t="s">
        <v>27</v>
      </c>
      <c r="F1058" s="17">
        <v>1000</v>
      </c>
      <c r="G1058" s="17">
        <v>69000</v>
      </c>
      <c r="H1058" s="17">
        <v>68000</v>
      </c>
      <c r="I1058" s="18">
        <v>0.93</v>
      </c>
      <c r="J1058" s="14">
        <f t="shared" si="0"/>
        <v>68</v>
      </c>
      <c r="K1058" s="15" t="str">
        <f t="shared" si="1"/>
        <v>Exceeds Target</v>
      </c>
    </row>
    <row r="1059" spans="2:11" ht="15" customHeight="1">
      <c r="B1059" t="s">
        <v>1239</v>
      </c>
      <c r="C1059" t="s">
        <v>1439</v>
      </c>
      <c r="D1059" t="s">
        <v>80</v>
      </c>
      <c r="E1059" t="s">
        <v>27</v>
      </c>
      <c r="F1059" s="17">
        <v>1000</v>
      </c>
      <c r="G1059" s="17">
        <v>111000</v>
      </c>
      <c r="H1059" s="17">
        <v>110000</v>
      </c>
      <c r="I1059" s="18">
        <v>0.74</v>
      </c>
      <c r="J1059" s="14">
        <f t="shared" si="0"/>
        <v>110</v>
      </c>
      <c r="K1059" s="15" t="str">
        <f t="shared" si="1"/>
        <v>Exceeds Target</v>
      </c>
    </row>
    <row r="1060" spans="2:11" ht="15" customHeight="1">
      <c r="B1060" t="s">
        <v>247</v>
      </c>
      <c r="C1060" t="s">
        <v>1440</v>
      </c>
      <c r="D1060" t="s">
        <v>69</v>
      </c>
      <c r="E1060" t="s">
        <v>70</v>
      </c>
      <c r="F1060" s="17">
        <v>1000</v>
      </c>
      <c r="G1060" s="17">
        <v>55000</v>
      </c>
      <c r="H1060" s="17">
        <v>54000</v>
      </c>
      <c r="I1060" s="18">
        <v>0.23</v>
      </c>
      <c r="J1060" s="14">
        <f t="shared" si="0"/>
        <v>54</v>
      </c>
      <c r="K1060" s="15" t="str">
        <f t="shared" si="1"/>
        <v>Exceeds Target</v>
      </c>
    </row>
    <row r="1061" spans="2:11" ht="15" customHeight="1">
      <c r="B1061" t="s">
        <v>475</v>
      </c>
      <c r="C1061" t="s">
        <v>1441</v>
      </c>
      <c r="D1061" t="s">
        <v>26</v>
      </c>
      <c r="E1061" t="s">
        <v>27</v>
      </c>
      <c r="F1061" s="17">
        <v>5000</v>
      </c>
      <c r="G1061" s="17">
        <v>60000</v>
      </c>
      <c r="H1061" s="17">
        <v>55000</v>
      </c>
      <c r="I1061" s="18">
        <v>0.19</v>
      </c>
      <c r="J1061" s="14">
        <f t="shared" si="0"/>
        <v>11</v>
      </c>
      <c r="K1061" s="15" t="str">
        <f t="shared" si="1"/>
        <v>Exceeds Target</v>
      </c>
    </row>
    <row r="1062" spans="2:11" ht="15" customHeight="1">
      <c r="B1062" t="s">
        <v>964</v>
      </c>
      <c r="C1062" t="s">
        <v>1442</v>
      </c>
      <c r="D1062" t="s">
        <v>69</v>
      </c>
      <c r="E1062" t="s">
        <v>70</v>
      </c>
      <c r="F1062" s="17">
        <v>1000</v>
      </c>
      <c r="G1062" s="17">
        <v>55000</v>
      </c>
      <c r="H1062" s="17">
        <v>54000</v>
      </c>
      <c r="I1062" s="18">
        <v>0.49</v>
      </c>
      <c r="J1062" s="14">
        <f t="shared" si="0"/>
        <v>54</v>
      </c>
      <c r="K1062" s="15" t="str">
        <f t="shared" si="1"/>
        <v>Exceeds Target</v>
      </c>
    </row>
    <row r="1063" spans="2:11" ht="15" customHeight="1">
      <c r="B1063" t="s">
        <v>577</v>
      </c>
      <c r="C1063" t="s">
        <v>1443</v>
      </c>
      <c r="D1063" t="s">
        <v>32</v>
      </c>
      <c r="E1063" t="s">
        <v>27</v>
      </c>
      <c r="F1063" s="17">
        <v>1500</v>
      </c>
      <c r="G1063" s="17">
        <v>56000</v>
      </c>
      <c r="H1063" s="17">
        <v>54500</v>
      </c>
      <c r="I1063" s="18">
        <v>0.79</v>
      </c>
      <c r="J1063" s="14">
        <f t="shared" si="0"/>
        <v>36.333333333333336</v>
      </c>
      <c r="K1063" s="15" t="str">
        <f t="shared" si="1"/>
        <v>Exceeds Target</v>
      </c>
    </row>
    <row r="1064" spans="2:11" ht="15" customHeight="1">
      <c r="B1064" t="s">
        <v>1053</v>
      </c>
      <c r="C1064" t="s">
        <v>1444</v>
      </c>
      <c r="D1064" t="s">
        <v>35</v>
      </c>
      <c r="E1064" t="s">
        <v>27</v>
      </c>
      <c r="F1064" s="17">
        <v>3000</v>
      </c>
      <c r="G1064" s="17">
        <v>250000</v>
      </c>
      <c r="H1064" s="17">
        <v>247000</v>
      </c>
      <c r="I1064" s="18">
        <v>0.48</v>
      </c>
      <c r="J1064" s="14">
        <f t="shared" si="0"/>
        <v>82.333333333333329</v>
      </c>
      <c r="K1064" s="15" t="str">
        <f t="shared" si="1"/>
        <v>Exceeds Target</v>
      </c>
    </row>
    <row r="1065" spans="2:11" ht="15" customHeight="1">
      <c r="B1065" t="s">
        <v>366</v>
      </c>
      <c r="C1065" t="s">
        <v>1445</v>
      </c>
      <c r="D1065" t="s">
        <v>69</v>
      </c>
      <c r="E1065" t="s">
        <v>70</v>
      </c>
      <c r="F1065" s="17">
        <v>1000</v>
      </c>
      <c r="G1065" s="17">
        <v>55000</v>
      </c>
      <c r="H1065" s="17">
        <v>54000</v>
      </c>
      <c r="I1065" s="18">
        <v>0.47</v>
      </c>
      <c r="J1065" s="14">
        <f t="shared" si="0"/>
        <v>54</v>
      </c>
      <c r="K1065" s="15" t="str">
        <f t="shared" si="1"/>
        <v>Exceeds Target</v>
      </c>
    </row>
    <row r="1066" spans="2:11" ht="15" customHeight="1">
      <c r="B1066" t="s">
        <v>434</v>
      </c>
      <c r="C1066" t="s">
        <v>1446</v>
      </c>
      <c r="D1066" t="s">
        <v>32</v>
      </c>
      <c r="E1066" t="s">
        <v>27</v>
      </c>
      <c r="F1066" s="17">
        <v>1500</v>
      </c>
      <c r="G1066" s="17">
        <v>52000</v>
      </c>
      <c r="H1066" s="17">
        <v>50500</v>
      </c>
      <c r="I1066" s="18">
        <v>0.59</v>
      </c>
      <c r="J1066" s="14">
        <f t="shared" si="0"/>
        <v>33.666666666666664</v>
      </c>
      <c r="K1066" s="15" t="str">
        <f t="shared" si="1"/>
        <v>Exceeds Target</v>
      </c>
    </row>
    <row r="1067" spans="2:11" ht="15" customHeight="1">
      <c r="B1067" t="s">
        <v>319</v>
      </c>
      <c r="C1067" t="s">
        <v>1447</v>
      </c>
      <c r="D1067" t="s">
        <v>69</v>
      </c>
      <c r="E1067" t="s">
        <v>70</v>
      </c>
      <c r="F1067" s="17">
        <v>1000</v>
      </c>
      <c r="G1067" s="17">
        <v>115000</v>
      </c>
      <c r="H1067" s="17">
        <v>114000</v>
      </c>
      <c r="I1067" s="18">
        <v>0.52</v>
      </c>
      <c r="J1067" s="14">
        <f t="shared" si="0"/>
        <v>114</v>
      </c>
      <c r="K1067" s="15" t="str">
        <f t="shared" si="1"/>
        <v>Exceeds Target</v>
      </c>
    </row>
    <row r="1068" spans="2:11" ht="15" customHeight="1">
      <c r="B1068" t="s">
        <v>540</v>
      </c>
      <c r="C1068" t="s">
        <v>1448</v>
      </c>
      <c r="D1068" t="s">
        <v>69</v>
      </c>
      <c r="E1068" t="s">
        <v>70</v>
      </c>
      <c r="F1068" s="17">
        <v>1000</v>
      </c>
      <c r="G1068" s="17">
        <v>125000</v>
      </c>
      <c r="H1068" s="17">
        <v>124000</v>
      </c>
      <c r="I1068" s="18">
        <v>0.25</v>
      </c>
      <c r="J1068" s="14">
        <f t="shared" si="0"/>
        <v>124</v>
      </c>
      <c r="K1068" s="15" t="str">
        <f t="shared" si="1"/>
        <v>Exceeds Target</v>
      </c>
    </row>
    <row r="1069" spans="2:11" ht="15" customHeight="1">
      <c r="B1069" t="s">
        <v>1126</v>
      </c>
      <c r="C1069" t="s">
        <v>1449</v>
      </c>
      <c r="D1069" t="s">
        <v>69</v>
      </c>
      <c r="E1069" t="s">
        <v>70</v>
      </c>
      <c r="F1069" s="17">
        <v>1000</v>
      </c>
      <c r="G1069" s="17">
        <v>80000</v>
      </c>
      <c r="H1069" s="17">
        <v>79000</v>
      </c>
      <c r="I1069" s="18">
        <v>0.64</v>
      </c>
      <c r="J1069" s="14">
        <f t="shared" si="0"/>
        <v>79</v>
      </c>
      <c r="K1069" s="15" t="str">
        <f t="shared" si="1"/>
        <v>Exceeds Target</v>
      </c>
    </row>
    <row r="1070" spans="2:11" ht="15" customHeight="1">
      <c r="B1070" t="s">
        <v>1216</v>
      </c>
      <c r="C1070" t="s">
        <v>1450</v>
      </c>
      <c r="D1070" t="s">
        <v>69</v>
      </c>
      <c r="E1070" t="s">
        <v>70</v>
      </c>
      <c r="F1070" s="17">
        <v>1000</v>
      </c>
      <c r="G1070" s="17">
        <v>150000</v>
      </c>
      <c r="H1070" s="17">
        <v>149000</v>
      </c>
      <c r="I1070" s="18">
        <v>0.56999999999999995</v>
      </c>
      <c r="J1070" s="14">
        <f t="shared" si="0"/>
        <v>149</v>
      </c>
      <c r="K1070" s="15" t="str">
        <f t="shared" si="1"/>
        <v>Exceeds Target</v>
      </c>
    </row>
    <row r="1071" spans="2:11" ht="15" customHeight="1">
      <c r="B1071" t="s">
        <v>141</v>
      </c>
      <c r="C1071" t="s">
        <v>1451</v>
      </c>
      <c r="D1071" t="s">
        <v>35</v>
      </c>
      <c r="E1071" t="s">
        <v>27</v>
      </c>
      <c r="F1071" s="17">
        <v>3000</v>
      </c>
      <c r="G1071" s="17">
        <v>270000</v>
      </c>
      <c r="H1071" s="17">
        <v>267000</v>
      </c>
      <c r="I1071" s="18">
        <v>0.7</v>
      </c>
      <c r="J1071" s="14">
        <f t="shared" si="0"/>
        <v>89</v>
      </c>
      <c r="K1071" s="15" t="str">
        <f t="shared" si="1"/>
        <v>Exceeds Target</v>
      </c>
    </row>
    <row r="1072" spans="2:11" ht="15" customHeight="1">
      <c r="B1072" t="s">
        <v>270</v>
      </c>
      <c r="C1072" t="s">
        <v>1452</v>
      </c>
      <c r="D1072" t="s">
        <v>80</v>
      </c>
      <c r="E1072" t="s">
        <v>27</v>
      </c>
      <c r="F1072" s="17">
        <v>1000</v>
      </c>
      <c r="G1072" s="17">
        <v>45000</v>
      </c>
      <c r="H1072" s="17">
        <v>44000</v>
      </c>
      <c r="I1072" s="18">
        <v>0.62</v>
      </c>
      <c r="J1072" s="14">
        <f t="shared" si="0"/>
        <v>44</v>
      </c>
      <c r="K1072" s="15" t="str">
        <f t="shared" si="1"/>
        <v>Exceeds Target</v>
      </c>
    </row>
    <row r="1073" spans="2:11" ht="15" customHeight="1">
      <c r="B1073" t="s">
        <v>559</v>
      </c>
      <c r="C1073" t="s">
        <v>1453</v>
      </c>
      <c r="D1073" t="s">
        <v>69</v>
      </c>
      <c r="E1073" t="s">
        <v>70</v>
      </c>
      <c r="F1073" s="17">
        <v>1000</v>
      </c>
      <c r="G1073" s="17">
        <v>85000</v>
      </c>
      <c r="H1073" s="17">
        <v>84000</v>
      </c>
      <c r="I1073" s="18">
        <v>0.54</v>
      </c>
      <c r="J1073" s="14">
        <f t="shared" si="0"/>
        <v>84</v>
      </c>
      <c r="K1073" s="15" t="str">
        <f t="shared" si="1"/>
        <v>Exceeds Target</v>
      </c>
    </row>
    <row r="1074" spans="2:11" ht="15" customHeight="1">
      <c r="B1074" t="s">
        <v>101</v>
      </c>
      <c r="C1074" t="s">
        <v>1454</v>
      </c>
      <c r="D1074" t="s">
        <v>26</v>
      </c>
      <c r="E1074" t="s">
        <v>27</v>
      </c>
      <c r="F1074" s="17">
        <v>5000</v>
      </c>
      <c r="G1074" s="17">
        <v>120000</v>
      </c>
      <c r="H1074" s="17">
        <v>115000</v>
      </c>
      <c r="I1074" s="18">
        <v>0.49</v>
      </c>
      <c r="J1074" s="14">
        <f t="shared" si="0"/>
        <v>23</v>
      </c>
      <c r="K1074" s="15" t="str">
        <f t="shared" si="1"/>
        <v>Exceeds Target</v>
      </c>
    </row>
    <row r="1075" spans="2:11" ht="15" customHeight="1">
      <c r="B1075" t="s">
        <v>420</v>
      </c>
      <c r="C1075" t="s">
        <v>1455</v>
      </c>
      <c r="D1075" t="s">
        <v>80</v>
      </c>
      <c r="E1075" t="s">
        <v>27</v>
      </c>
      <c r="F1075" s="17">
        <v>1000</v>
      </c>
      <c r="G1075" s="17">
        <v>84000</v>
      </c>
      <c r="H1075" s="17">
        <v>83000</v>
      </c>
      <c r="I1075" s="18">
        <v>0.95</v>
      </c>
      <c r="J1075" s="14">
        <f t="shared" si="0"/>
        <v>83</v>
      </c>
      <c r="K1075" s="15" t="str">
        <f t="shared" si="1"/>
        <v>Exceeds Target</v>
      </c>
    </row>
    <row r="1076" spans="2:11" ht="15" customHeight="1">
      <c r="B1076" t="s">
        <v>604</v>
      </c>
      <c r="C1076" t="s">
        <v>1456</v>
      </c>
      <c r="D1076" t="s">
        <v>32</v>
      </c>
      <c r="E1076" t="s">
        <v>27</v>
      </c>
      <c r="F1076" s="17">
        <v>1500</v>
      </c>
      <c r="G1076" s="17">
        <v>50000</v>
      </c>
      <c r="H1076" s="17">
        <v>48500</v>
      </c>
      <c r="I1076" s="18">
        <v>0.39</v>
      </c>
      <c r="J1076" s="14">
        <f t="shared" si="0"/>
        <v>32.333333333333336</v>
      </c>
      <c r="K1076" s="15" t="str">
        <f t="shared" si="1"/>
        <v>Exceeds Target</v>
      </c>
    </row>
    <row r="1077" spans="2:11" ht="15" customHeight="1">
      <c r="B1077" t="s">
        <v>305</v>
      </c>
      <c r="C1077" t="s">
        <v>1457</v>
      </c>
      <c r="D1077" t="s">
        <v>35</v>
      </c>
      <c r="E1077" t="s">
        <v>27</v>
      </c>
      <c r="F1077" s="17">
        <v>3000</v>
      </c>
      <c r="G1077" s="17">
        <v>140000</v>
      </c>
      <c r="H1077" s="17">
        <v>137000</v>
      </c>
      <c r="I1077" s="18">
        <v>0.65</v>
      </c>
      <c r="J1077" s="14">
        <f t="shared" si="0"/>
        <v>45.666666666666664</v>
      </c>
      <c r="K1077" s="15" t="str">
        <f t="shared" si="1"/>
        <v>Exceeds Target</v>
      </c>
    </row>
    <row r="1078" spans="2:11" ht="15" customHeight="1">
      <c r="B1078" t="s">
        <v>408</v>
      </c>
      <c r="C1078" t="s">
        <v>1458</v>
      </c>
      <c r="D1078" t="s">
        <v>35</v>
      </c>
      <c r="E1078" t="s">
        <v>27</v>
      </c>
      <c r="F1078" s="17">
        <v>3000</v>
      </c>
      <c r="G1078" s="17">
        <v>140000</v>
      </c>
      <c r="H1078" s="17">
        <v>137000</v>
      </c>
      <c r="I1078" s="18">
        <v>0.76</v>
      </c>
      <c r="J1078" s="14">
        <f t="shared" si="0"/>
        <v>45.666666666666664</v>
      </c>
      <c r="K1078" s="15" t="str">
        <f t="shared" si="1"/>
        <v>Exceeds Target</v>
      </c>
    </row>
    <row r="1079" spans="2:11" ht="15" customHeight="1">
      <c r="B1079" t="s">
        <v>203</v>
      </c>
      <c r="C1079" t="s">
        <v>1459</v>
      </c>
      <c r="D1079" t="s">
        <v>80</v>
      </c>
      <c r="E1079" t="s">
        <v>27</v>
      </c>
      <c r="F1079" s="17">
        <v>1000</v>
      </c>
      <c r="G1079" s="17">
        <v>87000</v>
      </c>
      <c r="H1079" s="17">
        <v>86000</v>
      </c>
      <c r="I1079" s="18">
        <v>0.7</v>
      </c>
      <c r="J1079" s="14">
        <f t="shared" si="0"/>
        <v>86</v>
      </c>
      <c r="K1079" s="15" t="str">
        <f t="shared" si="1"/>
        <v>Exceeds Target</v>
      </c>
    </row>
    <row r="1080" spans="2:11" ht="15" customHeight="1">
      <c r="B1080" t="s">
        <v>559</v>
      </c>
      <c r="C1080" t="s">
        <v>1460</v>
      </c>
      <c r="D1080" t="s">
        <v>35</v>
      </c>
      <c r="E1080" t="s">
        <v>27</v>
      </c>
      <c r="F1080" s="17">
        <v>3000</v>
      </c>
      <c r="G1080" s="17">
        <v>240000</v>
      </c>
      <c r="H1080" s="17">
        <v>237000</v>
      </c>
      <c r="I1080" s="18">
        <v>0.28000000000000003</v>
      </c>
      <c r="J1080" s="14">
        <f t="shared" si="0"/>
        <v>79</v>
      </c>
      <c r="K1080" s="15" t="str">
        <f t="shared" si="1"/>
        <v>Exceeds Target</v>
      </c>
    </row>
    <row r="1081" spans="2:11" ht="15" customHeight="1">
      <c r="B1081" t="s">
        <v>78</v>
      </c>
      <c r="C1081" t="s">
        <v>1461</v>
      </c>
      <c r="D1081" t="s">
        <v>69</v>
      </c>
      <c r="E1081" t="s">
        <v>70</v>
      </c>
      <c r="F1081" s="17">
        <v>1000</v>
      </c>
      <c r="G1081" s="17">
        <v>110000</v>
      </c>
      <c r="H1081" s="17">
        <v>109000</v>
      </c>
      <c r="I1081" s="18">
        <v>0.52</v>
      </c>
      <c r="J1081" s="14">
        <f t="shared" si="0"/>
        <v>109</v>
      </c>
      <c r="K1081" s="15" t="str">
        <f t="shared" si="1"/>
        <v>Exceeds Target</v>
      </c>
    </row>
    <row r="1082" spans="2:11" ht="15" customHeight="1">
      <c r="B1082" t="s">
        <v>1462</v>
      </c>
      <c r="C1082" t="s">
        <v>1463</v>
      </c>
      <c r="D1082" t="s">
        <v>32</v>
      </c>
      <c r="E1082" t="s">
        <v>27</v>
      </c>
      <c r="F1082" s="17">
        <v>1500</v>
      </c>
      <c r="G1082" s="17">
        <v>14000</v>
      </c>
      <c r="H1082" s="17">
        <v>12500</v>
      </c>
      <c r="I1082" s="18">
        <v>0.3</v>
      </c>
      <c r="J1082" s="14">
        <f t="shared" si="0"/>
        <v>8.3333333333333339</v>
      </c>
      <c r="K1082" s="15" t="str">
        <f t="shared" si="1"/>
        <v>Exceeds Target</v>
      </c>
    </row>
    <row r="1083" spans="2:11" ht="15" customHeight="1">
      <c r="B1083" t="s">
        <v>214</v>
      </c>
      <c r="C1083" t="s">
        <v>1464</v>
      </c>
      <c r="D1083" t="s">
        <v>80</v>
      </c>
      <c r="E1083" t="s">
        <v>27</v>
      </c>
      <c r="F1083" s="17">
        <v>1000</v>
      </c>
      <c r="G1083" s="17">
        <v>78000</v>
      </c>
      <c r="H1083" s="17">
        <v>77000</v>
      </c>
      <c r="I1083" s="18">
        <v>0.91</v>
      </c>
      <c r="J1083" s="14">
        <f t="shared" si="0"/>
        <v>77</v>
      </c>
      <c r="K1083" s="15" t="str">
        <f t="shared" si="1"/>
        <v>Exceeds Target</v>
      </c>
    </row>
    <row r="1084" spans="2:11" ht="15" customHeight="1">
      <c r="B1084" t="s">
        <v>818</v>
      </c>
      <c r="C1084" t="s">
        <v>1465</v>
      </c>
      <c r="D1084" t="s">
        <v>80</v>
      </c>
      <c r="E1084" t="s">
        <v>27</v>
      </c>
      <c r="F1084" s="17">
        <v>1000</v>
      </c>
      <c r="G1084" s="17">
        <v>48000</v>
      </c>
      <c r="H1084" s="17">
        <v>47000</v>
      </c>
      <c r="I1084" s="18">
        <v>0.59</v>
      </c>
      <c r="J1084" s="14">
        <f t="shared" si="0"/>
        <v>47</v>
      </c>
      <c r="K1084" s="15" t="str">
        <f t="shared" si="1"/>
        <v>Exceeds Target</v>
      </c>
    </row>
    <row r="1085" spans="2:11" ht="15" customHeight="1">
      <c r="B1085" t="s">
        <v>542</v>
      </c>
      <c r="C1085" t="s">
        <v>1466</v>
      </c>
      <c r="D1085" t="s">
        <v>35</v>
      </c>
      <c r="E1085" t="s">
        <v>27</v>
      </c>
      <c r="F1085" s="17">
        <v>3000</v>
      </c>
      <c r="G1085" s="17">
        <v>60000</v>
      </c>
      <c r="H1085" s="17">
        <v>57000</v>
      </c>
      <c r="I1085" s="18">
        <v>0.21</v>
      </c>
      <c r="J1085" s="14">
        <f t="shared" si="0"/>
        <v>19</v>
      </c>
      <c r="K1085" s="15" t="str">
        <f t="shared" si="1"/>
        <v>Exceeds Target</v>
      </c>
    </row>
    <row r="1086" spans="2:11" ht="15" customHeight="1">
      <c r="B1086" t="s">
        <v>296</v>
      </c>
      <c r="C1086" t="s">
        <v>1467</v>
      </c>
      <c r="D1086" t="s">
        <v>32</v>
      </c>
      <c r="E1086" t="s">
        <v>27</v>
      </c>
      <c r="F1086" s="17">
        <v>1500</v>
      </c>
      <c r="G1086" s="17">
        <v>38000</v>
      </c>
      <c r="H1086" s="17">
        <v>36500</v>
      </c>
      <c r="I1086" s="18">
        <v>0.82</v>
      </c>
      <c r="J1086" s="14">
        <f t="shared" si="0"/>
        <v>24.333333333333332</v>
      </c>
      <c r="K1086" s="15" t="str">
        <f t="shared" si="1"/>
        <v>Exceeds Target</v>
      </c>
    </row>
    <row r="1087" spans="2:11" ht="15" customHeight="1">
      <c r="B1087" t="s">
        <v>1184</v>
      </c>
      <c r="C1087" t="s">
        <v>1468</v>
      </c>
      <c r="D1087" t="s">
        <v>69</v>
      </c>
      <c r="E1087" t="s">
        <v>70</v>
      </c>
      <c r="F1087" s="17">
        <v>1000</v>
      </c>
      <c r="G1087" s="17">
        <v>40000</v>
      </c>
      <c r="H1087" s="17">
        <v>39000</v>
      </c>
      <c r="I1087" s="18">
        <v>0.4</v>
      </c>
      <c r="J1087" s="14">
        <f t="shared" si="0"/>
        <v>39</v>
      </c>
      <c r="K1087" s="15" t="str">
        <f t="shared" si="1"/>
        <v>Exceeds Target</v>
      </c>
    </row>
    <row r="1088" spans="2:11" ht="15" customHeight="1">
      <c r="B1088" t="s">
        <v>65</v>
      </c>
      <c r="C1088" t="s">
        <v>1469</v>
      </c>
      <c r="D1088" t="s">
        <v>80</v>
      </c>
      <c r="E1088" t="s">
        <v>27</v>
      </c>
      <c r="F1088" s="17">
        <v>1000</v>
      </c>
      <c r="G1088" s="17">
        <v>84000</v>
      </c>
      <c r="H1088" s="17">
        <v>83000</v>
      </c>
      <c r="I1088" s="18">
        <v>0.97</v>
      </c>
      <c r="J1088" s="14">
        <f t="shared" si="0"/>
        <v>83</v>
      </c>
      <c r="K1088" s="15" t="str">
        <f t="shared" si="1"/>
        <v>Exceeds Target</v>
      </c>
    </row>
    <row r="1089" spans="2:11" ht="15" customHeight="1">
      <c r="B1089" t="s">
        <v>267</v>
      </c>
      <c r="C1089" t="s">
        <v>1470</v>
      </c>
      <c r="D1089" t="s">
        <v>26</v>
      </c>
      <c r="E1089" t="s">
        <v>27</v>
      </c>
      <c r="F1089" s="17">
        <v>5000</v>
      </c>
      <c r="G1089" s="17">
        <v>60000</v>
      </c>
      <c r="H1089" s="17">
        <v>55000</v>
      </c>
      <c r="I1089" s="18">
        <v>0.18</v>
      </c>
      <c r="J1089" s="14">
        <f t="shared" si="0"/>
        <v>11</v>
      </c>
      <c r="K1089" s="15" t="str">
        <f t="shared" si="1"/>
        <v>Exceeds Target</v>
      </c>
    </row>
    <row r="1090" spans="2:11" ht="15" customHeight="1">
      <c r="B1090" t="s">
        <v>971</v>
      </c>
      <c r="C1090" t="s">
        <v>1471</v>
      </c>
      <c r="D1090" t="s">
        <v>69</v>
      </c>
      <c r="E1090" t="s">
        <v>70</v>
      </c>
      <c r="F1090" s="17">
        <v>1000</v>
      </c>
      <c r="G1090" s="17">
        <v>120000</v>
      </c>
      <c r="H1090" s="17">
        <v>119000</v>
      </c>
      <c r="I1090" s="18">
        <v>0.31</v>
      </c>
      <c r="J1090" s="14">
        <f t="shared" si="0"/>
        <v>119</v>
      </c>
      <c r="K1090" s="15" t="str">
        <f t="shared" si="1"/>
        <v>Exceeds Target</v>
      </c>
    </row>
    <row r="1091" spans="2:11" ht="15" customHeight="1">
      <c r="B1091" t="s">
        <v>123</v>
      </c>
      <c r="C1091" t="s">
        <v>1472</v>
      </c>
      <c r="D1091" t="s">
        <v>26</v>
      </c>
      <c r="E1091" t="s">
        <v>27</v>
      </c>
      <c r="F1091" s="17">
        <v>5000</v>
      </c>
      <c r="G1091" s="17">
        <v>120000</v>
      </c>
      <c r="H1091" s="17">
        <v>115000</v>
      </c>
      <c r="I1091" s="18">
        <v>0.28000000000000003</v>
      </c>
      <c r="J1091" s="14">
        <f t="shared" si="0"/>
        <v>23</v>
      </c>
      <c r="K1091" s="15" t="str">
        <f t="shared" si="1"/>
        <v>Exceeds Target</v>
      </c>
    </row>
    <row r="1092" spans="2:11" ht="15" customHeight="1">
      <c r="B1092" t="s">
        <v>319</v>
      </c>
      <c r="C1092" t="s">
        <v>1473</v>
      </c>
      <c r="D1092" t="s">
        <v>32</v>
      </c>
      <c r="E1092" t="s">
        <v>27</v>
      </c>
      <c r="F1092" s="17">
        <v>1500</v>
      </c>
      <c r="G1092" s="17">
        <v>56000</v>
      </c>
      <c r="H1092" s="17">
        <v>54500</v>
      </c>
      <c r="I1092" s="18">
        <v>0.69</v>
      </c>
      <c r="J1092" s="14">
        <f t="shared" si="0"/>
        <v>36.333333333333336</v>
      </c>
      <c r="K1092" s="15" t="str">
        <f t="shared" si="1"/>
        <v>Exceeds Target</v>
      </c>
    </row>
    <row r="1093" spans="2:11" ht="15" customHeight="1">
      <c r="B1093" t="s">
        <v>754</v>
      </c>
      <c r="C1093" t="s">
        <v>1474</v>
      </c>
      <c r="D1093" t="s">
        <v>35</v>
      </c>
      <c r="E1093" t="s">
        <v>27</v>
      </c>
      <c r="F1093" s="17">
        <v>3000</v>
      </c>
      <c r="G1093" s="17">
        <v>290000</v>
      </c>
      <c r="H1093" s="17">
        <v>287000</v>
      </c>
      <c r="I1093" s="18">
        <v>0.79</v>
      </c>
      <c r="J1093" s="14">
        <f t="shared" si="0"/>
        <v>95.666666666666671</v>
      </c>
      <c r="K1093" s="15" t="str">
        <f t="shared" si="1"/>
        <v>Exceeds Target</v>
      </c>
    </row>
    <row r="1094" spans="2:11" ht="15" customHeight="1">
      <c r="B1094" t="s">
        <v>1241</v>
      </c>
      <c r="C1094" t="s">
        <v>1475</v>
      </c>
      <c r="D1094" t="s">
        <v>80</v>
      </c>
      <c r="E1094" t="s">
        <v>27</v>
      </c>
      <c r="F1094" s="17">
        <v>1000</v>
      </c>
      <c r="G1094" s="17">
        <v>78000</v>
      </c>
      <c r="H1094" s="17">
        <v>77000</v>
      </c>
      <c r="I1094" s="18">
        <v>0.93</v>
      </c>
      <c r="J1094" s="14">
        <f t="shared" si="0"/>
        <v>77</v>
      </c>
      <c r="K1094" s="15" t="str">
        <f t="shared" si="1"/>
        <v>Exceeds Target</v>
      </c>
    </row>
    <row r="1095" spans="2:11" ht="15" customHeight="1">
      <c r="B1095" t="s">
        <v>892</v>
      </c>
      <c r="C1095" t="s">
        <v>1476</v>
      </c>
      <c r="D1095" t="s">
        <v>26</v>
      </c>
      <c r="E1095" t="s">
        <v>27</v>
      </c>
      <c r="F1095" s="17">
        <v>5000</v>
      </c>
      <c r="G1095" s="17">
        <v>30000</v>
      </c>
      <c r="H1095" s="17">
        <v>25000</v>
      </c>
      <c r="I1095" s="18">
        <v>0.36</v>
      </c>
      <c r="J1095" s="14">
        <f t="shared" si="0"/>
        <v>5</v>
      </c>
      <c r="K1095" s="15" t="str">
        <f t="shared" si="1"/>
        <v>Exceeds Target</v>
      </c>
    </row>
    <row r="1096" spans="2:11" ht="15" customHeight="1">
      <c r="B1096" t="s">
        <v>1477</v>
      </c>
      <c r="C1096" t="s">
        <v>1478</v>
      </c>
      <c r="D1096" t="s">
        <v>26</v>
      </c>
      <c r="E1096" t="s">
        <v>27</v>
      </c>
      <c r="F1096" s="17">
        <v>5000</v>
      </c>
      <c r="G1096" s="17">
        <v>120000</v>
      </c>
      <c r="H1096" s="17">
        <v>115000</v>
      </c>
      <c r="I1096" s="18">
        <v>0.41</v>
      </c>
      <c r="J1096" s="14">
        <f t="shared" si="0"/>
        <v>23</v>
      </c>
      <c r="K1096" s="15" t="str">
        <f t="shared" si="1"/>
        <v>Exceeds Target</v>
      </c>
    </row>
    <row r="1097" spans="2:11" ht="15" customHeight="1">
      <c r="B1097" t="s">
        <v>255</v>
      </c>
      <c r="C1097" t="s">
        <v>1479</v>
      </c>
      <c r="D1097" t="s">
        <v>69</v>
      </c>
      <c r="E1097" t="s">
        <v>70</v>
      </c>
      <c r="F1097" s="17">
        <v>1000</v>
      </c>
      <c r="G1097" s="17">
        <v>45000</v>
      </c>
      <c r="H1097" s="17">
        <v>44000</v>
      </c>
      <c r="I1097" s="18">
        <v>0.81</v>
      </c>
      <c r="J1097" s="14">
        <f t="shared" si="0"/>
        <v>44</v>
      </c>
      <c r="K1097" s="15" t="str">
        <f t="shared" si="1"/>
        <v>Exceeds Target</v>
      </c>
    </row>
    <row r="1098" spans="2:11" ht="15" customHeight="1">
      <c r="B1098" t="s">
        <v>49</v>
      </c>
      <c r="C1098" t="s">
        <v>1480</v>
      </c>
      <c r="D1098" t="s">
        <v>69</v>
      </c>
      <c r="E1098" t="s">
        <v>70</v>
      </c>
      <c r="F1098" s="17">
        <v>1000</v>
      </c>
      <c r="G1098" s="17">
        <v>90000</v>
      </c>
      <c r="H1098" s="17">
        <v>89000</v>
      </c>
      <c r="I1098" s="18">
        <v>0.92</v>
      </c>
      <c r="J1098" s="14">
        <f t="shared" si="0"/>
        <v>89</v>
      </c>
      <c r="K1098" s="15" t="str">
        <f t="shared" si="1"/>
        <v>Exceeds Target</v>
      </c>
    </row>
    <row r="1099" spans="2:11" ht="15" customHeight="1">
      <c r="B1099" t="s">
        <v>386</v>
      </c>
      <c r="C1099" t="s">
        <v>1481</v>
      </c>
      <c r="D1099" t="s">
        <v>32</v>
      </c>
      <c r="E1099" t="s">
        <v>27</v>
      </c>
      <c r="F1099" s="17">
        <v>1500</v>
      </c>
      <c r="G1099" s="17">
        <v>22000</v>
      </c>
      <c r="H1099" s="17">
        <v>20500</v>
      </c>
      <c r="I1099" s="18">
        <v>0.36</v>
      </c>
      <c r="J1099" s="14">
        <f t="shared" si="0"/>
        <v>13.666666666666666</v>
      </c>
      <c r="K1099" s="15" t="str">
        <f t="shared" si="1"/>
        <v>Exceeds Target</v>
      </c>
    </row>
    <row r="1100" spans="2:11" ht="15" customHeight="1">
      <c r="B1100" t="s">
        <v>559</v>
      </c>
      <c r="C1100" t="s">
        <v>1482</v>
      </c>
      <c r="D1100" t="s">
        <v>35</v>
      </c>
      <c r="E1100" t="s">
        <v>27</v>
      </c>
      <c r="F1100" s="17">
        <v>3000</v>
      </c>
      <c r="G1100" s="17">
        <v>270000</v>
      </c>
      <c r="H1100" s="17">
        <v>267000</v>
      </c>
      <c r="I1100" s="18">
        <v>0.84</v>
      </c>
      <c r="J1100" s="14">
        <f t="shared" si="0"/>
        <v>89</v>
      </c>
      <c r="K1100" s="15" t="str">
        <f t="shared" si="1"/>
        <v>Exceeds Target</v>
      </c>
    </row>
    <row r="1101" spans="2:11" ht="15" customHeight="1">
      <c r="B1101" t="s">
        <v>448</v>
      </c>
      <c r="C1101" t="s">
        <v>1483</v>
      </c>
      <c r="D1101" t="s">
        <v>35</v>
      </c>
      <c r="E1101" t="s">
        <v>27</v>
      </c>
      <c r="F1101" s="17">
        <v>3000</v>
      </c>
      <c r="G1101" s="17">
        <v>300000</v>
      </c>
      <c r="H1101" s="17">
        <v>297000</v>
      </c>
      <c r="I1101" s="18">
        <v>0.93</v>
      </c>
      <c r="J1101" s="14">
        <f t="shared" si="0"/>
        <v>99</v>
      </c>
      <c r="K1101" s="15" t="str">
        <f t="shared" si="1"/>
        <v>Exceeds Target</v>
      </c>
    </row>
    <row r="1102" spans="2:11" ht="15" customHeight="1">
      <c r="B1102" t="s">
        <v>227</v>
      </c>
      <c r="C1102" t="s">
        <v>1484</v>
      </c>
      <c r="D1102" t="s">
        <v>35</v>
      </c>
      <c r="E1102" t="s">
        <v>27</v>
      </c>
      <c r="F1102" s="17">
        <v>3000</v>
      </c>
      <c r="G1102" s="17">
        <v>210000</v>
      </c>
      <c r="H1102" s="17">
        <v>207000</v>
      </c>
      <c r="I1102" s="18">
        <v>0.28999999999999998</v>
      </c>
      <c r="J1102" s="14">
        <f t="shared" si="0"/>
        <v>69</v>
      </c>
      <c r="K1102" s="15" t="str">
        <f t="shared" si="1"/>
        <v>Exceeds Target</v>
      </c>
    </row>
    <row r="1103" spans="2:11" ht="15" customHeight="1">
      <c r="B1103" t="s">
        <v>201</v>
      </c>
      <c r="C1103" t="s">
        <v>1485</v>
      </c>
      <c r="D1103" t="s">
        <v>69</v>
      </c>
      <c r="E1103" t="s">
        <v>70</v>
      </c>
      <c r="F1103" s="17">
        <v>1000</v>
      </c>
      <c r="G1103" s="17">
        <v>40000</v>
      </c>
      <c r="H1103" s="17">
        <v>39000</v>
      </c>
      <c r="I1103" s="18">
        <v>0.96</v>
      </c>
      <c r="J1103" s="14">
        <f t="shared" si="0"/>
        <v>39</v>
      </c>
      <c r="K1103" s="15" t="str">
        <f t="shared" si="1"/>
        <v>Exceeds Target</v>
      </c>
    </row>
    <row r="1104" spans="2:11" ht="15" customHeight="1">
      <c r="B1104" t="s">
        <v>135</v>
      </c>
      <c r="C1104" t="s">
        <v>1486</v>
      </c>
      <c r="D1104" t="s">
        <v>69</v>
      </c>
      <c r="E1104" t="s">
        <v>70</v>
      </c>
      <c r="F1104" s="17">
        <v>1000</v>
      </c>
      <c r="G1104" s="17">
        <v>120000</v>
      </c>
      <c r="H1104" s="17">
        <v>119000</v>
      </c>
      <c r="I1104" s="18">
        <v>0.25</v>
      </c>
      <c r="J1104" s="14">
        <f t="shared" si="0"/>
        <v>119</v>
      </c>
      <c r="K1104" s="15" t="str">
        <f t="shared" si="1"/>
        <v>Exceeds Target</v>
      </c>
    </row>
    <row r="1105" spans="2:11" ht="15" customHeight="1">
      <c r="B1105" t="s">
        <v>1083</v>
      </c>
      <c r="C1105" t="s">
        <v>1487</v>
      </c>
      <c r="D1105" t="s">
        <v>26</v>
      </c>
      <c r="E1105" t="s">
        <v>27</v>
      </c>
      <c r="F1105" s="17">
        <v>5000</v>
      </c>
      <c r="G1105" s="17">
        <v>60000</v>
      </c>
      <c r="H1105" s="17">
        <v>55000</v>
      </c>
      <c r="I1105" s="18">
        <v>0.31</v>
      </c>
      <c r="J1105" s="14">
        <f t="shared" si="0"/>
        <v>11</v>
      </c>
      <c r="K1105" s="15" t="str">
        <f t="shared" si="1"/>
        <v>Exceeds Target</v>
      </c>
    </row>
    <row r="1106" spans="2:11" ht="15" customHeight="1">
      <c r="B1106" t="s">
        <v>1036</v>
      </c>
      <c r="C1106" t="s">
        <v>1488</v>
      </c>
      <c r="D1106" t="s">
        <v>32</v>
      </c>
      <c r="E1106" t="s">
        <v>27</v>
      </c>
      <c r="F1106" s="17">
        <v>1500</v>
      </c>
      <c r="G1106" s="17">
        <v>36000</v>
      </c>
      <c r="H1106" s="17">
        <v>34500</v>
      </c>
      <c r="I1106" s="18">
        <v>0.79</v>
      </c>
      <c r="J1106" s="14">
        <f t="shared" si="0"/>
        <v>23</v>
      </c>
      <c r="K1106" s="15" t="str">
        <f t="shared" si="1"/>
        <v>Exceeds Target</v>
      </c>
    </row>
    <row r="1107" spans="2:11" ht="15" customHeight="1">
      <c r="B1107" t="s">
        <v>754</v>
      </c>
      <c r="C1107" t="s">
        <v>1489</v>
      </c>
      <c r="D1107" t="s">
        <v>35</v>
      </c>
      <c r="E1107" t="s">
        <v>27</v>
      </c>
      <c r="F1107" s="17">
        <v>3000</v>
      </c>
      <c r="G1107" s="17">
        <v>300000</v>
      </c>
      <c r="H1107" s="17">
        <v>297000</v>
      </c>
      <c r="I1107" s="18">
        <v>0.55000000000000004</v>
      </c>
      <c r="J1107" s="14">
        <f t="shared" si="0"/>
        <v>99</v>
      </c>
      <c r="K1107" s="15" t="str">
        <f t="shared" si="1"/>
        <v>Exceeds Target</v>
      </c>
    </row>
    <row r="1108" spans="2:11" ht="15" customHeight="1">
      <c r="B1108" t="s">
        <v>1053</v>
      </c>
      <c r="C1108" t="s">
        <v>1490</v>
      </c>
      <c r="D1108" t="s">
        <v>32</v>
      </c>
      <c r="E1108" t="s">
        <v>27</v>
      </c>
      <c r="F1108" s="17">
        <v>1500</v>
      </c>
      <c r="G1108" s="17">
        <v>34000</v>
      </c>
      <c r="H1108" s="17">
        <v>32500</v>
      </c>
      <c r="I1108" s="18">
        <v>0.56000000000000005</v>
      </c>
      <c r="J1108" s="14">
        <f t="shared" si="0"/>
        <v>21.666666666666668</v>
      </c>
      <c r="K1108" s="15" t="str">
        <f t="shared" si="1"/>
        <v>Exceeds Target</v>
      </c>
    </row>
    <row r="1109" spans="2:11" ht="15" customHeight="1">
      <c r="B1109" t="s">
        <v>628</v>
      </c>
      <c r="C1109" t="s">
        <v>1491</v>
      </c>
      <c r="D1109" t="s">
        <v>69</v>
      </c>
      <c r="E1109" t="s">
        <v>70</v>
      </c>
      <c r="F1109" s="17">
        <v>1000</v>
      </c>
      <c r="G1109" s="17">
        <v>85000</v>
      </c>
      <c r="H1109" s="17">
        <v>84000</v>
      </c>
      <c r="I1109" s="18">
        <v>0.48</v>
      </c>
      <c r="J1109" s="14">
        <f t="shared" si="0"/>
        <v>84</v>
      </c>
      <c r="K1109" s="15" t="str">
        <f t="shared" si="1"/>
        <v>Exceeds Target</v>
      </c>
    </row>
    <row r="1110" spans="2:11" ht="15" customHeight="1">
      <c r="B1110" t="s">
        <v>457</v>
      </c>
      <c r="C1110" t="s">
        <v>1492</v>
      </c>
      <c r="D1110" t="s">
        <v>32</v>
      </c>
      <c r="E1110" t="s">
        <v>27</v>
      </c>
      <c r="F1110" s="17">
        <v>1500</v>
      </c>
      <c r="G1110" s="17">
        <v>58000</v>
      </c>
      <c r="H1110" s="17">
        <v>56500</v>
      </c>
      <c r="I1110" s="18">
        <v>0.79</v>
      </c>
      <c r="J1110" s="14">
        <f t="shared" si="0"/>
        <v>37.666666666666664</v>
      </c>
      <c r="K1110" s="15" t="str">
        <f t="shared" si="1"/>
        <v>Exceeds Target</v>
      </c>
    </row>
    <row r="1111" spans="2:11" ht="15" customHeight="1">
      <c r="B1111" t="s">
        <v>303</v>
      </c>
      <c r="C1111" t="s">
        <v>1493</v>
      </c>
      <c r="D1111" t="s">
        <v>80</v>
      </c>
      <c r="E1111" t="s">
        <v>27</v>
      </c>
      <c r="F1111" s="17">
        <v>1000</v>
      </c>
      <c r="G1111" s="17">
        <v>102000</v>
      </c>
      <c r="H1111" s="17">
        <v>101000</v>
      </c>
      <c r="I1111" s="18">
        <v>0.6</v>
      </c>
      <c r="J1111" s="14">
        <f t="shared" si="0"/>
        <v>101</v>
      </c>
      <c r="K1111" s="15" t="str">
        <f t="shared" si="1"/>
        <v>Exceeds Target</v>
      </c>
    </row>
    <row r="1112" spans="2:11" ht="15" customHeight="1">
      <c r="B1112" t="s">
        <v>83</v>
      </c>
      <c r="C1112" t="s">
        <v>1494</v>
      </c>
      <c r="D1112" t="s">
        <v>69</v>
      </c>
      <c r="E1112" t="s">
        <v>70</v>
      </c>
      <c r="F1112" s="17">
        <v>1000</v>
      </c>
      <c r="G1112" s="17">
        <v>50000</v>
      </c>
      <c r="H1112" s="17">
        <v>49000</v>
      </c>
      <c r="I1112" s="18">
        <v>0.46</v>
      </c>
      <c r="J1112" s="14">
        <f t="shared" si="0"/>
        <v>49</v>
      </c>
      <c r="K1112" s="15" t="str">
        <f t="shared" si="1"/>
        <v>Exceeds Target</v>
      </c>
    </row>
    <row r="1113" spans="2:11" ht="15" customHeight="1">
      <c r="B1113" t="s">
        <v>293</v>
      </c>
      <c r="C1113" t="s">
        <v>1495</v>
      </c>
      <c r="D1113" t="s">
        <v>80</v>
      </c>
      <c r="E1113" t="s">
        <v>27</v>
      </c>
      <c r="F1113" s="17">
        <v>1000</v>
      </c>
      <c r="G1113" s="17">
        <v>57000</v>
      </c>
      <c r="H1113" s="17">
        <v>56000</v>
      </c>
      <c r="I1113" s="18">
        <v>0.86</v>
      </c>
      <c r="J1113" s="14">
        <f t="shared" si="0"/>
        <v>56</v>
      </c>
      <c r="K1113" s="15" t="str">
        <f t="shared" si="1"/>
        <v>Exceeds Target</v>
      </c>
    </row>
    <row r="1114" spans="2:11" ht="15" customHeight="1">
      <c r="B1114" t="s">
        <v>639</v>
      </c>
      <c r="C1114" t="s">
        <v>1496</v>
      </c>
      <c r="D1114" t="s">
        <v>69</v>
      </c>
      <c r="E1114" t="s">
        <v>70</v>
      </c>
      <c r="F1114" s="17">
        <v>1000</v>
      </c>
      <c r="G1114" s="17">
        <v>35000</v>
      </c>
      <c r="H1114" s="17">
        <v>34000</v>
      </c>
      <c r="I1114" s="18">
        <v>0.66</v>
      </c>
      <c r="J1114" s="14">
        <f t="shared" si="0"/>
        <v>34</v>
      </c>
      <c r="K1114" s="15" t="str">
        <f t="shared" si="1"/>
        <v>Exceeds Target</v>
      </c>
    </row>
    <row r="1115" spans="2:11" ht="15" customHeight="1">
      <c r="B1115" t="s">
        <v>1134</v>
      </c>
      <c r="C1115" t="s">
        <v>1497</v>
      </c>
      <c r="D1115" t="s">
        <v>32</v>
      </c>
      <c r="E1115" t="s">
        <v>27</v>
      </c>
      <c r="F1115" s="17">
        <v>1500</v>
      </c>
      <c r="G1115" s="17">
        <v>38000</v>
      </c>
      <c r="H1115" s="17">
        <v>36500</v>
      </c>
      <c r="I1115" s="18">
        <v>0.72</v>
      </c>
      <c r="J1115" s="14">
        <f t="shared" si="0"/>
        <v>24.333333333333332</v>
      </c>
      <c r="K1115" s="15" t="str">
        <f t="shared" si="1"/>
        <v>Exceeds Target</v>
      </c>
    </row>
    <row r="1116" spans="2:11" ht="15" customHeight="1">
      <c r="B1116" t="s">
        <v>507</v>
      </c>
      <c r="C1116" t="s">
        <v>1498</v>
      </c>
      <c r="D1116" t="s">
        <v>35</v>
      </c>
      <c r="E1116" t="s">
        <v>27</v>
      </c>
      <c r="F1116" s="17">
        <v>3000</v>
      </c>
      <c r="G1116" s="17">
        <v>220000</v>
      </c>
      <c r="H1116" s="17">
        <v>217000</v>
      </c>
      <c r="I1116" s="18">
        <v>0.25</v>
      </c>
      <c r="J1116" s="14">
        <f t="shared" si="0"/>
        <v>72.333333333333329</v>
      </c>
      <c r="K1116" s="15" t="str">
        <f t="shared" si="1"/>
        <v>Exceeds Target</v>
      </c>
    </row>
    <row r="1117" spans="2:11" ht="15" customHeight="1">
      <c r="B1117" t="s">
        <v>394</v>
      </c>
      <c r="C1117" t="s">
        <v>1499</v>
      </c>
      <c r="D1117" t="s">
        <v>80</v>
      </c>
      <c r="E1117" t="s">
        <v>27</v>
      </c>
      <c r="F1117" s="17">
        <v>1000</v>
      </c>
      <c r="G1117" s="17">
        <v>48000</v>
      </c>
      <c r="H1117" s="17">
        <v>47000</v>
      </c>
      <c r="I1117" s="18">
        <v>0.72</v>
      </c>
      <c r="J1117" s="14">
        <f t="shared" si="0"/>
        <v>47</v>
      </c>
      <c r="K1117" s="15" t="str">
        <f t="shared" si="1"/>
        <v>Exceeds Target</v>
      </c>
    </row>
    <row r="1118" spans="2:11" ht="15" customHeight="1">
      <c r="B1118" t="s">
        <v>133</v>
      </c>
      <c r="C1118" t="s">
        <v>1500</v>
      </c>
      <c r="D1118" t="s">
        <v>32</v>
      </c>
      <c r="E1118" t="s">
        <v>27</v>
      </c>
      <c r="F1118" s="17">
        <v>1500</v>
      </c>
      <c r="G1118" s="17">
        <v>16000</v>
      </c>
      <c r="H1118" s="17">
        <v>14500</v>
      </c>
      <c r="I1118" s="18">
        <v>0.69</v>
      </c>
      <c r="J1118" s="14">
        <f t="shared" si="0"/>
        <v>9.6666666666666661</v>
      </c>
      <c r="K1118" s="15" t="str">
        <f t="shared" si="1"/>
        <v>Exceeds Target</v>
      </c>
    </row>
    <row r="1119" spans="2:11" ht="15" customHeight="1">
      <c r="B1119" t="s">
        <v>596</v>
      </c>
      <c r="C1119" t="s">
        <v>1501</v>
      </c>
      <c r="D1119" t="s">
        <v>35</v>
      </c>
      <c r="E1119" t="s">
        <v>27</v>
      </c>
      <c r="F1119" s="17">
        <v>3000</v>
      </c>
      <c r="G1119" s="17">
        <v>100000</v>
      </c>
      <c r="H1119" s="17">
        <v>97000</v>
      </c>
      <c r="I1119" s="18">
        <v>0.53</v>
      </c>
      <c r="J1119" s="14">
        <f t="shared" si="0"/>
        <v>32.333333333333336</v>
      </c>
      <c r="K1119" s="15" t="str">
        <f t="shared" si="1"/>
        <v>Exceeds Target</v>
      </c>
    </row>
    <row r="1120" spans="2:11" ht="15" customHeight="1">
      <c r="B1120" t="s">
        <v>1176</v>
      </c>
      <c r="C1120" t="s">
        <v>1502</v>
      </c>
      <c r="D1120" t="s">
        <v>69</v>
      </c>
      <c r="E1120" t="s">
        <v>70</v>
      </c>
      <c r="F1120" s="17">
        <v>1000</v>
      </c>
      <c r="G1120" s="17">
        <v>65000</v>
      </c>
      <c r="H1120" s="17">
        <v>64000</v>
      </c>
      <c r="I1120" s="18">
        <v>0.75</v>
      </c>
      <c r="J1120" s="14">
        <f t="shared" si="0"/>
        <v>64</v>
      </c>
      <c r="K1120" s="15" t="str">
        <f t="shared" si="1"/>
        <v>Exceeds Target</v>
      </c>
    </row>
    <row r="1121" spans="2:11" ht="15" customHeight="1">
      <c r="B1121" t="s">
        <v>500</v>
      </c>
      <c r="C1121" t="s">
        <v>1503</v>
      </c>
      <c r="D1121" t="s">
        <v>26</v>
      </c>
      <c r="E1121" t="s">
        <v>27</v>
      </c>
      <c r="F1121" s="17">
        <v>5000</v>
      </c>
      <c r="G1121" s="17">
        <v>150000</v>
      </c>
      <c r="H1121" s="17">
        <v>145000</v>
      </c>
      <c r="I1121" s="18">
        <v>7.0000000000000007E-2</v>
      </c>
      <c r="J1121" s="14">
        <f t="shared" si="0"/>
        <v>29</v>
      </c>
      <c r="K1121" s="15" t="str">
        <f t="shared" si="1"/>
        <v>Exceeds Target</v>
      </c>
    </row>
    <row r="1122" spans="2:11" ht="15" customHeight="1">
      <c r="B1122" t="s">
        <v>321</v>
      </c>
      <c r="C1122" t="s">
        <v>1504</v>
      </c>
      <c r="D1122" t="s">
        <v>26</v>
      </c>
      <c r="E1122" t="s">
        <v>27</v>
      </c>
      <c r="F1122" s="17">
        <v>5000</v>
      </c>
      <c r="G1122" s="17">
        <v>120000</v>
      </c>
      <c r="H1122" s="17">
        <v>115000</v>
      </c>
      <c r="I1122" s="18">
        <v>0.31</v>
      </c>
      <c r="J1122" s="14">
        <f t="shared" si="0"/>
        <v>23</v>
      </c>
      <c r="K1122" s="15" t="str">
        <f t="shared" si="1"/>
        <v>Exceeds Target</v>
      </c>
    </row>
    <row r="1123" spans="2:11" ht="15" customHeight="1">
      <c r="B1123" t="s">
        <v>563</v>
      </c>
      <c r="C1123" t="s">
        <v>1505</v>
      </c>
      <c r="D1123" t="s">
        <v>35</v>
      </c>
      <c r="E1123" t="s">
        <v>27</v>
      </c>
      <c r="F1123" s="17">
        <v>3000</v>
      </c>
      <c r="G1123" s="17">
        <v>250000</v>
      </c>
      <c r="H1123" s="17">
        <v>247000</v>
      </c>
      <c r="I1123" s="18">
        <v>0.7</v>
      </c>
      <c r="J1123" s="14">
        <f t="shared" si="0"/>
        <v>82.333333333333329</v>
      </c>
      <c r="K1123" s="15" t="str">
        <f t="shared" si="1"/>
        <v>Exceeds Target</v>
      </c>
    </row>
    <row r="1124" spans="2:11" ht="15" customHeight="1">
      <c r="B1124" t="s">
        <v>67</v>
      </c>
      <c r="C1124" t="s">
        <v>1506</v>
      </c>
      <c r="D1124" t="s">
        <v>32</v>
      </c>
      <c r="E1124" t="s">
        <v>27</v>
      </c>
      <c r="F1124" s="17">
        <v>1500</v>
      </c>
      <c r="G1124" s="17">
        <v>12000</v>
      </c>
      <c r="H1124" s="17">
        <v>10500</v>
      </c>
      <c r="I1124" s="18">
        <v>0.22</v>
      </c>
      <c r="J1124" s="14">
        <f t="shared" si="0"/>
        <v>7</v>
      </c>
      <c r="K1124" s="15" t="str">
        <f t="shared" si="1"/>
        <v>Exceeds Target</v>
      </c>
    </row>
    <row r="1125" spans="2:11" ht="15" customHeight="1">
      <c r="B1125" t="s">
        <v>76</v>
      </c>
      <c r="C1125" t="s">
        <v>1507</v>
      </c>
      <c r="D1125" t="s">
        <v>32</v>
      </c>
      <c r="E1125" t="s">
        <v>27</v>
      </c>
      <c r="F1125" s="17">
        <v>1500</v>
      </c>
      <c r="G1125" s="17">
        <v>38000</v>
      </c>
      <c r="H1125" s="17">
        <v>36500</v>
      </c>
      <c r="I1125" s="18">
        <v>0.99</v>
      </c>
      <c r="J1125" s="14">
        <f t="shared" si="0"/>
        <v>24.333333333333332</v>
      </c>
      <c r="K1125" s="15" t="str">
        <f t="shared" si="1"/>
        <v>Exceeds Target</v>
      </c>
    </row>
    <row r="1126" spans="2:11" ht="15" customHeight="1">
      <c r="B1126" t="s">
        <v>223</v>
      </c>
      <c r="C1126" t="s">
        <v>1508</v>
      </c>
      <c r="D1126" t="s">
        <v>80</v>
      </c>
      <c r="E1126" t="s">
        <v>27</v>
      </c>
      <c r="F1126" s="17">
        <v>1000</v>
      </c>
      <c r="G1126" s="17">
        <v>57000</v>
      </c>
      <c r="H1126" s="17">
        <v>56000</v>
      </c>
      <c r="I1126" s="18">
        <v>0.72</v>
      </c>
      <c r="J1126" s="14">
        <f t="shared" si="0"/>
        <v>56</v>
      </c>
      <c r="K1126" s="15" t="str">
        <f t="shared" si="1"/>
        <v>Exceeds Target</v>
      </c>
    </row>
    <row r="1127" spans="2:11" ht="15" customHeight="1">
      <c r="B1127" t="s">
        <v>212</v>
      </c>
      <c r="C1127" t="s">
        <v>1509</v>
      </c>
      <c r="D1127" t="s">
        <v>32</v>
      </c>
      <c r="E1127" t="s">
        <v>27</v>
      </c>
      <c r="F1127" s="17">
        <v>1500</v>
      </c>
      <c r="G1127" s="17">
        <v>50000</v>
      </c>
      <c r="H1127" s="17">
        <v>48500</v>
      </c>
      <c r="I1127" s="18">
        <v>0.38</v>
      </c>
      <c r="J1127" s="14">
        <f t="shared" si="0"/>
        <v>32.333333333333336</v>
      </c>
      <c r="K1127" s="15" t="str">
        <f t="shared" si="1"/>
        <v>Exceeds Target</v>
      </c>
    </row>
    <row r="1128" spans="2:11" ht="15" customHeight="1">
      <c r="B1128" t="s">
        <v>1510</v>
      </c>
      <c r="C1128" t="s">
        <v>1511</v>
      </c>
      <c r="D1128" t="s">
        <v>26</v>
      </c>
      <c r="E1128" t="s">
        <v>27</v>
      </c>
      <c r="F1128" s="17">
        <v>5000</v>
      </c>
      <c r="G1128" s="17">
        <v>90000</v>
      </c>
      <c r="H1128" s="17">
        <v>85000</v>
      </c>
      <c r="I1128" s="18">
        <v>0.22</v>
      </c>
      <c r="J1128" s="14">
        <f t="shared" si="0"/>
        <v>17</v>
      </c>
      <c r="K1128" s="15" t="str">
        <f t="shared" si="1"/>
        <v>Exceeds Target</v>
      </c>
    </row>
    <row r="1129" spans="2:11" ht="15" customHeight="1">
      <c r="B1129" t="s">
        <v>1113</v>
      </c>
      <c r="C1129" t="s">
        <v>1512</v>
      </c>
      <c r="D1129" t="s">
        <v>32</v>
      </c>
      <c r="E1129" t="s">
        <v>27</v>
      </c>
      <c r="F1129" s="17">
        <v>1500</v>
      </c>
      <c r="G1129" s="17">
        <v>18000</v>
      </c>
      <c r="H1129" s="17">
        <v>16500</v>
      </c>
      <c r="I1129" s="18">
        <v>0.67</v>
      </c>
      <c r="J1129" s="14">
        <f t="shared" si="0"/>
        <v>11</v>
      </c>
      <c r="K1129" s="15" t="str">
        <f t="shared" si="1"/>
        <v>Exceeds Target</v>
      </c>
    </row>
    <row r="1130" spans="2:11" ht="15" customHeight="1">
      <c r="B1130" t="s">
        <v>743</v>
      </c>
      <c r="C1130" t="s">
        <v>1513</v>
      </c>
      <c r="D1130" t="s">
        <v>80</v>
      </c>
      <c r="E1130" t="s">
        <v>27</v>
      </c>
      <c r="F1130" s="17">
        <v>1000</v>
      </c>
      <c r="G1130" s="17">
        <v>87000</v>
      </c>
      <c r="H1130" s="17">
        <v>86000</v>
      </c>
      <c r="I1130" s="18">
        <v>0.99</v>
      </c>
      <c r="J1130" s="14">
        <f t="shared" si="0"/>
        <v>86</v>
      </c>
      <c r="K1130" s="15" t="str">
        <f t="shared" si="1"/>
        <v>Exceeds Target</v>
      </c>
    </row>
    <row r="1131" spans="2:11" ht="15" customHeight="1">
      <c r="B1131" t="s">
        <v>319</v>
      </c>
      <c r="C1131" t="s">
        <v>1514</v>
      </c>
      <c r="D1131" t="s">
        <v>80</v>
      </c>
      <c r="E1131" t="s">
        <v>27</v>
      </c>
      <c r="F1131" s="17">
        <v>1000</v>
      </c>
      <c r="G1131" s="17">
        <v>93000</v>
      </c>
      <c r="H1131" s="17">
        <v>92000</v>
      </c>
      <c r="I1131" s="18">
        <v>0.66</v>
      </c>
      <c r="J1131" s="14">
        <f t="shared" si="0"/>
        <v>92</v>
      </c>
      <c r="K1131" s="15" t="str">
        <f t="shared" si="1"/>
        <v>Exceeds Target</v>
      </c>
    </row>
    <row r="1132" spans="2:11" ht="15" customHeight="1">
      <c r="B1132" t="s">
        <v>135</v>
      </c>
      <c r="C1132" t="s">
        <v>1515</v>
      </c>
      <c r="D1132" t="s">
        <v>69</v>
      </c>
      <c r="E1132" t="s">
        <v>70</v>
      </c>
      <c r="F1132" s="17">
        <v>1000</v>
      </c>
      <c r="G1132" s="17">
        <v>55000</v>
      </c>
      <c r="H1132" s="17">
        <v>54000</v>
      </c>
      <c r="I1132" s="18">
        <v>0.6</v>
      </c>
      <c r="J1132" s="14">
        <f t="shared" si="0"/>
        <v>54</v>
      </c>
      <c r="K1132" s="15" t="str">
        <f t="shared" si="1"/>
        <v>Exceeds Target</v>
      </c>
    </row>
    <row r="1133" spans="2:11" ht="15" customHeight="1">
      <c r="B1133" t="s">
        <v>1516</v>
      </c>
      <c r="C1133" t="s">
        <v>1517</v>
      </c>
      <c r="D1133" t="s">
        <v>32</v>
      </c>
      <c r="E1133" t="s">
        <v>27</v>
      </c>
      <c r="F1133" s="17">
        <v>1500</v>
      </c>
      <c r="G1133" s="17">
        <v>52000</v>
      </c>
      <c r="H1133" s="17">
        <v>50500</v>
      </c>
      <c r="I1133" s="18">
        <v>0.56000000000000005</v>
      </c>
      <c r="J1133" s="14">
        <f t="shared" si="0"/>
        <v>33.666666666666664</v>
      </c>
      <c r="K1133" s="15" t="str">
        <f t="shared" si="1"/>
        <v>Exceeds Target</v>
      </c>
    </row>
    <row r="1134" spans="2:11" ht="15" customHeight="1">
      <c r="B1134" t="s">
        <v>225</v>
      </c>
      <c r="C1134" t="s">
        <v>1518</v>
      </c>
      <c r="D1134" t="s">
        <v>32</v>
      </c>
      <c r="E1134" t="s">
        <v>27</v>
      </c>
      <c r="F1134" s="17">
        <v>1500</v>
      </c>
      <c r="G1134" s="17">
        <v>14000</v>
      </c>
      <c r="H1134" s="17">
        <v>12500</v>
      </c>
      <c r="I1134" s="18">
        <v>0.5</v>
      </c>
      <c r="J1134" s="14">
        <f t="shared" si="0"/>
        <v>8.3333333333333339</v>
      </c>
      <c r="K1134" s="15" t="str">
        <f t="shared" si="1"/>
        <v>Exceeds Target</v>
      </c>
    </row>
    <row r="1135" spans="2:11" ht="15" customHeight="1">
      <c r="B1135" t="s">
        <v>171</v>
      </c>
      <c r="C1135" t="s">
        <v>1519</v>
      </c>
      <c r="D1135" t="s">
        <v>32</v>
      </c>
      <c r="E1135" t="s">
        <v>27</v>
      </c>
      <c r="F1135" s="17">
        <v>1500</v>
      </c>
      <c r="G1135" s="17">
        <v>48000</v>
      </c>
      <c r="H1135" s="17">
        <v>46500</v>
      </c>
      <c r="I1135" s="18">
        <v>0.6</v>
      </c>
      <c r="J1135" s="14">
        <f t="shared" si="0"/>
        <v>31</v>
      </c>
      <c r="K1135" s="15" t="str">
        <f t="shared" si="1"/>
        <v>Exceeds Target</v>
      </c>
    </row>
    <row r="1136" spans="2:11" ht="15" customHeight="1">
      <c r="B1136" t="s">
        <v>608</v>
      </c>
      <c r="C1136" t="s">
        <v>1520</v>
      </c>
      <c r="D1136" t="s">
        <v>32</v>
      </c>
      <c r="E1136" t="s">
        <v>27</v>
      </c>
      <c r="F1136" s="17">
        <v>1500</v>
      </c>
      <c r="G1136" s="17">
        <v>12000</v>
      </c>
      <c r="H1136" s="17">
        <v>10500</v>
      </c>
      <c r="I1136" s="18">
        <v>0.25</v>
      </c>
      <c r="J1136" s="14">
        <f t="shared" si="0"/>
        <v>7</v>
      </c>
      <c r="K1136" s="15" t="str">
        <f t="shared" si="1"/>
        <v>Exceeds Target</v>
      </c>
    </row>
    <row r="1137" spans="2:11" ht="15" customHeight="1">
      <c r="B1137" t="s">
        <v>1143</v>
      </c>
      <c r="C1137" t="s">
        <v>1521</v>
      </c>
      <c r="D1137" t="s">
        <v>80</v>
      </c>
      <c r="E1137" t="s">
        <v>27</v>
      </c>
      <c r="F1137" s="17">
        <v>1000</v>
      </c>
      <c r="G1137" s="17">
        <v>120000</v>
      </c>
      <c r="H1137" s="17">
        <v>119000</v>
      </c>
      <c r="I1137" s="18">
        <v>0.67</v>
      </c>
      <c r="J1137" s="14">
        <f t="shared" si="0"/>
        <v>119</v>
      </c>
      <c r="K1137" s="15" t="str">
        <f t="shared" si="1"/>
        <v>Exceeds Target</v>
      </c>
    </row>
    <row r="1138" spans="2:11" ht="15" customHeight="1">
      <c r="B1138" t="s">
        <v>272</v>
      </c>
      <c r="C1138" t="s">
        <v>1522</v>
      </c>
      <c r="D1138" t="s">
        <v>35</v>
      </c>
      <c r="E1138" t="s">
        <v>27</v>
      </c>
      <c r="F1138" s="17">
        <v>3000</v>
      </c>
      <c r="G1138" s="17">
        <v>170000</v>
      </c>
      <c r="H1138" s="17">
        <v>167000</v>
      </c>
      <c r="I1138" s="18">
        <v>0.52</v>
      </c>
      <c r="J1138" s="14">
        <f t="shared" si="0"/>
        <v>55.666666666666664</v>
      </c>
      <c r="K1138" s="15" t="str">
        <f t="shared" si="1"/>
        <v>Exceeds Target</v>
      </c>
    </row>
    <row r="1139" spans="2:11" ht="15" customHeight="1">
      <c r="B1139" t="s">
        <v>542</v>
      </c>
      <c r="C1139" t="s">
        <v>1523</v>
      </c>
      <c r="D1139" t="s">
        <v>35</v>
      </c>
      <c r="E1139" t="s">
        <v>27</v>
      </c>
      <c r="F1139" s="17">
        <v>3000</v>
      </c>
      <c r="G1139" s="17">
        <v>60000</v>
      </c>
      <c r="H1139" s="17">
        <v>57000</v>
      </c>
      <c r="I1139" s="18">
        <v>0.39</v>
      </c>
      <c r="J1139" s="14">
        <f t="shared" si="0"/>
        <v>19</v>
      </c>
      <c r="K1139" s="15" t="str">
        <f t="shared" si="1"/>
        <v>Exceeds Target</v>
      </c>
    </row>
    <row r="1140" spans="2:11" ht="15" customHeight="1">
      <c r="B1140" t="s">
        <v>582</v>
      </c>
      <c r="C1140" t="s">
        <v>1524</v>
      </c>
      <c r="D1140" t="s">
        <v>80</v>
      </c>
      <c r="E1140" t="s">
        <v>27</v>
      </c>
      <c r="F1140" s="17">
        <v>1000</v>
      </c>
      <c r="G1140" s="17">
        <v>51000</v>
      </c>
      <c r="H1140" s="17">
        <v>50000</v>
      </c>
      <c r="I1140" s="18">
        <v>0.81</v>
      </c>
      <c r="J1140" s="14">
        <f t="shared" si="0"/>
        <v>50</v>
      </c>
      <c r="K1140" s="15" t="str">
        <f t="shared" si="1"/>
        <v>Exceeds Target</v>
      </c>
    </row>
    <row r="1141" spans="2:11" ht="15" customHeight="1">
      <c r="B1141" t="s">
        <v>131</v>
      </c>
      <c r="C1141" t="s">
        <v>1525</v>
      </c>
      <c r="D1141" t="s">
        <v>32</v>
      </c>
      <c r="E1141" t="s">
        <v>27</v>
      </c>
      <c r="F1141" s="17">
        <v>1500</v>
      </c>
      <c r="G1141" s="17">
        <v>50000</v>
      </c>
      <c r="H1141" s="17">
        <v>48500</v>
      </c>
      <c r="I1141" s="18">
        <v>0.42</v>
      </c>
      <c r="J1141" s="14">
        <f t="shared" si="0"/>
        <v>32.333333333333336</v>
      </c>
      <c r="K1141" s="15" t="str">
        <f t="shared" si="1"/>
        <v>Exceeds Target</v>
      </c>
    </row>
    <row r="1142" spans="2:11" ht="15" customHeight="1">
      <c r="B1142" t="s">
        <v>736</v>
      </c>
      <c r="C1142" t="s">
        <v>1526</v>
      </c>
      <c r="D1142" t="s">
        <v>69</v>
      </c>
      <c r="E1142" t="s">
        <v>70</v>
      </c>
      <c r="F1142" s="17">
        <v>1000</v>
      </c>
      <c r="G1142" s="17">
        <v>105000</v>
      </c>
      <c r="H1142" s="17">
        <v>104000</v>
      </c>
      <c r="I1142" s="18">
        <v>0.41</v>
      </c>
      <c r="J1142" s="14">
        <f t="shared" si="0"/>
        <v>104</v>
      </c>
      <c r="K1142" s="15" t="str">
        <f t="shared" si="1"/>
        <v>Exceeds Target</v>
      </c>
    </row>
    <row r="1143" spans="2:11" ht="15" customHeight="1">
      <c r="B1143" t="s">
        <v>87</v>
      </c>
      <c r="C1143" t="s">
        <v>1527</v>
      </c>
      <c r="D1143" t="s">
        <v>80</v>
      </c>
      <c r="E1143" t="s">
        <v>27</v>
      </c>
      <c r="F1143" s="17">
        <v>1000</v>
      </c>
      <c r="G1143" s="17">
        <v>96000</v>
      </c>
      <c r="H1143" s="17">
        <v>95000</v>
      </c>
      <c r="I1143" s="18">
        <v>0.97</v>
      </c>
      <c r="J1143" s="14">
        <f t="shared" si="0"/>
        <v>95</v>
      </c>
      <c r="K1143" s="15" t="str">
        <f t="shared" si="1"/>
        <v>Exceeds Target</v>
      </c>
    </row>
    <row r="1144" spans="2:11" ht="15" customHeight="1">
      <c r="B1144" t="s">
        <v>95</v>
      </c>
      <c r="C1144" t="s">
        <v>1528</v>
      </c>
      <c r="D1144" t="s">
        <v>26</v>
      </c>
      <c r="E1144" t="s">
        <v>27</v>
      </c>
      <c r="F1144" s="17">
        <v>5000</v>
      </c>
      <c r="G1144" s="17">
        <v>30000</v>
      </c>
      <c r="H1144" s="17">
        <v>25000</v>
      </c>
      <c r="I1144" s="18">
        <v>0.31</v>
      </c>
      <c r="J1144" s="14">
        <f t="shared" si="0"/>
        <v>5</v>
      </c>
      <c r="K1144" s="15" t="str">
        <f t="shared" si="1"/>
        <v>Exceeds Target</v>
      </c>
    </row>
    <row r="1145" spans="2:11" ht="15" customHeight="1">
      <c r="B1145" t="s">
        <v>37</v>
      </c>
      <c r="C1145" t="s">
        <v>1529</v>
      </c>
      <c r="D1145" t="s">
        <v>35</v>
      </c>
      <c r="E1145" t="s">
        <v>27</v>
      </c>
      <c r="F1145" s="17">
        <v>3000</v>
      </c>
      <c r="G1145" s="17">
        <v>180000</v>
      </c>
      <c r="H1145" s="17">
        <v>177000</v>
      </c>
      <c r="I1145" s="18">
        <v>0.62</v>
      </c>
      <c r="J1145" s="14">
        <f t="shared" si="0"/>
        <v>59</v>
      </c>
      <c r="K1145" s="15" t="str">
        <f t="shared" si="1"/>
        <v>Exceeds Target</v>
      </c>
    </row>
    <row r="1146" spans="2:11" ht="15" customHeight="1">
      <c r="B1146" t="s">
        <v>566</v>
      </c>
      <c r="C1146" t="s">
        <v>1530</v>
      </c>
      <c r="D1146" t="s">
        <v>32</v>
      </c>
      <c r="E1146" t="s">
        <v>27</v>
      </c>
      <c r="F1146" s="17">
        <v>1500</v>
      </c>
      <c r="G1146" s="17">
        <v>26000</v>
      </c>
      <c r="H1146" s="17">
        <v>24500</v>
      </c>
      <c r="I1146" s="18">
        <v>0.34</v>
      </c>
      <c r="J1146" s="14">
        <f t="shared" si="0"/>
        <v>16.333333333333332</v>
      </c>
      <c r="K1146" s="15" t="str">
        <f t="shared" si="1"/>
        <v>Exceeds Target</v>
      </c>
    </row>
    <row r="1147" spans="2:11" ht="15" customHeight="1">
      <c r="B1147" t="s">
        <v>135</v>
      </c>
      <c r="C1147" t="s">
        <v>1531</v>
      </c>
      <c r="D1147" t="s">
        <v>69</v>
      </c>
      <c r="E1147" t="s">
        <v>70</v>
      </c>
      <c r="F1147" s="17">
        <v>1000</v>
      </c>
      <c r="G1147" s="17">
        <v>145000</v>
      </c>
      <c r="H1147" s="17">
        <v>144000</v>
      </c>
      <c r="I1147" s="18">
        <v>0.56999999999999995</v>
      </c>
      <c r="J1147" s="14">
        <f t="shared" si="0"/>
        <v>144</v>
      </c>
      <c r="K1147" s="15" t="str">
        <f t="shared" si="1"/>
        <v>Exceeds Target</v>
      </c>
    </row>
    <row r="1148" spans="2:11" ht="15" customHeight="1">
      <c r="B1148" t="s">
        <v>65</v>
      </c>
      <c r="C1148" t="s">
        <v>1532</v>
      </c>
      <c r="D1148" t="s">
        <v>32</v>
      </c>
      <c r="E1148" t="s">
        <v>27</v>
      </c>
      <c r="F1148" s="17">
        <v>1500</v>
      </c>
      <c r="G1148" s="17">
        <v>38000</v>
      </c>
      <c r="H1148" s="17">
        <v>36500</v>
      </c>
      <c r="I1148" s="18">
        <v>0.98</v>
      </c>
      <c r="J1148" s="14">
        <f t="shared" si="0"/>
        <v>24.333333333333332</v>
      </c>
      <c r="K1148" s="15" t="str">
        <f t="shared" si="1"/>
        <v>Exceeds Target</v>
      </c>
    </row>
    <row r="1149" spans="2:11" ht="15" customHeight="1">
      <c r="B1149" t="s">
        <v>78</v>
      </c>
      <c r="C1149" t="s">
        <v>1533</v>
      </c>
      <c r="D1149" t="s">
        <v>35</v>
      </c>
      <c r="E1149" t="s">
        <v>27</v>
      </c>
      <c r="F1149" s="17">
        <v>3000</v>
      </c>
      <c r="G1149" s="17">
        <v>70000</v>
      </c>
      <c r="H1149" s="17">
        <v>67000</v>
      </c>
      <c r="I1149" s="18">
        <v>0.38</v>
      </c>
      <c r="J1149" s="14">
        <f t="shared" si="0"/>
        <v>22.333333333333332</v>
      </c>
      <c r="K1149" s="15" t="str">
        <f t="shared" si="1"/>
        <v>Exceeds Target</v>
      </c>
    </row>
    <row r="1150" spans="2:11" ht="15" customHeight="1">
      <c r="B1150" t="s">
        <v>1222</v>
      </c>
      <c r="C1150" t="s">
        <v>1534</v>
      </c>
      <c r="D1150" t="s">
        <v>26</v>
      </c>
      <c r="E1150" t="s">
        <v>27</v>
      </c>
      <c r="F1150" s="17">
        <v>5000</v>
      </c>
      <c r="G1150" s="17">
        <v>60000</v>
      </c>
      <c r="H1150" s="17">
        <v>55000</v>
      </c>
      <c r="I1150" s="18">
        <v>0.11</v>
      </c>
      <c r="J1150" s="14">
        <f t="shared" si="0"/>
        <v>11</v>
      </c>
      <c r="K1150" s="15" t="str">
        <f t="shared" si="1"/>
        <v>Exceeds Target</v>
      </c>
    </row>
    <row r="1151" spans="2:11" ht="15" customHeight="1">
      <c r="B1151" t="s">
        <v>345</v>
      </c>
      <c r="C1151" t="s">
        <v>1535</v>
      </c>
      <c r="D1151" t="s">
        <v>69</v>
      </c>
      <c r="E1151" t="s">
        <v>70</v>
      </c>
      <c r="F1151" s="17">
        <v>1000</v>
      </c>
      <c r="G1151" s="17">
        <v>130000</v>
      </c>
      <c r="H1151" s="17">
        <v>129000</v>
      </c>
      <c r="I1151" s="18">
        <v>0.95</v>
      </c>
      <c r="J1151" s="14">
        <f t="shared" si="0"/>
        <v>129</v>
      </c>
      <c r="K1151" s="15" t="str">
        <f t="shared" si="1"/>
        <v>Exceeds Target</v>
      </c>
    </row>
    <row r="1152" spans="2:11" ht="15" customHeight="1">
      <c r="B1152" t="s">
        <v>1536</v>
      </c>
      <c r="C1152" t="s">
        <v>1537</v>
      </c>
      <c r="D1152" t="s">
        <v>35</v>
      </c>
      <c r="E1152" t="s">
        <v>27</v>
      </c>
      <c r="F1152" s="17">
        <v>3000</v>
      </c>
      <c r="G1152" s="17">
        <v>200000</v>
      </c>
      <c r="H1152" s="17">
        <v>197000</v>
      </c>
      <c r="I1152" s="18">
        <v>0.43</v>
      </c>
      <c r="J1152" s="14">
        <f t="shared" si="0"/>
        <v>65.666666666666671</v>
      </c>
      <c r="K1152" s="15" t="str">
        <f t="shared" si="1"/>
        <v>Exceeds Target</v>
      </c>
    </row>
    <row r="1153" spans="2:11" ht="15" customHeight="1">
      <c r="B1153" t="s">
        <v>95</v>
      </c>
      <c r="C1153" t="s">
        <v>1538</v>
      </c>
      <c r="D1153" t="s">
        <v>69</v>
      </c>
      <c r="E1153" t="s">
        <v>70</v>
      </c>
      <c r="F1153" s="17">
        <v>1000</v>
      </c>
      <c r="G1153" s="17">
        <v>40000</v>
      </c>
      <c r="H1153" s="17">
        <v>39000</v>
      </c>
      <c r="I1153" s="18">
        <v>0.24</v>
      </c>
      <c r="J1153" s="14">
        <f t="shared" si="0"/>
        <v>39</v>
      </c>
      <c r="K1153" s="15" t="str">
        <f t="shared" si="1"/>
        <v>Exceeds Target</v>
      </c>
    </row>
    <row r="1154" spans="2:11" ht="15" customHeight="1">
      <c r="B1154" t="s">
        <v>713</v>
      </c>
      <c r="C1154" t="s">
        <v>1539</v>
      </c>
      <c r="D1154" t="s">
        <v>80</v>
      </c>
      <c r="E1154" t="s">
        <v>27</v>
      </c>
      <c r="F1154" s="17">
        <v>1000</v>
      </c>
      <c r="G1154" s="17">
        <v>78000</v>
      </c>
      <c r="H1154" s="17">
        <v>77000</v>
      </c>
      <c r="I1154" s="18">
        <v>0.78</v>
      </c>
      <c r="J1154" s="14">
        <f t="shared" si="0"/>
        <v>77</v>
      </c>
      <c r="K1154" s="15" t="str">
        <f t="shared" si="1"/>
        <v>Exceeds Target</v>
      </c>
    </row>
    <row r="1155" spans="2:11" ht="15" customHeight="1">
      <c r="B1155" t="s">
        <v>1337</v>
      </c>
      <c r="C1155" t="s">
        <v>1540</v>
      </c>
      <c r="D1155" t="s">
        <v>26</v>
      </c>
      <c r="E1155" t="s">
        <v>27</v>
      </c>
      <c r="F1155" s="17">
        <v>5000</v>
      </c>
      <c r="G1155" s="17">
        <v>60000</v>
      </c>
      <c r="H1155" s="17">
        <v>55000</v>
      </c>
      <c r="I1155" s="18">
        <v>0.31</v>
      </c>
      <c r="J1155" s="14">
        <f t="shared" si="0"/>
        <v>11</v>
      </c>
      <c r="K1155" s="15" t="str">
        <f t="shared" si="1"/>
        <v>Exceeds Target</v>
      </c>
    </row>
    <row r="1156" spans="2:11" ht="15" customHeight="1">
      <c r="B1156" t="s">
        <v>628</v>
      </c>
      <c r="C1156" t="s">
        <v>1541</v>
      </c>
      <c r="D1156" t="s">
        <v>35</v>
      </c>
      <c r="E1156" t="s">
        <v>27</v>
      </c>
      <c r="F1156" s="17">
        <v>3000</v>
      </c>
      <c r="G1156" s="17">
        <v>140000</v>
      </c>
      <c r="H1156" s="17">
        <v>137000</v>
      </c>
      <c r="I1156" s="18">
        <v>0.57999999999999996</v>
      </c>
      <c r="J1156" s="14">
        <f t="shared" si="0"/>
        <v>45.666666666666664</v>
      </c>
      <c r="K1156" s="15" t="str">
        <f t="shared" si="1"/>
        <v>Exceeds Target</v>
      </c>
    </row>
    <row r="1157" spans="2:11" ht="15" customHeight="1">
      <c r="B1157" t="s">
        <v>598</v>
      </c>
      <c r="C1157" t="s">
        <v>1542</v>
      </c>
      <c r="D1157" t="s">
        <v>69</v>
      </c>
      <c r="E1157" t="s">
        <v>70</v>
      </c>
      <c r="F1157" s="17">
        <v>1000</v>
      </c>
      <c r="G1157" s="17">
        <v>50000</v>
      </c>
      <c r="H1157" s="17">
        <v>49000</v>
      </c>
      <c r="I1157" s="18">
        <v>0.65</v>
      </c>
      <c r="J1157" s="14">
        <f t="shared" si="0"/>
        <v>49</v>
      </c>
      <c r="K1157" s="15" t="str">
        <f t="shared" si="1"/>
        <v>Exceeds Target</v>
      </c>
    </row>
    <row r="1158" spans="2:11" ht="15" customHeight="1">
      <c r="B1158" t="s">
        <v>192</v>
      </c>
      <c r="C1158" t="s">
        <v>1543</v>
      </c>
      <c r="D1158" t="s">
        <v>26</v>
      </c>
      <c r="E1158" t="s">
        <v>27</v>
      </c>
      <c r="F1158" s="17">
        <v>5000</v>
      </c>
      <c r="G1158" s="17">
        <v>150000</v>
      </c>
      <c r="H1158" s="17">
        <v>145000</v>
      </c>
      <c r="I1158" s="18">
        <v>0.12</v>
      </c>
      <c r="J1158" s="14">
        <f t="shared" si="0"/>
        <v>29</v>
      </c>
      <c r="K1158" s="15" t="str">
        <f t="shared" si="1"/>
        <v>Exceeds Target</v>
      </c>
    </row>
    <row r="1159" spans="2:11" ht="15" customHeight="1">
      <c r="B1159" t="s">
        <v>261</v>
      </c>
      <c r="C1159" t="s">
        <v>1544</v>
      </c>
      <c r="D1159" t="s">
        <v>35</v>
      </c>
      <c r="E1159" t="s">
        <v>27</v>
      </c>
      <c r="F1159" s="17">
        <v>3000</v>
      </c>
      <c r="G1159" s="17">
        <v>70000</v>
      </c>
      <c r="H1159" s="17">
        <v>67000</v>
      </c>
      <c r="I1159" s="18">
        <v>0.28000000000000003</v>
      </c>
      <c r="J1159" s="14">
        <f t="shared" si="0"/>
        <v>22.333333333333332</v>
      </c>
      <c r="K1159" s="15" t="str">
        <f t="shared" si="1"/>
        <v>Exceeds Target</v>
      </c>
    </row>
    <row r="1160" spans="2:11" ht="15" customHeight="1">
      <c r="B1160" t="s">
        <v>218</v>
      </c>
      <c r="C1160" t="s">
        <v>1545</v>
      </c>
      <c r="D1160" t="s">
        <v>35</v>
      </c>
      <c r="E1160" t="s">
        <v>27</v>
      </c>
      <c r="F1160" s="17">
        <v>3000</v>
      </c>
      <c r="G1160" s="17">
        <v>80000</v>
      </c>
      <c r="H1160" s="17">
        <v>77000</v>
      </c>
      <c r="I1160" s="18">
        <v>0.85</v>
      </c>
      <c r="J1160" s="14">
        <f t="shared" si="0"/>
        <v>25.666666666666668</v>
      </c>
      <c r="K1160" s="15" t="str">
        <f t="shared" si="1"/>
        <v>Exceeds Target</v>
      </c>
    </row>
    <row r="1161" spans="2:11" ht="15" customHeight="1">
      <c r="B1161" t="s">
        <v>205</v>
      </c>
      <c r="C1161" t="s">
        <v>1546</v>
      </c>
      <c r="D1161" t="s">
        <v>80</v>
      </c>
      <c r="E1161" t="s">
        <v>27</v>
      </c>
      <c r="F1161" s="17">
        <v>1000</v>
      </c>
      <c r="G1161" s="17">
        <v>120000</v>
      </c>
      <c r="H1161" s="17">
        <v>119000</v>
      </c>
      <c r="I1161" s="18">
        <v>0.81</v>
      </c>
      <c r="J1161" s="14">
        <f t="shared" si="0"/>
        <v>119</v>
      </c>
      <c r="K1161" s="15" t="str">
        <f t="shared" si="1"/>
        <v>Exceeds Target</v>
      </c>
    </row>
    <row r="1162" spans="2:11" ht="15" customHeight="1">
      <c r="B1162" t="s">
        <v>119</v>
      </c>
      <c r="C1162" t="s">
        <v>1547</v>
      </c>
      <c r="D1162" t="s">
        <v>69</v>
      </c>
      <c r="E1162" t="s">
        <v>70</v>
      </c>
      <c r="F1162" s="17">
        <v>1000</v>
      </c>
      <c r="G1162" s="17">
        <v>35000</v>
      </c>
      <c r="H1162" s="17">
        <v>34000</v>
      </c>
      <c r="I1162" s="18">
        <v>0.44</v>
      </c>
      <c r="J1162" s="14">
        <f t="shared" si="0"/>
        <v>34</v>
      </c>
      <c r="K1162" s="15" t="str">
        <f t="shared" si="1"/>
        <v>Exceeds Target</v>
      </c>
    </row>
    <row r="1163" spans="2:11" ht="15" customHeight="1">
      <c r="B1163" t="s">
        <v>982</v>
      </c>
      <c r="C1163" t="s">
        <v>1548</v>
      </c>
      <c r="D1163" t="s">
        <v>26</v>
      </c>
      <c r="E1163" t="s">
        <v>27</v>
      </c>
      <c r="F1163" s="17">
        <v>5000</v>
      </c>
      <c r="G1163" s="17">
        <v>30000</v>
      </c>
      <c r="H1163" s="17">
        <v>25000</v>
      </c>
      <c r="I1163" s="18">
        <v>0.11</v>
      </c>
      <c r="J1163" s="14">
        <f t="shared" si="0"/>
        <v>5</v>
      </c>
      <c r="K1163" s="15" t="str">
        <f t="shared" si="1"/>
        <v>Exceeds Target</v>
      </c>
    </row>
    <row r="1164" spans="2:11" ht="15" customHeight="1">
      <c r="B1164" t="s">
        <v>907</v>
      </c>
      <c r="C1164" t="s">
        <v>1549</v>
      </c>
      <c r="D1164" t="s">
        <v>69</v>
      </c>
      <c r="E1164" t="s">
        <v>70</v>
      </c>
      <c r="F1164" s="17">
        <v>1000</v>
      </c>
      <c r="G1164" s="17">
        <v>45000</v>
      </c>
      <c r="H1164" s="17">
        <v>44000</v>
      </c>
      <c r="I1164" s="18">
        <v>0.59</v>
      </c>
      <c r="J1164" s="14">
        <f t="shared" si="0"/>
        <v>44</v>
      </c>
      <c r="K1164" s="15" t="str">
        <f t="shared" si="1"/>
        <v>Exceeds Target</v>
      </c>
    </row>
    <row r="1165" spans="2:11" ht="15" customHeight="1">
      <c r="B1165" t="s">
        <v>374</v>
      </c>
      <c r="C1165" t="s">
        <v>1550</v>
      </c>
      <c r="D1165" t="s">
        <v>35</v>
      </c>
      <c r="E1165" t="s">
        <v>27</v>
      </c>
      <c r="F1165" s="17">
        <v>3000</v>
      </c>
      <c r="G1165" s="17">
        <v>300000</v>
      </c>
      <c r="H1165" s="17">
        <v>297000</v>
      </c>
      <c r="I1165" s="18">
        <v>0.71</v>
      </c>
      <c r="J1165" s="14">
        <f t="shared" si="0"/>
        <v>99</v>
      </c>
      <c r="K1165" s="15" t="str">
        <f t="shared" si="1"/>
        <v>Exceeds Target</v>
      </c>
    </row>
    <row r="1166" spans="2:11" ht="15" customHeight="1">
      <c r="B1166" t="s">
        <v>659</v>
      </c>
      <c r="C1166" t="s">
        <v>1551</v>
      </c>
      <c r="D1166" t="s">
        <v>69</v>
      </c>
      <c r="E1166" t="s">
        <v>70</v>
      </c>
      <c r="F1166" s="17">
        <v>1000</v>
      </c>
      <c r="G1166" s="17">
        <v>110000</v>
      </c>
      <c r="H1166" s="17">
        <v>109000</v>
      </c>
      <c r="I1166" s="18">
        <v>0.2</v>
      </c>
      <c r="J1166" s="14">
        <f t="shared" si="0"/>
        <v>109</v>
      </c>
      <c r="K1166" s="15" t="str">
        <f t="shared" si="1"/>
        <v>Exceeds Target</v>
      </c>
    </row>
    <row r="1167" spans="2:11" ht="15" customHeight="1">
      <c r="B1167" t="s">
        <v>1176</v>
      </c>
      <c r="C1167" t="s">
        <v>1552</v>
      </c>
      <c r="D1167" t="s">
        <v>26</v>
      </c>
      <c r="E1167" t="s">
        <v>27</v>
      </c>
      <c r="F1167" s="17">
        <v>5000</v>
      </c>
      <c r="G1167" s="17">
        <v>30000</v>
      </c>
      <c r="H1167" s="17">
        <v>25000</v>
      </c>
      <c r="I1167" s="18">
        <v>0.19</v>
      </c>
      <c r="J1167" s="14">
        <f t="shared" si="0"/>
        <v>5</v>
      </c>
      <c r="K1167" s="15" t="str">
        <f t="shared" si="1"/>
        <v>Exceeds Target</v>
      </c>
    </row>
    <row r="1168" spans="2:11" ht="15" customHeight="1">
      <c r="B1168" t="s">
        <v>214</v>
      </c>
      <c r="C1168" t="s">
        <v>1553</v>
      </c>
      <c r="D1168" t="s">
        <v>35</v>
      </c>
      <c r="E1168" t="s">
        <v>27</v>
      </c>
      <c r="F1168" s="17">
        <v>3000</v>
      </c>
      <c r="G1168" s="17">
        <v>250000</v>
      </c>
      <c r="H1168" s="17">
        <v>247000</v>
      </c>
      <c r="I1168" s="18">
        <v>0.84</v>
      </c>
      <c r="J1168" s="14">
        <f t="shared" si="0"/>
        <v>82.333333333333329</v>
      </c>
      <c r="K1168" s="15" t="str">
        <f t="shared" si="1"/>
        <v>Exceeds Target</v>
      </c>
    </row>
    <row r="1169" spans="2:11" ht="15" customHeight="1">
      <c r="B1169" t="s">
        <v>65</v>
      </c>
      <c r="C1169" t="s">
        <v>1554</v>
      </c>
      <c r="D1169" t="s">
        <v>35</v>
      </c>
      <c r="E1169" t="s">
        <v>27</v>
      </c>
      <c r="F1169" s="17">
        <v>3000</v>
      </c>
      <c r="G1169" s="17">
        <v>60000</v>
      </c>
      <c r="H1169" s="17">
        <v>57000</v>
      </c>
      <c r="I1169" s="18">
        <v>0.43</v>
      </c>
      <c r="J1169" s="14">
        <f t="shared" si="0"/>
        <v>19</v>
      </c>
      <c r="K1169" s="15" t="str">
        <f t="shared" si="1"/>
        <v>Exceeds Target</v>
      </c>
    </row>
    <row r="1170" spans="2:11" ht="15" customHeight="1">
      <c r="B1170" t="s">
        <v>263</v>
      </c>
      <c r="C1170" t="s">
        <v>1555</v>
      </c>
      <c r="D1170" t="s">
        <v>35</v>
      </c>
      <c r="E1170" t="s">
        <v>27</v>
      </c>
      <c r="F1170" s="17">
        <v>3000</v>
      </c>
      <c r="G1170" s="17">
        <v>200000</v>
      </c>
      <c r="H1170" s="17">
        <v>197000</v>
      </c>
      <c r="I1170" s="18">
        <v>0.47</v>
      </c>
      <c r="J1170" s="14">
        <f t="shared" si="0"/>
        <v>65.666666666666671</v>
      </c>
      <c r="K1170" s="15" t="str">
        <f t="shared" si="1"/>
        <v>Exceeds Target</v>
      </c>
    </row>
    <row r="1171" spans="2:11" ht="15" customHeight="1">
      <c r="B1171" t="s">
        <v>227</v>
      </c>
      <c r="C1171" t="s">
        <v>1556</v>
      </c>
      <c r="D1171" t="s">
        <v>80</v>
      </c>
      <c r="E1171" t="s">
        <v>27</v>
      </c>
      <c r="F1171" s="17">
        <v>1000</v>
      </c>
      <c r="G1171" s="17">
        <v>78000</v>
      </c>
      <c r="H1171" s="17">
        <v>77000</v>
      </c>
      <c r="I1171" s="18">
        <v>0.66</v>
      </c>
      <c r="J1171" s="14">
        <f t="shared" si="0"/>
        <v>77</v>
      </c>
      <c r="K1171" s="15" t="str">
        <f t="shared" si="1"/>
        <v>Exceeds Target</v>
      </c>
    </row>
    <row r="1172" spans="2:11" ht="15" customHeight="1">
      <c r="B1172" t="s">
        <v>1477</v>
      </c>
      <c r="C1172" t="s">
        <v>1557</v>
      </c>
      <c r="D1172" t="s">
        <v>32</v>
      </c>
      <c r="E1172" t="s">
        <v>27</v>
      </c>
      <c r="F1172" s="17">
        <v>1500</v>
      </c>
      <c r="G1172" s="17">
        <v>20000</v>
      </c>
      <c r="H1172" s="17">
        <v>18500</v>
      </c>
      <c r="I1172" s="18">
        <v>0.37</v>
      </c>
      <c r="J1172" s="14">
        <f t="shared" si="0"/>
        <v>12.333333333333334</v>
      </c>
      <c r="K1172" s="15" t="str">
        <f t="shared" si="1"/>
        <v>Exceeds Target</v>
      </c>
    </row>
    <row r="1173" spans="2:11" ht="15" customHeight="1">
      <c r="B1173" t="s">
        <v>824</v>
      </c>
      <c r="C1173" t="s">
        <v>1558</v>
      </c>
      <c r="D1173" t="s">
        <v>32</v>
      </c>
      <c r="E1173" t="s">
        <v>27</v>
      </c>
      <c r="F1173" s="17">
        <v>1500</v>
      </c>
      <c r="G1173" s="17">
        <v>58000</v>
      </c>
      <c r="H1173" s="17">
        <v>56500</v>
      </c>
      <c r="I1173" s="18">
        <v>0.82</v>
      </c>
      <c r="J1173" s="14">
        <f t="shared" si="0"/>
        <v>37.666666666666664</v>
      </c>
      <c r="K1173" s="15" t="str">
        <f t="shared" si="1"/>
        <v>Exceeds Target</v>
      </c>
    </row>
    <row r="1174" spans="2:11" ht="15" customHeight="1">
      <c r="B1174" t="s">
        <v>991</v>
      </c>
      <c r="C1174" t="s">
        <v>1559</v>
      </c>
      <c r="D1174" t="s">
        <v>80</v>
      </c>
      <c r="E1174" t="s">
        <v>27</v>
      </c>
      <c r="F1174" s="17">
        <v>1000</v>
      </c>
      <c r="G1174" s="17">
        <v>60000</v>
      </c>
      <c r="H1174" s="17">
        <v>59000</v>
      </c>
      <c r="I1174" s="18">
        <v>0.65</v>
      </c>
      <c r="J1174" s="14">
        <f t="shared" si="0"/>
        <v>59</v>
      </c>
      <c r="K1174" s="15" t="str">
        <f t="shared" si="1"/>
        <v>Exceeds Target</v>
      </c>
    </row>
    <row r="1175" spans="2:11" ht="15" customHeight="1">
      <c r="B1175" t="s">
        <v>37</v>
      </c>
      <c r="C1175" t="s">
        <v>1560</v>
      </c>
      <c r="D1175" t="s">
        <v>26</v>
      </c>
      <c r="E1175" t="s">
        <v>27</v>
      </c>
      <c r="F1175" s="17">
        <v>5000</v>
      </c>
      <c r="G1175" s="17">
        <v>60000</v>
      </c>
      <c r="H1175" s="17">
        <v>55000</v>
      </c>
      <c r="I1175" s="18">
        <v>0.23</v>
      </c>
      <c r="J1175" s="14">
        <f t="shared" si="0"/>
        <v>11</v>
      </c>
      <c r="K1175" s="15" t="str">
        <f t="shared" si="1"/>
        <v>Exceeds Target</v>
      </c>
    </row>
    <row r="1176" spans="2:11" ht="15" customHeight="1">
      <c r="B1176" t="s">
        <v>477</v>
      </c>
      <c r="C1176" t="s">
        <v>1561</v>
      </c>
      <c r="D1176" t="s">
        <v>32</v>
      </c>
      <c r="E1176" t="s">
        <v>27</v>
      </c>
      <c r="F1176" s="17">
        <v>1500</v>
      </c>
      <c r="G1176" s="17">
        <v>46000</v>
      </c>
      <c r="H1176" s="17">
        <v>44500</v>
      </c>
      <c r="I1176" s="18">
        <v>0.54</v>
      </c>
      <c r="J1176" s="14">
        <f t="shared" si="0"/>
        <v>29.666666666666668</v>
      </c>
      <c r="K1176" s="15" t="str">
        <f t="shared" si="1"/>
        <v>Exceeds Target</v>
      </c>
    </row>
    <row r="1177" spans="2:11" ht="15" customHeight="1">
      <c r="B1177" t="s">
        <v>765</v>
      </c>
      <c r="C1177" t="s">
        <v>1562</v>
      </c>
      <c r="D1177" t="s">
        <v>80</v>
      </c>
      <c r="E1177" t="s">
        <v>27</v>
      </c>
      <c r="F1177" s="17">
        <v>1000</v>
      </c>
      <c r="G1177" s="17">
        <v>114000</v>
      </c>
      <c r="H1177" s="17">
        <v>113000</v>
      </c>
      <c r="I1177" s="18">
        <v>0.96</v>
      </c>
      <c r="J1177" s="14">
        <f t="shared" si="0"/>
        <v>113</v>
      </c>
      <c r="K1177" s="15" t="str">
        <f t="shared" si="1"/>
        <v>Exceeds Target</v>
      </c>
    </row>
    <row r="1178" spans="2:11" ht="15" customHeight="1">
      <c r="B1178" t="s">
        <v>335</v>
      </c>
      <c r="C1178" t="s">
        <v>1563</v>
      </c>
      <c r="D1178" t="s">
        <v>26</v>
      </c>
      <c r="E1178" t="s">
        <v>27</v>
      </c>
      <c r="F1178" s="17">
        <v>5000</v>
      </c>
      <c r="G1178" s="17">
        <v>30000</v>
      </c>
      <c r="H1178" s="17">
        <v>25000</v>
      </c>
      <c r="I1178" s="18">
        <v>0.13</v>
      </c>
      <c r="J1178" s="14">
        <f t="shared" si="0"/>
        <v>5</v>
      </c>
      <c r="K1178" s="15" t="str">
        <f t="shared" si="1"/>
        <v>Exceeds Target</v>
      </c>
    </row>
    <row r="1179" spans="2:11" ht="15" customHeight="1">
      <c r="B1179" t="s">
        <v>309</v>
      </c>
      <c r="C1179" t="s">
        <v>1564</v>
      </c>
      <c r="D1179" t="s">
        <v>35</v>
      </c>
      <c r="E1179" t="s">
        <v>27</v>
      </c>
      <c r="F1179" s="17">
        <v>3000</v>
      </c>
      <c r="G1179" s="17">
        <v>170000</v>
      </c>
      <c r="H1179" s="17">
        <v>167000</v>
      </c>
      <c r="I1179" s="18">
        <v>0.6</v>
      </c>
      <c r="J1179" s="14">
        <f t="shared" si="0"/>
        <v>55.666666666666664</v>
      </c>
      <c r="K1179" s="15" t="str">
        <f t="shared" si="1"/>
        <v>Exceeds Target</v>
      </c>
    </row>
    <row r="1180" spans="2:11" ht="15" customHeight="1">
      <c r="B1180" t="s">
        <v>117</v>
      </c>
      <c r="C1180" t="s">
        <v>1565</v>
      </c>
      <c r="D1180" t="s">
        <v>32</v>
      </c>
      <c r="E1180" t="s">
        <v>27</v>
      </c>
      <c r="F1180" s="17">
        <v>1500</v>
      </c>
      <c r="G1180" s="17">
        <v>42000</v>
      </c>
      <c r="H1180" s="17">
        <v>40500</v>
      </c>
      <c r="I1180" s="18">
        <v>0.45</v>
      </c>
      <c r="J1180" s="14">
        <f t="shared" si="0"/>
        <v>27</v>
      </c>
      <c r="K1180" s="15" t="str">
        <f t="shared" si="1"/>
        <v>Exceeds Target</v>
      </c>
    </row>
    <row r="1181" spans="2:11" ht="15" customHeight="1">
      <c r="B1181" t="s">
        <v>639</v>
      </c>
      <c r="C1181" t="s">
        <v>1566</v>
      </c>
      <c r="D1181" t="s">
        <v>35</v>
      </c>
      <c r="E1181" t="s">
        <v>27</v>
      </c>
      <c r="F1181" s="17">
        <v>3000</v>
      </c>
      <c r="G1181" s="17">
        <v>140000</v>
      </c>
      <c r="H1181" s="17">
        <v>137000</v>
      </c>
      <c r="I1181" s="18">
        <v>0.83</v>
      </c>
      <c r="J1181" s="14">
        <f t="shared" si="0"/>
        <v>45.666666666666664</v>
      </c>
      <c r="K1181" s="15" t="str">
        <f t="shared" si="1"/>
        <v>Exceeds Target</v>
      </c>
    </row>
    <row r="1182" spans="2:11" ht="15" customHeight="1">
      <c r="B1182" t="s">
        <v>311</v>
      </c>
      <c r="C1182" t="s">
        <v>1567</v>
      </c>
      <c r="D1182" t="s">
        <v>35</v>
      </c>
      <c r="E1182" t="s">
        <v>27</v>
      </c>
      <c r="F1182" s="17">
        <v>3000</v>
      </c>
      <c r="G1182" s="17">
        <v>220000</v>
      </c>
      <c r="H1182" s="17">
        <v>217000</v>
      </c>
      <c r="I1182" s="18">
        <v>0.35</v>
      </c>
      <c r="J1182" s="14">
        <f t="shared" si="0"/>
        <v>72.333333333333329</v>
      </c>
      <c r="K1182" s="15" t="str">
        <f t="shared" si="1"/>
        <v>Exceeds Target</v>
      </c>
    </row>
    <row r="1183" spans="2:11" ht="15" customHeight="1">
      <c r="B1183" t="s">
        <v>107</v>
      </c>
      <c r="C1183" t="s">
        <v>1568</v>
      </c>
      <c r="D1183" t="s">
        <v>80</v>
      </c>
      <c r="E1183" t="s">
        <v>27</v>
      </c>
      <c r="F1183" s="17">
        <v>1000</v>
      </c>
      <c r="G1183" s="17">
        <v>48000</v>
      </c>
      <c r="H1183" s="17">
        <v>47000</v>
      </c>
      <c r="I1183" s="18">
        <v>0.78</v>
      </c>
      <c r="J1183" s="14">
        <f t="shared" si="0"/>
        <v>47</v>
      </c>
      <c r="K1183" s="15" t="str">
        <f t="shared" si="1"/>
        <v>Exceeds Target</v>
      </c>
    </row>
    <row r="1184" spans="2:11" ht="15" customHeight="1">
      <c r="B1184" t="s">
        <v>792</v>
      </c>
      <c r="C1184" t="s">
        <v>1569</v>
      </c>
      <c r="D1184" t="s">
        <v>69</v>
      </c>
      <c r="E1184" t="s">
        <v>70</v>
      </c>
      <c r="F1184" s="17">
        <v>1000</v>
      </c>
      <c r="G1184" s="17">
        <v>145000</v>
      </c>
      <c r="H1184" s="17">
        <v>144000</v>
      </c>
      <c r="I1184" s="18">
        <v>0.82</v>
      </c>
      <c r="J1184" s="14">
        <f t="shared" si="0"/>
        <v>144</v>
      </c>
      <c r="K1184" s="15" t="str">
        <f t="shared" si="1"/>
        <v>Exceeds Target</v>
      </c>
    </row>
    <row r="1185" spans="2:11" ht="15" customHeight="1">
      <c r="B1185" t="s">
        <v>413</v>
      </c>
      <c r="C1185" t="s">
        <v>1570</v>
      </c>
      <c r="D1185" t="s">
        <v>80</v>
      </c>
      <c r="E1185" t="s">
        <v>27</v>
      </c>
      <c r="F1185" s="17">
        <v>1000</v>
      </c>
      <c r="G1185" s="17">
        <v>108000</v>
      </c>
      <c r="H1185" s="17">
        <v>107000</v>
      </c>
      <c r="I1185" s="18">
        <v>0.71</v>
      </c>
      <c r="J1185" s="14">
        <f t="shared" si="0"/>
        <v>107</v>
      </c>
      <c r="K1185" s="15" t="str">
        <f t="shared" si="1"/>
        <v>Exceeds Target</v>
      </c>
    </row>
    <row r="1186" spans="2:11" ht="15" customHeight="1">
      <c r="B1186" t="s">
        <v>1126</v>
      </c>
      <c r="C1186" t="s">
        <v>1571</v>
      </c>
      <c r="D1186" t="s">
        <v>69</v>
      </c>
      <c r="E1186" t="s">
        <v>70</v>
      </c>
      <c r="F1186" s="17">
        <v>1000</v>
      </c>
      <c r="G1186" s="17">
        <v>135000</v>
      </c>
      <c r="H1186" s="17">
        <v>134000</v>
      </c>
      <c r="I1186" s="18">
        <v>0.84</v>
      </c>
      <c r="J1186" s="14">
        <f t="shared" si="0"/>
        <v>134</v>
      </c>
      <c r="K1186" s="15" t="str">
        <f t="shared" si="1"/>
        <v>Exceeds Target</v>
      </c>
    </row>
    <row r="1187" spans="2:11" ht="15" customHeight="1">
      <c r="B1187" t="s">
        <v>227</v>
      </c>
      <c r="C1187" t="s">
        <v>1572</v>
      </c>
      <c r="D1187" t="s">
        <v>26</v>
      </c>
      <c r="E1187" t="s">
        <v>27</v>
      </c>
      <c r="F1187" s="17">
        <v>5000</v>
      </c>
      <c r="G1187" s="17">
        <v>60000</v>
      </c>
      <c r="H1187" s="17">
        <v>55000</v>
      </c>
      <c r="I1187" s="18">
        <v>0.28000000000000003</v>
      </c>
      <c r="J1187" s="14">
        <f t="shared" si="0"/>
        <v>11</v>
      </c>
      <c r="K1187" s="15" t="str">
        <f t="shared" si="1"/>
        <v>Exceeds Target</v>
      </c>
    </row>
    <row r="1188" spans="2:11" ht="15" customHeight="1">
      <c r="B1188" t="s">
        <v>818</v>
      </c>
      <c r="C1188" t="s">
        <v>1573</v>
      </c>
      <c r="D1188" t="s">
        <v>32</v>
      </c>
      <c r="E1188" t="s">
        <v>27</v>
      </c>
      <c r="F1188" s="17">
        <v>1500</v>
      </c>
      <c r="G1188" s="17">
        <v>24000</v>
      </c>
      <c r="H1188" s="17">
        <v>22500</v>
      </c>
      <c r="I1188" s="18">
        <v>0.99</v>
      </c>
      <c r="J1188" s="14">
        <f t="shared" si="0"/>
        <v>15</v>
      </c>
      <c r="K1188" s="15" t="str">
        <f t="shared" si="1"/>
        <v>Exceeds Target</v>
      </c>
    </row>
    <row r="1189" spans="2:11" ht="15" customHeight="1">
      <c r="B1189" t="s">
        <v>277</v>
      </c>
      <c r="C1189" t="s">
        <v>1574</v>
      </c>
      <c r="D1189" t="s">
        <v>80</v>
      </c>
      <c r="E1189" t="s">
        <v>27</v>
      </c>
      <c r="F1189" s="17">
        <v>1000</v>
      </c>
      <c r="G1189" s="17">
        <v>69000</v>
      </c>
      <c r="H1189" s="17">
        <v>68000</v>
      </c>
      <c r="I1189" s="18">
        <v>0.7</v>
      </c>
      <c r="J1189" s="14">
        <f t="shared" si="0"/>
        <v>68</v>
      </c>
      <c r="K1189" s="15" t="str">
        <f t="shared" si="1"/>
        <v>Exceeds Target</v>
      </c>
    </row>
    <row r="1190" spans="2:11" ht="15" customHeight="1">
      <c r="B1190" t="s">
        <v>319</v>
      </c>
      <c r="C1190" t="s">
        <v>1575</v>
      </c>
      <c r="D1190" t="s">
        <v>69</v>
      </c>
      <c r="E1190" t="s">
        <v>70</v>
      </c>
      <c r="F1190" s="17">
        <v>1000</v>
      </c>
      <c r="G1190" s="17">
        <v>145000</v>
      </c>
      <c r="H1190" s="17">
        <v>144000</v>
      </c>
      <c r="I1190" s="18">
        <v>0.69</v>
      </c>
      <c r="J1190" s="14">
        <f t="shared" si="0"/>
        <v>144</v>
      </c>
      <c r="K1190" s="15" t="str">
        <f t="shared" si="1"/>
        <v>Exceeds Target</v>
      </c>
    </row>
    <row r="1191" spans="2:11" ht="15" customHeight="1">
      <c r="B1191" t="s">
        <v>610</v>
      </c>
      <c r="C1191" t="s">
        <v>1576</v>
      </c>
      <c r="D1191" t="s">
        <v>35</v>
      </c>
      <c r="E1191" t="s">
        <v>27</v>
      </c>
      <c r="F1191" s="17">
        <v>3000</v>
      </c>
      <c r="G1191" s="17">
        <v>280000</v>
      </c>
      <c r="H1191" s="17">
        <v>277000</v>
      </c>
      <c r="I1191" s="18">
        <v>0.73</v>
      </c>
      <c r="J1191" s="14">
        <f t="shared" si="0"/>
        <v>92.333333333333329</v>
      </c>
      <c r="K1191" s="15" t="str">
        <f t="shared" si="1"/>
        <v>Exceeds Target</v>
      </c>
    </row>
    <row r="1192" spans="2:11" ht="15" customHeight="1">
      <c r="B1192" t="s">
        <v>736</v>
      </c>
      <c r="C1192" t="s">
        <v>1577</v>
      </c>
      <c r="D1192" t="s">
        <v>80</v>
      </c>
      <c r="E1192" t="s">
        <v>27</v>
      </c>
      <c r="F1192" s="17">
        <v>1000</v>
      </c>
      <c r="G1192" s="17">
        <v>60000</v>
      </c>
      <c r="H1192" s="17">
        <v>59000</v>
      </c>
      <c r="I1192" s="18">
        <v>0.83</v>
      </c>
      <c r="J1192" s="14">
        <f t="shared" si="0"/>
        <v>59</v>
      </c>
      <c r="K1192" s="15" t="str">
        <f t="shared" si="1"/>
        <v>Exceeds Target</v>
      </c>
    </row>
    <row r="1193" spans="2:11" ht="15" customHeight="1">
      <c r="B1193" t="s">
        <v>364</v>
      </c>
      <c r="C1193" t="s">
        <v>1578</v>
      </c>
      <c r="D1193" t="s">
        <v>26</v>
      </c>
      <c r="E1193" t="s">
        <v>27</v>
      </c>
      <c r="F1193" s="17">
        <v>5000</v>
      </c>
      <c r="G1193" s="17">
        <v>120000</v>
      </c>
      <c r="H1193" s="17">
        <v>115000</v>
      </c>
      <c r="I1193" s="18">
        <v>0.04</v>
      </c>
      <c r="J1193" s="14">
        <f t="shared" si="0"/>
        <v>23</v>
      </c>
      <c r="K1193" s="15" t="str">
        <f t="shared" si="1"/>
        <v>Exceeds Target</v>
      </c>
    </row>
    <row r="1194" spans="2:11" ht="15" customHeight="1">
      <c r="B1194" t="s">
        <v>238</v>
      </c>
      <c r="C1194" t="s">
        <v>1579</v>
      </c>
      <c r="D1194" t="s">
        <v>32</v>
      </c>
      <c r="E1194" t="s">
        <v>27</v>
      </c>
      <c r="F1194" s="17">
        <v>1500</v>
      </c>
      <c r="G1194" s="17">
        <v>26000</v>
      </c>
      <c r="H1194" s="17">
        <v>24500</v>
      </c>
      <c r="I1194" s="18">
        <v>0.22</v>
      </c>
      <c r="J1194" s="14">
        <f t="shared" si="0"/>
        <v>16.333333333333332</v>
      </c>
      <c r="K1194" s="15" t="str">
        <f t="shared" si="1"/>
        <v>Exceeds Target</v>
      </c>
    </row>
    <row r="1195" spans="2:11" ht="15" customHeight="1">
      <c r="B1195" t="s">
        <v>413</v>
      </c>
      <c r="C1195" t="s">
        <v>1580</v>
      </c>
      <c r="D1195" t="s">
        <v>26</v>
      </c>
      <c r="E1195" t="s">
        <v>27</v>
      </c>
      <c r="F1195" s="17">
        <v>5000</v>
      </c>
      <c r="G1195" s="17">
        <v>60000</v>
      </c>
      <c r="H1195" s="17">
        <v>55000</v>
      </c>
      <c r="I1195" s="18">
        <v>0.28999999999999998</v>
      </c>
      <c r="J1195" s="14">
        <f t="shared" si="0"/>
        <v>11</v>
      </c>
      <c r="K1195" s="15" t="str">
        <f t="shared" si="1"/>
        <v>Exceeds Target</v>
      </c>
    </row>
    <row r="1196" spans="2:11" ht="15" customHeight="1">
      <c r="B1196" t="s">
        <v>772</v>
      </c>
      <c r="C1196" t="s">
        <v>1581</v>
      </c>
      <c r="D1196" t="s">
        <v>35</v>
      </c>
      <c r="E1196" t="s">
        <v>27</v>
      </c>
      <c r="F1196" s="17">
        <v>3000</v>
      </c>
      <c r="G1196" s="17">
        <v>230000</v>
      </c>
      <c r="H1196" s="17">
        <v>227000</v>
      </c>
      <c r="I1196" s="18">
        <v>0.94</v>
      </c>
      <c r="J1196" s="14">
        <f t="shared" si="0"/>
        <v>75.666666666666671</v>
      </c>
      <c r="K1196" s="15" t="str">
        <f t="shared" si="1"/>
        <v>Exceeds Target</v>
      </c>
    </row>
    <row r="1197" spans="2:11" ht="15" customHeight="1">
      <c r="B1197" t="s">
        <v>713</v>
      </c>
      <c r="C1197" t="s">
        <v>1582</v>
      </c>
      <c r="D1197" t="s">
        <v>32</v>
      </c>
      <c r="E1197" t="s">
        <v>27</v>
      </c>
      <c r="F1197" s="17">
        <v>1500</v>
      </c>
      <c r="G1197" s="17">
        <v>44000</v>
      </c>
      <c r="H1197" s="17">
        <v>42500</v>
      </c>
      <c r="I1197" s="18">
        <v>0.28999999999999998</v>
      </c>
      <c r="J1197" s="14">
        <f t="shared" si="0"/>
        <v>28.333333333333332</v>
      </c>
      <c r="K1197" s="15" t="str">
        <f t="shared" si="1"/>
        <v>Exceeds Target</v>
      </c>
    </row>
    <row r="1198" spans="2:11" ht="15" customHeight="1">
      <c r="B1198" t="s">
        <v>345</v>
      </c>
      <c r="C1198" t="s">
        <v>1583</v>
      </c>
      <c r="D1198" t="s">
        <v>35</v>
      </c>
      <c r="E1198" t="s">
        <v>27</v>
      </c>
      <c r="F1198" s="17">
        <v>3000</v>
      </c>
      <c r="G1198" s="17">
        <v>110000</v>
      </c>
      <c r="H1198" s="17">
        <v>107000</v>
      </c>
      <c r="I1198" s="18">
        <v>0.74</v>
      </c>
      <c r="J1198" s="14">
        <f t="shared" si="0"/>
        <v>35.666666666666664</v>
      </c>
      <c r="K1198" s="15" t="str">
        <f t="shared" si="1"/>
        <v>Exceeds Target</v>
      </c>
    </row>
    <row r="1199" spans="2:11" ht="15" customHeight="1">
      <c r="B1199" t="s">
        <v>72</v>
      </c>
      <c r="C1199" t="s">
        <v>1584</v>
      </c>
      <c r="D1199" t="s">
        <v>26</v>
      </c>
      <c r="E1199" t="s">
        <v>27</v>
      </c>
      <c r="F1199" s="17">
        <v>5000</v>
      </c>
      <c r="G1199" s="17">
        <v>60000</v>
      </c>
      <c r="H1199" s="17">
        <v>55000</v>
      </c>
      <c r="I1199" s="18">
        <v>0.13</v>
      </c>
      <c r="J1199" s="14">
        <f t="shared" si="0"/>
        <v>11</v>
      </c>
      <c r="K1199" s="15" t="str">
        <f t="shared" si="1"/>
        <v>Exceeds Target</v>
      </c>
    </row>
    <row r="1200" spans="2:11" ht="15" customHeight="1">
      <c r="B1200" t="s">
        <v>958</v>
      </c>
      <c r="C1200" t="s">
        <v>1585</v>
      </c>
      <c r="D1200" t="s">
        <v>69</v>
      </c>
      <c r="E1200" t="s">
        <v>70</v>
      </c>
      <c r="F1200" s="17">
        <v>1000</v>
      </c>
      <c r="G1200" s="17">
        <v>85000</v>
      </c>
      <c r="H1200" s="17">
        <v>84000</v>
      </c>
      <c r="I1200" s="18">
        <v>0.18</v>
      </c>
      <c r="J1200" s="14">
        <f t="shared" si="0"/>
        <v>84</v>
      </c>
      <c r="K1200" s="15" t="str">
        <f t="shared" si="1"/>
        <v>Exceeds Target</v>
      </c>
    </row>
    <row r="1201" spans="2:11" ht="15" customHeight="1">
      <c r="B1201" t="s">
        <v>1122</v>
      </c>
      <c r="C1201" t="s">
        <v>1586</v>
      </c>
      <c r="D1201" t="s">
        <v>32</v>
      </c>
      <c r="E1201" t="s">
        <v>27</v>
      </c>
      <c r="F1201" s="17">
        <v>1500</v>
      </c>
      <c r="G1201" s="17">
        <v>52000</v>
      </c>
      <c r="H1201" s="17">
        <v>50500</v>
      </c>
      <c r="I1201" s="18">
        <v>0.28999999999999998</v>
      </c>
      <c r="J1201" s="14">
        <f t="shared" si="0"/>
        <v>33.666666666666664</v>
      </c>
      <c r="K1201" s="15" t="str">
        <f t="shared" si="1"/>
        <v>Exceeds Target</v>
      </c>
    </row>
    <row r="1202" spans="2:11" ht="15" customHeight="1">
      <c r="B1202" t="s">
        <v>416</v>
      </c>
      <c r="C1202" t="s">
        <v>1587</v>
      </c>
      <c r="D1202" t="s">
        <v>69</v>
      </c>
      <c r="E1202" t="s">
        <v>70</v>
      </c>
      <c r="F1202" s="17">
        <v>1000</v>
      </c>
      <c r="G1202" s="17">
        <v>125000</v>
      </c>
      <c r="H1202" s="17">
        <v>124000</v>
      </c>
      <c r="I1202" s="18">
        <v>0.24</v>
      </c>
      <c r="J1202" s="14">
        <f t="shared" si="0"/>
        <v>124</v>
      </c>
      <c r="K1202" s="15" t="str">
        <f t="shared" si="1"/>
        <v>Exceeds Target</v>
      </c>
    </row>
    <row r="1203" spans="2:11" ht="15" customHeight="1">
      <c r="B1203" t="s">
        <v>74</v>
      </c>
      <c r="C1203" t="s">
        <v>1588</v>
      </c>
      <c r="D1203" t="s">
        <v>32</v>
      </c>
      <c r="E1203" t="s">
        <v>27</v>
      </c>
      <c r="F1203" s="17">
        <v>1500</v>
      </c>
      <c r="G1203" s="17">
        <v>20000</v>
      </c>
      <c r="H1203" s="17">
        <v>18500</v>
      </c>
      <c r="I1203" s="18">
        <v>0.73</v>
      </c>
      <c r="J1203" s="14">
        <f t="shared" si="0"/>
        <v>12.333333333333334</v>
      </c>
      <c r="K1203" s="15" t="str">
        <f t="shared" si="1"/>
        <v>Exceeds Target</v>
      </c>
    </row>
    <row r="1204" spans="2:11" ht="15" customHeight="1">
      <c r="B1204" t="s">
        <v>491</v>
      </c>
      <c r="C1204" t="s">
        <v>1589</v>
      </c>
      <c r="D1204" t="s">
        <v>69</v>
      </c>
      <c r="E1204" t="s">
        <v>70</v>
      </c>
      <c r="F1204" s="17">
        <v>1000</v>
      </c>
      <c r="G1204" s="17">
        <v>140000</v>
      </c>
      <c r="H1204" s="17">
        <v>139000</v>
      </c>
      <c r="I1204" s="18">
        <v>0.96</v>
      </c>
      <c r="J1204" s="14">
        <f t="shared" si="0"/>
        <v>139</v>
      </c>
      <c r="K1204" s="15" t="str">
        <f t="shared" si="1"/>
        <v>Exceeds Target</v>
      </c>
    </row>
    <row r="1205" spans="2:11" ht="15" customHeight="1">
      <c r="B1205" t="s">
        <v>337</v>
      </c>
      <c r="C1205" t="s">
        <v>1590</v>
      </c>
      <c r="D1205" t="s">
        <v>32</v>
      </c>
      <c r="E1205" t="s">
        <v>27</v>
      </c>
      <c r="F1205" s="17">
        <v>1500</v>
      </c>
      <c r="G1205" s="17">
        <v>46000</v>
      </c>
      <c r="H1205" s="17">
        <v>44500</v>
      </c>
      <c r="I1205" s="18">
        <v>0.56999999999999995</v>
      </c>
      <c r="J1205" s="14">
        <f t="shared" si="0"/>
        <v>29.666666666666668</v>
      </c>
      <c r="K1205" s="15" t="str">
        <f t="shared" si="1"/>
        <v>Exceeds Target</v>
      </c>
    </row>
    <row r="1206" spans="2:11" ht="15" customHeight="1">
      <c r="B1206" t="s">
        <v>279</v>
      </c>
      <c r="C1206" t="s">
        <v>1591</v>
      </c>
      <c r="D1206" t="s">
        <v>26</v>
      </c>
      <c r="E1206" t="s">
        <v>27</v>
      </c>
      <c r="F1206" s="17">
        <v>5000</v>
      </c>
      <c r="G1206" s="17">
        <v>150000</v>
      </c>
      <c r="H1206" s="17">
        <v>145000</v>
      </c>
      <c r="I1206" s="18">
        <v>0.27</v>
      </c>
      <c r="J1206" s="14">
        <f t="shared" si="0"/>
        <v>29</v>
      </c>
      <c r="K1206" s="15" t="str">
        <f t="shared" si="1"/>
        <v>Exceeds Target</v>
      </c>
    </row>
    <row r="1207" spans="2:11" ht="15" customHeight="1">
      <c r="B1207" t="s">
        <v>216</v>
      </c>
      <c r="C1207" t="s">
        <v>1592</v>
      </c>
      <c r="D1207" t="s">
        <v>35</v>
      </c>
      <c r="E1207" t="s">
        <v>27</v>
      </c>
      <c r="F1207" s="17">
        <v>3000</v>
      </c>
      <c r="G1207" s="17">
        <v>160000</v>
      </c>
      <c r="H1207" s="17">
        <v>157000</v>
      </c>
      <c r="I1207" s="18">
        <v>0.71</v>
      </c>
      <c r="J1207" s="14">
        <f t="shared" si="0"/>
        <v>52.333333333333336</v>
      </c>
      <c r="K1207" s="15" t="str">
        <f t="shared" si="1"/>
        <v>Exceeds Target</v>
      </c>
    </row>
    <row r="1208" spans="2:11" ht="15" customHeight="1">
      <c r="B1208" t="s">
        <v>303</v>
      </c>
      <c r="C1208" t="s">
        <v>1593</v>
      </c>
      <c r="D1208" t="s">
        <v>35</v>
      </c>
      <c r="E1208" t="s">
        <v>27</v>
      </c>
      <c r="F1208" s="17">
        <v>3000</v>
      </c>
      <c r="G1208" s="17">
        <v>260000</v>
      </c>
      <c r="H1208" s="17">
        <v>257000</v>
      </c>
      <c r="I1208" s="18">
        <v>0.82</v>
      </c>
      <c r="J1208" s="14">
        <f t="shared" si="0"/>
        <v>85.666666666666671</v>
      </c>
      <c r="K1208" s="15" t="str">
        <f t="shared" si="1"/>
        <v>Exceeds Target</v>
      </c>
    </row>
    <row r="1209" spans="2:11" ht="15" customHeight="1">
      <c r="B1209" t="s">
        <v>72</v>
      </c>
      <c r="C1209" t="s">
        <v>1594</v>
      </c>
      <c r="D1209" t="s">
        <v>26</v>
      </c>
      <c r="E1209" t="s">
        <v>27</v>
      </c>
      <c r="F1209" s="17">
        <v>5000</v>
      </c>
      <c r="G1209" s="17">
        <v>120000</v>
      </c>
      <c r="H1209" s="17">
        <v>115000</v>
      </c>
      <c r="I1209" s="18">
        <v>0.06</v>
      </c>
      <c r="J1209" s="14">
        <f t="shared" si="0"/>
        <v>23</v>
      </c>
      <c r="K1209" s="15" t="str">
        <f t="shared" si="1"/>
        <v>Exceeds Target</v>
      </c>
    </row>
    <row r="1210" spans="2:11" ht="15" customHeight="1">
      <c r="B1210" t="s">
        <v>512</v>
      </c>
      <c r="C1210" t="s">
        <v>1595</v>
      </c>
      <c r="D1210" t="s">
        <v>32</v>
      </c>
      <c r="E1210" t="s">
        <v>27</v>
      </c>
      <c r="F1210" s="17">
        <v>1500</v>
      </c>
      <c r="G1210" s="17">
        <v>46000</v>
      </c>
      <c r="H1210" s="17">
        <v>44500</v>
      </c>
      <c r="I1210" s="18">
        <v>0.74</v>
      </c>
      <c r="J1210" s="14">
        <f t="shared" si="0"/>
        <v>29.666666666666668</v>
      </c>
      <c r="K1210" s="15" t="str">
        <f t="shared" si="1"/>
        <v>Exceeds Target</v>
      </c>
    </row>
    <row r="1211" spans="2:11" ht="15" customHeight="1">
      <c r="B1211" t="s">
        <v>249</v>
      </c>
      <c r="C1211" t="s">
        <v>1596</v>
      </c>
      <c r="D1211" t="s">
        <v>32</v>
      </c>
      <c r="E1211" t="s">
        <v>27</v>
      </c>
      <c r="F1211" s="17">
        <v>1500</v>
      </c>
      <c r="G1211" s="17">
        <v>38000</v>
      </c>
      <c r="H1211" s="17">
        <v>36500</v>
      </c>
      <c r="I1211" s="18">
        <v>0.46</v>
      </c>
      <c r="J1211" s="14">
        <f t="shared" si="0"/>
        <v>24.333333333333332</v>
      </c>
      <c r="K1211" s="15" t="str">
        <f t="shared" si="1"/>
        <v>Exceeds Target</v>
      </c>
    </row>
    <row r="1212" spans="2:11" ht="15" customHeight="1">
      <c r="B1212" t="s">
        <v>496</v>
      </c>
      <c r="C1212" t="s">
        <v>1597</v>
      </c>
      <c r="D1212" t="s">
        <v>80</v>
      </c>
      <c r="E1212" t="s">
        <v>27</v>
      </c>
      <c r="F1212" s="17">
        <v>1000</v>
      </c>
      <c r="G1212" s="17">
        <v>72000</v>
      </c>
      <c r="H1212" s="17">
        <v>71000</v>
      </c>
      <c r="I1212" s="18">
        <v>0.68</v>
      </c>
      <c r="J1212" s="14">
        <f t="shared" si="0"/>
        <v>71</v>
      </c>
      <c r="K1212" s="15" t="str">
        <f t="shared" si="1"/>
        <v>Exceeds Target</v>
      </c>
    </row>
    <row r="1213" spans="2:11" ht="15" customHeight="1">
      <c r="B1213" t="s">
        <v>424</v>
      </c>
      <c r="C1213" t="s">
        <v>1598</v>
      </c>
      <c r="D1213" t="s">
        <v>69</v>
      </c>
      <c r="E1213" t="s">
        <v>70</v>
      </c>
      <c r="F1213" s="17">
        <v>1000</v>
      </c>
      <c r="G1213" s="17">
        <v>60000</v>
      </c>
      <c r="H1213" s="17">
        <v>59000</v>
      </c>
      <c r="I1213" s="18">
        <v>0.77</v>
      </c>
      <c r="J1213" s="14">
        <f t="shared" si="0"/>
        <v>59</v>
      </c>
      <c r="K1213" s="15" t="str">
        <f t="shared" si="1"/>
        <v>Exceeds Target</v>
      </c>
    </row>
    <row r="1214" spans="2:11" ht="15" customHeight="1">
      <c r="B1214" t="s">
        <v>293</v>
      </c>
      <c r="C1214" t="s">
        <v>1599</v>
      </c>
      <c r="D1214" t="s">
        <v>26</v>
      </c>
      <c r="E1214" t="s">
        <v>27</v>
      </c>
      <c r="F1214" s="17">
        <v>5000</v>
      </c>
      <c r="G1214" s="17">
        <v>120000</v>
      </c>
      <c r="H1214" s="17">
        <v>115000</v>
      </c>
      <c r="I1214" s="18">
        <v>0.06</v>
      </c>
      <c r="J1214" s="14">
        <f t="shared" si="0"/>
        <v>23</v>
      </c>
      <c r="K1214" s="15" t="str">
        <f t="shared" si="1"/>
        <v>Exceeds Target</v>
      </c>
    </row>
    <row r="1215" spans="2:11" ht="15" customHeight="1">
      <c r="B1215" t="s">
        <v>577</v>
      </c>
      <c r="C1215" t="s">
        <v>1600</v>
      </c>
      <c r="D1215" t="s">
        <v>69</v>
      </c>
      <c r="E1215" t="s">
        <v>70</v>
      </c>
      <c r="F1215" s="17">
        <v>1000</v>
      </c>
      <c r="G1215" s="17">
        <v>45000</v>
      </c>
      <c r="H1215" s="17">
        <v>44000</v>
      </c>
      <c r="I1215" s="18">
        <v>0.66</v>
      </c>
      <c r="J1215" s="14">
        <f t="shared" si="0"/>
        <v>44</v>
      </c>
      <c r="K1215" s="15" t="str">
        <f t="shared" si="1"/>
        <v>Exceeds Target</v>
      </c>
    </row>
    <row r="1216" spans="2:11" ht="15" customHeight="1">
      <c r="B1216" t="s">
        <v>167</v>
      </c>
      <c r="C1216" t="s">
        <v>1601</v>
      </c>
      <c r="D1216" t="s">
        <v>35</v>
      </c>
      <c r="E1216" t="s">
        <v>27</v>
      </c>
      <c r="F1216" s="17">
        <v>3000</v>
      </c>
      <c r="G1216" s="17">
        <v>240000</v>
      </c>
      <c r="H1216" s="17">
        <v>237000</v>
      </c>
      <c r="I1216" s="18">
        <v>0.77</v>
      </c>
      <c r="J1216" s="14">
        <f t="shared" si="0"/>
        <v>79</v>
      </c>
      <c r="K1216" s="15" t="str">
        <f t="shared" si="1"/>
        <v>Exceeds Target</v>
      </c>
    </row>
    <row r="1217" spans="2:11" ht="15" customHeight="1">
      <c r="B1217" t="s">
        <v>40</v>
      </c>
      <c r="C1217" t="s">
        <v>1602</v>
      </c>
      <c r="D1217" t="s">
        <v>35</v>
      </c>
      <c r="E1217" t="s">
        <v>27</v>
      </c>
      <c r="F1217" s="17">
        <v>3000</v>
      </c>
      <c r="G1217" s="17">
        <v>210000</v>
      </c>
      <c r="H1217" s="17">
        <v>207000</v>
      </c>
      <c r="I1217" s="18">
        <v>0.41</v>
      </c>
      <c r="J1217" s="14">
        <f t="shared" si="0"/>
        <v>69</v>
      </c>
      <c r="K1217" s="15" t="str">
        <f t="shared" si="1"/>
        <v>Exceeds Target</v>
      </c>
    </row>
    <row r="1218" spans="2:11" ht="15" customHeight="1">
      <c r="B1218" t="s">
        <v>882</v>
      </c>
      <c r="C1218" t="s">
        <v>1603</v>
      </c>
      <c r="D1218" t="s">
        <v>69</v>
      </c>
      <c r="E1218" t="s">
        <v>70</v>
      </c>
      <c r="F1218" s="17">
        <v>1000</v>
      </c>
      <c r="G1218" s="17">
        <v>45000</v>
      </c>
      <c r="H1218" s="17">
        <v>44000</v>
      </c>
      <c r="I1218" s="18">
        <v>0.51</v>
      </c>
      <c r="J1218" s="14">
        <f t="shared" si="0"/>
        <v>44</v>
      </c>
      <c r="K1218" s="15" t="str">
        <f t="shared" si="1"/>
        <v>Exceeds Target</v>
      </c>
    </row>
    <row r="1219" spans="2:11" ht="15" customHeight="1">
      <c r="B1219" t="s">
        <v>1604</v>
      </c>
      <c r="C1219" t="s">
        <v>1605</v>
      </c>
      <c r="D1219" t="s">
        <v>32</v>
      </c>
      <c r="E1219" t="s">
        <v>27</v>
      </c>
      <c r="F1219" s="17">
        <v>1500</v>
      </c>
      <c r="G1219" s="17">
        <v>56000</v>
      </c>
      <c r="H1219" s="17">
        <v>54500</v>
      </c>
      <c r="I1219" s="18">
        <v>0.23</v>
      </c>
      <c r="J1219" s="14">
        <f t="shared" si="0"/>
        <v>36.333333333333336</v>
      </c>
      <c r="K1219" s="15" t="str">
        <f t="shared" si="1"/>
        <v>Exceeds Target</v>
      </c>
    </row>
    <row r="1220" spans="2:11" ht="15" customHeight="1">
      <c r="B1220" t="s">
        <v>267</v>
      </c>
      <c r="C1220" t="s">
        <v>1606</v>
      </c>
      <c r="D1220" t="s">
        <v>26</v>
      </c>
      <c r="E1220" t="s">
        <v>27</v>
      </c>
      <c r="F1220" s="17">
        <v>5000</v>
      </c>
      <c r="G1220" s="17">
        <v>150000</v>
      </c>
      <c r="H1220" s="17">
        <v>145000</v>
      </c>
      <c r="I1220" s="18">
        <v>0.12</v>
      </c>
      <c r="J1220" s="14">
        <f t="shared" si="0"/>
        <v>29</v>
      </c>
      <c r="K1220" s="15" t="str">
        <f t="shared" si="1"/>
        <v>Exceeds Target</v>
      </c>
    </row>
    <row r="1221" spans="2:11" ht="15" customHeight="1">
      <c r="B1221" t="s">
        <v>762</v>
      </c>
      <c r="C1221" t="s">
        <v>1607</v>
      </c>
      <c r="D1221" t="s">
        <v>26</v>
      </c>
      <c r="E1221" t="s">
        <v>27</v>
      </c>
      <c r="F1221" s="17">
        <v>5000</v>
      </c>
      <c r="G1221" s="17">
        <v>30000</v>
      </c>
      <c r="H1221" s="17">
        <v>25000</v>
      </c>
      <c r="I1221" s="18">
        <v>0.1</v>
      </c>
      <c r="J1221" s="14">
        <f t="shared" si="0"/>
        <v>5</v>
      </c>
      <c r="K1221" s="15" t="str">
        <f t="shared" si="1"/>
        <v>Exceeds Target</v>
      </c>
    </row>
    <row r="1222" spans="2:11" ht="15" customHeight="1">
      <c r="B1222" t="s">
        <v>484</v>
      </c>
      <c r="C1222" t="s">
        <v>1608</v>
      </c>
      <c r="D1222" t="s">
        <v>69</v>
      </c>
      <c r="E1222" t="s">
        <v>70</v>
      </c>
      <c r="F1222" s="17">
        <v>1000</v>
      </c>
      <c r="G1222" s="17">
        <v>125000</v>
      </c>
      <c r="H1222" s="17">
        <v>124000</v>
      </c>
      <c r="I1222" s="18">
        <v>0.75</v>
      </c>
      <c r="J1222" s="14">
        <f t="shared" si="0"/>
        <v>124</v>
      </c>
      <c r="K1222" s="15" t="str">
        <f t="shared" si="1"/>
        <v>Exceeds Target</v>
      </c>
    </row>
    <row r="1223" spans="2:11" ht="15" customHeight="1">
      <c r="B1223" t="s">
        <v>1323</v>
      </c>
      <c r="C1223" t="s">
        <v>1609</v>
      </c>
      <c r="D1223" t="s">
        <v>35</v>
      </c>
      <c r="E1223" t="s">
        <v>27</v>
      </c>
      <c r="F1223" s="17">
        <v>3000</v>
      </c>
      <c r="G1223" s="17">
        <v>100000</v>
      </c>
      <c r="H1223" s="17">
        <v>97000</v>
      </c>
      <c r="I1223" s="18">
        <v>0.46</v>
      </c>
      <c r="J1223" s="14">
        <f t="shared" si="0"/>
        <v>32.333333333333336</v>
      </c>
      <c r="K1223" s="15" t="str">
        <f t="shared" si="1"/>
        <v>Exceeds Target</v>
      </c>
    </row>
    <row r="1224" spans="2:11" ht="15" customHeight="1">
      <c r="B1224" t="s">
        <v>487</v>
      </c>
      <c r="C1224" t="s">
        <v>1610</v>
      </c>
      <c r="D1224" t="s">
        <v>80</v>
      </c>
      <c r="E1224" t="s">
        <v>27</v>
      </c>
      <c r="F1224" s="17">
        <v>1000</v>
      </c>
      <c r="G1224" s="17">
        <v>87000</v>
      </c>
      <c r="H1224" s="17">
        <v>86000</v>
      </c>
      <c r="I1224" s="18">
        <v>0.62</v>
      </c>
      <c r="J1224" s="14">
        <f t="shared" si="0"/>
        <v>86</v>
      </c>
      <c r="K1224" s="15" t="str">
        <f t="shared" si="1"/>
        <v>Exceeds Target</v>
      </c>
    </row>
    <row r="1225" spans="2:11" ht="15" customHeight="1">
      <c r="B1225" t="s">
        <v>964</v>
      </c>
      <c r="C1225" t="s">
        <v>1611</v>
      </c>
      <c r="D1225" t="s">
        <v>32</v>
      </c>
      <c r="E1225" t="s">
        <v>27</v>
      </c>
      <c r="F1225" s="17">
        <v>1500</v>
      </c>
      <c r="G1225" s="17">
        <v>54000</v>
      </c>
      <c r="H1225" s="17">
        <v>52500</v>
      </c>
      <c r="I1225" s="18">
        <v>0.81</v>
      </c>
      <c r="J1225" s="14">
        <f t="shared" si="0"/>
        <v>35</v>
      </c>
      <c r="K1225" s="15" t="str">
        <f t="shared" si="1"/>
        <v>Exceeds Target</v>
      </c>
    </row>
    <row r="1226" spans="2:11" ht="15" customHeight="1">
      <c r="B1226" t="s">
        <v>845</v>
      </c>
      <c r="C1226" t="s">
        <v>1612</v>
      </c>
      <c r="D1226" t="s">
        <v>69</v>
      </c>
      <c r="E1226" t="s">
        <v>70</v>
      </c>
      <c r="F1226" s="17">
        <v>1000</v>
      </c>
      <c r="G1226" s="17">
        <v>50000</v>
      </c>
      <c r="H1226" s="17">
        <v>49000</v>
      </c>
      <c r="I1226" s="18">
        <v>0.52</v>
      </c>
      <c r="J1226" s="14">
        <f t="shared" si="0"/>
        <v>49</v>
      </c>
      <c r="K1226" s="15" t="str">
        <f t="shared" si="1"/>
        <v>Exceeds Target</v>
      </c>
    </row>
    <row r="1227" spans="2:11" ht="15" customHeight="1">
      <c r="B1227" t="s">
        <v>701</v>
      </c>
      <c r="C1227" t="s">
        <v>1613</v>
      </c>
      <c r="D1227" t="s">
        <v>32</v>
      </c>
      <c r="E1227" t="s">
        <v>27</v>
      </c>
      <c r="F1227" s="17">
        <v>1500</v>
      </c>
      <c r="G1227" s="17">
        <v>38000</v>
      </c>
      <c r="H1227" s="17">
        <v>36500</v>
      </c>
      <c r="I1227" s="18">
        <v>0.53</v>
      </c>
      <c r="J1227" s="14">
        <f t="shared" si="0"/>
        <v>24.333333333333332</v>
      </c>
      <c r="K1227" s="15" t="str">
        <f t="shared" si="1"/>
        <v>Exceeds Target</v>
      </c>
    </row>
    <row r="1228" spans="2:11" ht="15" customHeight="1">
      <c r="B1228" t="s">
        <v>1614</v>
      </c>
      <c r="C1228" t="s">
        <v>1615</v>
      </c>
      <c r="D1228" t="s">
        <v>35</v>
      </c>
      <c r="E1228" t="s">
        <v>27</v>
      </c>
      <c r="F1228" s="17">
        <v>3000</v>
      </c>
      <c r="G1228" s="17">
        <v>260000</v>
      </c>
      <c r="H1228" s="17">
        <v>257000</v>
      </c>
      <c r="I1228" s="18">
        <v>0.27</v>
      </c>
      <c r="J1228" s="14">
        <f t="shared" si="0"/>
        <v>85.666666666666671</v>
      </c>
      <c r="K1228" s="15" t="str">
        <f t="shared" si="1"/>
        <v>Exceeds Target</v>
      </c>
    </row>
    <row r="1229" spans="2:11" ht="15" customHeight="1">
      <c r="B1229" t="s">
        <v>443</v>
      </c>
      <c r="C1229" t="s">
        <v>1616</v>
      </c>
      <c r="D1229" t="s">
        <v>32</v>
      </c>
      <c r="E1229" t="s">
        <v>27</v>
      </c>
      <c r="F1229" s="17">
        <v>1500</v>
      </c>
      <c r="G1229" s="17">
        <v>60000</v>
      </c>
      <c r="H1229" s="17">
        <v>58500</v>
      </c>
      <c r="I1229" s="18">
        <v>0.54</v>
      </c>
      <c r="J1229" s="14">
        <f t="shared" si="0"/>
        <v>39</v>
      </c>
      <c r="K1229" s="15" t="str">
        <f t="shared" si="1"/>
        <v>Exceeds Target</v>
      </c>
    </row>
    <row r="1230" spans="2:11" ht="15" customHeight="1">
      <c r="B1230" t="s">
        <v>133</v>
      </c>
      <c r="C1230" t="s">
        <v>1617</v>
      </c>
      <c r="D1230" t="s">
        <v>35</v>
      </c>
      <c r="E1230" t="s">
        <v>27</v>
      </c>
      <c r="F1230" s="17">
        <v>3000</v>
      </c>
      <c r="G1230" s="17">
        <v>70000</v>
      </c>
      <c r="H1230" s="17">
        <v>67000</v>
      </c>
      <c r="I1230" s="18">
        <v>0.26</v>
      </c>
      <c r="J1230" s="14">
        <f t="shared" si="0"/>
        <v>22.333333333333332</v>
      </c>
      <c r="K1230" s="15" t="str">
        <f t="shared" si="1"/>
        <v>Exceeds Target</v>
      </c>
    </row>
    <row r="1231" spans="2:11" ht="15" customHeight="1">
      <c r="B1231" t="s">
        <v>422</v>
      </c>
      <c r="C1231" t="s">
        <v>1618</v>
      </c>
      <c r="D1231" t="s">
        <v>69</v>
      </c>
      <c r="E1231" t="s">
        <v>70</v>
      </c>
      <c r="F1231" s="17">
        <v>1000</v>
      </c>
      <c r="G1231" s="17">
        <v>135000</v>
      </c>
      <c r="H1231" s="17">
        <v>134000</v>
      </c>
      <c r="I1231" s="18">
        <v>0.81</v>
      </c>
      <c r="J1231" s="14">
        <f t="shared" si="0"/>
        <v>134</v>
      </c>
      <c r="K1231" s="15" t="str">
        <f t="shared" si="1"/>
        <v>Exceeds Target</v>
      </c>
    </row>
    <row r="1232" spans="2:11" ht="15" customHeight="1">
      <c r="B1232" t="s">
        <v>999</v>
      </c>
      <c r="C1232" t="s">
        <v>1619</v>
      </c>
      <c r="D1232" t="s">
        <v>69</v>
      </c>
      <c r="E1232" t="s">
        <v>70</v>
      </c>
      <c r="F1232" s="17">
        <v>1000</v>
      </c>
      <c r="G1232" s="17">
        <v>140000</v>
      </c>
      <c r="H1232" s="17">
        <v>139000</v>
      </c>
      <c r="I1232" s="18">
        <v>0.82</v>
      </c>
      <c r="J1232" s="14">
        <f t="shared" si="0"/>
        <v>139</v>
      </c>
      <c r="K1232" s="15" t="str">
        <f t="shared" si="1"/>
        <v>Exceeds Target</v>
      </c>
    </row>
    <row r="1233" spans="2:11" ht="15" customHeight="1">
      <c r="B1233" t="s">
        <v>792</v>
      </c>
      <c r="C1233" t="s">
        <v>1620</v>
      </c>
      <c r="D1233" t="s">
        <v>35</v>
      </c>
      <c r="E1233" t="s">
        <v>27</v>
      </c>
      <c r="F1233" s="17">
        <v>3000</v>
      </c>
      <c r="G1233" s="17">
        <v>190000</v>
      </c>
      <c r="H1233" s="17">
        <v>187000</v>
      </c>
      <c r="I1233" s="18">
        <v>0.45</v>
      </c>
      <c r="J1233" s="14">
        <f t="shared" si="0"/>
        <v>62.333333333333336</v>
      </c>
      <c r="K1233" s="15" t="str">
        <f t="shared" si="1"/>
        <v>Exceeds Target</v>
      </c>
    </row>
    <row r="1234" spans="2:11" ht="15" customHeight="1">
      <c r="B1234" t="s">
        <v>1621</v>
      </c>
      <c r="C1234" t="s">
        <v>1622</v>
      </c>
      <c r="D1234" t="s">
        <v>80</v>
      </c>
      <c r="E1234" t="s">
        <v>27</v>
      </c>
      <c r="F1234" s="17">
        <v>1000</v>
      </c>
      <c r="G1234" s="17">
        <v>120000</v>
      </c>
      <c r="H1234" s="17">
        <v>119000</v>
      </c>
      <c r="I1234" s="18">
        <v>0.89</v>
      </c>
      <c r="J1234" s="14">
        <f t="shared" si="0"/>
        <v>119</v>
      </c>
      <c r="K1234" s="15" t="str">
        <f t="shared" si="1"/>
        <v>Exceeds Target</v>
      </c>
    </row>
    <row r="1235" spans="2:11" ht="15" customHeight="1">
      <c r="B1235" t="s">
        <v>1323</v>
      </c>
      <c r="C1235" t="s">
        <v>1623</v>
      </c>
      <c r="D1235" t="s">
        <v>26</v>
      </c>
      <c r="E1235" t="s">
        <v>27</v>
      </c>
      <c r="F1235" s="17">
        <v>5000</v>
      </c>
      <c r="G1235" s="17">
        <v>30000</v>
      </c>
      <c r="H1235" s="17">
        <v>25000</v>
      </c>
      <c r="I1235" s="18">
        <v>0.24</v>
      </c>
      <c r="J1235" s="14">
        <f t="shared" si="0"/>
        <v>5</v>
      </c>
      <c r="K1235" s="15" t="str">
        <f t="shared" si="1"/>
        <v>Exceeds Target</v>
      </c>
    </row>
    <row r="1236" spans="2:11" ht="15" customHeight="1">
      <c r="B1236" t="s">
        <v>850</v>
      </c>
      <c r="C1236" t="s">
        <v>1624</v>
      </c>
      <c r="D1236" t="s">
        <v>32</v>
      </c>
      <c r="E1236" t="s">
        <v>27</v>
      </c>
      <c r="F1236" s="17">
        <v>1500</v>
      </c>
      <c r="G1236" s="17">
        <v>38000</v>
      </c>
      <c r="H1236" s="17">
        <v>36500</v>
      </c>
      <c r="I1236" s="18">
        <v>0.87</v>
      </c>
      <c r="J1236" s="14">
        <f t="shared" si="0"/>
        <v>24.333333333333332</v>
      </c>
      <c r="K1236" s="15" t="str">
        <f t="shared" si="1"/>
        <v>Exceeds Target</v>
      </c>
    </row>
    <row r="1237" spans="2:11" ht="15" customHeight="1">
      <c r="B1237" t="s">
        <v>329</v>
      </c>
      <c r="C1237" t="s">
        <v>1625</v>
      </c>
      <c r="D1237" t="s">
        <v>80</v>
      </c>
      <c r="E1237" t="s">
        <v>27</v>
      </c>
      <c r="F1237" s="17">
        <v>1000</v>
      </c>
      <c r="G1237" s="17">
        <v>114000</v>
      </c>
      <c r="H1237" s="17">
        <v>113000</v>
      </c>
      <c r="I1237" s="18">
        <v>0.94</v>
      </c>
      <c r="J1237" s="14">
        <f t="shared" si="0"/>
        <v>113</v>
      </c>
      <c r="K1237" s="15" t="str">
        <f t="shared" si="1"/>
        <v>Exceeds Target</v>
      </c>
    </row>
    <row r="1238" spans="2:11" ht="15" customHeight="1">
      <c r="B1238" t="s">
        <v>832</v>
      </c>
      <c r="C1238" t="s">
        <v>1626</v>
      </c>
      <c r="D1238" t="s">
        <v>32</v>
      </c>
      <c r="E1238" t="s">
        <v>27</v>
      </c>
      <c r="F1238" s="17">
        <v>1500</v>
      </c>
      <c r="G1238" s="17">
        <v>18000</v>
      </c>
      <c r="H1238" s="17">
        <v>16500</v>
      </c>
      <c r="I1238" s="18">
        <v>0.46</v>
      </c>
      <c r="J1238" s="14">
        <f t="shared" si="0"/>
        <v>11</v>
      </c>
      <c r="K1238" s="15" t="str">
        <f t="shared" si="1"/>
        <v>Exceeds Target</v>
      </c>
    </row>
    <row r="1239" spans="2:11" ht="15" customHeight="1">
      <c r="B1239" t="s">
        <v>639</v>
      </c>
      <c r="C1239" t="s">
        <v>1627</v>
      </c>
      <c r="D1239" t="s">
        <v>26</v>
      </c>
      <c r="E1239" t="s">
        <v>27</v>
      </c>
      <c r="F1239" s="17">
        <v>5000</v>
      </c>
      <c r="G1239" s="17">
        <v>120000</v>
      </c>
      <c r="H1239" s="17">
        <v>115000</v>
      </c>
      <c r="I1239" s="18">
        <v>0.3</v>
      </c>
      <c r="J1239" s="14">
        <f t="shared" si="0"/>
        <v>23</v>
      </c>
      <c r="K1239" s="15" t="str">
        <f t="shared" si="1"/>
        <v>Exceeds Target</v>
      </c>
    </row>
    <row r="1240" spans="2:11" ht="15" customHeight="1">
      <c r="B1240" t="s">
        <v>496</v>
      </c>
      <c r="C1240" t="s">
        <v>1628</v>
      </c>
      <c r="D1240" t="s">
        <v>32</v>
      </c>
      <c r="E1240" t="s">
        <v>27</v>
      </c>
      <c r="F1240" s="17">
        <v>1500</v>
      </c>
      <c r="G1240" s="17">
        <v>56000</v>
      </c>
      <c r="H1240" s="17">
        <v>54500</v>
      </c>
      <c r="I1240" s="18">
        <v>0.89</v>
      </c>
      <c r="J1240" s="14">
        <f t="shared" si="0"/>
        <v>36.333333333333336</v>
      </c>
      <c r="K1240" s="15" t="str">
        <f t="shared" si="1"/>
        <v>Exceeds Target</v>
      </c>
    </row>
    <row r="1241" spans="2:11" ht="15" customHeight="1">
      <c r="B1241" t="s">
        <v>580</v>
      </c>
      <c r="C1241" t="s">
        <v>1629</v>
      </c>
      <c r="D1241" t="s">
        <v>32</v>
      </c>
      <c r="E1241" t="s">
        <v>27</v>
      </c>
      <c r="F1241" s="17">
        <v>1500</v>
      </c>
      <c r="G1241" s="17">
        <v>52000</v>
      </c>
      <c r="H1241" s="17">
        <v>50500</v>
      </c>
      <c r="I1241" s="18">
        <v>0.81</v>
      </c>
      <c r="J1241" s="14">
        <f t="shared" si="0"/>
        <v>33.666666666666664</v>
      </c>
      <c r="K1241" s="15" t="str">
        <f t="shared" si="1"/>
        <v>Exceeds Target</v>
      </c>
    </row>
    <row r="1242" spans="2:11" ht="15" customHeight="1">
      <c r="B1242" t="s">
        <v>912</v>
      </c>
      <c r="C1242" t="s">
        <v>1630</v>
      </c>
      <c r="D1242" t="s">
        <v>35</v>
      </c>
      <c r="E1242" t="s">
        <v>27</v>
      </c>
      <c r="F1242" s="17">
        <v>3000</v>
      </c>
      <c r="G1242" s="17">
        <v>290000</v>
      </c>
      <c r="H1242" s="17">
        <v>287000</v>
      </c>
      <c r="I1242" s="18">
        <v>0.82</v>
      </c>
      <c r="J1242" s="14">
        <f t="shared" si="0"/>
        <v>95.666666666666671</v>
      </c>
      <c r="K1242" s="15" t="str">
        <f t="shared" si="1"/>
        <v>Exceeds Target</v>
      </c>
    </row>
    <row r="1243" spans="2:11" ht="15" customHeight="1">
      <c r="B1243" t="s">
        <v>72</v>
      </c>
      <c r="C1243" t="s">
        <v>1631</v>
      </c>
      <c r="D1243" t="s">
        <v>80</v>
      </c>
      <c r="E1243" t="s">
        <v>27</v>
      </c>
      <c r="F1243" s="17">
        <v>1000</v>
      </c>
      <c r="G1243" s="17">
        <v>117000</v>
      </c>
      <c r="H1243" s="17">
        <v>116000</v>
      </c>
      <c r="I1243" s="18">
        <v>0.82</v>
      </c>
      <c r="J1243" s="14">
        <f t="shared" si="0"/>
        <v>116</v>
      </c>
      <c r="K1243" s="15" t="str">
        <f t="shared" si="1"/>
        <v>Exceeds Target</v>
      </c>
    </row>
    <row r="1244" spans="2:11" ht="15" customHeight="1">
      <c r="B1244" t="s">
        <v>129</v>
      </c>
      <c r="C1244" t="s">
        <v>1632</v>
      </c>
      <c r="D1244" t="s">
        <v>26</v>
      </c>
      <c r="E1244" t="s">
        <v>27</v>
      </c>
      <c r="F1244" s="17">
        <v>5000</v>
      </c>
      <c r="G1244" s="17">
        <v>90000</v>
      </c>
      <c r="H1244" s="17">
        <v>85000</v>
      </c>
      <c r="I1244" s="18">
        <v>0.22</v>
      </c>
      <c r="J1244" s="14">
        <f t="shared" si="0"/>
        <v>17</v>
      </c>
      <c r="K1244" s="15" t="str">
        <f t="shared" si="1"/>
        <v>Exceeds Target</v>
      </c>
    </row>
    <row r="1245" spans="2:11" ht="15" customHeight="1">
      <c r="B1245" t="s">
        <v>1013</v>
      </c>
      <c r="C1245" t="s">
        <v>1633</v>
      </c>
      <c r="D1245" t="s">
        <v>32</v>
      </c>
      <c r="E1245" t="s">
        <v>27</v>
      </c>
      <c r="F1245" s="17">
        <v>1500</v>
      </c>
      <c r="G1245" s="17">
        <v>30000</v>
      </c>
      <c r="H1245" s="17">
        <v>28500</v>
      </c>
      <c r="I1245" s="18">
        <v>0.56999999999999995</v>
      </c>
      <c r="J1245" s="14">
        <f t="shared" si="0"/>
        <v>19</v>
      </c>
      <c r="K1245" s="15" t="str">
        <f t="shared" si="1"/>
        <v>Exceeds Target</v>
      </c>
    </row>
    <row r="1246" spans="2:11" ht="15" customHeight="1">
      <c r="B1246" t="s">
        <v>694</v>
      </c>
      <c r="C1246" t="s">
        <v>1634</v>
      </c>
      <c r="D1246" t="s">
        <v>35</v>
      </c>
      <c r="E1246" t="s">
        <v>27</v>
      </c>
      <c r="F1246" s="17">
        <v>3000</v>
      </c>
      <c r="G1246" s="17">
        <v>130000</v>
      </c>
      <c r="H1246" s="17">
        <v>127000</v>
      </c>
      <c r="I1246" s="18">
        <v>0.45</v>
      </c>
      <c r="J1246" s="14">
        <f t="shared" si="0"/>
        <v>42.333333333333336</v>
      </c>
      <c r="K1246" s="15" t="str">
        <f t="shared" si="1"/>
        <v>Exceeds Target</v>
      </c>
    </row>
    <row r="1247" spans="2:11" ht="15" customHeight="1">
      <c r="B1247" t="s">
        <v>694</v>
      </c>
      <c r="C1247" t="s">
        <v>1635</v>
      </c>
      <c r="D1247" t="s">
        <v>32</v>
      </c>
      <c r="E1247" t="s">
        <v>27</v>
      </c>
      <c r="F1247" s="17">
        <v>1500</v>
      </c>
      <c r="G1247" s="17">
        <v>46000</v>
      </c>
      <c r="H1247" s="17">
        <v>44500</v>
      </c>
      <c r="I1247" s="18">
        <v>0.83</v>
      </c>
      <c r="J1247" s="14">
        <f t="shared" si="0"/>
        <v>29.666666666666668</v>
      </c>
      <c r="K1247" s="15" t="str">
        <f t="shared" si="1"/>
        <v>Exceeds Target</v>
      </c>
    </row>
    <row r="1248" spans="2:11" ht="15" customHeight="1">
      <c r="B1248" t="s">
        <v>340</v>
      </c>
      <c r="C1248" t="s">
        <v>1636</v>
      </c>
      <c r="D1248" t="s">
        <v>69</v>
      </c>
      <c r="E1248" t="s">
        <v>70</v>
      </c>
      <c r="F1248" s="17">
        <v>1000</v>
      </c>
      <c r="G1248" s="17">
        <v>100000</v>
      </c>
      <c r="H1248" s="17">
        <v>99000</v>
      </c>
      <c r="I1248" s="18">
        <v>0.3</v>
      </c>
      <c r="J1248" s="14">
        <f t="shared" si="0"/>
        <v>99</v>
      </c>
      <c r="K1248" s="15" t="str">
        <f t="shared" si="1"/>
        <v>Exceeds Target</v>
      </c>
    </row>
    <row r="1249" spans="2:11" ht="15" customHeight="1">
      <c r="B1249" t="s">
        <v>190</v>
      </c>
      <c r="C1249" t="s">
        <v>1637</v>
      </c>
      <c r="D1249" t="s">
        <v>69</v>
      </c>
      <c r="E1249" t="s">
        <v>70</v>
      </c>
      <c r="F1249" s="17">
        <v>1000</v>
      </c>
      <c r="G1249" s="17">
        <v>70000</v>
      </c>
      <c r="H1249" s="17">
        <v>69000</v>
      </c>
      <c r="I1249" s="18">
        <v>0.82</v>
      </c>
      <c r="J1249" s="14">
        <f t="shared" si="0"/>
        <v>69</v>
      </c>
      <c r="K1249" s="15" t="str">
        <f t="shared" si="1"/>
        <v>Exceeds Target</v>
      </c>
    </row>
    <row r="1250" spans="2:11" ht="15" customHeight="1">
      <c r="B1250" t="s">
        <v>252</v>
      </c>
      <c r="C1250" t="s">
        <v>1638</v>
      </c>
      <c r="D1250" t="s">
        <v>35</v>
      </c>
      <c r="E1250" t="s">
        <v>27</v>
      </c>
      <c r="F1250" s="17">
        <v>3000</v>
      </c>
      <c r="G1250" s="17">
        <v>90000</v>
      </c>
      <c r="H1250" s="17">
        <v>87000</v>
      </c>
      <c r="I1250" s="18">
        <v>0.88</v>
      </c>
      <c r="J1250" s="14">
        <f t="shared" si="0"/>
        <v>29</v>
      </c>
      <c r="K1250" s="15" t="str">
        <f t="shared" si="1"/>
        <v>Exceeds Target</v>
      </c>
    </row>
    <row r="1251" spans="2:11" ht="15" customHeight="1">
      <c r="B1251" t="s">
        <v>837</v>
      </c>
      <c r="C1251" t="s">
        <v>1639</v>
      </c>
      <c r="D1251" t="s">
        <v>80</v>
      </c>
      <c r="E1251" t="s">
        <v>27</v>
      </c>
      <c r="F1251" s="17">
        <v>1000</v>
      </c>
      <c r="G1251" s="17">
        <v>108000</v>
      </c>
      <c r="H1251" s="17">
        <v>107000</v>
      </c>
      <c r="I1251" s="18">
        <v>0.99</v>
      </c>
      <c r="J1251" s="14">
        <f t="shared" si="0"/>
        <v>107</v>
      </c>
      <c r="K1251" s="15" t="str">
        <f t="shared" si="1"/>
        <v>Exceeds Target</v>
      </c>
    </row>
    <row r="1252" spans="2:11" ht="15" customHeight="1">
      <c r="B1252" t="s">
        <v>313</v>
      </c>
      <c r="C1252" t="s">
        <v>1640</v>
      </c>
      <c r="D1252" t="s">
        <v>69</v>
      </c>
      <c r="E1252" t="s">
        <v>70</v>
      </c>
      <c r="F1252" s="17">
        <v>1000</v>
      </c>
      <c r="G1252" s="17">
        <v>75000</v>
      </c>
      <c r="H1252" s="17">
        <v>74000</v>
      </c>
      <c r="I1252" s="18">
        <v>0.76</v>
      </c>
      <c r="J1252" s="14">
        <f t="shared" si="0"/>
        <v>74</v>
      </c>
      <c r="K1252" s="15" t="str">
        <f t="shared" si="1"/>
        <v>Exceeds Target</v>
      </c>
    </row>
    <row r="1253" spans="2:11" ht="15" customHeight="1">
      <c r="B1253" t="s">
        <v>512</v>
      </c>
      <c r="C1253" t="s">
        <v>1641</v>
      </c>
      <c r="D1253" t="s">
        <v>32</v>
      </c>
      <c r="E1253" t="s">
        <v>27</v>
      </c>
      <c r="F1253" s="17">
        <v>1500</v>
      </c>
      <c r="G1253" s="17">
        <v>58000</v>
      </c>
      <c r="H1253" s="17">
        <v>56500</v>
      </c>
      <c r="I1253" s="18">
        <v>0.87</v>
      </c>
      <c r="J1253" s="14">
        <f t="shared" si="0"/>
        <v>37.666666666666664</v>
      </c>
      <c r="K1253" s="15" t="str">
        <f t="shared" si="1"/>
        <v>Exceeds Target</v>
      </c>
    </row>
    <row r="1254" spans="2:11" ht="15" customHeight="1">
      <c r="B1254" t="s">
        <v>1604</v>
      </c>
      <c r="C1254" t="s">
        <v>1642</v>
      </c>
      <c r="D1254" t="s">
        <v>69</v>
      </c>
      <c r="E1254" t="s">
        <v>70</v>
      </c>
      <c r="F1254" s="17">
        <v>1000</v>
      </c>
      <c r="G1254" s="17">
        <v>40000</v>
      </c>
      <c r="H1254" s="17">
        <v>39000</v>
      </c>
      <c r="I1254" s="18">
        <v>0.49</v>
      </c>
      <c r="J1254" s="14">
        <f t="shared" si="0"/>
        <v>39</v>
      </c>
      <c r="K1254" s="15" t="str">
        <f t="shared" si="1"/>
        <v>Exceeds Target</v>
      </c>
    </row>
    <row r="1255" spans="2:11" ht="15" customHeight="1">
      <c r="B1255" t="s">
        <v>157</v>
      </c>
      <c r="C1255" t="s">
        <v>1643</v>
      </c>
      <c r="D1255" t="s">
        <v>80</v>
      </c>
      <c r="E1255" t="s">
        <v>27</v>
      </c>
      <c r="F1255" s="17">
        <v>1000</v>
      </c>
      <c r="G1255" s="17">
        <v>48000</v>
      </c>
      <c r="H1255" s="17">
        <v>47000</v>
      </c>
      <c r="I1255" s="18">
        <v>0.88</v>
      </c>
      <c r="J1255" s="14">
        <f t="shared" si="0"/>
        <v>47</v>
      </c>
      <c r="K1255" s="15" t="str">
        <f t="shared" si="1"/>
        <v>Exceeds Target</v>
      </c>
    </row>
    <row r="1256" spans="2:11" ht="15" customHeight="1">
      <c r="B1256" t="s">
        <v>1644</v>
      </c>
      <c r="C1256" t="s">
        <v>1645</v>
      </c>
      <c r="D1256" t="s">
        <v>26</v>
      </c>
      <c r="E1256" t="s">
        <v>27</v>
      </c>
      <c r="F1256" s="17">
        <v>5000</v>
      </c>
      <c r="G1256" s="17">
        <v>150000</v>
      </c>
      <c r="H1256" s="17">
        <v>145000</v>
      </c>
      <c r="I1256" s="18">
        <v>0.2</v>
      </c>
      <c r="J1256" s="14">
        <f t="shared" si="0"/>
        <v>29</v>
      </c>
      <c r="K1256" s="15" t="str">
        <f t="shared" si="1"/>
        <v>Exceeds Target</v>
      </c>
    </row>
    <row r="1257" spans="2:11" ht="15" customHeight="1">
      <c r="B1257" t="s">
        <v>238</v>
      </c>
      <c r="C1257" t="s">
        <v>1646</v>
      </c>
      <c r="D1257" t="s">
        <v>32</v>
      </c>
      <c r="E1257" t="s">
        <v>27</v>
      </c>
      <c r="F1257" s="17">
        <v>1500</v>
      </c>
      <c r="G1257" s="17">
        <v>54000</v>
      </c>
      <c r="H1257" s="17">
        <v>52500</v>
      </c>
      <c r="I1257" s="18">
        <v>0.61</v>
      </c>
      <c r="J1257" s="14">
        <f t="shared" si="0"/>
        <v>35</v>
      </c>
      <c r="K1257" s="15" t="str">
        <f t="shared" si="1"/>
        <v>Exceeds Target</v>
      </c>
    </row>
    <row r="1258" spans="2:11" ht="15" customHeight="1">
      <c r="B1258" t="s">
        <v>420</v>
      </c>
      <c r="C1258" t="s">
        <v>1647</v>
      </c>
      <c r="D1258" t="s">
        <v>26</v>
      </c>
      <c r="E1258" t="s">
        <v>27</v>
      </c>
      <c r="F1258" s="17">
        <v>5000</v>
      </c>
      <c r="G1258" s="17">
        <v>150000</v>
      </c>
      <c r="H1258" s="17">
        <v>145000</v>
      </c>
      <c r="I1258" s="18">
        <v>0.13</v>
      </c>
      <c r="J1258" s="14">
        <f t="shared" si="0"/>
        <v>29</v>
      </c>
      <c r="K1258" s="15" t="str">
        <f t="shared" si="1"/>
        <v>Exceeds Target</v>
      </c>
    </row>
    <row r="1259" spans="2:11" ht="15" customHeight="1">
      <c r="B1259" t="s">
        <v>43</v>
      </c>
      <c r="C1259" t="s">
        <v>1648</v>
      </c>
      <c r="D1259" t="s">
        <v>26</v>
      </c>
      <c r="E1259" t="s">
        <v>27</v>
      </c>
      <c r="F1259" s="17">
        <v>5000</v>
      </c>
      <c r="G1259" s="17">
        <v>30000</v>
      </c>
      <c r="H1259" s="17">
        <v>25000</v>
      </c>
      <c r="I1259" s="18">
        <v>0.06</v>
      </c>
      <c r="J1259" s="14">
        <f t="shared" si="0"/>
        <v>5</v>
      </c>
      <c r="K1259" s="15" t="str">
        <f t="shared" si="1"/>
        <v>Exceeds Target</v>
      </c>
    </row>
    <row r="1260" spans="2:11" ht="15" customHeight="1">
      <c r="B1260" t="s">
        <v>249</v>
      </c>
      <c r="C1260" t="s">
        <v>1649</v>
      </c>
      <c r="D1260" t="s">
        <v>32</v>
      </c>
      <c r="E1260" t="s">
        <v>27</v>
      </c>
      <c r="F1260" s="17">
        <v>1500</v>
      </c>
      <c r="G1260" s="17">
        <v>28000</v>
      </c>
      <c r="H1260" s="17">
        <v>26500</v>
      </c>
      <c r="I1260" s="18">
        <v>0.8</v>
      </c>
      <c r="J1260" s="14">
        <f t="shared" si="0"/>
        <v>17.666666666666668</v>
      </c>
      <c r="K1260" s="15" t="str">
        <f t="shared" si="1"/>
        <v>Exceeds Target</v>
      </c>
    </row>
    <row r="1261" spans="2:11" ht="15" customHeight="1">
      <c r="B1261" t="s">
        <v>54</v>
      </c>
      <c r="C1261" t="s">
        <v>1650</v>
      </c>
      <c r="D1261" t="s">
        <v>80</v>
      </c>
      <c r="E1261" t="s">
        <v>27</v>
      </c>
      <c r="F1261" s="17">
        <v>1000</v>
      </c>
      <c r="G1261" s="17">
        <v>75000</v>
      </c>
      <c r="H1261" s="17">
        <v>74000</v>
      </c>
      <c r="I1261" s="18">
        <v>0.78</v>
      </c>
      <c r="J1261" s="14">
        <f t="shared" si="0"/>
        <v>74</v>
      </c>
      <c r="K1261" s="15" t="str">
        <f t="shared" si="1"/>
        <v>Exceeds Target</v>
      </c>
    </row>
    <row r="1262" spans="2:11" ht="15" customHeight="1">
      <c r="B1262" t="s">
        <v>180</v>
      </c>
      <c r="C1262" t="s">
        <v>1651</v>
      </c>
      <c r="D1262" t="s">
        <v>80</v>
      </c>
      <c r="E1262" t="s">
        <v>27</v>
      </c>
      <c r="F1262" s="17">
        <v>1000</v>
      </c>
      <c r="G1262" s="17">
        <v>78000</v>
      </c>
      <c r="H1262" s="17">
        <v>77000</v>
      </c>
      <c r="I1262" s="18">
        <v>0.99</v>
      </c>
      <c r="J1262" s="14">
        <f t="shared" si="0"/>
        <v>77</v>
      </c>
      <c r="K1262" s="15" t="str">
        <f t="shared" si="1"/>
        <v>Exceeds Target</v>
      </c>
    </row>
    <row r="1263" spans="2:11" ht="15" customHeight="1">
      <c r="B1263" t="s">
        <v>608</v>
      </c>
      <c r="C1263" t="s">
        <v>1652</v>
      </c>
      <c r="D1263" t="s">
        <v>80</v>
      </c>
      <c r="E1263" t="s">
        <v>27</v>
      </c>
      <c r="F1263" s="17">
        <v>1000</v>
      </c>
      <c r="G1263" s="17">
        <v>60000</v>
      </c>
      <c r="H1263" s="17">
        <v>59000</v>
      </c>
      <c r="I1263" s="18">
        <v>0.64</v>
      </c>
      <c r="J1263" s="14">
        <f t="shared" si="0"/>
        <v>59</v>
      </c>
      <c r="K1263" s="15" t="str">
        <f t="shared" si="1"/>
        <v>Exceeds Target</v>
      </c>
    </row>
    <row r="1264" spans="2:11" ht="15" customHeight="1">
      <c r="B1264" t="s">
        <v>912</v>
      </c>
      <c r="C1264" t="s">
        <v>1653</v>
      </c>
      <c r="D1264" t="s">
        <v>80</v>
      </c>
      <c r="E1264" t="s">
        <v>27</v>
      </c>
      <c r="F1264" s="17">
        <v>1000</v>
      </c>
      <c r="G1264" s="17">
        <v>84000</v>
      </c>
      <c r="H1264" s="17">
        <v>83000</v>
      </c>
      <c r="I1264" s="18">
        <v>0.76</v>
      </c>
      <c r="J1264" s="14">
        <f t="shared" si="0"/>
        <v>83</v>
      </c>
      <c r="K1264" s="15" t="str">
        <f t="shared" si="1"/>
        <v>Exceeds Target</v>
      </c>
    </row>
    <row r="1265" spans="2:11" ht="15" customHeight="1">
      <c r="B1265" t="s">
        <v>484</v>
      </c>
      <c r="C1265" t="s">
        <v>1654</v>
      </c>
      <c r="D1265" t="s">
        <v>26</v>
      </c>
      <c r="E1265" t="s">
        <v>27</v>
      </c>
      <c r="F1265" s="17">
        <v>5000</v>
      </c>
      <c r="G1265" s="17">
        <v>150000</v>
      </c>
      <c r="H1265" s="17">
        <v>145000</v>
      </c>
      <c r="I1265" s="18">
        <v>7.0000000000000007E-2</v>
      </c>
      <c r="J1265" s="14">
        <f t="shared" si="0"/>
        <v>29</v>
      </c>
      <c r="K1265" s="15" t="str">
        <f t="shared" si="1"/>
        <v>Exceeds Target</v>
      </c>
    </row>
    <row r="1266" spans="2:11" ht="15" customHeight="1">
      <c r="B1266" t="s">
        <v>216</v>
      </c>
      <c r="C1266" t="s">
        <v>1655</v>
      </c>
      <c r="D1266" t="s">
        <v>32</v>
      </c>
      <c r="E1266" t="s">
        <v>27</v>
      </c>
      <c r="F1266" s="17">
        <v>1500</v>
      </c>
      <c r="G1266" s="17">
        <v>54000</v>
      </c>
      <c r="H1266" s="17">
        <v>52500</v>
      </c>
      <c r="I1266" s="18">
        <v>0.26</v>
      </c>
      <c r="J1266" s="14">
        <f t="shared" si="0"/>
        <v>35</v>
      </c>
      <c r="K1266" s="15" t="str">
        <f t="shared" si="1"/>
        <v>Exceeds Target</v>
      </c>
    </row>
    <row r="1267" spans="2:11" ht="15" customHeight="1">
      <c r="B1267" t="s">
        <v>337</v>
      </c>
      <c r="C1267" t="s">
        <v>1656</v>
      </c>
      <c r="D1267" t="s">
        <v>69</v>
      </c>
      <c r="E1267" t="s">
        <v>70</v>
      </c>
      <c r="F1267" s="17">
        <v>1000</v>
      </c>
      <c r="G1267" s="17">
        <v>145000</v>
      </c>
      <c r="H1267" s="17">
        <v>144000</v>
      </c>
      <c r="I1267" s="18">
        <v>0.49</v>
      </c>
      <c r="J1267" s="14">
        <f t="shared" si="0"/>
        <v>144</v>
      </c>
      <c r="K1267" s="15" t="str">
        <f t="shared" si="1"/>
        <v>Exceeds Target</v>
      </c>
    </row>
    <row r="1268" spans="2:11" ht="15" customHeight="1">
      <c r="B1268" t="s">
        <v>608</v>
      </c>
      <c r="C1268" t="s">
        <v>1657</v>
      </c>
      <c r="D1268" t="s">
        <v>26</v>
      </c>
      <c r="E1268" t="s">
        <v>27</v>
      </c>
      <c r="F1268" s="17">
        <v>5000</v>
      </c>
      <c r="G1268" s="17">
        <v>30000</v>
      </c>
      <c r="H1268" s="17">
        <v>25000</v>
      </c>
      <c r="I1268" s="18">
        <v>0.31</v>
      </c>
      <c r="J1268" s="14">
        <f t="shared" si="0"/>
        <v>5</v>
      </c>
      <c r="K1268" s="15" t="str">
        <f t="shared" si="1"/>
        <v>Exceeds Target</v>
      </c>
    </row>
    <row r="1269" spans="2:11" ht="15" customHeight="1">
      <c r="B1269" t="s">
        <v>571</v>
      </c>
      <c r="C1269" t="s">
        <v>1658</v>
      </c>
      <c r="D1269" t="s">
        <v>69</v>
      </c>
      <c r="E1269" t="s">
        <v>70</v>
      </c>
      <c r="F1269" s="17">
        <v>1000</v>
      </c>
      <c r="G1269" s="17">
        <v>115000</v>
      </c>
      <c r="H1269" s="17">
        <v>114000</v>
      </c>
      <c r="I1269" s="18">
        <v>0.64</v>
      </c>
      <c r="J1269" s="14">
        <f t="shared" si="0"/>
        <v>114</v>
      </c>
      <c r="K1269" s="15" t="str">
        <f t="shared" si="1"/>
        <v>Exceeds Target</v>
      </c>
    </row>
    <row r="1270" spans="2:11" ht="15" customHeight="1">
      <c r="B1270" t="s">
        <v>615</v>
      </c>
      <c r="C1270" t="s">
        <v>1659</v>
      </c>
      <c r="D1270" t="s">
        <v>69</v>
      </c>
      <c r="E1270" t="s">
        <v>70</v>
      </c>
      <c r="F1270" s="17">
        <v>1000</v>
      </c>
      <c r="G1270" s="17">
        <v>65000</v>
      </c>
      <c r="H1270" s="17">
        <v>64000</v>
      </c>
      <c r="I1270" s="18">
        <v>0.47</v>
      </c>
      <c r="J1270" s="14">
        <f t="shared" si="0"/>
        <v>64</v>
      </c>
      <c r="K1270" s="15" t="str">
        <f t="shared" si="1"/>
        <v>Exceeds Target</v>
      </c>
    </row>
    <row r="1271" spans="2:11" ht="15" customHeight="1">
      <c r="B1271" t="s">
        <v>707</v>
      </c>
      <c r="C1271" t="s">
        <v>1660</v>
      </c>
      <c r="D1271" t="s">
        <v>80</v>
      </c>
      <c r="E1271" t="s">
        <v>27</v>
      </c>
      <c r="F1271" s="17">
        <v>1000</v>
      </c>
      <c r="G1271" s="17">
        <v>93000</v>
      </c>
      <c r="H1271" s="17">
        <v>92000</v>
      </c>
      <c r="I1271" s="18">
        <v>0.64</v>
      </c>
      <c r="J1271" s="14">
        <f t="shared" si="0"/>
        <v>92</v>
      </c>
      <c r="K1271" s="15" t="str">
        <f t="shared" si="1"/>
        <v>Exceeds Target</v>
      </c>
    </row>
    <row r="1272" spans="2:11" ht="15" customHeight="1">
      <c r="B1272" t="s">
        <v>432</v>
      </c>
      <c r="C1272" t="s">
        <v>1661</v>
      </c>
      <c r="D1272" t="s">
        <v>32</v>
      </c>
      <c r="E1272" t="s">
        <v>27</v>
      </c>
      <c r="F1272" s="17">
        <v>1500</v>
      </c>
      <c r="G1272" s="17">
        <v>52000</v>
      </c>
      <c r="H1272" s="17">
        <v>50500</v>
      </c>
      <c r="I1272" s="18">
        <v>0.88</v>
      </c>
      <c r="J1272" s="14">
        <f t="shared" si="0"/>
        <v>33.666666666666664</v>
      </c>
      <c r="K1272" s="15" t="str">
        <f t="shared" si="1"/>
        <v>Exceeds Target</v>
      </c>
    </row>
    <row r="1273" spans="2:11" ht="15" customHeight="1">
      <c r="B1273" t="s">
        <v>265</v>
      </c>
      <c r="C1273" t="s">
        <v>1662</v>
      </c>
      <c r="D1273" t="s">
        <v>32</v>
      </c>
      <c r="E1273" t="s">
        <v>27</v>
      </c>
      <c r="F1273" s="17">
        <v>1500</v>
      </c>
      <c r="G1273" s="17">
        <v>26000</v>
      </c>
      <c r="H1273" s="17">
        <v>24500</v>
      </c>
      <c r="I1273" s="18">
        <v>0.77</v>
      </c>
      <c r="J1273" s="14">
        <f t="shared" si="0"/>
        <v>16.333333333333332</v>
      </c>
      <c r="K1273" s="15" t="str">
        <f t="shared" si="1"/>
        <v>Exceeds Target</v>
      </c>
    </row>
    <row r="1274" spans="2:11" ht="15" customHeight="1">
      <c r="B1274" t="s">
        <v>1126</v>
      </c>
      <c r="C1274" t="s">
        <v>1663</v>
      </c>
      <c r="D1274" t="s">
        <v>32</v>
      </c>
      <c r="E1274" t="s">
        <v>27</v>
      </c>
      <c r="F1274" s="17">
        <v>1500</v>
      </c>
      <c r="G1274" s="17">
        <v>28000</v>
      </c>
      <c r="H1274" s="17">
        <v>26500</v>
      </c>
      <c r="I1274" s="18">
        <v>0.97</v>
      </c>
      <c r="J1274" s="14">
        <f t="shared" si="0"/>
        <v>17.666666666666668</v>
      </c>
      <c r="K1274" s="15" t="str">
        <f t="shared" si="1"/>
        <v>Exceeds Target</v>
      </c>
    </row>
    <row r="1275" spans="2:11" ht="15" customHeight="1">
      <c r="B1275" t="s">
        <v>171</v>
      </c>
      <c r="C1275" t="s">
        <v>1664</v>
      </c>
      <c r="D1275" t="s">
        <v>26</v>
      </c>
      <c r="E1275" t="s">
        <v>27</v>
      </c>
      <c r="F1275" s="17">
        <v>5000</v>
      </c>
      <c r="G1275" s="17">
        <v>120000</v>
      </c>
      <c r="H1275" s="17">
        <v>115000</v>
      </c>
      <c r="I1275" s="18">
        <v>0.23</v>
      </c>
      <c r="J1275" s="14">
        <f t="shared" si="0"/>
        <v>23</v>
      </c>
      <c r="K1275" s="15" t="str">
        <f t="shared" si="1"/>
        <v>Exceeds Target</v>
      </c>
    </row>
    <row r="1276" spans="2:11" ht="15" customHeight="1">
      <c r="B1276" t="s">
        <v>471</v>
      </c>
      <c r="C1276" t="s">
        <v>1665</v>
      </c>
      <c r="D1276" t="s">
        <v>26</v>
      </c>
      <c r="E1276" t="s">
        <v>27</v>
      </c>
      <c r="F1276" s="17">
        <v>5000</v>
      </c>
      <c r="G1276" s="17">
        <v>60000</v>
      </c>
      <c r="H1276" s="17">
        <v>55000</v>
      </c>
      <c r="I1276" s="18">
        <v>0.28999999999999998</v>
      </c>
      <c r="J1276" s="14">
        <f t="shared" si="0"/>
        <v>11</v>
      </c>
      <c r="K1276" s="15" t="str">
        <f t="shared" si="1"/>
        <v>Exceeds Target</v>
      </c>
    </row>
    <row r="1277" spans="2:11" ht="15" customHeight="1">
      <c r="B1277" t="s">
        <v>540</v>
      </c>
      <c r="C1277" t="s">
        <v>1666</v>
      </c>
      <c r="D1277" t="s">
        <v>80</v>
      </c>
      <c r="E1277" t="s">
        <v>27</v>
      </c>
      <c r="F1277" s="17">
        <v>1000</v>
      </c>
      <c r="G1277" s="17">
        <v>45000</v>
      </c>
      <c r="H1277" s="17">
        <v>44000</v>
      </c>
      <c r="I1277" s="18">
        <v>0.61</v>
      </c>
      <c r="J1277" s="14">
        <f t="shared" si="0"/>
        <v>44</v>
      </c>
      <c r="K1277" s="15" t="str">
        <f t="shared" si="1"/>
        <v>Exceeds Target</v>
      </c>
    </row>
    <row r="1278" spans="2:11" ht="15" customHeight="1">
      <c r="B1278" t="s">
        <v>577</v>
      </c>
      <c r="C1278" t="s">
        <v>1667</v>
      </c>
      <c r="D1278" t="s">
        <v>32</v>
      </c>
      <c r="E1278" t="s">
        <v>27</v>
      </c>
      <c r="F1278" s="17">
        <v>1500</v>
      </c>
      <c r="G1278" s="17">
        <v>50000</v>
      </c>
      <c r="H1278" s="17">
        <v>48500</v>
      </c>
      <c r="I1278" s="18">
        <v>0.91</v>
      </c>
      <c r="J1278" s="14">
        <f t="shared" si="0"/>
        <v>32.333333333333336</v>
      </c>
      <c r="K1278" s="15" t="str">
        <f t="shared" si="1"/>
        <v>Exceeds Target</v>
      </c>
    </row>
    <row r="1279" spans="2:11" ht="15" customHeight="1">
      <c r="B1279" t="s">
        <v>585</v>
      </c>
      <c r="C1279" t="s">
        <v>1668</v>
      </c>
      <c r="D1279" t="s">
        <v>26</v>
      </c>
      <c r="E1279" t="s">
        <v>27</v>
      </c>
      <c r="F1279" s="17">
        <v>5000</v>
      </c>
      <c r="G1279" s="17">
        <v>30000</v>
      </c>
      <c r="H1279" s="17">
        <v>25000</v>
      </c>
      <c r="I1279" s="18">
        <v>0.08</v>
      </c>
      <c r="J1279" s="14">
        <f t="shared" si="0"/>
        <v>5</v>
      </c>
      <c r="K1279" s="15" t="str">
        <f t="shared" si="1"/>
        <v>Exceeds Target</v>
      </c>
    </row>
    <row r="1280" spans="2:11" ht="15" customHeight="1">
      <c r="B1280" t="s">
        <v>912</v>
      </c>
      <c r="C1280" t="s">
        <v>1669</v>
      </c>
      <c r="D1280" t="s">
        <v>26</v>
      </c>
      <c r="E1280" t="s">
        <v>27</v>
      </c>
      <c r="F1280" s="17">
        <v>5000</v>
      </c>
      <c r="G1280" s="17">
        <v>90000</v>
      </c>
      <c r="H1280" s="17">
        <v>85000</v>
      </c>
      <c r="I1280" s="18">
        <v>7.0000000000000007E-2</v>
      </c>
      <c r="J1280" s="14">
        <f t="shared" si="0"/>
        <v>17</v>
      </c>
      <c r="K1280" s="15" t="str">
        <f t="shared" si="1"/>
        <v>Exceeds Target</v>
      </c>
    </row>
    <row r="1281" spans="2:11" ht="15" customHeight="1">
      <c r="B1281" t="s">
        <v>973</v>
      </c>
      <c r="C1281" t="s">
        <v>1670</v>
      </c>
      <c r="D1281" t="s">
        <v>80</v>
      </c>
      <c r="E1281" t="s">
        <v>27</v>
      </c>
      <c r="F1281" s="17">
        <v>1000</v>
      </c>
      <c r="G1281" s="17">
        <v>81000</v>
      </c>
      <c r="H1281" s="17">
        <v>80000</v>
      </c>
      <c r="I1281" s="18">
        <v>0.98</v>
      </c>
      <c r="J1281" s="14">
        <f t="shared" si="0"/>
        <v>80</v>
      </c>
      <c r="K1281" s="15" t="str">
        <f t="shared" si="1"/>
        <v>Exceeds Target</v>
      </c>
    </row>
    <row r="1282" spans="2:11" ht="15" customHeight="1">
      <c r="B1282" t="s">
        <v>416</v>
      </c>
      <c r="C1282" t="s">
        <v>1671</v>
      </c>
      <c r="D1282" t="s">
        <v>69</v>
      </c>
      <c r="E1282" t="s">
        <v>70</v>
      </c>
      <c r="F1282" s="17">
        <v>1000</v>
      </c>
      <c r="G1282" s="17">
        <v>150000</v>
      </c>
      <c r="H1282" s="17">
        <v>149000</v>
      </c>
      <c r="I1282" s="18">
        <v>0.86</v>
      </c>
      <c r="J1282" s="14">
        <f t="shared" si="0"/>
        <v>149</v>
      </c>
      <c r="K1282" s="15" t="str">
        <f t="shared" si="1"/>
        <v>Exceeds Target</v>
      </c>
    </row>
    <row r="1283" spans="2:11" ht="15" customHeight="1">
      <c r="B1283" t="s">
        <v>571</v>
      </c>
      <c r="C1283" t="s">
        <v>1672</v>
      </c>
      <c r="D1283" t="s">
        <v>35</v>
      </c>
      <c r="E1283" t="s">
        <v>27</v>
      </c>
      <c r="F1283" s="17">
        <v>3000</v>
      </c>
      <c r="G1283" s="17">
        <v>140000</v>
      </c>
      <c r="H1283" s="17">
        <v>137000</v>
      </c>
      <c r="I1283" s="18">
        <v>0.96</v>
      </c>
      <c r="J1283" s="14">
        <f t="shared" si="0"/>
        <v>45.666666666666664</v>
      </c>
      <c r="K1283" s="15" t="str">
        <f t="shared" si="1"/>
        <v>Exceeds Target</v>
      </c>
    </row>
    <row r="1284" spans="2:11" ht="15" customHeight="1">
      <c r="B1284" t="s">
        <v>327</v>
      </c>
      <c r="C1284" t="s">
        <v>1673</v>
      </c>
      <c r="D1284" t="s">
        <v>32</v>
      </c>
      <c r="E1284" t="s">
        <v>27</v>
      </c>
      <c r="F1284" s="17">
        <v>1500</v>
      </c>
      <c r="G1284" s="17">
        <v>54000</v>
      </c>
      <c r="H1284" s="17">
        <v>52500</v>
      </c>
      <c r="I1284" s="18">
        <v>0.55000000000000004</v>
      </c>
      <c r="J1284" s="14">
        <f t="shared" si="0"/>
        <v>35</v>
      </c>
      <c r="K1284" s="15" t="str">
        <f t="shared" si="1"/>
        <v>Exceeds Target</v>
      </c>
    </row>
    <row r="1285" spans="2:11" ht="15" customHeight="1">
      <c r="B1285" t="s">
        <v>743</v>
      </c>
      <c r="C1285" t="s">
        <v>1674</v>
      </c>
      <c r="D1285" t="s">
        <v>80</v>
      </c>
      <c r="E1285" t="s">
        <v>27</v>
      </c>
      <c r="F1285" s="17">
        <v>1000</v>
      </c>
      <c r="G1285" s="17">
        <v>57000</v>
      </c>
      <c r="H1285" s="17">
        <v>56000</v>
      </c>
      <c r="I1285" s="18">
        <v>0.7</v>
      </c>
      <c r="J1285" s="14">
        <f t="shared" si="0"/>
        <v>56</v>
      </c>
      <c r="K1285" s="15" t="str">
        <f t="shared" si="1"/>
        <v>Exceeds Target</v>
      </c>
    </row>
    <row r="1286" spans="2:11" ht="15" customHeight="1">
      <c r="B1286" t="s">
        <v>1462</v>
      </c>
      <c r="C1286" t="s">
        <v>1675</v>
      </c>
      <c r="D1286" t="s">
        <v>80</v>
      </c>
      <c r="E1286" t="s">
        <v>27</v>
      </c>
      <c r="F1286" s="17">
        <v>1000</v>
      </c>
      <c r="G1286" s="17">
        <v>72000</v>
      </c>
      <c r="H1286" s="17">
        <v>71000</v>
      </c>
      <c r="I1286" s="18">
        <v>0.99</v>
      </c>
      <c r="J1286" s="14">
        <f t="shared" si="0"/>
        <v>71</v>
      </c>
      <c r="K1286" s="15" t="str">
        <f t="shared" si="1"/>
        <v>Exceeds Target</v>
      </c>
    </row>
    <row r="1287" spans="2:11" ht="15" customHeight="1">
      <c r="B1287" t="s">
        <v>613</v>
      </c>
      <c r="C1287" t="s">
        <v>1676</v>
      </c>
      <c r="D1287" t="s">
        <v>32</v>
      </c>
      <c r="E1287" t="s">
        <v>27</v>
      </c>
      <c r="F1287" s="17">
        <v>1500</v>
      </c>
      <c r="G1287" s="17">
        <v>48000</v>
      </c>
      <c r="H1287" s="17">
        <v>46500</v>
      </c>
      <c r="I1287" s="18">
        <v>0.63</v>
      </c>
      <c r="J1287" s="14">
        <f t="shared" si="0"/>
        <v>31</v>
      </c>
      <c r="K1287" s="15" t="str">
        <f t="shared" si="1"/>
        <v>Exceeds Target</v>
      </c>
    </row>
    <row r="1288" spans="2:11" ht="15" customHeight="1">
      <c r="B1288" t="s">
        <v>309</v>
      </c>
      <c r="C1288" t="s">
        <v>1677</v>
      </c>
      <c r="D1288" t="s">
        <v>26</v>
      </c>
      <c r="E1288" t="s">
        <v>27</v>
      </c>
      <c r="F1288" s="17">
        <v>5000</v>
      </c>
      <c r="G1288" s="17">
        <v>150000</v>
      </c>
      <c r="H1288" s="17">
        <v>145000</v>
      </c>
      <c r="I1288" s="18">
        <v>0.1</v>
      </c>
      <c r="J1288" s="14">
        <f t="shared" si="0"/>
        <v>29</v>
      </c>
      <c r="K1288" s="15" t="str">
        <f t="shared" si="1"/>
        <v>Exceeds Target</v>
      </c>
    </row>
    <row r="1289" spans="2:11" ht="15" customHeight="1">
      <c r="B1289" t="s">
        <v>1063</v>
      </c>
      <c r="C1289" t="s">
        <v>1678</v>
      </c>
      <c r="D1289" t="s">
        <v>26</v>
      </c>
      <c r="E1289" t="s">
        <v>27</v>
      </c>
      <c r="F1289" s="17">
        <v>5000</v>
      </c>
      <c r="G1289" s="17">
        <v>120000</v>
      </c>
      <c r="H1289" s="17">
        <v>115000</v>
      </c>
      <c r="I1289" s="18">
        <v>0.14000000000000001</v>
      </c>
      <c r="J1289" s="14">
        <f t="shared" si="0"/>
        <v>23</v>
      </c>
      <c r="K1289" s="15" t="str">
        <f t="shared" si="1"/>
        <v>Exceeds Target</v>
      </c>
    </row>
    <row r="1290" spans="2:11" ht="15" customHeight="1">
      <c r="B1290" t="s">
        <v>352</v>
      </c>
      <c r="C1290" t="s">
        <v>1679</v>
      </c>
      <c r="D1290" t="s">
        <v>32</v>
      </c>
      <c r="E1290" t="s">
        <v>27</v>
      </c>
      <c r="F1290" s="17">
        <v>1500</v>
      </c>
      <c r="G1290" s="17">
        <v>34000</v>
      </c>
      <c r="H1290" s="17">
        <v>32500</v>
      </c>
      <c r="I1290" s="18">
        <v>0.33</v>
      </c>
      <c r="J1290" s="14">
        <f t="shared" si="0"/>
        <v>21.666666666666668</v>
      </c>
      <c r="K1290" s="15" t="str">
        <f t="shared" si="1"/>
        <v>Exceeds Target</v>
      </c>
    </row>
    <row r="1291" spans="2:11" ht="15" customHeight="1">
      <c r="B1291" t="s">
        <v>571</v>
      </c>
      <c r="C1291" t="s">
        <v>1680</v>
      </c>
      <c r="D1291" t="s">
        <v>35</v>
      </c>
      <c r="E1291" t="s">
        <v>27</v>
      </c>
      <c r="F1291" s="17">
        <v>3000</v>
      </c>
      <c r="G1291" s="17">
        <v>100000</v>
      </c>
      <c r="H1291" s="17">
        <v>97000</v>
      </c>
      <c r="I1291" s="18">
        <v>0.85</v>
      </c>
      <c r="J1291" s="14">
        <f t="shared" si="0"/>
        <v>32.333333333333336</v>
      </c>
      <c r="K1291" s="15" t="str">
        <f t="shared" si="1"/>
        <v>Exceeds Target</v>
      </c>
    </row>
    <row r="1292" spans="2:11" ht="15" customHeight="1">
      <c r="B1292" t="s">
        <v>446</v>
      </c>
      <c r="C1292" t="s">
        <v>1681</v>
      </c>
      <c r="D1292" t="s">
        <v>35</v>
      </c>
      <c r="E1292" t="s">
        <v>27</v>
      </c>
      <c r="F1292" s="17">
        <v>3000</v>
      </c>
      <c r="G1292" s="17">
        <v>220000</v>
      </c>
      <c r="H1292" s="17">
        <v>217000</v>
      </c>
      <c r="I1292" s="18">
        <v>0.9</v>
      </c>
      <c r="J1292" s="14">
        <f t="shared" si="0"/>
        <v>72.333333333333329</v>
      </c>
      <c r="K1292" s="15" t="str">
        <f t="shared" si="1"/>
        <v>Exceeds Target</v>
      </c>
    </row>
    <row r="1293" spans="2:11" ht="15" customHeight="1">
      <c r="B1293" t="s">
        <v>285</v>
      </c>
      <c r="C1293" t="s">
        <v>1682</v>
      </c>
      <c r="D1293" t="s">
        <v>32</v>
      </c>
      <c r="E1293" t="s">
        <v>27</v>
      </c>
      <c r="F1293" s="17">
        <v>1500</v>
      </c>
      <c r="G1293" s="17">
        <v>34000</v>
      </c>
      <c r="H1293" s="17">
        <v>32500</v>
      </c>
      <c r="I1293" s="18">
        <v>0.74</v>
      </c>
      <c r="J1293" s="14">
        <f t="shared" si="0"/>
        <v>21.666666666666668</v>
      </c>
      <c r="K1293" s="15" t="str">
        <f t="shared" si="1"/>
        <v>Exceeds Target</v>
      </c>
    </row>
    <row r="1294" spans="2:11" ht="15" customHeight="1">
      <c r="B1294" t="s">
        <v>1309</v>
      </c>
      <c r="C1294" t="s">
        <v>1683</v>
      </c>
      <c r="D1294" t="s">
        <v>32</v>
      </c>
      <c r="E1294" t="s">
        <v>27</v>
      </c>
      <c r="F1294" s="17">
        <v>1500</v>
      </c>
      <c r="G1294" s="17">
        <v>34000</v>
      </c>
      <c r="H1294" s="17">
        <v>32500</v>
      </c>
      <c r="I1294" s="18">
        <v>0.91</v>
      </c>
      <c r="J1294" s="14">
        <f t="shared" si="0"/>
        <v>21.666666666666668</v>
      </c>
      <c r="K1294" s="15" t="str">
        <f t="shared" si="1"/>
        <v>Exceeds Target</v>
      </c>
    </row>
    <row r="1295" spans="2:11" ht="15" customHeight="1">
      <c r="B1295" t="s">
        <v>736</v>
      </c>
      <c r="C1295" t="s">
        <v>1684</v>
      </c>
      <c r="D1295" t="s">
        <v>80</v>
      </c>
      <c r="E1295" t="s">
        <v>27</v>
      </c>
      <c r="F1295" s="17">
        <v>1000</v>
      </c>
      <c r="G1295" s="17">
        <v>78000</v>
      </c>
      <c r="H1295" s="17">
        <v>77000</v>
      </c>
      <c r="I1295" s="18">
        <v>0.99</v>
      </c>
      <c r="J1295" s="14">
        <f t="shared" si="0"/>
        <v>77</v>
      </c>
      <c r="K1295" s="15" t="str">
        <f t="shared" si="1"/>
        <v>Exceeds Target</v>
      </c>
    </row>
    <row r="1296" spans="2:11" ht="15" customHeight="1">
      <c r="B1296" t="s">
        <v>287</v>
      </c>
      <c r="C1296" t="s">
        <v>1685</v>
      </c>
      <c r="D1296" t="s">
        <v>35</v>
      </c>
      <c r="E1296" t="s">
        <v>27</v>
      </c>
      <c r="F1296" s="17">
        <v>3000</v>
      </c>
      <c r="G1296" s="17">
        <v>140000</v>
      </c>
      <c r="H1296" s="17">
        <v>137000</v>
      </c>
      <c r="I1296" s="18">
        <v>0.69</v>
      </c>
      <c r="J1296" s="14">
        <f t="shared" si="0"/>
        <v>45.666666666666664</v>
      </c>
      <c r="K1296" s="15" t="str">
        <f t="shared" si="1"/>
        <v>Exceeds Target</v>
      </c>
    </row>
    <row r="1297" spans="2:11" ht="15" customHeight="1">
      <c r="B1297" t="s">
        <v>454</v>
      </c>
      <c r="C1297" t="s">
        <v>1686</v>
      </c>
      <c r="D1297" t="s">
        <v>69</v>
      </c>
      <c r="E1297" t="s">
        <v>70</v>
      </c>
      <c r="F1297" s="17">
        <v>1000</v>
      </c>
      <c r="G1297" s="17">
        <v>70000</v>
      </c>
      <c r="H1297" s="17">
        <v>69000</v>
      </c>
      <c r="I1297" s="18">
        <v>0.97</v>
      </c>
      <c r="J1297" s="14">
        <f t="shared" si="0"/>
        <v>69</v>
      </c>
      <c r="K1297" s="15" t="str">
        <f t="shared" si="1"/>
        <v>Exceeds Target</v>
      </c>
    </row>
    <row r="1298" spans="2:11" ht="15" customHeight="1">
      <c r="B1298" t="s">
        <v>1536</v>
      </c>
      <c r="C1298" t="s">
        <v>1687</v>
      </c>
      <c r="D1298" t="s">
        <v>32</v>
      </c>
      <c r="E1298" t="s">
        <v>27</v>
      </c>
      <c r="F1298" s="17">
        <v>1500</v>
      </c>
      <c r="G1298" s="17">
        <v>42000</v>
      </c>
      <c r="H1298" s="17">
        <v>40500</v>
      </c>
      <c r="I1298" s="18">
        <v>0.22</v>
      </c>
      <c r="J1298" s="14">
        <f t="shared" si="0"/>
        <v>27</v>
      </c>
      <c r="K1298" s="15" t="str">
        <f t="shared" si="1"/>
        <v>Exceeds Target</v>
      </c>
    </row>
    <row r="1299" spans="2:11" ht="15" customHeight="1">
      <c r="B1299" t="s">
        <v>428</v>
      </c>
      <c r="C1299" t="s">
        <v>1688</v>
      </c>
      <c r="D1299" t="s">
        <v>35</v>
      </c>
      <c r="E1299" t="s">
        <v>27</v>
      </c>
      <c r="F1299" s="17">
        <v>3000</v>
      </c>
      <c r="G1299" s="17">
        <v>60000</v>
      </c>
      <c r="H1299" s="17">
        <v>57000</v>
      </c>
      <c r="I1299" s="18">
        <v>0.96</v>
      </c>
      <c r="J1299" s="14">
        <f t="shared" si="0"/>
        <v>19</v>
      </c>
      <c r="K1299" s="15" t="str">
        <f t="shared" si="1"/>
        <v>Exceeds Target</v>
      </c>
    </row>
    <row r="1300" spans="2:11" ht="15" customHeight="1">
      <c r="B1300" t="s">
        <v>401</v>
      </c>
      <c r="C1300" t="s">
        <v>1689</v>
      </c>
      <c r="D1300" t="s">
        <v>80</v>
      </c>
      <c r="E1300" t="s">
        <v>27</v>
      </c>
      <c r="F1300" s="17">
        <v>1000</v>
      </c>
      <c r="G1300" s="17">
        <v>96000</v>
      </c>
      <c r="H1300" s="17">
        <v>95000</v>
      </c>
      <c r="I1300" s="18">
        <v>0.94</v>
      </c>
      <c r="J1300" s="14">
        <f t="shared" si="0"/>
        <v>95</v>
      </c>
      <c r="K1300" s="15" t="str">
        <f t="shared" si="1"/>
        <v>Exceeds Target</v>
      </c>
    </row>
    <row r="1301" spans="2:11" ht="15" customHeight="1">
      <c r="B1301" t="s">
        <v>956</v>
      </c>
      <c r="C1301" t="s">
        <v>1690</v>
      </c>
      <c r="D1301" t="s">
        <v>80</v>
      </c>
      <c r="E1301" t="s">
        <v>27</v>
      </c>
      <c r="F1301" s="17">
        <v>1000</v>
      </c>
      <c r="G1301" s="17">
        <v>90000</v>
      </c>
      <c r="H1301" s="17">
        <v>89000</v>
      </c>
      <c r="I1301" s="18">
        <v>0.75</v>
      </c>
      <c r="J1301" s="14">
        <f t="shared" si="0"/>
        <v>89</v>
      </c>
      <c r="K1301" s="15" t="str">
        <f t="shared" si="1"/>
        <v>Exceeds Target</v>
      </c>
    </row>
    <row r="1302" spans="2:11" ht="15" customHeight="1">
      <c r="B1302" t="s">
        <v>505</v>
      </c>
      <c r="C1302" t="s">
        <v>1691</v>
      </c>
      <c r="D1302" t="s">
        <v>80</v>
      </c>
      <c r="E1302" t="s">
        <v>27</v>
      </c>
      <c r="F1302" s="17">
        <v>1000</v>
      </c>
      <c r="G1302" s="17">
        <v>57000</v>
      </c>
      <c r="H1302" s="17">
        <v>56000</v>
      </c>
      <c r="I1302" s="18">
        <v>0.89</v>
      </c>
      <c r="J1302" s="14">
        <f t="shared" si="0"/>
        <v>56</v>
      </c>
      <c r="K1302" s="15" t="str">
        <f t="shared" si="1"/>
        <v>Exceeds Target</v>
      </c>
    </row>
    <row r="1303" spans="2:11" ht="15" customHeight="1">
      <c r="B1303" t="s">
        <v>743</v>
      </c>
      <c r="C1303" t="s">
        <v>1692</v>
      </c>
      <c r="D1303" t="s">
        <v>26</v>
      </c>
      <c r="E1303" t="s">
        <v>27</v>
      </c>
      <c r="F1303" s="17">
        <v>5000</v>
      </c>
      <c r="G1303" s="17">
        <v>120000</v>
      </c>
      <c r="H1303" s="17">
        <v>115000</v>
      </c>
      <c r="I1303" s="18">
        <v>0.12</v>
      </c>
      <c r="J1303" s="14">
        <f t="shared" si="0"/>
        <v>23</v>
      </c>
      <c r="K1303" s="15" t="str">
        <f t="shared" si="1"/>
        <v>Exceeds Target</v>
      </c>
    </row>
    <row r="1304" spans="2:11" ht="15" customHeight="1">
      <c r="B1304" t="s">
        <v>782</v>
      </c>
      <c r="C1304" t="s">
        <v>1693</v>
      </c>
      <c r="D1304" t="s">
        <v>32</v>
      </c>
      <c r="E1304" t="s">
        <v>27</v>
      </c>
      <c r="F1304" s="17">
        <v>1500</v>
      </c>
      <c r="G1304" s="17">
        <v>22000</v>
      </c>
      <c r="H1304" s="17">
        <v>20500</v>
      </c>
      <c r="I1304" s="18">
        <v>0.33</v>
      </c>
      <c r="J1304" s="14">
        <f t="shared" si="0"/>
        <v>13.666666666666666</v>
      </c>
      <c r="K1304" s="15" t="str">
        <f t="shared" si="1"/>
        <v>Exceeds Target</v>
      </c>
    </row>
    <row r="1305" spans="2:11" ht="15" customHeight="1">
      <c r="B1305" t="s">
        <v>585</v>
      </c>
      <c r="C1305" t="s">
        <v>1694</v>
      </c>
      <c r="D1305" t="s">
        <v>26</v>
      </c>
      <c r="E1305" t="s">
        <v>27</v>
      </c>
      <c r="F1305" s="17">
        <v>5000</v>
      </c>
      <c r="G1305" s="17">
        <v>90000</v>
      </c>
      <c r="H1305" s="17">
        <v>85000</v>
      </c>
      <c r="I1305" s="18">
        <v>0.28000000000000003</v>
      </c>
      <c r="J1305" s="14">
        <f t="shared" si="0"/>
        <v>17</v>
      </c>
      <c r="K1305" s="15" t="str">
        <f t="shared" si="1"/>
        <v>Exceeds Target</v>
      </c>
    </row>
    <row r="1306" spans="2:11" ht="15" customHeight="1">
      <c r="B1306" t="s">
        <v>1516</v>
      </c>
      <c r="C1306" t="s">
        <v>1695</v>
      </c>
      <c r="D1306" t="s">
        <v>69</v>
      </c>
      <c r="E1306" t="s">
        <v>70</v>
      </c>
      <c r="F1306" s="17">
        <v>1000</v>
      </c>
      <c r="G1306" s="17">
        <v>145000</v>
      </c>
      <c r="H1306" s="17">
        <v>144000</v>
      </c>
      <c r="I1306" s="18">
        <v>0.88</v>
      </c>
      <c r="J1306" s="14">
        <f t="shared" si="0"/>
        <v>144</v>
      </c>
      <c r="K1306" s="15" t="str">
        <f t="shared" si="1"/>
        <v>Exceeds Target</v>
      </c>
    </row>
    <row r="1307" spans="2:11" ht="15" customHeight="1">
      <c r="B1307" t="s">
        <v>1216</v>
      </c>
      <c r="C1307" t="s">
        <v>1696</v>
      </c>
      <c r="D1307" t="s">
        <v>32</v>
      </c>
      <c r="E1307" t="s">
        <v>27</v>
      </c>
      <c r="F1307" s="17">
        <v>1500</v>
      </c>
      <c r="G1307" s="17">
        <v>36000</v>
      </c>
      <c r="H1307" s="17">
        <v>34500</v>
      </c>
      <c r="I1307" s="18">
        <v>0.94</v>
      </c>
      <c r="J1307" s="14">
        <f t="shared" si="0"/>
        <v>23</v>
      </c>
      <c r="K1307" s="15" t="str">
        <f t="shared" si="1"/>
        <v>Exceeds Target</v>
      </c>
    </row>
    <row r="1308" spans="2:11" ht="15" customHeight="1">
      <c r="B1308" t="s">
        <v>321</v>
      </c>
      <c r="C1308" t="s">
        <v>1697</v>
      </c>
      <c r="D1308" t="s">
        <v>26</v>
      </c>
      <c r="E1308" t="s">
        <v>27</v>
      </c>
      <c r="F1308" s="17">
        <v>5000</v>
      </c>
      <c r="G1308" s="17">
        <v>120000</v>
      </c>
      <c r="H1308" s="17">
        <v>115000</v>
      </c>
      <c r="I1308" s="18">
        <v>0.11</v>
      </c>
      <c r="J1308" s="14">
        <f t="shared" si="0"/>
        <v>23</v>
      </c>
      <c r="K1308" s="15" t="str">
        <f t="shared" si="1"/>
        <v>Exceeds Target</v>
      </c>
    </row>
    <row r="1309" spans="2:11" ht="15" customHeight="1">
      <c r="B1309" t="s">
        <v>1184</v>
      </c>
      <c r="C1309" t="s">
        <v>1698</v>
      </c>
      <c r="D1309" t="s">
        <v>26</v>
      </c>
      <c r="E1309" t="s">
        <v>27</v>
      </c>
      <c r="F1309" s="17">
        <v>5000</v>
      </c>
      <c r="G1309" s="17">
        <v>90000</v>
      </c>
      <c r="H1309" s="17">
        <v>85000</v>
      </c>
      <c r="I1309" s="18">
        <v>0.3</v>
      </c>
      <c r="J1309" s="14">
        <f t="shared" si="0"/>
        <v>17</v>
      </c>
      <c r="K1309" s="15" t="str">
        <f t="shared" si="1"/>
        <v>Exceeds Target</v>
      </c>
    </row>
    <row r="1310" spans="2:11" ht="15" customHeight="1">
      <c r="B1310" t="s">
        <v>457</v>
      </c>
      <c r="C1310" t="s">
        <v>1699</v>
      </c>
      <c r="D1310" t="s">
        <v>69</v>
      </c>
      <c r="E1310" t="s">
        <v>70</v>
      </c>
      <c r="F1310" s="17">
        <v>1000</v>
      </c>
      <c r="G1310" s="17">
        <v>150000</v>
      </c>
      <c r="H1310" s="17">
        <v>149000</v>
      </c>
      <c r="I1310" s="18">
        <v>0.65</v>
      </c>
      <c r="J1310" s="14">
        <f t="shared" si="0"/>
        <v>149</v>
      </c>
      <c r="K1310" s="15" t="str">
        <f t="shared" si="1"/>
        <v>Exceeds Target</v>
      </c>
    </row>
    <row r="1311" spans="2:11" ht="15" customHeight="1">
      <c r="B1311" t="s">
        <v>201</v>
      </c>
      <c r="C1311" t="s">
        <v>1700</v>
      </c>
      <c r="D1311" t="s">
        <v>80</v>
      </c>
      <c r="E1311" t="s">
        <v>27</v>
      </c>
      <c r="F1311" s="17">
        <v>1000</v>
      </c>
      <c r="G1311" s="17">
        <v>96000</v>
      </c>
      <c r="H1311" s="17">
        <v>95000</v>
      </c>
      <c r="I1311" s="18">
        <v>0.99</v>
      </c>
      <c r="J1311" s="14">
        <f t="shared" si="0"/>
        <v>95</v>
      </c>
      <c r="K1311" s="15" t="str">
        <f t="shared" si="1"/>
        <v>Exceeds Target</v>
      </c>
    </row>
    <row r="1312" spans="2:11" ht="15" customHeight="1">
      <c r="B1312" t="s">
        <v>529</v>
      </c>
      <c r="C1312" t="s">
        <v>1701</v>
      </c>
      <c r="D1312" t="s">
        <v>32</v>
      </c>
      <c r="E1312" t="s">
        <v>27</v>
      </c>
      <c r="F1312" s="17">
        <v>1500</v>
      </c>
      <c r="G1312" s="17">
        <v>36000</v>
      </c>
      <c r="H1312" s="17">
        <v>34500</v>
      </c>
      <c r="I1312" s="18">
        <v>0.64</v>
      </c>
      <c r="J1312" s="14">
        <f t="shared" si="0"/>
        <v>23</v>
      </c>
      <c r="K1312" s="15" t="str">
        <f t="shared" si="1"/>
        <v>Exceeds Target</v>
      </c>
    </row>
    <row r="1313" spans="2:11" ht="15" customHeight="1">
      <c r="B1313" t="s">
        <v>443</v>
      </c>
      <c r="C1313" t="s">
        <v>1702</v>
      </c>
      <c r="D1313" t="s">
        <v>32</v>
      </c>
      <c r="E1313" t="s">
        <v>27</v>
      </c>
      <c r="F1313" s="17">
        <v>1500</v>
      </c>
      <c r="G1313" s="17">
        <v>36000</v>
      </c>
      <c r="H1313" s="17">
        <v>34500</v>
      </c>
      <c r="I1313" s="18">
        <v>0.59</v>
      </c>
      <c r="J1313" s="14">
        <f t="shared" si="0"/>
        <v>23</v>
      </c>
      <c r="K1313" s="15" t="str">
        <f t="shared" si="1"/>
        <v>Exceeds Target</v>
      </c>
    </row>
    <row r="1314" spans="2:11" ht="15" customHeight="1">
      <c r="B1314" t="s">
        <v>267</v>
      </c>
      <c r="C1314" t="s">
        <v>1703</v>
      </c>
      <c r="D1314" t="s">
        <v>26</v>
      </c>
      <c r="E1314" t="s">
        <v>27</v>
      </c>
      <c r="F1314" s="17">
        <v>5000</v>
      </c>
      <c r="G1314" s="17">
        <v>60000</v>
      </c>
      <c r="H1314" s="17">
        <v>55000</v>
      </c>
      <c r="I1314" s="18">
        <v>0.16</v>
      </c>
      <c r="J1314" s="14">
        <f t="shared" si="0"/>
        <v>11</v>
      </c>
      <c r="K1314" s="15" t="str">
        <f t="shared" si="1"/>
        <v>Exceeds Target</v>
      </c>
    </row>
    <row r="1315" spans="2:11" ht="15" customHeight="1">
      <c r="B1315" t="s">
        <v>522</v>
      </c>
      <c r="C1315" t="s">
        <v>1704</v>
      </c>
      <c r="D1315" t="s">
        <v>69</v>
      </c>
      <c r="E1315" t="s">
        <v>70</v>
      </c>
      <c r="F1315" s="17">
        <v>1000</v>
      </c>
      <c r="G1315" s="17">
        <v>85000</v>
      </c>
      <c r="H1315" s="17">
        <v>84000</v>
      </c>
      <c r="I1315" s="18">
        <v>0.48</v>
      </c>
      <c r="J1315" s="14">
        <f t="shared" si="0"/>
        <v>84</v>
      </c>
      <c r="K1315" s="15" t="str">
        <f t="shared" si="1"/>
        <v>Exceeds Target</v>
      </c>
    </row>
    <row r="1316" spans="2:11" ht="15" customHeight="1">
      <c r="B1316" t="s">
        <v>207</v>
      </c>
      <c r="C1316" t="s">
        <v>1705</v>
      </c>
      <c r="D1316" t="s">
        <v>69</v>
      </c>
      <c r="E1316" t="s">
        <v>70</v>
      </c>
      <c r="F1316" s="17">
        <v>1000</v>
      </c>
      <c r="G1316" s="17">
        <v>80000</v>
      </c>
      <c r="H1316" s="17">
        <v>79000</v>
      </c>
      <c r="I1316" s="18">
        <v>0.73</v>
      </c>
      <c r="J1316" s="14">
        <f t="shared" si="0"/>
        <v>79</v>
      </c>
      <c r="K1316" s="15" t="str">
        <f t="shared" si="1"/>
        <v>Exceeds Target</v>
      </c>
    </row>
    <row r="1317" spans="2:11" ht="15" customHeight="1">
      <c r="B1317" t="s">
        <v>171</v>
      </c>
      <c r="C1317" t="s">
        <v>1706</v>
      </c>
      <c r="D1317" t="s">
        <v>32</v>
      </c>
      <c r="E1317" t="s">
        <v>27</v>
      </c>
      <c r="F1317" s="17">
        <v>1500</v>
      </c>
      <c r="G1317" s="17">
        <v>18000</v>
      </c>
      <c r="H1317" s="17">
        <v>16500</v>
      </c>
      <c r="I1317" s="18">
        <v>0.8</v>
      </c>
      <c r="J1317" s="14">
        <f t="shared" si="0"/>
        <v>11</v>
      </c>
      <c r="K1317" s="15" t="str">
        <f t="shared" si="1"/>
        <v>Exceeds Target</v>
      </c>
    </row>
    <row r="1318" spans="2:11" ht="15" customHeight="1">
      <c r="B1318" t="s">
        <v>496</v>
      </c>
      <c r="C1318" t="s">
        <v>1707</v>
      </c>
      <c r="D1318" t="s">
        <v>80</v>
      </c>
      <c r="E1318" t="s">
        <v>27</v>
      </c>
      <c r="F1318" s="17">
        <v>1000</v>
      </c>
      <c r="G1318" s="17">
        <v>84000</v>
      </c>
      <c r="H1318" s="17">
        <v>83000</v>
      </c>
      <c r="I1318" s="18">
        <v>0.57999999999999996</v>
      </c>
      <c r="J1318" s="14">
        <f t="shared" si="0"/>
        <v>83</v>
      </c>
      <c r="K1318" s="15" t="str">
        <f t="shared" si="1"/>
        <v>Exceeds Target</v>
      </c>
    </row>
    <row r="1319" spans="2:11" ht="15" customHeight="1">
      <c r="B1319" t="s">
        <v>608</v>
      </c>
      <c r="C1319" t="s">
        <v>1708</v>
      </c>
      <c r="D1319" t="s">
        <v>26</v>
      </c>
      <c r="E1319" t="s">
        <v>27</v>
      </c>
      <c r="F1319" s="17">
        <v>5000</v>
      </c>
      <c r="G1319" s="17">
        <v>120000</v>
      </c>
      <c r="H1319" s="17">
        <v>115000</v>
      </c>
      <c r="I1319" s="18">
        <v>0.15</v>
      </c>
      <c r="J1319" s="14">
        <f t="shared" si="0"/>
        <v>23</v>
      </c>
      <c r="K1319" s="15" t="str">
        <f t="shared" si="1"/>
        <v>Exceeds Target</v>
      </c>
    </row>
    <row r="1320" spans="2:11" ht="15" customHeight="1">
      <c r="B1320" t="s">
        <v>694</v>
      </c>
      <c r="C1320" t="s">
        <v>1709</v>
      </c>
      <c r="D1320" t="s">
        <v>26</v>
      </c>
      <c r="E1320" t="s">
        <v>27</v>
      </c>
      <c r="F1320" s="17">
        <v>5000</v>
      </c>
      <c r="G1320" s="17">
        <v>120000</v>
      </c>
      <c r="H1320" s="17">
        <v>115000</v>
      </c>
      <c r="I1320" s="18">
        <v>0.37</v>
      </c>
      <c r="J1320" s="14">
        <f t="shared" si="0"/>
        <v>23</v>
      </c>
      <c r="K1320" s="15" t="str">
        <f t="shared" si="1"/>
        <v>Exceeds Target</v>
      </c>
    </row>
    <row r="1321" spans="2:11" ht="15" customHeight="1">
      <c r="B1321" t="s">
        <v>601</v>
      </c>
      <c r="C1321" t="s">
        <v>1710</v>
      </c>
      <c r="D1321" t="s">
        <v>69</v>
      </c>
      <c r="E1321" t="s">
        <v>70</v>
      </c>
      <c r="F1321" s="17">
        <v>1000</v>
      </c>
      <c r="G1321" s="17">
        <v>130000</v>
      </c>
      <c r="H1321" s="17">
        <v>129000</v>
      </c>
      <c r="I1321" s="18">
        <v>0.52</v>
      </c>
      <c r="J1321" s="14">
        <f t="shared" si="0"/>
        <v>129</v>
      </c>
      <c r="K1321" s="15" t="str">
        <f t="shared" si="1"/>
        <v>Exceeds Target</v>
      </c>
    </row>
    <row r="1322" spans="2:11" ht="15" customHeight="1">
      <c r="B1322" t="s">
        <v>350</v>
      </c>
      <c r="C1322" t="s">
        <v>1711</v>
      </c>
      <c r="D1322" t="s">
        <v>35</v>
      </c>
      <c r="E1322" t="s">
        <v>27</v>
      </c>
      <c r="F1322" s="17">
        <v>3000</v>
      </c>
      <c r="G1322" s="17">
        <v>240000</v>
      </c>
      <c r="H1322" s="17">
        <v>237000</v>
      </c>
      <c r="I1322" s="18">
        <v>1</v>
      </c>
      <c r="J1322" s="14">
        <f t="shared" si="0"/>
        <v>79</v>
      </c>
      <c r="K1322" s="15" t="str">
        <f t="shared" si="1"/>
        <v>Exceeds Target</v>
      </c>
    </row>
    <row r="1323" spans="2:11" ht="15" customHeight="1">
      <c r="B1323" t="s">
        <v>335</v>
      </c>
      <c r="C1323" t="s">
        <v>1712</v>
      </c>
      <c r="D1323" t="s">
        <v>35</v>
      </c>
      <c r="E1323" t="s">
        <v>27</v>
      </c>
      <c r="F1323" s="17">
        <v>3000</v>
      </c>
      <c r="G1323" s="17">
        <v>90000</v>
      </c>
      <c r="H1323" s="17">
        <v>87000</v>
      </c>
      <c r="I1323" s="18">
        <v>0.7</v>
      </c>
      <c r="J1323" s="14">
        <f t="shared" si="0"/>
        <v>29</v>
      </c>
      <c r="K1323" s="15" t="str">
        <f t="shared" si="1"/>
        <v>Exceeds Target</v>
      </c>
    </row>
    <row r="1324" spans="2:11" ht="15" customHeight="1">
      <c r="B1324" t="s">
        <v>378</v>
      </c>
      <c r="C1324" t="s">
        <v>1713</v>
      </c>
      <c r="D1324" t="s">
        <v>69</v>
      </c>
      <c r="E1324" t="s">
        <v>70</v>
      </c>
      <c r="F1324" s="17">
        <v>1000</v>
      </c>
      <c r="G1324" s="17">
        <v>135000</v>
      </c>
      <c r="H1324" s="17">
        <v>134000</v>
      </c>
      <c r="I1324" s="18">
        <v>0.88</v>
      </c>
      <c r="J1324" s="14">
        <f t="shared" si="0"/>
        <v>134</v>
      </c>
      <c r="K1324" s="15" t="str">
        <f t="shared" si="1"/>
        <v>Exceeds Target</v>
      </c>
    </row>
    <row r="1325" spans="2:11" ht="15" customHeight="1">
      <c r="B1325" t="s">
        <v>1055</v>
      </c>
      <c r="C1325" t="s">
        <v>1714</v>
      </c>
      <c r="D1325" t="s">
        <v>32</v>
      </c>
      <c r="E1325" t="s">
        <v>27</v>
      </c>
      <c r="F1325" s="17">
        <v>1500</v>
      </c>
      <c r="G1325" s="17">
        <v>18000</v>
      </c>
      <c r="H1325" s="17">
        <v>16500</v>
      </c>
      <c r="I1325" s="18">
        <v>0.9</v>
      </c>
      <c r="J1325" s="14">
        <f t="shared" si="0"/>
        <v>11</v>
      </c>
      <c r="K1325" s="15" t="str">
        <f t="shared" si="1"/>
        <v>Exceeds Target</v>
      </c>
    </row>
    <row r="1326" spans="2:11" ht="15" customHeight="1">
      <c r="B1326" t="s">
        <v>517</v>
      </c>
      <c r="C1326" t="s">
        <v>1715</v>
      </c>
      <c r="D1326" t="s">
        <v>26</v>
      </c>
      <c r="E1326" t="s">
        <v>27</v>
      </c>
      <c r="F1326" s="17">
        <v>5000</v>
      </c>
      <c r="G1326" s="17">
        <v>30000</v>
      </c>
      <c r="H1326" s="17">
        <v>25000</v>
      </c>
      <c r="I1326" s="18">
        <v>0.13</v>
      </c>
      <c r="J1326" s="14">
        <f t="shared" si="0"/>
        <v>5</v>
      </c>
      <c r="K1326" s="15" t="str">
        <f t="shared" si="1"/>
        <v>Exceeds Target</v>
      </c>
    </row>
    <row r="1327" spans="2:11" ht="15" customHeight="1">
      <c r="B1327" t="s">
        <v>561</v>
      </c>
      <c r="C1327" t="s">
        <v>1716</v>
      </c>
      <c r="D1327" t="s">
        <v>69</v>
      </c>
      <c r="E1327" t="s">
        <v>70</v>
      </c>
      <c r="F1327" s="17">
        <v>1000</v>
      </c>
      <c r="G1327" s="17">
        <v>130000</v>
      </c>
      <c r="H1327" s="17">
        <v>129000</v>
      </c>
      <c r="I1327" s="18">
        <v>0.23</v>
      </c>
      <c r="J1327" s="14">
        <f t="shared" si="0"/>
        <v>129</v>
      </c>
      <c r="K1327" s="15" t="str">
        <f t="shared" si="1"/>
        <v>Exceeds Target</v>
      </c>
    </row>
    <row r="1328" spans="2:11" ht="15" customHeight="1">
      <c r="B1328" t="s">
        <v>159</v>
      </c>
      <c r="C1328" t="s">
        <v>1717</v>
      </c>
      <c r="D1328" t="s">
        <v>69</v>
      </c>
      <c r="E1328" t="s">
        <v>70</v>
      </c>
      <c r="F1328" s="17">
        <v>1000</v>
      </c>
      <c r="G1328" s="17">
        <v>105000</v>
      </c>
      <c r="H1328" s="17">
        <v>104000</v>
      </c>
      <c r="I1328" s="18">
        <v>0.99</v>
      </c>
      <c r="J1328" s="14">
        <f t="shared" si="0"/>
        <v>104</v>
      </c>
      <c r="K1328" s="15" t="str">
        <f t="shared" si="1"/>
        <v>Exceeds Target</v>
      </c>
    </row>
    <row r="1329" spans="2:11" ht="15" customHeight="1">
      <c r="B1329" t="s">
        <v>973</v>
      </c>
      <c r="C1329" t="s">
        <v>1718</v>
      </c>
      <c r="D1329" t="s">
        <v>69</v>
      </c>
      <c r="E1329" t="s">
        <v>70</v>
      </c>
      <c r="F1329" s="17">
        <v>1000</v>
      </c>
      <c r="G1329" s="17">
        <v>130000</v>
      </c>
      <c r="H1329" s="17">
        <v>129000</v>
      </c>
      <c r="I1329" s="18">
        <v>0.66</v>
      </c>
      <c r="J1329" s="14">
        <f t="shared" si="0"/>
        <v>129</v>
      </c>
      <c r="K1329" s="15" t="str">
        <f t="shared" si="1"/>
        <v>Exceeds Target</v>
      </c>
    </row>
    <row r="1330" spans="2:11" ht="15" customHeight="1">
      <c r="B1330" t="s">
        <v>1323</v>
      </c>
      <c r="C1330" t="s">
        <v>1719</v>
      </c>
      <c r="D1330" t="s">
        <v>80</v>
      </c>
      <c r="E1330" t="s">
        <v>27</v>
      </c>
      <c r="F1330" s="17">
        <v>1000</v>
      </c>
      <c r="G1330" s="17">
        <v>114000</v>
      </c>
      <c r="H1330" s="17">
        <v>113000</v>
      </c>
      <c r="I1330" s="18">
        <v>0.55000000000000004</v>
      </c>
      <c r="J1330" s="14">
        <f t="shared" si="0"/>
        <v>113</v>
      </c>
      <c r="K1330" s="15" t="str">
        <f t="shared" si="1"/>
        <v>Exceeds Target</v>
      </c>
    </row>
    <row r="1331" spans="2:11" ht="15" customHeight="1">
      <c r="B1331" t="s">
        <v>661</v>
      </c>
      <c r="C1331" t="s">
        <v>1720</v>
      </c>
      <c r="D1331" t="s">
        <v>32</v>
      </c>
      <c r="E1331" t="s">
        <v>27</v>
      </c>
      <c r="F1331" s="17">
        <v>1500</v>
      </c>
      <c r="G1331" s="17">
        <v>18000</v>
      </c>
      <c r="H1331" s="17">
        <v>16500</v>
      </c>
      <c r="I1331" s="18">
        <v>0.41</v>
      </c>
      <c r="J1331" s="14">
        <f t="shared" si="0"/>
        <v>11</v>
      </c>
      <c r="K1331" s="15" t="str">
        <f t="shared" si="1"/>
        <v>Exceeds Target</v>
      </c>
    </row>
    <row r="1332" spans="2:11" ht="15" customHeight="1">
      <c r="B1332" t="s">
        <v>83</v>
      </c>
      <c r="C1332" t="s">
        <v>1721</v>
      </c>
      <c r="D1332" t="s">
        <v>80</v>
      </c>
      <c r="E1332" t="s">
        <v>27</v>
      </c>
      <c r="F1332" s="17">
        <v>1000</v>
      </c>
      <c r="G1332" s="17">
        <v>108000</v>
      </c>
      <c r="H1332" s="17">
        <v>107000</v>
      </c>
      <c r="I1332" s="18">
        <v>0.92</v>
      </c>
      <c r="J1332" s="14">
        <f t="shared" si="0"/>
        <v>107</v>
      </c>
      <c r="K1332" s="15" t="str">
        <f t="shared" si="1"/>
        <v>Exceeds Target</v>
      </c>
    </row>
    <row r="1333" spans="2:11" ht="15" customHeight="1">
      <c r="B1333" t="s">
        <v>932</v>
      </c>
      <c r="C1333" t="s">
        <v>1722</v>
      </c>
      <c r="D1333" t="s">
        <v>69</v>
      </c>
      <c r="E1333" t="s">
        <v>70</v>
      </c>
      <c r="F1333" s="17">
        <v>1000</v>
      </c>
      <c r="G1333" s="17">
        <v>135000</v>
      </c>
      <c r="H1333" s="17">
        <v>134000</v>
      </c>
      <c r="I1333" s="18">
        <v>0.65</v>
      </c>
      <c r="J1333" s="14">
        <f t="shared" si="0"/>
        <v>134</v>
      </c>
      <c r="K1333" s="15" t="str">
        <f t="shared" si="1"/>
        <v>Exceeds Target</v>
      </c>
    </row>
    <row r="1334" spans="2:11" ht="15" customHeight="1">
      <c r="B1334" t="s">
        <v>24</v>
      </c>
      <c r="C1334" t="s">
        <v>1723</v>
      </c>
      <c r="D1334" t="s">
        <v>26</v>
      </c>
      <c r="E1334" t="s">
        <v>27</v>
      </c>
      <c r="F1334" s="17">
        <v>5000</v>
      </c>
      <c r="G1334" s="17">
        <v>120000</v>
      </c>
      <c r="H1334" s="17">
        <v>115000</v>
      </c>
      <c r="I1334" s="18">
        <v>0.11</v>
      </c>
      <c r="J1334" s="14">
        <f t="shared" si="0"/>
        <v>23</v>
      </c>
      <c r="K1334" s="15" t="str">
        <f t="shared" si="1"/>
        <v>Exceeds Target</v>
      </c>
    </row>
    <row r="1335" spans="2:11" ht="15" customHeight="1">
      <c r="B1335" t="s">
        <v>263</v>
      </c>
      <c r="C1335" t="s">
        <v>1724</v>
      </c>
      <c r="D1335" t="s">
        <v>80</v>
      </c>
      <c r="E1335" t="s">
        <v>27</v>
      </c>
      <c r="F1335" s="17">
        <v>1000</v>
      </c>
      <c r="G1335" s="17">
        <v>51000</v>
      </c>
      <c r="H1335" s="17">
        <v>50000</v>
      </c>
      <c r="I1335" s="18">
        <v>0.94</v>
      </c>
      <c r="J1335" s="14">
        <f t="shared" si="0"/>
        <v>50</v>
      </c>
      <c r="K1335" s="15" t="str">
        <f t="shared" si="1"/>
        <v>Exceeds Target</v>
      </c>
    </row>
    <row r="1336" spans="2:11" ht="15" customHeight="1">
      <c r="B1336" t="s">
        <v>192</v>
      </c>
      <c r="C1336" t="s">
        <v>1725</v>
      </c>
      <c r="D1336" t="s">
        <v>80</v>
      </c>
      <c r="E1336" t="s">
        <v>27</v>
      </c>
      <c r="F1336" s="17">
        <v>1000</v>
      </c>
      <c r="G1336" s="17">
        <v>84000</v>
      </c>
      <c r="H1336" s="17">
        <v>83000</v>
      </c>
      <c r="I1336" s="18">
        <v>0.99</v>
      </c>
      <c r="J1336" s="14">
        <f t="shared" si="0"/>
        <v>83</v>
      </c>
      <c r="K1336" s="15" t="str">
        <f t="shared" si="1"/>
        <v>Exceeds Target</v>
      </c>
    </row>
    <row r="1337" spans="2:11" ht="15" customHeight="1">
      <c r="B1337" t="s">
        <v>880</v>
      </c>
      <c r="C1337" t="s">
        <v>1726</v>
      </c>
      <c r="D1337" t="s">
        <v>69</v>
      </c>
      <c r="E1337" t="s">
        <v>70</v>
      </c>
      <c r="F1337" s="17">
        <v>1000</v>
      </c>
      <c r="G1337" s="17">
        <v>90000</v>
      </c>
      <c r="H1337" s="17">
        <v>89000</v>
      </c>
      <c r="I1337" s="18">
        <v>0.56999999999999995</v>
      </c>
      <c r="J1337" s="14">
        <f t="shared" si="0"/>
        <v>89</v>
      </c>
      <c r="K1337" s="15" t="str">
        <f t="shared" si="1"/>
        <v>Exceeds Target</v>
      </c>
    </row>
    <row r="1338" spans="2:11" ht="15" customHeight="1">
      <c r="B1338" t="s">
        <v>1320</v>
      </c>
      <c r="C1338" t="s">
        <v>1727</v>
      </c>
      <c r="D1338" t="s">
        <v>32</v>
      </c>
      <c r="E1338" t="s">
        <v>27</v>
      </c>
      <c r="F1338" s="17">
        <v>1500</v>
      </c>
      <c r="G1338" s="17">
        <v>60000</v>
      </c>
      <c r="H1338" s="17">
        <v>58500</v>
      </c>
      <c r="I1338" s="18">
        <v>0.36</v>
      </c>
      <c r="J1338" s="14">
        <f t="shared" si="0"/>
        <v>39</v>
      </c>
      <c r="K1338" s="15" t="str">
        <f t="shared" si="1"/>
        <v>Exceeds Target</v>
      </c>
    </row>
    <row r="1339" spans="2:11" ht="15" customHeight="1">
      <c r="B1339" t="s">
        <v>1462</v>
      </c>
      <c r="C1339" t="s">
        <v>1728</v>
      </c>
      <c r="D1339" t="s">
        <v>80</v>
      </c>
      <c r="E1339" t="s">
        <v>27</v>
      </c>
      <c r="F1339" s="17">
        <v>1000</v>
      </c>
      <c r="G1339" s="17">
        <v>75000</v>
      </c>
      <c r="H1339" s="17">
        <v>74000</v>
      </c>
      <c r="I1339" s="18">
        <v>0.62</v>
      </c>
      <c r="J1339" s="14">
        <f t="shared" si="0"/>
        <v>74</v>
      </c>
      <c r="K1339" s="15" t="str">
        <f t="shared" si="1"/>
        <v>Exceeds Target</v>
      </c>
    </row>
    <row r="1340" spans="2:11" ht="15" customHeight="1">
      <c r="B1340" t="s">
        <v>384</v>
      </c>
      <c r="C1340" t="s">
        <v>1729</v>
      </c>
      <c r="D1340" t="s">
        <v>32</v>
      </c>
      <c r="E1340" t="s">
        <v>27</v>
      </c>
      <c r="F1340" s="17">
        <v>1500</v>
      </c>
      <c r="G1340" s="17">
        <v>48000</v>
      </c>
      <c r="H1340" s="17">
        <v>46500</v>
      </c>
      <c r="I1340" s="18">
        <v>0.74</v>
      </c>
      <c r="J1340" s="14">
        <f t="shared" si="0"/>
        <v>31</v>
      </c>
      <c r="K1340" s="15" t="str">
        <f t="shared" si="1"/>
        <v>Exceeds Target</v>
      </c>
    </row>
    <row r="1341" spans="2:11" ht="15" customHeight="1">
      <c r="B1341" t="s">
        <v>529</v>
      </c>
      <c r="C1341" t="s">
        <v>1730</v>
      </c>
      <c r="D1341" t="s">
        <v>69</v>
      </c>
      <c r="E1341" t="s">
        <v>70</v>
      </c>
      <c r="F1341" s="17">
        <v>1000</v>
      </c>
      <c r="G1341" s="17">
        <v>60000</v>
      </c>
      <c r="H1341" s="17">
        <v>59000</v>
      </c>
      <c r="I1341" s="18">
        <v>0.95</v>
      </c>
      <c r="J1341" s="14">
        <f t="shared" si="0"/>
        <v>59</v>
      </c>
      <c r="K1341" s="15" t="str">
        <f t="shared" si="1"/>
        <v>Exceeds Target</v>
      </c>
    </row>
    <row r="1342" spans="2:11" ht="15" customHeight="1">
      <c r="B1342" t="s">
        <v>359</v>
      </c>
      <c r="C1342" t="s">
        <v>1731</v>
      </c>
      <c r="D1342" t="s">
        <v>69</v>
      </c>
      <c r="E1342" t="s">
        <v>70</v>
      </c>
      <c r="F1342" s="17">
        <v>1000</v>
      </c>
      <c r="G1342" s="17">
        <v>150000</v>
      </c>
      <c r="H1342" s="17">
        <v>149000</v>
      </c>
      <c r="I1342" s="18">
        <v>0.68</v>
      </c>
      <c r="J1342" s="14">
        <f t="shared" si="0"/>
        <v>149</v>
      </c>
      <c r="K1342" s="15" t="str">
        <f t="shared" si="1"/>
        <v>Exceeds Target</v>
      </c>
    </row>
    <row r="1343" spans="2:11" ht="15" customHeight="1">
      <c r="B1343" t="s">
        <v>343</v>
      </c>
      <c r="C1343" t="s">
        <v>1732</v>
      </c>
      <c r="D1343" t="s">
        <v>69</v>
      </c>
      <c r="E1343" t="s">
        <v>70</v>
      </c>
      <c r="F1343" s="17">
        <v>1000</v>
      </c>
      <c r="G1343" s="17">
        <v>70000</v>
      </c>
      <c r="H1343" s="17">
        <v>69000</v>
      </c>
      <c r="I1343" s="18">
        <v>0.48</v>
      </c>
      <c r="J1343" s="14">
        <f t="shared" si="0"/>
        <v>69</v>
      </c>
      <c r="K1343" s="15" t="str">
        <f t="shared" si="1"/>
        <v>Exceeds Target</v>
      </c>
    </row>
    <row r="1344" spans="2:11" ht="15" customHeight="1">
      <c r="B1344" t="s">
        <v>133</v>
      </c>
      <c r="C1344" t="s">
        <v>1733</v>
      </c>
      <c r="D1344" t="s">
        <v>80</v>
      </c>
      <c r="E1344" t="s">
        <v>27</v>
      </c>
      <c r="F1344" s="17">
        <v>1000</v>
      </c>
      <c r="G1344" s="17">
        <v>51000</v>
      </c>
      <c r="H1344" s="17">
        <v>50000</v>
      </c>
      <c r="I1344" s="18">
        <v>0.87</v>
      </c>
      <c r="J1344" s="14">
        <f t="shared" si="0"/>
        <v>50</v>
      </c>
      <c r="K1344" s="15" t="str">
        <f t="shared" si="1"/>
        <v>Exceeds Target</v>
      </c>
    </row>
    <row r="1345" spans="2:11" ht="15" customHeight="1">
      <c r="B1345" t="s">
        <v>432</v>
      </c>
      <c r="C1345" t="s">
        <v>1734</v>
      </c>
      <c r="D1345" t="s">
        <v>69</v>
      </c>
      <c r="E1345" t="s">
        <v>70</v>
      </c>
      <c r="F1345" s="17">
        <v>1000</v>
      </c>
      <c r="G1345" s="17">
        <v>45000</v>
      </c>
      <c r="H1345" s="17">
        <v>44000</v>
      </c>
      <c r="I1345" s="18">
        <v>0.51</v>
      </c>
      <c r="J1345" s="14">
        <f t="shared" si="0"/>
        <v>44</v>
      </c>
      <c r="K1345" s="15" t="str">
        <f t="shared" si="1"/>
        <v>Exceeds Target</v>
      </c>
    </row>
    <row r="1346" spans="2:11" ht="15" customHeight="1">
      <c r="B1346" t="s">
        <v>205</v>
      </c>
      <c r="C1346" t="s">
        <v>1735</v>
      </c>
      <c r="D1346" t="s">
        <v>35</v>
      </c>
      <c r="E1346" t="s">
        <v>27</v>
      </c>
      <c r="F1346" s="17">
        <v>3000</v>
      </c>
      <c r="G1346" s="17">
        <v>200000</v>
      </c>
      <c r="H1346" s="17">
        <v>197000</v>
      </c>
      <c r="I1346" s="18">
        <v>0.22</v>
      </c>
      <c r="J1346" s="14">
        <f t="shared" si="0"/>
        <v>65.666666666666671</v>
      </c>
      <c r="K1346" s="15" t="str">
        <f t="shared" si="1"/>
        <v>Exceeds Target</v>
      </c>
    </row>
    <row r="1347" spans="2:11" ht="15" customHeight="1">
      <c r="B1347" t="s">
        <v>93</v>
      </c>
      <c r="C1347" t="s">
        <v>1736</v>
      </c>
      <c r="D1347" t="s">
        <v>80</v>
      </c>
      <c r="E1347" t="s">
        <v>27</v>
      </c>
      <c r="F1347" s="17">
        <v>1000</v>
      </c>
      <c r="G1347" s="17">
        <v>87000</v>
      </c>
      <c r="H1347" s="17">
        <v>86000</v>
      </c>
      <c r="I1347" s="18">
        <v>0.98</v>
      </c>
      <c r="J1347" s="14">
        <f t="shared" si="0"/>
        <v>86</v>
      </c>
      <c r="K1347" s="15" t="str">
        <f t="shared" si="1"/>
        <v>Exceeds Target</v>
      </c>
    </row>
    <row r="1348" spans="2:11" ht="15" customHeight="1">
      <c r="B1348" t="s">
        <v>279</v>
      </c>
      <c r="C1348" t="s">
        <v>1737</v>
      </c>
      <c r="D1348" t="s">
        <v>69</v>
      </c>
      <c r="E1348" t="s">
        <v>70</v>
      </c>
      <c r="F1348" s="17">
        <v>1000</v>
      </c>
      <c r="G1348" s="17">
        <v>95000</v>
      </c>
      <c r="H1348" s="17">
        <v>94000</v>
      </c>
      <c r="I1348" s="18">
        <v>0.71</v>
      </c>
      <c r="J1348" s="14">
        <f t="shared" si="0"/>
        <v>94</v>
      </c>
      <c r="K1348" s="15" t="str">
        <f t="shared" si="1"/>
        <v>Exceeds Target</v>
      </c>
    </row>
    <row r="1349" spans="2:11" ht="15" customHeight="1">
      <c r="B1349" t="s">
        <v>238</v>
      </c>
      <c r="C1349" t="s">
        <v>1738</v>
      </c>
      <c r="D1349" t="s">
        <v>69</v>
      </c>
      <c r="E1349" t="s">
        <v>70</v>
      </c>
      <c r="F1349" s="17">
        <v>1000</v>
      </c>
      <c r="G1349" s="17">
        <v>90000</v>
      </c>
      <c r="H1349" s="17">
        <v>89000</v>
      </c>
      <c r="I1349" s="18">
        <v>0.34</v>
      </c>
      <c r="J1349" s="14">
        <f t="shared" si="0"/>
        <v>89</v>
      </c>
      <c r="K1349" s="15" t="str">
        <f t="shared" si="1"/>
        <v>Exceeds Target</v>
      </c>
    </row>
    <row r="1350" spans="2:11" ht="15" customHeight="1">
      <c r="B1350" t="s">
        <v>319</v>
      </c>
      <c r="C1350" t="s">
        <v>1739</v>
      </c>
      <c r="D1350" t="s">
        <v>35</v>
      </c>
      <c r="E1350" t="s">
        <v>27</v>
      </c>
      <c r="F1350" s="17">
        <v>3000</v>
      </c>
      <c r="G1350" s="17">
        <v>70000</v>
      </c>
      <c r="H1350" s="17">
        <v>67000</v>
      </c>
      <c r="I1350" s="18">
        <v>0.86</v>
      </c>
      <c r="J1350" s="14">
        <f t="shared" si="0"/>
        <v>22.333333333333332</v>
      </c>
      <c r="K1350" s="15" t="str">
        <f t="shared" si="1"/>
        <v>Exceeds Target</v>
      </c>
    </row>
    <row r="1351" spans="2:11" ht="15" customHeight="1">
      <c r="B1351" t="s">
        <v>1320</v>
      </c>
      <c r="C1351" t="s">
        <v>1740</v>
      </c>
      <c r="D1351" t="s">
        <v>69</v>
      </c>
      <c r="E1351" t="s">
        <v>70</v>
      </c>
      <c r="F1351" s="17">
        <v>1000</v>
      </c>
      <c r="G1351" s="17">
        <v>30000</v>
      </c>
      <c r="H1351" s="17">
        <v>29000</v>
      </c>
      <c r="I1351" s="18">
        <v>0.68</v>
      </c>
      <c r="J1351" s="14">
        <f t="shared" si="0"/>
        <v>29</v>
      </c>
      <c r="K1351" s="15" t="str">
        <f t="shared" si="1"/>
        <v>Exceeds Target</v>
      </c>
    </row>
    <row r="1352" spans="2:11" ht="15" customHeight="1">
      <c r="B1352" t="s">
        <v>540</v>
      </c>
      <c r="C1352" t="s">
        <v>1741</v>
      </c>
      <c r="D1352" t="s">
        <v>80</v>
      </c>
      <c r="E1352" t="s">
        <v>27</v>
      </c>
      <c r="F1352" s="17">
        <v>1000</v>
      </c>
      <c r="G1352" s="17">
        <v>69000</v>
      </c>
      <c r="H1352" s="17">
        <v>68000</v>
      </c>
      <c r="I1352" s="18">
        <v>0.91</v>
      </c>
      <c r="J1352" s="14">
        <f t="shared" si="0"/>
        <v>68</v>
      </c>
      <c r="K1352" s="15" t="str">
        <f t="shared" si="1"/>
        <v>Exceeds Target</v>
      </c>
    </row>
    <row r="1353" spans="2:11" ht="15" customHeight="1">
      <c r="B1353" t="s">
        <v>734</v>
      </c>
      <c r="C1353" t="s">
        <v>1742</v>
      </c>
      <c r="D1353" t="s">
        <v>69</v>
      </c>
      <c r="E1353" t="s">
        <v>70</v>
      </c>
      <c r="F1353" s="17">
        <v>1000</v>
      </c>
      <c r="G1353" s="17">
        <v>75000</v>
      </c>
      <c r="H1353" s="17">
        <v>74000</v>
      </c>
      <c r="I1353" s="18">
        <v>0.81</v>
      </c>
      <c r="J1353" s="14">
        <f t="shared" si="0"/>
        <v>74</v>
      </c>
      <c r="K1353" s="15" t="str">
        <f t="shared" si="1"/>
        <v>Exceeds Target</v>
      </c>
    </row>
    <row r="1354" spans="2:11" ht="15" customHeight="1">
      <c r="B1354" t="s">
        <v>542</v>
      </c>
      <c r="C1354" t="s">
        <v>1743</v>
      </c>
      <c r="D1354" t="s">
        <v>69</v>
      </c>
      <c r="E1354" t="s">
        <v>70</v>
      </c>
      <c r="F1354" s="17">
        <v>1000</v>
      </c>
      <c r="G1354" s="17">
        <v>135000</v>
      </c>
      <c r="H1354" s="17">
        <v>134000</v>
      </c>
      <c r="I1354" s="18">
        <v>0.82</v>
      </c>
      <c r="J1354" s="14">
        <f t="shared" si="0"/>
        <v>134</v>
      </c>
      <c r="K1354" s="15" t="str">
        <f t="shared" si="1"/>
        <v>Exceeds Target</v>
      </c>
    </row>
    <row r="1355" spans="2:11" ht="15" customHeight="1">
      <c r="B1355" t="s">
        <v>730</v>
      </c>
      <c r="C1355" t="s">
        <v>1744</v>
      </c>
      <c r="D1355" t="s">
        <v>35</v>
      </c>
      <c r="E1355" t="s">
        <v>27</v>
      </c>
      <c r="F1355" s="17">
        <v>3000</v>
      </c>
      <c r="G1355" s="17">
        <v>200000</v>
      </c>
      <c r="H1355" s="17">
        <v>197000</v>
      </c>
      <c r="I1355" s="18">
        <v>0.45</v>
      </c>
      <c r="J1355" s="14">
        <f t="shared" si="0"/>
        <v>65.666666666666671</v>
      </c>
      <c r="K1355" s="15" t="str">
        <f t="shared" si="1"/>
        <v>Exceeds Target</v>
      </c>
    </row>
    <row r="1356" spans="2:11" ht="15" customHeight="1">
      <c r="B1356" t="s">
        <v>618</v>
      </c>
      <c r="C1356" t="s">
        <v>1745</v>
      </c>
      <c r="D1356" t="s">
        <v>32</v>
      </c>
      <c r="E1356" t="s">
        <v>27</v>
      </c>
      <c r="F1356" s="17">
        <v>1500</v>
      </c>
      <c r="G1356" s="17">
        <v>42000</v>
      </c>
      <c r="H1356" s="17">
        <v>40500</v>
      </c>
      <c r="I1356" s="18">
        <v>0.95</v>
      </c>
      <c r="J1356" s="14">
        <f t="shared" si="0"/>
        <v>27</v>
      </c>
      <c r="K1356" s="15" t="str">
        <f t="shared" si="1"/>
        <v>Exceeds Target</v>
      </c>
    </row>
    <row r="1357" spans="2:11" ht="15" customHeight="1">
      <c r="B1357" t="s">
        <v>462</v>
      </c>
      <c r="C1357" t="s">
        <v>1746</v>
      </c>
      <c r="D1357" t="s">
        <v>69</v>
      </c>
      <c r="E1357" t="s">
        <v>70</v>
      </c>
      <c r="F1357" s="17">
        <v>1000</v>
      </c>
      <c r="G1357" s="17">
        <v>50000</v>
      </c>
      <c r="H1357" s="17">
        <v>49000</v>
      </c>
      <c r="I1357" s="18">
        <v>0.89</v>
      </c>
      <c r="J1357" s="14">
        <f t="shared" si="0"/>
        <v>49</v>
      </c>
      <c r="K1357" s="15" t="str">
        <f t="shared" si="1"/>
        <v>Exceeds Target</v>
      </c>
    </row>
    <row r="1358" spans="2:11" ht="15" customHeight="1">
      <c r="B1358" t="s">
        <v>462</v>
      </c>
      <c r="C1358" t="s">
        <v>1747</v>
      </c>
      <c r="D1358" t="s">
        <v>35</v>
      </c>
      <c r="E1358" t="s">
        <v>27</v>
      </c>
      <c r="F1358" s="17">
        <v>3000</v>
      </c>
      <c r="G1358" s="17">
        <v>190000</v>
      </c>
      <c r="H1358" s="17">
        <v>187000</v>
      </c>
      <c r="I1358" s="18">
        <v>0.55000000000000004</v>
      </c>
      <c r="J1358" s="14">
        <f t="shared" si="0"/>
        <v>62.333333333333336</v>
      </c>
      <c r="K1358" s="15" t="str">
        <f t="shared" si="1"/>
        <v>Exceeds Target</v>
      </c>
    </row>
    <row r="1359" spans="2:11" ht="15" customHeight="1">
      <c r="B1359" t="s">
        <v>234</v>
      </c>
      <c r="C1359" t="s">
        <v>1748</v>
      </c>
      <c r="D1359" t="s">
        <v>26</v>
      </c>
      <c r="E1359" t="s">
        <v>27</v>
      </c>
      <c r="F1359" s="17">
        <v>5000</v>
      </c>
      <c r="G1359" s="17">
        <v>150000</v>
      </c>
      <c r="H1359" s="17">
        <v>145000</v>
      </c>
      <c r="I1359" s="18">
        <v>0.05</v>
      </c>
      <c r="J1359" s="14">
        <f t="shared" si="0"/>
        <v>29</v>
      </c>
      <c r="K1359" s="15" t="str">
        <f t="shared" si="1"/>
        <v>Exceeds Target</v>
      </c>
    </row>
    <row r="1360" spans="2:11" ht="15" customHeight="1">
      <c r="B1360" t="s">
        <v>973</v>
      </c>
      <c r="C1360" t="s">
        <v>1749</v>
      </c>
      <c r="D1360" t="s">
        <v>80</v>
      </c>
      <c r="E1360" t="s">
        <v>27</v>
      </c>
      <c r="F1360" s="17">
        <v>1000</v>
      </c>
      <c r="G1360" s="17">
        <v>93000</v>
      </c>
      <c r="H1360" s="17">
        <v>92000</v>
      </c>
      <c r="I1360" s="18">
        <v>0.84</v>
      </c>
      <c r="J1360" s="14">
        <f t="shared" si="0"/>
        <v>92</v>
      </c>
      <c r="K1360" s="15" t="str">
        <f t="shared" si="1"/>
        <v>Exceeds Target</v>
      </c>
    </row>
    <row r="1361" spans="2:11" ht="15" customHeight="1">
      <c r="B1361" t="s">
        <v>95</v>
      </c>
      <c r="C1361" t="s">
        <v>1750</v>
      </c>
      <c r="D1361" t="s">
        <v>32</v>
      </c>
      <c r="E1361" t="s">
        <v>27</v>
      </c>
      <c r="F1361" s="17">
        <v>1500</v>
      </c>
      <c r="G1361" s="17">
        <v>58000</v>
      </c>
      <c r="H1361" s="17">
        <v>56500</v>
      </c>
      <c r="I1361" s="18">
        <v>0.3</v>
      </c>
      <c r="J1361" s="14">
        <f t="shared" si="0"/>
        <v>37.666666666666664</v>
      </c>
      <c r="K1361" s="15" t="str">
        <f t="shared" si="1"/>
        <v>Exceeds Target</v>
      </c>
    </row>
    <row r="1362" spans="2:11" ht="15" customHeight="1">
      <c r="B1362" t="s">
        <v>91</v>
      </c>
      <c r="C1362" t="s">
        <v>1751</v>
      </c>
      <c r="D1362" t="s">
        <v>69</v>
      </c>
      <c r="E1362" t="s">
        <v>70</v>
      </c>
      <c r="F1362" s="17">
        <v>1000</v>
      </c>
      <c r="G1362" s="17">
        <v>85000</v>
      </c>
      <c r="H1362" s="17">
        <v>84000</v>
      </c>
      <c r="I1362" s="18">
        <v>0.4</v>
      </c>
      <c r="J1362" s="14">
        <f t="shared" si="0"/>
        <v>84</v>
      </c>
      <c r="K1362" s="15" t="str">
        <f t="shared" si="1"/>
        <v>Exceeds Target</v>
      </c>
    </row>
    <row r="1363" spans="2:11" ht="15" customHeight="1">
      <c r="B1363" t="s">
        <v>418</v>
      </c>
      <c r="C1363" t="s">
        <v>1752</v>
      </c>
      <c r="D1363" t="s">
        <v>69</v>
      </c>
      <c r="E1363" t="s">
        <v>70</v>
      </c>
      <c r="F1363" s="17">
        <v>1000</v>
      </c>
      <c r="G1363" s="17">
        <v>100000</v>
      </c>
      <c r="H1363" s="17">
        <v>99000</v>
      </c>
      <c r="I1363" s="18">
        <v>0.35</v>
      </c>
      <c r="J1363" s="14">
        <f t="shared" si="0"/>
        <v>99</v>
      </c>
      <c r="K1363" s="15" t="str">
        <f t="shared" si="1"/>
        <v>Exceeds Target</v>
      </c>
    </row>
    <row r="1364" spans="2:11" ht="15" customHeight="1">
      <c r="B1364" t="s">
        <v>205</v>
      </c>
      <c r="C1364" t="s">
        <v>1753</v>
      </c>
      <c r="D1364" t="s">
        <v>69</v>
      </c>
      <c r="E1364" t="s">
        <v>70</v>
      </c>
      <c r="F1364" s="17">
        <v>1000</v>
      </c>
      <c r="G1364" s="17">
        <v>70000</v>
      </c>
      <c r="H1364" s="17">
        <v>69000</v>
      </c>
      <c r="I1364" s="18">
        <v>0.84</v>
      </c>
      <c r="J1364" s="14">
        <f t="shared" si="0"/>
        <v>69</v>
      </c>
      <c r="K1364" s="15" t="str">
        <f t="shared" si="1"/>
        <v>Exceeds Target</v>
      </c>
    </row>
    <row r="1365" spans="2:11" ht="15" customHeight="1">
      <c r="B1365" t="s">
        <v>67</v>
      </c>
      <c r="C1365" t="s">
        <v>1754</v>
      </c>
      <c r="D1365" t="s">
        <v>26</v>
      </c>
      <c r="E1365" t="s">
        <v>27</v>
      </c>
      <c r="F1365" s="17">
        <v>5000</v>
      </c>
      <c r="G1365" s="17">
        <v>120000</v>
      </c>
      <c r="H1365" s="17">
        <v>115000</v>
      </c>
      <c r="I1365" s="18">
        <v>0.22</v>
      </c>
      <c r="J1365" s="14">
        <f t="shared" si="0"/>
        <v>23</v>
      </c>
      <c r="K1365" s="15" t="str">
        <f t="shared" si="1"/>
        <v>Exceeds Target</v>
      </c>
    </row>
    <row r="1366" spans="2:11" ht="15" customHeight="1">
      <c r="B1366" t="s">
        <v>1337</v>
      </c>
      <c r="C1366" t="s">
        <v>1755</v>
      </c>
      <c r="D1366" t="s">
        <v>35</v>
      </c>
      <c r="E1366" t="s">
        <v>27</v>
      </c>
      <c r="F1366" s="17">
        <v>3000</v>
      </c>
      <c r="G1366" s="17">
        <v>150000</v>
      </c>
      <c r="H1366" s="17">
        <v>147000</v>
      </c>
      <c r="I1366" s="18">
        <v>0.23</v>
      </c>
      <c r="J1366" s="14">
        <f t="shared" si="0"/>
        <v>49</v>
      </c>
      <c r="K1366" s="15" t="str">
        <f t="shared" si="1"/>
        <v>Exceeds Target</v>
      </c>
    </row>
    <row r="1367" spans="2:11" ht="15" customHeight="1">
      <c r="B1367" t="s">
        <v>267</v>
      </c>
      <c r="C1367" t="s">
        <v>1756</v>
      </c>
      <c r="D1367" t="s">
        <v>69</v>
      </c>
      <c r="E1367" t="s">
        <v>70</v>
      </c>
      <c r="F1367" s="17">
        <v>1000</v>
      </c>
      <c r="G1367" s="17">
        <v>115000</v>
      </c>
      <c r="H1367" s="17">
        <v>114000</v>
      </c>
      <c r="I1367" s="18">
        <v>0.76</v>
      </c>
      <c r="J1367" s="14">
        <f t="shared" si="0"/>
        <v>114</v>
      </c>
      <c r="K1367" s="15" t="str">
        <f t="shared" si="1"/>
        <v>Exceeds Target</v>
      </c>
    </row>
    <row r="1368" spans="2:11" ht="15" customHeight="1">
      <c r="B1368" t="s">
        <v>593</v>
      </c>
      <c r="C1368" t="s">
        <v>1757</v>
      </c>
      <c r="D1368" t="s">
        <v>32</v>
      </c>
      <c r="E1368" t="s">
        <v>27</v>
      </c>
      <c r="F1368" s="17">
        <v>1500</v>
      </c>
      <c r="G1368" s="17">
        <v>44000</v>
      </c>
      <c r="H1368" s="17">
        <v>42500</v>
      </c>
      <c r="I1368" s="18">
        <v>0.97</v>
      </c>
      <c r="J1368" s="14">
        <f t="shared" si="0"/>
        <v>28.333333333333332</v>
      </c>
      <c r="K1368" s="15" t="str">
        <f t="shared" si="1"/>
        <v>Exceeds Target</v>
      </c>
    </row>
    <row r="1369" spans="2:11" ht="15" customHeight="1">
      <c r="B1369" t="s">
        <v>542</v>
      </c>
      <c r="C1369" t="s">
        <v>1758</v>
      </c>
      <c r="D1369" t="s">
        <v>26</v>
      </c>
      <c r="E1369" t="s">
        <v>27</v>
      </c>
      <c r="F1369" s="17">
        <v>5000</v>
      </c>
      <c r="G1369" s="17">
        <v>150000</v>
      </c>
      <c r="H1369" s="17">
        <v>145000</v>
      </c>
      <c r="I1369" s="18">
        <v>0.1</v>
      </c>
      <c r="J1369" s="14">
        <f t="shared" si="0"/>
        <v>29</v>
      </c>
      <c r="K1369" s="15" t="str">
        <f t="shared" si="1"/>
        <v>Exceeds Target</v>
      </c>
    </row>
    <row r="1370" spans="2:11" ht="15" customHeight="1">
      <c r="B1370" t="s">
        <v>270</v>
      </c>
      <c r="C1370" t="s">
        <v>1759</v>
      </c>
      <c r="D1370" t="s">
        <v>69</v>
      </c>
      <c r="E1370" t="s">
        <v>70</v>
      </c>
      <c r="F1370" s="17">
        <v>1000</v>
      </c>
      <c r="G1370" s="17">
        <v>150000</v>
      </c>
      <c r="H1370" s="17">
        <v>149000</v>
      </c>
      <c r="I1370" s="18">
        <v>0.73</v>
      </c>
      <c r="J1370" s="14">
        <f t="shared" si="0"/>
        <v>149</v>
      </c>
      <c r="K1370" s="15" t="str">
        <f t="shared" si="1"/>
        <v>Exceeds Target</v>
      </c>
    </row>
    <row r="1371" spans="2:11" ht="15" customHeight="1">
      <c r="B1371" t="s">
        <v>713</v>
      </c>
      <c r="C1371" t="s">
        <v>1760</v>
      </c>
      <c r="D1371" t="s">
        <v>35</v>
      </c>
      <c r="E1371" t="s">
        <v>27</v>
      </c>
      <c r="F1371" s="17">
        <v>3000</v>
      </c>
      <c r="G1371" s="17">
        <v>280000</v>
      </c>
      <c r="H1371" s="17">
        <v>277000</v>
      </c>
      <c r="I1371" s="18">
        <v>0.61</v>
      </c>
      <c r="J1371" s="14">
        <f t="shared" si="0"/>
        <v>92.333333333333329</v>
      </c>
      <c r="K1371" s="15" t="str">
        <f t="shared" si="1"/>
        <v>Exceeds Target</v>
      </c>
    </row>
    <row r="1372" spans="2:11" ht="15" customHeight="1">
      <c r="B1372" t="s">
        <v>101</v>
      </c>
      <c r="C1372" t="s">
        <v>1761</v>
      </c>
      <c r="D1372" t="s">
        <v>26</v>
      </c>
      <c r="E1372" t="s">
        <v>27</v>
      </c>
      <c r="F1372" s="17">
        <v>5000</v>
      </c>
      <c r="G1372" s="17">
        <v>120000</v>
      </c>
      <c r="H1372" s="17">
        <v>115000</v>
      </c>
      <c r="I1372" s="18">
        <v>0.16</v>
      </c>
      <c r="J1372" s="14">
        <f t="shared" si="0"/>
        <v>23</v>
      </c>
      <c r="K1372" s="15" t="str">
        <f t="shared" si="1"/>
        <v>Exceeds Target</v>
      </c>
    </row>
    <row r="1373" spans="2:11" ht="15" customHeight="1">
      <c r="B1373" t="s">
        <v>205</v>
      </c>
      <c r="C1373" t="s">
        <v>1762</v>
      </c>
      <c r="D1373" t="s">
        <v>26</v>
      </c>
      <c r="E1373" t="s">
        <v>27</v>
      </c>
      <c r="F1373" s="17">
        <v>5000</v>
      </c>
      <c r="G1373" s="17">
        <v>150000</v>
      </c>
      <c r="H1373" s="17">
        <v>145000</v>
      </c>
      <c r="I1373" s="18">
        <v>0.04</v>
      </c>
      <c r="J1373" s="14">
        <f t="shared" si="0"/>
        <v>29</v>
      </c>
      <c r="K1373" s="15" t="str">
        <f t="shared" si="1"/>
        <v>Exceeds Target</v>
      </c>
    </row>
    <row r="1374" spans="2:11" ht="15" customHeight="1">
      <c r="B1374" t="s">
        <v>370</v>
      </c>
      <c r="C1374" t="s">
        <v>1763</v>
      </c>
      <c r="D1374" t="s">
        <v>35</v>
      </c>
      <c r="E1374" t="s">
        <v>27</v>
      </c>
      <c r="F1374" s="17">
        <v>3000</v>
      </c>
      <c r="G1374" s="17">
        <v>110000</v>
      </c>
      <c r="H1374" s="17">
        <v>107000</v>
      </c>
      <c r="I1374" s="18">
        <v>0.61</v>
      </c>
      <c r="J1374" s="14">
        <f t="shared" si="0"/>
        <v>35.666666666666664</v>
      </c>
      <c r="K1374" s="15" t="str">
        <f t="shared" si="1"/>
        <v>Exceeds Target</v>
      </c>
    </row>
    <row r="1375" spans="2:11" ht="15" customHeight="1">
      <c r="B1375" t="s">
        <v>434</v>
      </c>
      <c r="C1375" t="s">
        <v>1764</v>
      </c>
      <c r="D1375" t="s">
        <v>26</v>
      </c>
      <c r="E1375" t="s">
        <v>27</v>
      </c>
      <c r="F1375" s="17">
        <v>5000</v>
      </c>
      <c r="G1375" s="17">
        <v>120000</v>
      </c>
      <c r="H1375" s="17">
        <v>115000</v>
      </c>
      <c r="I1375" s="18">
        <v>0.08</v>
      </c>
      <c r="J1375" s="14">
        <f t="shared" si="0"/>
        <v>23</v>
      </c>
      <c r="K1375" s="15" t="str">
        <f t="shared" si="1"/>
        <v>Exceeds Target</v>
      </c>
    </row>
    <row r="1376" spans="2:11" ht="15" customHeight="1">
      <c r="B1376" t="s">
        <v>83</v>
      </c>
      <c r="C1376" t="s">
        <v>1765</v>
      </c>
      <c r="D1376" t="s">
        <v>32</v>
      </c>
      <c r="E1376" t="s">
        <v>27</v>
      </c>
      <c r="F1376" s="17">
        <v>1500</v>
      </c>
      <c r="G1376" s="17">
        <v>56000</v>
      </c>
      <c r="H1376" s="17">
        <v>54500</v>
      </c>
      <c r="I1376" s="18">
        <v>0.92</v>
      </c>
      <c r="J1376" s="14">
        <f t="shared" si="0"/>
        <v>36.333333333333336</v>
      </c>
      <c r="K1376" s="15" t="str">
        <f t="shared" si="1"/>
        <v>Exceeds Target</v>
      </c>
    </row>
    <row r="1377" spans="2:11" ht="15" customHeight="1">
      <c r="B1377" t="s">
        <v>707</v>
      </c>
      <c r="C1377" t="s">
        <v>1766</v>
      </c>
      <c r="D1377" t="s">
        <v>35</v>
      </c>
      <c r="E1377" t="s">
        <v>27</v>
      </c>
      <c r="F1377" s="17">
        <v>3000</v>
      </c>
      <c r="G1377" s="17">
        <v>160000</v>
      </c>
      <c r="H1377" s="17">
        <v>157000</v>
      </c>
      <c r="I1377" s="18">
        <v>0.65</v>
      </c>
      <c r="J1377" s="14">
        <f t="shared" si="0"/>
        <v>52.333333333333336</v>
      </c>
      <c r="K1377" s="15" t="str">
        <f t="shared" si="1"/>
        <v>Exceeds Target</v>
      </c>
    </row>
    <row r="1378" spans="2:11" ht="15" customHeight="1">
      <c r="B1378" t="s">
        <v>1053</v>
      </c>
      <c r="C1378" t="s">
        <v>1767</v>
      </c>
      <c r="D1378" t="s">
        <v>32</v>
      </c>
      <c r="E1378" t="s">
        <v>27</v>
      </c>
      <c r="F1378" s="17">
        <v>1500</v>
      </c>
      <c r="G1378" s="17">
        <v>20000</v>
      </c>
      <c r="H1378" s="17">
        <v>18500</v>
      </c>
      <c r="I1378" s="18">
        <v>0.77</v>
      </c>
      <c r="J1378" s="14">
        <f t="shared" si="0"/>
        <v>12.333333333333334</v>
      </c>
      <c r="K1378" s="15" t="str">
        <f t="shared" si="1"/>
        <v>Exceeds Target</v>
      </c>
    </row>
    <row r="1379" spans="2:11" ht="15" customHeight="1">
      <c r="B1379" t="s">
        <v>457</v>
      </c>
      <c r="C1379" t="s">
        <v>1768</v>
      </c>
      <c r="D1379" t="s">
        <v>26</v>
      </c>
      <c r="E1379" t="s">
        <v>27</v>
      </c>
      <c r="F1379" s="17">
        <v>5000</v>
      </c>
      <c r="G1379" s="17">
        <v>150000</v>
      </c>
      <c r="H1379" s="17">
        <v>145000</v>
      </c>
      <c r="I1379" s="18">
        <v>0.23</v>
      </c>
      <c r="J1379" s="14">
        <f t="shared" si="0"/>
        <v>29</v>
      </c>
      <c r="K1379" s="15" t="str">
        <f t="shared" si="1"/>
        <v>Exceeds Target</v>
      </c>
    </row>
    <row r="1380" spans="2:11" ht="15" customHeight="1">
      <c r="B1380" t="s">
        <v>1194</v>
      </c>
      <c r="C1380" t="s">
        <v>1769</v>
      </c>
      <c r="D1380" t="s">
        <v>35</v>
      </c>
      <c r="E1380" t="s">
        <v>27</v>
      </c>
      <c r="F1380" s="17">
        <v>3000</v>
      </c>
      <c r="G1380" s="17">
        <v>70000</v>
      </c>
      <c r="H1380" s="17">
        <v>67000</v>
      </c>
      <c r="I1380" s="18">
        <v>0.46</v>
      </c>
      <c r="J1380" s="14">
        <f t="shared" si="0"/>
        <v>22.333333333333332</v>
      </c>
      <c r="K1380" s="15" t="str">
        <f t="shared" si="1"/>
        <v>Exceeds Target</v>
      </c>
    </row>
    <row r="1381" spans="2:11" ht="15" customHeight="1">
      <c r="B1381" t="s">
        <v>923</v>
      </c>
      <c r="C1381" t="s">
        <v>1770</v>
      </c>
      <c r="D1381" t="s">
        <v>26</v>
      </c>
      <c r="E1381" t="s">
        <v>27</v>
      </c>
      <c r="F1381" s="17">
        <v>5000</v>
      </c>
      <c r="G1381" s="17">
        <v>150000</v>
      </c>
      <c r="H1381" s="17">
        <v>145000</v>
      </c>
      <c r="I1381" s="18">
        <v>0.11</v>
      </c>
      <c r="J1381" s="14">
        <f t="shared" si="0"/>
        <v>29</v>
      </c>
      <c r="K1381" s="15" t="str">
        <f t="shared" si="1"/>
        <v>Exceeds Target</v>
      </c>
    </row>
    <row r="1382" spans="2:11" ht="15" customHeight="1">
      <c r="B1382" t="s">
        <v>772</v>
      </c>
      <c r="C1382" t="s">
        <v>1771</v>
      </c>
      <c r="D1382" t="s">
        <v>35</v>
      </c>
      <c r="E1382" t="s">
        <v>27</v>
      </c>
      <c r="F1382" s="17">
        <v>3000</v>
      </c>
      <c r="G1382" s="17">
        <v>300000</v>
      </c>
      <c r="H1382" s="17">
        <v>297000</v>
      </c>
      <c r="I1382" s="18">
        <v>0.73</v>
      </c>
      <c r="J1382" s="14">
        <f t="shared" si="0"/>
        <v>99</v>
      </c>
      <c r="K1382" s="15" t="str">
        <f t="shared" si="1"/>
        <v>Exceeds Target</v>
      </c>
    </row>
    <row r="1383" spans="2:11" ht="15" customHeight="1">
      <c r="B1383" t="s">
        <v>289</v>
      </c>
      <c r="C1383" t="s">
        <v>1772</v>
      </c>
      <c r="D1383" t="s">
        <v>80</v>
      </c>
      <c r="E1383" t="s">
        <v>27</v>
      </c>
      <c r="F1383" s="17">
        <v>1000</v>
      </c>
      <c r="G1383" s="17">
        <v>120000</v>
      </c>
      <c r="H1383" s="17">
        <v>119000</v>
      </c>
      <c r="I1383" s="18">
        <v>0.88</v>
      </c>
      <c r="J1383" s="14">
        <f t="shared" si="0"/>
        <v>119</v>
      </c>
      <c r="K1383" s="15" t="str">
        <f t="shared" si="1"/>
        <v>Exceeds Target</v>
      </c>
    </row>
    <row r="1384" spans="2:11" ht="15" customHeight="1">
      <c r="B1384" t="s">
        <v>178</v>
      </c>
      <c r="C1384" t="s">
        <v>1773</v>
      </c>
      <c r="D1384" t="s">
        <v>80</v>
      </c>
      <c r="E1384" t="s">
        <v>27</v>
      </c>
      <c r="F1384" s="17">
        <v>1000</v>
      </c>
      <c r="G1384" s="17">
        <v>81000</v>
      </c>
      <c r="H1384" s="17">
        <v>80000</v>
      </c>
      <c r="I1384" s="18">
        <v>0.91</v>
      </c>
      <c r="J1384" s="14">
        <f t="shared" si="0"/>
        <v>80</v>
      </c>
      <c r="K1384" s="15" t="str">
        <f t="shared" si="1"/>
        <v>Exceeds Target</v>
      </c>
    </row>
    <row r="1385" spans="2:11" ht="15" customHeight="1">
      <c r="B1385" t="s">
        <v>259</v>
      </c>
      <c r="C1385" t="s">
        <v>1774</v>
      </c>
      <c r="D1385" t="s">
        <v>80</v>
      </c>
      <c r="E1385" t="s">
        <v>27</v>
      </c>
      <c r="F1385" s="17">
        <v>1000</v>
      </c>
      <c r="G1385" s="17">
        <v>54000</v>
      </c>
      <c r="H1385" s="17">
        <v>53000</v>
      </c>
      <c r="I1385" s="18">
        <v>0.55000000000000004</v>
      </c>
      <c r="J1385" s="14">
        <f t="shared" si="0"/>
        <v>53</v>
      </c>
      <c r="K1385" s="15" t="str">
        <f t="shared" si="1"/>
        <v>Exceeds Target</v>
      </c>
    </row>
    <row r="1386" spans="2:11" ht="15" customHeight="1">
      <c r="B1386" t="s">
        <v>252</v>
      </c>
      <c r="C1386" t="s">
        <v>1775</v>
      </c>
      <c r="D1386" t="s">
        <v>35</v>
      </c>
      <c r="E1386" t="s">
        <v>27</v>
      </c>
      <c r="F1386" s="17">
        <v>3000</v>
      </c>
      <c r="G1386" s="17">
        <v>220000</v>
      </c>
      <c r="H1386" s="17">
        <v>217000</v>
      </c>
      <c r="I1386" s="18">
        <v>0.51</v>
      </c>
      <c r="J1386" s="14">
        <f t="shared" si="0"/>
        <v>72.333333333333329</v>
      </c>
      <c r="K1386" s="15" t="str">
        <f t="shared" si="1"/>
        <v>Exceeds Target</v>
      </c>
    </row>
    <row r="1387" spans="2:11" ht="15" customHeight="1">
      <c r="B1387" t="s">
        <v>434</v>
      </c>
      <c r="C1387" t="s">
        <v>1776</v>
      </c>
      <c r="D1387" t="s">
        <v>80</v>
      </c>
      <c r="E1387" t="s">
        <v>27</v>
      </c>
      <c r="F1387" s="17">
        <v>1000</v>
      </c>
      <c r="G1387" s="17">
        <v>102000</v>
      </c>
      <c r="H1387" s="17">
        <v>101000</v>
      </c>
      <c r="I1387" s="18">
        <v>0.88</v>
      </c>
      <c r="J1387" s="14">
        <f t="shared" si="0"/>
        <v>101</v>
      </c>
      <c r="K1387" s="15" t="str">
        <f t="shared" si="1"/>
        <v>Exceeds Target</v>
      </c>
    </row>
    <row r="1388" spans="2:11" ht="15" customHeight="1">
      <c r="B1388" t="s">
        <v>238</v>
      </c>
      <c r="C1388" t="s">
        <v>1777</v>
      </c>
      <c r="D1388" t="s">
        <v>32</v>
      </c>
      <c r="E1388" t="s">
        <v>27</v>
      </c>
      <c r="F1388" s="17">
        <v>1500</v>
      </c>
      <c r="G1388" s="17">
        <v>30000</v>
      </c>
      <c r="H1388" s="17">
        <v>28500</v>
      </c>
      <c r="I1388" s="18">
        <v>0.31</v>
      </c>
      <c r="J1388" s="14">
        <f t="shared" si="0"/>
        <v>19</v>
      </c>
      <c r="K1388" s="15" t="str">
        <f t="shared" si="1"/>
        <v>Exceeds Target</v>
      </c>
    </row>
    <row r="1389" spans="2:11" ht="15" customHeight="1">
      <c r="B1389" t="s">
        <v>743</v>
      </c>
      <c r="C1389" t="s">
        <v>1778</v>
      </c>
      <c r="D1389" t="s">
        <v>35</v>
      </c>
      <c r="E1389" t="s">
        <v>27</v>
      </c>
      <c r="F1389" s="17">
        <v>3000</v>
      </c>
      <c r="G1389" s="17">
        <v>170000</v>
      </c>
      <c r="H1389" s="17">
        <v>167000</v>
      </c>
      <c r="I1389" s="18">
        <v>0.59</v>
      </c>
      <c r="J1389" s="14">
        <f t="shared" si="0"/>
        <v>55.666666666666664</v>
      </c>
      <c r="K1389" s="15" t="str">
        <f t="shared" si="1"/>
        <v>Exceeds Target</v>
      </c>
    </row>
    <row r="1390" spans="2:11" ht="15" customHeight="1">
      <c r="B1390" t="s">
        <v>1143</v>
      </c>
      <c r="C1390" t="s">
        <v>1779</v>
      </c>
      <c r="D1390" t="s">
        <v>26</v>
      </c>
      <c r="E1390" t="s">
        <v>27</v>
      </c>
      <c r="F1390" s="17">
        <v>5000</v>
      </c>
      <c r="G1390" s="17">
        <v>30000</v>
      </c>
      <c r="H1390" s="17">
        <v>25000</v>
      </c>
      <c r="I1390" s="18">
        <v>0.04</v>
      </c>
      <c r="J1390" s="14">
        <f t="shared" si="0"/>
        <v>5</v>
      </c>
      <c r="K1390" s="15" t="str">
        <f t="shared" si="1"/>
        <v>Exceeds Target</v>
      </c>
    </row>
    <row r="1391" spans="2:11" ht="15" customHeight="1">
      <c r="B1391" t="s">
        <v>487</v>
      </c>
      <c r="C1391" t="s">
        <v>1780</v>
      </c>
      <c r="D1391" t="s">
        <v>69</v>
      </c>
      <c r="E1391" t="s">
        <v>70</v>
      </c>
      <c r="F1391" s="17">
        <v>1000</v>
      </c>
      <c r="G1391" s="17">
        <v>120000</v>
      </c>
      <c r="H1391" s="17">
        <v>119000</v>
      </c>
      <c r="I1391" s="18">
        <v>0.53</v>
      </c>
      <c r="J1391" s="14">
        <f t="shared" si="0"/>
        <v>119</v>
      </c>
      <c r="K1391" s="15" t="str">
        <f t="shared" si="1"/>
        <v>Exceeds Target</v>
      </c>
    </row>
    <row r="1392" spans="2:11" ht="15" customHeight="1">
      <c r="B1392" t="s">
        <v>340</v>
      </c>
      <c r="C1392" t="s">
        <v>1781</v>
      </c>
      <c r="D1392" t="s">
        <v>32</v>
      </c>
      <c r="E1392" t="s">
        <v>27</v>
      </c>
      <c r="F1392" s="17">
        <v>1500</v>
      </c>
      <c r="G1392" s="17">
        <v>18000</v>
      </c>
      <c r="H1392" s="17">
        <v>16500</v>
      </c>
      <c r="I1392" s="18">
        <v>0.42</v>
      </c>
      <c r="J1392" s="14">
        <f t="shared" si="0"/>
        <v>11</v>
      </c>
      <c r="K1392" s="15" t="str">
        <f t="shared" si="1"/>
        <v>Exceeds Target</v>
      </c>
    </row>
    <row r="1393" spans="2:11" ht="15" customHeight="1">
      <c r="B1393" t="s">
        <v>1222</v>
      </c>
      <c r="C1393" t="s">
        <v>1782</v>
      </c>
      <c r="D1393" t="s">
        <v>35</v>
      </c>
      <c r="E1393" t="s">
        <v>27</v>
      </c>
      <c r="F1393" s="17">
        <v>3000</v>
      </c>
      <c r="G1393" s="17">
        <v>190000</v>
      </c>
      <c r="H1393" s="17">
        <v>187000</v>
      </c>
      <c r="I1393" s="18">
        <v>0.91</v>
      </c>
      <c r="J1393" s="14">
        <f t="shared" si="0"/>
        <v>62.333333333333336</v>
      </c>
      <c r="K1393" s="15" t="str">
        <f t="shared" si="1"/>
        <v>Exceeds Target</v>
      </c>
    </row>
    <row r="1394" spans="2:11" ht="15" customHeight="1">
      <c r="B1394" t="s">
        <v>673</v>
      </c>
      <c r="C1394" t="s">
        <v>1783</v>
      </c>
      <c r="D1394" t="s">
        <v>32</v>
      </c>
      <c r="E1394" t="s">
        <v>27</v>
      </c>
      <c r="F1394" s="17">
        <v>1500</v>
      </c>
      <c r="G1394" s="17">
        <v>26000</v>
      </c>
      <c r="H1394" s="17">
        <v>24500</v>
      </c>
      <c r="I1394" s="18">
        <v>0.97</v>
      </c>
      <c r="J1394" s="14">
        <f t="shared" si="0"/>
        <v>16.333333333333332</v>
      </c>
      <c r="K1394" s="15" t="str">
        <f t="shared" si="1"/>
        <v>Exceeds Target</v>
      </c>
    </row>
    <row r="1395" spans="2:11" ht="15" customHeight="1">
      <c r="B1395" t="s">
        <v>1126</v>
      </c>
      <c r="C1395" t="s">
        <v>1784</v>
      </c>
      <c r="D1395" t="s">
        <v>80</v>
      </c>
      <c r="E1395" t="s">
        <v>27</v>
      </c>
      <c r="F1395" s="17">
        <v>1000</v>
      </c>
      <c r="G1395" s="17">
        <v>102000</v>
      </c>
      <c r="H1395" s="17">
        <v>101000</v>
      </c>
      <c r="I1395" s="18">
        <v>0.71</v>
      </c>
      <c r="J1395" s="14">
        <f t="shared" si="0"/>
        <v>101</v>
      </c>
      <c r="K1395" s="15" t="str">
        <f t="shared" si="1"/>
        <v>Exceeds Target</v>
      </c>
    </row>
    <row r="1396" spans="2:11" ht="15" customHeight="1">
      <c r="B1396" t="s">
        <v>489</v>
      </c>
      <c r="C1396" t="s">
        <v>1785</v>
      </c>
      <c r="D1396" t="s">
        <v>69</v>
      </c>
      <c r="E1396" t="s">
        <v>70</v>
      </c>
      <c r="F1396" s="17">
        <v>1000</v>
      </c>
      <c r="G1396" s="17">
        <v>55000</v>
      </c>
      <c r="H1396" s="17">
        <v>54000</v>
      </c>
      <c r="I1396" s="18">
        <v>0.71</v>
      </c>
      <c r="J1396" s="14">
        <f t="shared" si="0"/>
        <v>54</v>
      </c>
      <c r="K1396" s="15" t="str">
        <f t="shared" si="1"/>
        <v>Exceeds Target</v>
      </c>
    </row>
    <row r="1397" spans="2:11" ht="15" customHeight="1">
      <c r="B1397" t="s">
        <v>487</v>
      </c>
      <c r="C1397" t="s">
        <v>1786</v>
      </c>
      <c r="D1397" t="s">
        <v>35</v>
      </c>
      <c r="E1397" t="s">
        <v>27</v>
      </c>
      <c r="F1397" s="17">
        <v>3000</v>
      </c>
      <c r="G1397" s="17">
        <v>260000</v>
      </c>
      <c r="H1397" s="17">
        <v>257000</v>
      </c>
      <c r="I1397" s="18">
        <v>0.54</v>
      </c>
      <c r="J1397" s="14">
        <f t="shared" si="0"/>
        <v>85.666666666666671</v>
      </c>
      <c r="K1397" s="15" t="str">
        <f t="shared" si="1"/>
        <v>Exceeds Target</v>
      </c>
    </row>
    <row r="1398" spans="2:11" ht="15" customHeight="1">
      <c r="B1398" t="s">
        <v>1241</v>
      </c>
      <c r="C1398" t="s">
        <v>1787</v>
      </c>
      <c r="D1398" t="s">
        <v>80</v>
      </c>
      <c r="E1398" t="s">
        <v>27</v>
      </c>
      <c r="F1398" s="17">
        <v>1000</v>
      </c>
      <c r="G1398" s="17">
        <v>84000</v>
      </c>
      <c r="H1398" s="17">
        <v>83000</v>
      </c>
      <c r="I1398" s="18">
        <v>0.63</v>
      </c>
      <c r="J1398" s="14">
        <f t="shared" si="0"/>
        <v>83</v>
      </c>
      <c r="K1398" s="15" t="str">
        <f t="shared" si="1"/>
        <v>Exceeds Target</v>
      </c>
    </row>
    <row r="1399" spans="2:11" ht="15" customHeight="1">
      <c r="B1399" t="s">
        <v>462</v>
      </c>
      <c r="C1399" t="s">
        <v>1788</v>
      </c>
      <c r="D1399" t="s">
        <v>32</v>
      </c>
      <c r="E1399" t="s">
        <v>27</v>
      </c>
      <c r="F1399" s="17">
        <v>1500</v>
      </c>
      <c r="G1399" s="17">
        <v>48000</v>
      </c>
      <c r="H1399" s="17">
        <v>46500</v>
      </c>
      <c r="I1399" s="18">
        <v>0.76</v>
      </c>
      <c r="J1399" s="14">
        <f t="shared" si="0"/>
        <v>31</v>
      </c>
      <c r="K1399" s="15" t="str">
        <f t="shared" si="1"/>
        <v>Exceeds Target</v>
      </c>
    </row>
    <row r="1400" spans="2:11" ht="15" customHeight="1">
      <c r="B1400" t="s">
        <v>1305</v>
      </c>
      <c r="C1400" t="s">
        <v>1789</v>
      </c>
      <c r="D1400" t="s">
        <v>80</v>
      </c>
      <c r="E1400" t="s">
        <v>27</v>
      </c>
      <c r="F1400" s="17">
        <v>1000</v>
      </c>
      <c r="G1400" s="17">
        <v>87000</v>
      </c>
      <c r="H1400" s="17">
        <v>86000</v>
      </c>
      <c r="I1400" s="18">
        <v>0.88</v>
      </c>
      <c r="J1400" s="14">
        <f t="shared" si="0"/>
        <v>86</v>
      </c>
      <c r="K1400" s="15" t="str">
        <f t="shared" si="1"/>
        <v>Exceeds Target</v>
      </c>
    </row>
    <row r="1401" spans="2:11" ht="15" customHeight="1">
      <c r="B1401" t="s">
        <v>754</v>
      </c>
      <c r="C1401" t="s">
        <v>1790</v>
      </c>
      <c r="D1401" t="s">
        <v>32</v>
      </c>
      <c r="E1401" t="s">
        <v>27</v>
      </c>
      <c r="F1401" s="17">
        <v>1500</v>
      </c>
      <c r="G1401" s="17">
        <v>36000</v>
      </c>
      <c r="H1401" s="17">
        <v>34500</v>
      </c>
      <c r="I1401" s="18">
        <v>0.6</v>
      </c>
      <c r="J1401" s="14">
        <f t="shared" si="0"/>
        <v>23</v>
      </c>
      <c r="K1401" s="15" t="str">
        <f t="shared" si="1"/>
        <v>Exceeds Target</v>
      </c>
    </row>
    <row r="1402" spans="2:11" ht="15" customHeight="1">
      <c r="B1402" t="s">
        <v>117</v>
      </c>
      <c r="C1402" t="s">
        <v>1791</v>
      </c>
      <c r="D1402" t="s">
        <v>26</v>
      </c>
      <c r="E1402" t="s">
        <v>27</v>
      </c>
      <c r="F1402" s="17">
        <v>5000</v>
      </c>
      <c r="G1402" s="17">
        <v>120000</v>
      </c>
      <c r="H1402" s="17">
        <v>115000</v>
      </c>
      <c r="I1402" s="18">
        <v>0.2</v>
      </c>
      <c r="J1402" s="14">
        <f t="shared" si="0"/>
        <v>23</v>
      </c>
      <c r="K1402" s="15" t="str">
        <f t="shared" si="1"/>
        <v>Exceeds Target</v>
      </c>
    </row>
    <row r="1403" spans="2:11" ht="15" customHeight="1">
      <c r="B1403" t="s">
        <v>677</v>
      </c>
      <c r="C1403" t="s">
        <v>1792</v>
      </c>
      <c r="D1403" t="s">
        <v>69</v>
      </c>
      <c r="E1403" t="s">
        <v>70</v>
      </c>
      <c r="F1403" s="17">
        <v>1000</v>
      </c>
      <c r="G1403" s="17">
        <v>145000</v>
      </c>
      <c r="H1403" s="17">
        <v>144000</v>
      </c>
      <c r="I1403" s="18">
        <v>0.24</v>
      </c>
      <c r="J1403" s="14">
        <f t="shared" si="0"/>
        <v>144</v>
      </c>
      <c r="K1403" s="15" t="str">
        <f t="shared" si="1"/>
        <v>Exceeds Target</v>
      </c>
    </row>
    <row r="1404" spans="2:11" ht="15" customHeight="1">
      <c r="B1404" t="s">
        <v>165</v>
      </c>
      <c r="C1404" t="s">
        <v>1793</v>
      </c>
      <c r="D1404" t="s">
        <v>35</v>
      </c>
      <c r="E1404" t="s">
        <v>27</v>
      </c>
      <c r="F1404" s="17">
        <v>3000</v>
      </c>
      <c r="G1404" s="17">
        <v>90000</v>
      </c>
      <c r="H1404" s="17">
        <v>87000</v>
      </c>
      <c r="I1404" s="18">
        <v>0.32</v>
      </c>
      <c r="J1404" s="14">
        <f t="shared" si="0"/>
        <v>29</v>
      </c>
      <c r="K1404" s="15" t="str">
        <f t="shared" si="1"/>
        <v>Exceeds Target</v>
      </c>
    </row>
    <row r="1405" spans="2:11" ht="15" customHeight="1">
      <c r="B1405" t="s">
        <v>40</v>
      </c>
      <c r="C1405" t="s">
        <v>1794</v>
      </c>
      <c r="D1405" t="s">
        <v>32</v>
      </c>
      <c r="E1405" t="s">
        <v>27</v>
      </c>
      <c r="F1405" s="17">
        <v>1500</v>
      </c>
      <c r="G1405" s="17">
        <v>38000</v>
      </c>
      <c r="H1405" s="17">
        <v>36500</v>
      </c>
      <c r="I1405" s="18">
        <v>0.4</v>
      </c>
      <c r="J1405" s="14">
        <f t="shared" si="0"/>
        <v>24.333333333333332</v>
      </c>
      <c r="K1405" s="15" t="str">
        <f t="shared" si="1"/>
        <v>Exceeds Target</v>
      </c>
    </row>
    <row r="1406" spans="2:11" ht="15" customHeight="1">
      <c r="B1406" t="s">
        <v>366</v>
      </c>
      <c r="C1406" t="s">
        <v>1795</v>
      </c>
      <c r="D1406" t="s">
        <v>69</v>
      </c>
      <c r="E1406" t="s">
        <v>70</v>
      </c>
      <c r="F1406" s="17">
        <v>1000</v>
      </c>
      <c r="G1406" s="17">
        <v>80000</v>
      </c>
      <c r="H1406" s="17">
        <v>79000</v>
      </c>
      <c r="I1406" s="18">
        <v>0.28999999999999998</v>
      </c>
      <c r="J1406" s="14">
        <f t="shared" si="0"/>
        <v>79</v>
      </c>
      <c r="K1406" s="15" t="str">
        <f t="shared" si="1"/>
        <v>Exceeds Target</v>
      </c>
    </row>
    <row r="1407" spans="2:11" ht="15" customHeight="1">
      <c r="B1407" t="s">
        <v>95</v>
      </c>
      <c r="C1407" t="s">
        <v>1796</v>
      </c>
      <c r="D1407" t="s">
        <v>69</v>
      </c>
      <c r="E1407" t="s">
        <v>70</v>
      </c>
      <c r="F1407" s="17">
        <v>1000</v>
      </c>
      <c r="G1407" s="17">
        <v>100000</v>
      </c>
      <c r="H1407" s="17">
        <v>99000</v>
      </c>
      <c r="I1407" s="18">
        <v>0.41</v>
      </c>
      <c r="J1407" s="14">
        <f t="shared" si="0"/>
        <v>99</v>
      </c>
      <c r="K1407" s="15" t="str">
        <f t="shared" si="1"/>
        <v>Exceeds Target</v>
      </c>
    </row>
    <row r="1408" spans="2:11" ht="15" customHeight="1">
      <c r="B1408" t="s">
        <v>270</v>
      </c>
      <c r="C1408" t="s">
        <v>1797</v>
      </c>
      <c r="D1408" t="s">
        <v>26</v>
      </c>
      <c r="E1408" t="s">
        <v>27</v>
      </c>
      <c r="F1408" s="17">
        <v>5000</v>
      </c>
      <c r="G1408" s="17">
        <v>150000</v>
      </c>
      <c r="H1408" s="17">
        <v>145000</v>
      </c>
      <c r="I1408" s="18">
        <v>0.2</v>
      </c>
      <c r="J1408" s="14">
        <f t="shared" si="0"/>
        <v>29</v>
      </c>
      <c r="K1408" s="15" t="str">
        <f t="shared" si="1"/>
        <v>Exceeds Target</v>
      </c>
    </row>
    <row r="1409" spans="2:11" ht="15" customHeight="1">
      <c r="B1409" t="s">
        <v>694</v>
      </c>
      <c r="C1409" t="s">
        <v>1798</v>
      </c>
      <c r="D1409" t="s">
        <v>32</v>
      </c>
      <c r="E1409" t="s">
        <v>27</v>
      </c>
      <c r="F1409" s="17">
        <v>1500</v>
      </c>
      <c r="G1409" s="17">
        <v>36000</v>
      </c>
      <c r="H1409" s="17">
        <v>34500</v>
      </c>
      <c r="I1409" s="18">
        <v>0.93</v>
      </c>
      <c r="J1409" s="14">
        <f t="shared" si="0"/>
        <v>23</v>
      </c>
      <c r="K1409" s="15" t="str">
        <f t="shared" si="1"/>
        <v>Exceeds Target</v>
      </c>
    </row>
    <row r="1410" spans="2:11" ht="15" customHeight="1">
      <c r="B1410" t="s">
        <v>317</v>
      </c>
      <c r="C1410" t="s">
        <v>1799</v>
      </c>
      <c r="D1410" t="s">
        <v>80</v>
      </c>
      <c r="E1410" t="s">
        <v>27</v>
      </c>
      <c r="F1410" s="17">
        <v>1000</v>
      </c>
      <c r="G1410" s="17">
        <v>45000</v>
      </c>
      <c r="H1410" s="17">
        <v>44000</v>
      </c>
      <c r="I1410" s="18">
        <v>0.79</v>
      </c>
      <c r="J1410" s="14">
        <f t="shared" si="0"/>
        <v>44</v>
      </c>
      <c r="K1410" s="15" t="str">
        <f t="shared" si="1"/>
        <v>Exceeds Target</v>
      </c>
    </row>
    <row r="1411" spans="2:11" ht="15" customHeight="1">
      <c r="B1411" t="s">
        <v>850</v>
      </c>
      <c r="C1411" t="s">
        <v>1800</v>
      </c>
      <c r="D1411" t="s">
        <v>69</v>
      </c>
      <c r="E1411" t="s">
        <v>70</v>
      </c>
      <c r="F1411" s="17">
        <v>1000</v>
      </c>
      <c r="G1411" s="17">
        <v>95000</v>
      </c>
      <c r="H1411" s="17">
        <v>94000</v>
      </c>
      <c r="I1411" s="18">
        <v>0.88</v>
      </c>
      <c r="J1411" s="14">
        <f t="shared" si="0"/>
        <v>94</v>
      </c>
      <c r="K1411" s="15" t="str">
        <f t="shared" si="1"/>
        <v>Exceeds Target</v>
      </c>
    </row>
    <row r="1412" spans="2:11" ht="15" customHeight="1">
      <c r="B1412" t="s">
        <v>810</v>
      </c>
      <c r="C1412" t="s">
        <v>1801</v>
      </c>
      <c r="D1412" t="s">
        <v>80</v>
      </c>
      <c r="E1412" t="s">
        <v>27</v>
      </c>
      <c r="F1412" s="17">
        <v>1000</v>
      </c>
      <c r="G1412" s="17">
        <v>90000</v>
      </c>
      <c r="H1412" s="17">
        <v>89000</v>
      </c>
      <c r="I1412" s="18">
        <v>0.68</v>
      </c>
      <c r="J1412" s="14">
        <f t="shared" si="0"/>
        <v>89</v>
      </c>
      <c r="K1412" s="15" t="str">
        <f t="shared" si="1"/>
        <v>Exceeds Target</v>
      </c>
    </row>
    <row r="1413" spans="2:11" ht="15" customHeight="1">
      <c r="B1413" t="s">
        <v>83</v>
      </c>
      <c r="C1413" t="s">
        <v>1802</v>
      </c>
      <c r="D1413" t="s">
        <v>26</v>
      </c>
      <c r="E1413" t="s">
        <v>27</v>
      </c>
      <c r="F1413" s="17">
        <v>5000</v>
      </c>
      <c r="G1413" s="17">
        <v>120000</v>
      </c>
      <c r="H1413" s="17">
        <v>115000</v>
      </c>
      <c r="I1413" s="18">
        <v>0.04</v>
      </c>
      <c r="J1413" s="14">
        <f t="shared" si="0"/>
        <v>23</v>
      </c>
      <c r="K1413" s="15" t="str">
        <f t="shared" si="1"/>
        <v>Exceeds Target</v>
      </c>
    </row>
    <row r="1414" spans="2:11" ht="15" customHeight="1">
      <c r="B1414" t="s">
        <v>289</v>
      </c>
      <c r="C1414" t="s">
        <v>1803</v>
      </c>
      <c r="D1414" t="s">
        <v>35</v>
      </c>
      <c r="E1414" t="s">
        <v>27</v>
      </c>
      <c r="F1414" s="17">
        <v>3000</v>
      </c>
      <c r="G1414" s="17">
        <v>80000</v>
      </c>
      <c r="H1414" s="17">
        <v>77000</v>
      </c>
      <c r="I1414" s="18">
        <v>0.89</v>
      </c>
      <c r="J1414" s="14">
        <f t="shared" si="0"/>
        <v>25.666666666666668</v>
      </c>
      <c r="K1414" s="15" t="str">
        <f t="shared" si="1"/>
        <v>Exceeds Target</v>
      </c>
    </row>
    <row r="1415" spans="2:11" ht="15" customHeight="1">
      <c r="B1415" t="s">
        <v>1516</v>
      </c>
      <c r="C1415" t="s">
        <v>1804</v>
      </c>
      <c r="D1415" t="s">
        <v>32</v>
      </c>
      <c r="E1415" t="s">
        <v>27</v>
      </c>
      <c r="F1415" s="17">
        <v>1500</v>
      </c>
      <c r="G1415" s="17">
        <v>44000</v>
      </c>
      <c r="H1415" s="17">
        <v>42500</v>
      </c>
      <c r="I1415" s="18">
        <v>0.94</v>
      </c>
      <c r="J1415" s="14">
        <f t="shared" si="0"/>
        <v>28.333333333333332</v>
      </c>
      <c r="K1415" s="15" t="str">
        <f t="shared" si="1"/>
        <v>Exceeds Target</v>
      </c>
    </row>
    <row r="1416" spans="2:11" ht="15" customHeight="1">
      <c r="B1416" t="s">
        <v>993</v>
      </c>
      <c r="C1416" t="s">
        <v>1805</v>
      </c>
      <c r="D1416" t="s">
        <v>32</v>
      </c>
      <c r="E1416" t="s">
        <v>27</v>
      </c>
      <c r="F1416" s="17">
        <v>1500</v>
      </c>
      <c r="G1416" s="17">
        <v>34000</v>
      </c>
      <c r="H1416" s="17">
        <v>32500</v>
      </c>
      <c r="I1416" s="18">
        <v>0.35</v>
      </c>
      <c r="J1416" s="14">
        <f t="shared" si="0"/>
        <v>21.666666666666668</v>
      </c>
      <c r="K1416" s="15" t="str">
        <f t="shared" si="1"/>
        <v>Exceeds Target</v>
      </c>
    </row>
    <row r="1417" spans="2:11" ht="15" customHeight="1">
      <c r="B1417" t="s">
        <v>993</v>
      </c>
      <c r="C1417" t="s">
        <v>1806</v>
      </c>
      <c r="D1417" t="s">
        <v>32</v>
      </c>
      <c r="E1417" t="s">
        <v>27</v>
      </c>
      <c r="F1417" s="17">
        <v>1500</v>
      </c>
      <c r="G1417" s="17">
        <v>30000</v>
      </c>
      <c r="H1417" s="17">
        <v>28500</v>
      </c>
      <c r="I1417" s="18">
        <v>0.55000000000000004</v>
      </c>
      <c r="J1417" s="14">
        <f t="shared" si="0"/>
        <v>19</v>
      </c>
      <c r="K1417" s="15" t="str">
        <f t="shared" si="1"/>
        <v>Exceeds Target</v>
      </c>
    </row>
    <row r="1418" spans="2:11" ht="15" customHeight="1">
      <c r="B1418" t="s">
        <v>769</v>
      </c>
      <c r="C1418" t="s">
        <v>1807</v>
      </c>
      <c r="D1418" t="s">
        <v>69</v>
      </c>
      <c r="E1418" t="s">
        <v>70</v>
      </c>
      <c r="F1418" s="17">
        <v>1000</v>
      </c>
      <c r="G1418" s="17">
        <v>130000</v>
      </c>
      <c r="H1418" s="17">
        <v>129000</v>
      </c>
      <c r="I1418" s="18">
        <v>0.46</v>
      </c>
      <c r="J1418" s="14">
        <f t="shared" si="0"/>
        <v>129</v>
      </c>
      <c r="K1418" s="15" t="str">
        <f t="shared" si="1"/>
        <v>Exceeds Target</v>
      </c>
    </row>
    <row r="1419" spans="2:11" ht="15" customHeight="1">
      <c r="B1419" t="s">
        <v>384</v>
      </c>
      <c r="C1419" t="s">
        <v>1808</v>
      </c>
      <c r="D1419" t="s">
        <v>80</v>
      </c>
      <c r="E1419" t="s">
        <v>27</v>
      </c>
      <c r="F1419" s="17">
        <v>1000</v>
      </c>
      <c r="G1419" s="17">
        <v>87000</v>
      </c>
      <c r="H1419" s="17">
        <v>86000</v>
      </c>
      <c r="I1419" s="18">
        <v>0.64</v>
      </c>
      <c r="J1419" s="14">
        <f t="shared" si="0"/>
        <v>86</v>
      </c>
      <c r="K1419" s="15" t="str">
        <f t="shared" si="1"/>
        <v>Exceeds Target</v>
      </c>
    </row>
    <row r="1420" spans="2:11" ht="15" customHeight="1">
      <c r="B1420" t="s">
        <v>390</v>
      </c>
      <c r="C1420" t="s">
        <v>1809</v>
      </c>
      <c r="D1420" t="s">
        <v>32</v>
      </c>
      <c r="E1420" t="s">
        <v>27</v>
      </c>
      <c r="F1420" s="17">
        <v>1500</v>
      </c>
      <c r="G1420" s="17">
        <v>40000</v>
      </c>
      <c r="H1420" s="17">
        <v>38500</v>
      </c>
      <c r="I1420" s="18">
        <v>0.56000000000000005</v>
      </c>
      <c r="J1420" s="14">
        <f t="shared" si="0"/>
        <v>25.666666666666668</v>
      </c>
      <c r="K1420" s="15" t="str">
        <f t="shared" si="1"/>
        <v>Exceeds Target</v>
      </c>
    </row>
    <row r="1421" spans="2:11" ht="15" customHeight="1">
      <c r="B1421" t="s">
        <v>81</v>
      </c>
      <c r="C1421" t="s">
        <v>1810</v>
      </c>
      <c r="D1421" t="s">
        <v>26</v>
      </c>
      <c r="E1421" t="s">
        <v>27</v>
      </c>
      <c r="F1421" s="17">
        <v>5000</v>
      </c>
      <c r="G1421" s="17">
        <v>90000</v>
      </c>
      <c r="H1421" s="17">
        <v>85000</v>
      </c>
      <c r="I1421" s="18">
        <v>0.17</v>
      </c>
      <c r="J1421" s="14">
        <f t="shared" si="0"/>
        <v>17</v>
      </c>
      <c r="K1421" s="15" t="str">
        <f t="shared" si="1"/>
        <v>Exceeds Target</v>
      </c>
    </row>
    <row r="1422" spans="2:11" ht="15" customHeight="1">
      <c r="B1422" t="s">
        <v>973</v>
      </c>
      <c r="C1422" t="s">
        <v>1811</v>
      </c>
      <c r="D1422" t="s">
        <v>69</v>
      </c>
      <c r="E1422" t="s">
        <v>70</v>
      </c>
      <c r="F1422" s="17">
        <v>1000</v>
      </c>
      <c r="G1422" s="17">
        <v>85000</v>
      </c>
      <c r="H1422" s="17">
        <v>84000</v>
      </c>
      <c r="I1422" s="18">
        <v>0.72</v>
      </c>
      <c r="J1422" s="14">
        <f t="shared" si="0"/>
        <v>84</v>
      </c>
      <c r="K1422" s="15" t="str">
        <f t="shared" si="1"/>
        <v>Exceeds Target</v>
      </c>
    </row>
    <row r="1423" spans="2:11" ht="15" customHeight="1">
      <c r="B1423" t="s">
        <v>571</v>
      </c>
      <c r="C1423" t="s">
        <v>1812</v>
      </c>
      <c r="D1423" t="s">
        <v>26</v>
      </c>
      <c r="E1423" t="s">
        <v>27</v>
      </c>
      <c r="F1423" s="17">
        <v>5000</v>
      </c>
      <c r="G1423" s="17">
        <v>150000</v>
      </c>
      <c r="H1423" s="17">
        <v>145000</v>
      </c>
      <c r="I1423" s="18">
        <v>0.35</v>
      </c>
      <c r="J1423" s="14">
        <f t="shared" si="0"/>
        <v>29</v>
      </c>
      <c r="K1423" s="15" t="str">
        <f t="shared" si="1"/>
        <v>Exceeds Target</v>
      </c>
    </row>
    <row r="1424" spans="2:11" ht="15" customHeight="1">
      <c r="B1424" t="s">
        <v>163</v>
      </c>
      <c r="C1424" t="s">
        <v>1813</v>
      </c>
      <c r="D1424" t="s">
        <v>80</v>
      </c>
      <c r="E1424" t="s">
        <v>27</v>
      </c>
      <c r="F1424" s="17">
        <v>1000</v>
      </c>
      <c r="G1424" s="17">
        <v>96000</v>
      </c>
      <c r="H1424" s="17">
        <v>95000</v>
      </c>
      <c r="I1424" s="18">
        <v>0.78</v>
      </c>
      <c r="J1424" s="14">
        <f t="shared" si="0"/>
        <v>95</v>
      </c>
      <c r="K1424" s="15" t="str">
        <f t="shared" si="1"/>
        <v>Exceeds Target</v>
      </c>
    </row>
    <row r="1425" spans="2:11" ht="15" customHeight="1">
      <c r="B1425" t="s">
        <v>1029</v>
      </c>
      <c r="C1425" t="s">
        <v>1814</v>
      </c>
      <c r="D1425" t="s">
        <v>80</v>
      </c>
      <c r="E1425" t="s">
        <v>27</v>
      </c>
      <c r="F1425" s="17">
        <v>1000</v>
      </c>
      <c r="G1425" s="17">
        <v>81000</v>
      </c>
      <c r="H1425" s="17">
        <v>80000</v>
      </c>
      <c r="I1425" s="18">
        <v>0.84</v>
      </c>
      <c r="J1425" s="14">
        <f t="shared" si="0"/>
        <v>80</v>
      </c>
      <c r="K1425" s="15" t="str">
        <f t="shared" si="1"/>
        <v>Exceeds Target</v>
      </c>
    </row>
    <row r="1426" spans="2:11" ht="15" customHeight="1">
      <c r="B1426" t="s">
        <v>129</v>
      </c>
      <c r="C1426" t="s">
        <v>1815</v>
      </c>
      <c r="D1426" t="s">
        <v>80</v>
      </c>
      <c r="E1426" t="s">
        <v>27</v>
      </c>
      <c r="F1426" s="17">
        <v>1000</v>
      </c>
      <c r="G1426" s="17">
        <v>69000</v>
      </c>
      <c r="H1426" s="17">
        <v>68000</v>
      </c>
      <c r="I1426" s="18">
        <v>0.94</v>
      </c>
      <c r="J1426" s="14">
        <f t="shared" si="0"/>
        <v>68</v>
      </c>
      <c r="K1426" s="15" t="str">
        <f t="shared" si="1"/>
        <v>Exceeds Target</v>
      </c>
    </row>
    <row r="1427" spans="2:11" ht="15" customHeight="1">
      <c r="B1427" t="s">
        <v>489</v>
      </c>
      <c r="C1427" t="s">
        <v>1816</v>
      </c>
      <c r="D1427" t="s">
        <v>32</v>
      </c>
      <c r="E1427" t="s">
        <v>27</v>
      </c>
      <c r="F1427" s="17">
        <v>1500</v>
      </c>
      <c r="G1427" s="17">
        <v>44000</v>
      </c>
      <c r="H1427" s="17">
        <v>42500</v>
      </c>
      <c r="I1427" s="18">
        <v>0.98</v>
      </c>
      <c r="J1427" s="14">
        <f t="shared" si="0"/>
        <v>28.333333333333332</v>
      </c>
      <c r="K1427" s="15" t="str">
        <f t="shared" si="1"/>
        <v>Exceeds Target</v>
      </c>
    </row>
    <row r="1428" spans="2:11" ht="15" customHeight="1">
      <c r="B1428" t="s">
        <v>374</v>
      </c>
      <c r="C1428" t="s">
        <v>1817</v>
      </c>
      <c r="D1428" t="s">
        <v>69</v>
      </c>
      <c r="E1428" t="s">
        <v>70</v>
      </c>
      <c r="F1428" s="17">
        <v>1000</v>
      </c>
      <c r="G1428" s="17">
        <v>95000</v>
      </c>
      <c r="H1428" s="17">
        <v>94000</v>
      </c>
      <c r="I1428" s="18">
        <v>0.54</v>
      </c>
      <c r="J1428" s="14">
        <f t="shared" si="0"/>
        <v>94</v>
      </c>
      <c r="K1428" s="15" t="str">
        <f t="shared" si="1"/>
        <v>Exceeds Target</v>
      </c>
    </row>
    <row r="1429" spans="2:11" ht="15" customHeight="1">
      <c r="B1429" t="s">
        <v>359</v>
      </c>
      <c r="C1429" t="s">
        <v>1818</v>
      </c>
      <c r="D1429" t="s">
        <v>35</v>
      </c>
      <c r="E1429" t="s">
        <v>27</v>
      </c>
      <c r="F1429" s="17">
        <v>3000</v>
      </c>
      <c r="G1429" s="17">
        <v>300000</v>
      </c>
      <c r="H1429" s="17">
        <v>297000</v>
      </c>
      <c r="I1429" s="18">
        <v>0.84</v>
      </c>
      <c r="J1429" s="14">
        <f t="shared" si="0"/>
        <v>99</v>
      </c>
      <c r="K1429" s="15" t="str">
        <f t="shared" si="1"/>
        <v>Exceeds Target</v>
      </c>
    </row>
    <row r="1430" spans="2:11" ht="15" customHeight="1">
      <c r="B1430" t="s">
        <v>397</v>
      </c>
      <c r="C1430" t="s">
        <v>1819</v>
      </c>
      <c r="D1430" t="s">
        <v>32</v>
      </c>
      <c r="E1430" t="s">
        <v>27</v>
      </c>
      <c r="F1430" s="17">
        <v>1500</v>
      </c>
      <c r="G1430" s="17">
        <v>56000</v>
      </c>
      <c r="H1430" s="17">
        <v>54500</v>
      </c>
      <c r="I1430" s="18">
        <v>0.46</v>
      </c>
      <c r="J1430" s="14">
        <f t="shared" si="0"/>
        <v>36.333333333333336</v>
      </c>
      <c r="K1430" s="15" t="str">
        <f t="shared" si="1"/>
        <v>Exceeds Target</v>
      </c>
    </row>
    <row r="1431" spans="2:11" ht="15" customHeight="1">
      <c r="B1431" t="s">
        <v>593</v>
      </c>
      <c r="C1431" t="s">
        <v>1820</v>
      </c>
      <c r="D1431" t="s">
        <v>26</v>
      </c>
      <c r="E1431" t="s">
        <v>27</v>
      </c>
      <c r="F1431" s="17">
        <v>5000</v>
      </c>
      <c r="G1431" s="17">
        <v>120000</v>
      </c>
      <c r="H1431" s="17">
        <v>115000</v>
      </c>
      <c r="I1431" s="18">
        <v>0.21</v>
      </c>
      <c r="J1431" s="14">
        <f t="shared" si="0"/>
        <v>23</v>
      </c>
      <c r="K1431" s="15" t="str">
        <f t="shared" si="1"/>
        <v>Exceeds Target</v>
      </c>
    </row>
    <row r="1432" spans="2:11" ht="15" customHeight="1">
      <c r="B1432" t="s">
        <v>408</v>
      </c>
      <c r="C1432" t="s">
        <v>1821</v>
      </c>
      <c r="D1432" t="s">
        <v>35</v>
      </c>
      <c r="E1432" t="s">
        <v>27</v>
      </c>
      <c r="F1432" s="17">
        <v>3000</v>
      </c>
      <c r="G1432" s="17">
        <v>80000</v>
      </c>
      <c r="H1432" s="17">
        <v>77000</v>
      </c>
      <c r="I1432" s="18">
        <v>0.69</v>
      </c>
      <c r="J1432" s="14">
        <f t="shared" si="0"/>
        <v>25.666666666666668</v>
      </c>
      <c r="K1432" s="15" t="str">
        <f t="shared" si="1"/>
        <v>Exceeds Target</v>
      </c>
    </row>
    <row r="1433" spans="2:11" ht="15" customHeight="1">
      <c r="B1433" t="s">
        <v>123</v>
      </c>
      <c r="C1433" t="s">
        <v>1822</v>
      </c>
      <c r="D1433" t="s">
        <v>80</v>
      </c>
      <c r="E1433" t="s">
        <v>27</v>
      </c>
      <c r="F1433" s="17">
        <v>1000</v>
      </c>
      <c r="G1433" s="17">
        <v>102000</v>
      </c>
      <c r="H1433" s="17">
        <v>101000</v>
      </c>
      <c r="I1433" s="18">
        <v>0.66</v>
      </c>
      <c r="J1433" s="14">
        <f t="shared" si="0"/>
        <v>101</v>
      </c>
      <c r="K1433" s="15" t="str">
        <f t="shared" si="1"/>
        <v>Exceeds Target</v>
      </c>
    </row>
    <row r="1434" spans="2:11" ht="15" customHeight="1">
      <c r="B1434" t="s">
        <v>454</v>
      </c>
      <c r="C1434" t="s">
        <v>1823</v>
      </c>
      <c r="D1434" t="s">
        <v>80</v>
      </c>
      <c r="E1434" t="s">
        <v>27</v>
      </c>
      <c r="F1434" s="17">
        <v>1000</v>
      </c>
      <c r="G1434" s="17">
        <v>90000</v>
      </c>
      <c r="H1434" s="17">
        <v>89000</v>
      </c>
      <c r="I1434" s="18">
        <v>0.96</v>
      </c>
      <c r="J1434" s="14">
        <f t="shared" si="0"/>
        <v>89</v>
      </c>
      <c r="K1434" s="15" t="str">
        <f t="shared" si="1"/>
        <v>Exceeds Target</v>
      </c>
    </row>
    <row r="1435" spans="2:11" ht="15" customHeight="1">
      <c r="B1435" t="s">
        <v>131</v>
      </c>
      <c r="C1435" t="s">
        <v>1824</v>
      </c>
      <c r="D1435" t="s">
        <v>32</v>
      </c>
      <c r="E1435" t="s">
        <v>27</v>
      </c>
      <c r="F1435" s="17">
        <v>1500</v>
      </c>
      <c r="G1435" s="17">
        <v>56000</v>
      </c>
      <c r="H1435" s="17">
        <v>54500</v>
      </c>
      <c r="I1435" s="18">
        <v>0.37</v>
      </c>
      <c r="J1435" s="14">
        <f t="shared" si="0"/>
        <v>36.333333333333336</v>
      </c>
      <c r="K1435" s="15" t="str">
        <f t="shared" si="1"/>
        <v>Exceeds Target</v>
      </c>
    </row>
    <row r="1436" spans="2:11" ht="15" customHeight="1">
      <c r="B1436" t="s">
        <v>1176</v>
      </c>
      <c r="C1436" t="s">
        <v>1825</v>
      </c>
      <c r="D1436" t="s">
        <v>80</v>
      </c>
      <c r="E1436" t="s">
        <v>27</v>
      </c>
      <c r="F1436" s="17">
        <v>1000</v>
      </c>
      <c r="G1436" s="17">
        <v>51000</v>
      </c>
      <c r="H1436" s="17">
        <v>50000</v>
      </c>
      <c r="I1436" s="18">
        <v>1</v>
      </c>
      <c r="J1436" s="14">
        <f t="shared" si="0"/>
        <v>50</v>
      </c>
      <c r="K1436" s="15" t="str">
        <f t="shared" si="1"/>
        <v>Exceeds Target</v>
      </c>
    </row>
    <row r="1437" spans="2:11" ht="15" customHeight="1">
      <c r="B1437" t="s">
        <v>347</v>
      </c>
      <c r="C1437" t="s">
        <v>1826</v>
      </c>
      <c r="D1437" t="s">
        <v>80</v>
      </c>
      <c r="E1437" t="s">
        <v>27</v>
      </c>
      <c r="F1437" s="17">
        <v>1000</v>
      </c>
      <c r="G1437" s="17">
        <v>90000</v>
      </c>
      <c r="H1437" s="17">
        <v>89000</v>
      </c>
      <c r="I1437" s="18">
        <v>0.7</v>
      </c>
      <c r="J1437" s="14">
        <f t="shared" si="0"/>
        <v>89</v>
      </c>
      <c r="K1437" s="15" t="str">
        <f t="shared" si="1"/>
        <v>Exceeds Target</v>
      </c>
    </row>
    <row r="1438" spans="2:11" ht="15" customHeight="1">
      <c r="B1438" t="s">
        <v>345</v>
      </c>
      <c r="C1438" t="s">
        <v>1827</v>
      </c>
      <c r="D1438" t="s">
        <v>35</v>
      </c>
      <c r="E1438" t="s">
        <v>27</v>
      </c>
      <c r="F1438" s="17">
        <v>3000</v>
      </c>
      <c r="G1438" s="17">
        <v>70000</v>
      </c>
      <c r="H1438" s="17">
        <v>67000</v>
      </c>
      <c r="I1438" s="18">
        <v>0.49</v>
      </c>
      <c r="J1438" s="14">
        <f t="shared" si="0"/>
        <v>22.333333333333332</v>
      </c>
      <c r="K1438" s="15" t="str">
        <f t="shared" si="1"/>
        <v>Exceeds Target</v>
      </c>
    </row>
    <row r="1439" spans="2:11" ht="15" customHeight="1">
      <c r="B1439" t="s">
        <v>1170</v>
      </c>
      <c r="C1439" t="s">
        <v>1828</v>
      </c>
      <c r="D1439" t="s">
        <v>80</v>
      </c>
      <c r="E1439" t="s">
        <v>27</v>
      </c>
      <c r="F1439" s="17">
        <v>1000</v>
      </c>
      <c r="G1439" s="17">
        <v>48000</v>
      </c>
      <c r="H1439" s="17">
        <v>47000</v>
      </c>
      <c r="I1439" s="18">
        <v>0.78</v>
      </c>
      <c r="J1439" s="14">
        <f t="shared" si="0"/>
        <v>47</v>
      </c>
      <c r="K1439" s="15" t="str">
        <f t="shared" si="1"/>
        <v>Exceeds Target</v>
      </c>
    </row>
    <row r="1440" spans="2:11" ht="15" customHeight="1">
      <c r="B1440" t="s">
        <v>83</v>
      </c>
      <c r="C1440" t="s">
        <v>1829</v>
      </c>
      <c r="D1440" t="s">
        <v>26</v>
      </c>
      <c r="E1440" t="s">
        <v>27</v>
      </c>
      <c r="F1440" s="17">
        <v>5000</v>
      </c>
      <c r="G1440" s="17">
        <v>120000</v>
      </c>
      <c r="H1440" s="17">
        <v>115000</v>
      </c>
      <c r="I1440" s="18">
        <v>0.27</v>
      </c>
      <c r="J1440" s="14">
        <f t="shared" si="0"/>
        <v>23</v>
      </c>
      <c r="K1440" s="15" t="str">
        <f t="shared" si="1"/>
        <v>Exceeds Target</v>
      </c>
    </row>
    <row r="1441" spans="2:11" ht="15" customHeight="1">
      <c r="B1441" t="s">
        <v>882</v>
      </c>
      <c r="C1441" t="s">
        <v>1830</v>
      </c>
      <c r="D1441" t="s">
        <v>32</v>
      </c>
      <c r="E1441" t="s">
        <v>27</v>
      </c>
      <c r="F1441" s="17">
        <v>1500</v>
      </c>
      <c r="G1441" s="17">
        <v>50000</v>
      </c>
      <c r="H1441" s="17">
        <v>48500</v>
      </c>
      <c r="I1441" s="18">
        <v>0.7</v>
      </c>
      <c r="J1441" s="14">
        <f t="shared" si="0"/>
        <v>32.333333333333336</v>
      </c>
      <c r="K1441" s="15" t="str">
        <f t="shared" si="1"/>
        <v>Exceeds Target</v>
      </c>
    </row>
    <row r="1442" spans="2:11" ht="15" customHeight="1">
      <c r="B1442" t="s">
        <v>958</v>
      </c>
      <c r="C1442" t="s">
        <v>1831</v>
      </c>
      <c r="D1442" t="s">
        <v>80</v>
      </c>
      <c r="E1442" t="s">
        <v>27</v>
      </c>
      <c r="F1442" s="17">
        <v>1000</v>
      </c>
      <c r="G1442" s="17">
        <v>48000</v>
      </c>
      <c r="H1442" s="17">
        <v>47000</v>
      </c>
      <c r="I1442" s="18">
        <v>0.99</v>
      </c>
      <c r="J1442" s="14">
        <f t="shared" si="0"/>
        <v>47</v>
      </c>
      <c r="K1442" s="15" t="str">
        <f t="shared" si="1"/>
        <v>Exceeds Target</v>
      </c>
    </row>
    <row r="1443" spans="2:11" ht="15" customHeight="1">
      <c r="B1443" t="s">
        <v>378</v>
      </c>
      <c r="C1443" t="s">
        <v>1832</v>
      </c>
      <c r="D1443" t="s">
        <v>26</v>
      </c>
      <c r="E1443" t="s">
        <v>27</v>
      </c>
      <c r="F1443" s="17">
        <v>5000</v>
      </c>
      <c r="G1443" s="17">
        <v>150000</v>
      </c>
      <c r="H1443" s="17">
        <v>145000</v>
      </c>
      <c r="I1443" s="18">
        <v>0.13</v>
      </c>
      <c r="J1443" s="14">
        <f t="shared" si="0"/>
        <v>29</v>
      </c>
      <c r="K1443" s="15" t="str">
        <f t="shared" si="1"/>
        <v>Exceeds Target</v>
      </c>
    </row>
    <row r="1444" spans="2:11" ht="15" customHeight="1">
      <c r="B1444" t="s">
        <v>72</v>
      </c>
      <c r="C1444" t="s">
        <v>1833</v>
      </c>
      <c r="D1444" t="s">
        <v>80</v>
      </c>
      <c r="E1444" t="s">
        <v>27</v>
      </c>
      <c r="F1444" s="17">
        <v>1000</v>
      </c>
      <c r="G1444" s="17">
        <v>120000</v>
      </c>
      <c r="H1444" s="17">
        <v>119000</v>
      </c>
      <c r="I1444" s="18">
        <v>0.76</v>
      </c>
      <c r="J1444" s="14">
        <f t="shared" si="0"/>
        <v>119</v>
      </c>
      <c r="K1444" s="15" t="str">
        <f t="shared" si="1"/>
        <v>Exceeds Target</v>
      </c>
    </row>
    <row r="1445" spans="2:11" ht="15" customHeight="1">
      <c r="B1445" t="s">
        <v>119</v>
      </c>
      <c r="C1445" t="s">
        <v>1834</v>
      </c>
      <c r="D1445" t="s">
        <v>35</v>
      </c>
      <c r="E1445" t="s">
        <v>27</v>
      </c>
      <c r="F1445" s="17">
        <v>3000</v>
      </c>
      <c r="G1445" s="17">
        <v>230000</v>
      </c>
      <c r="H1445" s="17">
        <v>227000</v>
      </c>
      <c r="I1445" s="18">
        <v>0.5</v>
      </c>
      <c r="J1445" s="14">
        <f t="shared" si="0"/>
        <v>75.666666666666671</v>
      </c>
      <c r="K1445" s="15" t="str">
        <f t="shared" si="1"/>
        <v>Exceeds Target</v>
      </c>
    </row>
    <row r="1446" spans="2:11" ht="15" customHeight="1">
      <c r="B1446" t="s">
        <v>1247</v>
      </c>
      <c r="C1446" t="s">
        <v>1835</v>
      </c>
      <c r="D1446" t="s">
        <v>69</v>
      </c>
      <c r="E1446" t="s">
        <v>70</v>
      </c>
      <c r="F1446" s="17">
        <v>1000</v>
      </c>
      <c r="G1446" s="17">
        <v>95000</v>
      </c>
      <c r="H1446" s="17">
        <v>94000</v>
      </c>
      <c r="I1446" s="18">
        <v>0.22</v>
      </c>
      <c r="J1446" s="14">
        <f t="shared" si="0"/>
        <v>94</v>
      </c>
      <c r="K1446" s="15" t="str">
        <f t="shared" si="1"/>
        <v>Exceeds Target</v>
      </c>
    </row>
    <row r="1447" spans="2:11" ht="15" customHeight="1">
      <c r="B1447" t="s">
        <v>531</v>
      </c>
      <c r="C1447" t="s">
        <v>1836</v>
      </c>
      <c r="D1447" t="s">
        <v>26</v>
      </c>
      <c r="E1447" t="s">
        <v>27</v>
      </c>
      <c r="F1447" s="17">
        <v>5000</v>
      </c>
      <c r="G1447" s="17">
        <v>90000</v>
      </c>
      <c r="H1447" s="17">
        <v>85000</v>
      </c>
      <c r="I1447" s="18">
        <v>0.13</v>
      </c>
      <c r="J1447" s="14">
        <f t="shared" si="0"/>
        <v>17</v>
      </c>
      <c r="K1447" s="15" t="str">
        <f t="shared" si="1"/>
        <v>Exceeds Target</v>
      </c>
    </row>
    <row r="1448" spans="2:11" ht="15" customHeight="1">
      <c r="B1448" t="s">
        <v>291</v>
      </c>
      <c r="C1448" t="s">
        <v>1837</v>
      </c>
      <c r="D1448" t="s">
        <v>32</v>
      </c>
      <c r="E1448" t="s">
        <v>27</v>
      </c>
      <c r="F1448" s="17">
        <v>1500</v>
      </c>
      <c r="G1448" s="17">
        <v>32000</v>
      </c>
      <c r="H1448" s="17">
        <v>30500</v>
      </c>
      <c r="I1448" s="18">
        <v>0.8</v>
      </c>
      <c r="J1448" s="14">
        <f t="shared" si="0"/>
        <v>20.333333333333332</v>
      </c>
      <c r="K1448" s="15" t="str">
        <f t="shared" si="1"/>
        <v>Exceeds Target</v>
      </c>
    </row>
    <row r="1449" spans="2:11" ht="15" customHeight="1">
      <c r="B1449" t="s">
        <v>964</v>
      </c>
      <c r="C1449" t="s">
        <v>1838</v>
      </c>
      <c r="D1449" t="s">
        <v>35</v>
      </c>
      <c r="E1449" t="s">
        <v>27</v>
      </c>
      <c r="F1449" s="17">
        <v>3000</v>
      </c>
      <c r="G1449" s="17">
        <v>250000</v>
      </c>
      <c r="H1449" s="17">
        <v>247000</v>
      </c>
      <c r="I1449" s="18">
        <v>0.97</v>
      </c>
      <c r="J1449" s="14">
        <f t="shared" si="0"/>
        <v>82.333333333333329</v>
      </c>
      <c r="K1449" s="15" t="str">
        <f t="shared" si="1"/>
        <v>Exceeds Target</v>
      </c>
    </row>
    <row r="1450" spans="2:11" ht="15" customHeight="1">
      <c r="B1450" t="s">
        <v>1016</v>
      </c>
      <c r="C1450" t="s">
        <v>1839</v>
      </c>
      <c r="D1450" t="s">
        <v>69</v>
      </c>
      <c r="E1450" t="s">
        <v>70</v>
      </c>
      <c r="F1450" s="17">
        <v>1000</v>
      </c>
      <c r="G1450" s="17">
        <v>90000</v>
      </c>
      <c r="H1450" s="17">
        <v>89000</v>
      </c>
      <c r="I1450" s="18">
        <v>0.78</v>
      </c>
      <c r="J1450" s="14">
        <f t="shared" si="0"/>
        <v>89</v>
      </c>
      <c r="K1450" s="15" t="str">
        <f t="shared" si="1"/>
        <v>Exceeds Target</v>
      </c>
    </row>
    <row r="1451" spans="2:11" ht="15" customHeight="1">
      <c r="B1451" t="s">
        <v>411</v>
      </c>
      <c r="C1451" t="s">
        <v>1840</v>
      </c>
      <c r="D1451" t="s">
        <v>69</v>
      </c>
      <c r="E1451" t="s">
        <v>70</v>
      </c>
      <c r="F1451" s="17">
        <v>1000</v>
      </c>
      <c r="G1451" s="17">
        <v>95000</v>
      </c>
      <c r="H1451" s="17">
        <v>94000</v>
      </c>
      <c r="I1451" s="18">
        <v>0.76</v>
      </c>
      <c r="J1451" s="14">
        <f t="shared" si="0"/>
        <v>94</v>
      </c>
      <c r="K1451" s="15" t="str">
        <f t="shared" si="1"/>
        <v>Exceeds Target</v>
      </c>
    </row>
    <row r="1452" spans="2:11" ht="15" customHeight="1">
      <c r="B1452" t="s">
        <v>1841</v>
      </c>
      <c r="C1452" t="s">
        <v>1842</v>
      </c>
      <c r="D1452" t="s">
        <v>32</v>
      </c>
      <c r="E1452" t="s">
        <v>27</v>
      </c>
      <c r="F1452" s="17">
        <v>1500</v>
      </c>
      <c r="G1452" s="17">
        <v>54000</v>
      </c>
      <c r="H1452" s="17">
        <v>52500</v>
      </c>
      <c r="I1452" s="18">
        <v>0.83</v>
      </c>
      <c r="J1452" s="14">
        <f t="shared" si="0"/>
        <v>35</v>
      </c>
      <c r="K1452" s="15" t="str">
        <f t="shared" si="1"/>
        <v>Exceeds Target</v>
      </c>
    </row>
    <row r="1453" spans="2:11" ht="15" customHeight="1">
      <c r="B1453" t="s">
        <v>682</v>
      </c>
      <c r="C1453" t="s">
        <v>1843</v>
      </c>
      <c r="D1453" t="s">
        <v>69</v>
      </c>
      <c r="E1453" t="s">
        <v>70</v>
      </c>
      <c r="F1453" s="17">
        <v>1000</v>
      </c>
      <c r="G1453" s="17">
        <v>30000</v>
      </c>
      <c r="H1453" s="17">
        <v>29000</v>
      </c>
      <c r="I1453" s="18">
        <v>0.64</v>
      </c>
      <c r="J1453" s="14">
        <f t="shared" si="0"/>
        <v>29</v>
      </c>
      <c r="K1453" s="15" t="str">
        <f t="shared" si="1"/>
        <v>Exceeds Target</v>
      </c>
    </row>
    <row r="1454" spans="2:11" ht="15" customHeight="1">
      <c r="B1454" t="s">
        <v>1462</v>
      </c>
      <c r="C1454" t="s">
        <v>1844</v>
      </c>
      <c r="D1454" t="s">
        <v>69</v>
      </c>
      <c r="E1454" t="s">
        <v>70</v>
      </c>
      <c r="F1454" s="17">
        <v>1000</v>
      </c>
      <c r="G1454" s="17">
        <v>80000</v>
      </c>
      <c r="H1454" s="17">
        <v>79000</v>
      </c>
      <c r="I1454" s="18">
        <v>0.57999999999999996</v>
      </c>
      <c r="J1454" s="14">
        <f t="shared" si="0"/>
        <v>79</v>
      </c>
      <c r="K1454" s="15" t="str">
        <f t="shared" si="1"/>
        <v>Exceeds Target</v>
      </c>
    </row>
    <row r="1455" spans="2:11" ht="15" customHeight="1">
      <c r="B1455" t="s">
        <v>496</v>
      </c>
      <c r="C1455" t="s">
        <v>1845</v>
      </c>
      <c r="D1455" t="s">
        <v>32</v>
      </c>
      <c r="E1455" t="s">
        <v>27</v>
      </c>
      <c r="F1455" s="17">
        <v>1500</v>
      </c>
      <c r="G1455" s="17">
        <v>28000</v>
      </c>
      <c r="H1455" s="17">
        <v>26500</v>
      </c>
      <c r="I1455" s="18">
        <v>0.94</v>
      </c>
      <c r="J1455" s="14">
        <f t="shared" si="0"/>
        <v>17.666666666666668</v>
      </c>
      <c r="K1455" s="15" t="str">
        <f t="shared" si="1"/>
        <v>Exceeds Target</v>
      </c>
    </row>
    <row r="1456" spans="2:11" ht="15" customHeight="1">
      <c r="B1456" t="s">
        <v>932</v>
      </c>
      <c r="C1456" t="s">
        <v>1846</v>
      </c>
      <c r="D1456" t="s">
        <v>80</v>
      </c>
      <c r="E1456" t="s">
        <v>27</v>
      </c>
      <c r="F1456" s="17">
        <v>1000</v>
      </c>
      <c r="G1456" s="17">
        <v>54000</v>
      </c>
      <c r="H1456" s="17">
        <v>53000</v>
      </c>
      <c r="I1456" s="18">
        <v>0.84</v>
      </c>
      <c r="J1456" s="14">
        <f t="shared" si="0"/>
        <v>53</v>
      </c>
      <c r="K1456" s="15" t="str">
        <f t="shared" si="1"/>
        <v>Exceeds Target</v>
      </c>
    </row>
    <row r="1457" spans="2:11" ht="15" customHeight="1">
      <c r="B1457" t="s">
        <v>1222</v>
      </c>
      <c r="C1457" t="s">
        <v>1847</v>
      </c>
      <c r="D1457" t="s">
        <v>32</v>
      </c>
      <c r="E1457" t="s">
        <v>27</v>
      </c>
      <c r="F1457" s="17">
        <v>1500</v>
      </c>
      <c r="G1457" s="17">
        <v>18000</v>
      </c>
      <c r="H1457" s="17">
        <v>16500</v>
      </c>
      <c r="I1457" s="18">
        <v>0.74</v>
      </c>
      <c r="J1457" s="14">
        <f t="shared" si="0"/>
        <v>11</v>
      </c>
      <c r="K1457" s="15" t="str">
        <f t="shared" si="1"/>
        <v>Exceeds Target</v>
      </c>
    </row>
    <row r="1458" spans="2:11" ht="15" customHeight="1">
      <c r="B1458" t="s">
        <v>270</v>
      </c>
      <c r="C1458" t="s">
        <v>1848</v>
      </c>
      <c r="D1458" t="s">
        <v>35</v>
      </c>
      <c r="E1458" t="s">
        <v>27</v>
      </c>
      <c r="F1458" s="17">
        <v>3000</v>
      </c>
      <c r="G1458" s="17">
        <v>270000</v>
      </c>
      <c r="H1458" s="17">
        <v>267000</v>
      </c>
      <c r="I1458" s="18">
        <v>0.56999999999999995</v>
      </c>
      <c r="J1458" s="14">
        <f t="shared" si="0"/>
        <v>89</v>
      </c>
      <c r="K1458" s="15" t="str">
        <f t="shared" si="1"/>
        <v>Exceeds Target</v>
      </c>
    </row>
    <row r="1459" spans="2:11" ht="15" customHeight="1">
      <c r="B1459" t="s">
        <v>24</v>
      </c>
      <c r="C1459" t="s">
        <v>1849</v>
      </c>
      <c r="D1459" t="s">
        <v>32</v>
      </c>
      <c r="E1459" t="s">
        <v>27</v>
      </c>
      <c r="F1459" s="17">
        <v>1500</v>
      </c>
      <c r="G1459" s="17">
        <v>26000</v>
      </c>
      <c r="H1459" s="17">
        <v>24500</v>
      </c>
      <c r="I1459" s="18">
        <v>0.44</v>
      </c>
      <c r="J1459" s="14">
        <f t="shared" si="0"/>
        <v>16.333333333333332</v>
      </c>
      <c r="K1459" s="15" t="str">
        <f t="shared" si="1"/>
        <v>Exceeds Target</v>
      </c>
    </row>
    <row r="1460" spans="2:11" ht="15" customHeight="1">
      <c r="B1460" t="s">
        <v>309</v>
      </c>
      <c r="C1460" t="s">
        <v>1850</v>
      </c>
      <c r="D1460" t="s">
        <v>80</v>
      </c>
      <c r="E1460" t="s">
        <v>27</v>
      </c>
      <c r="F1460" s="17">
        <v>1000</v>
      </c>
      <c r="G1460" s="17">
        <v>96000</v>
      </c>
      <c r="H1460" s="17">
        <v>95000</v>
      </c>
      <c r="I1460" s="18">
        <v>0.68</v>
      </c>
      <c r="J1460" s="14">
        <f t="shared" si="0"/>
        <v>95</v>
      </c>
      <c r="K1460" s="15" t="str">
        <f t="shared" si="1"/>
        <v>Exceeds Target</v>
      </c>
    </row>
    <row r="1461" spans="2:11" ht="15" customHeight="1">
      <c r="B1461" t="s">
        <v>291</v>
      </c>
      <c r="C1461" t="s">
        <v>1851</v>
      </c>
      <c r="D1461" t="s">
        <v>26</v>
      </c>
      <c r="E1461" t="s">
        <v>27</v>
      </c>
      <c r="F1461" s="17">
        <v>5000</v>
      </c>
      <c r="G1461" s="17">
        <v>60000</v>
      </c>
      <c r="H1461" s="17">
        <v>55000</v>
      </c>
      <c r="I1461" s="18">
        <v>0.22</v>
      </c>
      <c r="J1461" s="14">
        <f t="shared" si="0"/>
        <v>11</v>
      </c>
      <c r="K1461" s="15" t="str">
        <f t="shared" si="1"/>
        <v>Exceeds Target</v>
      </c>
    </row>
    <row r="1462" spans="2:11" ht="15" customHeight="1">
      <c r="B1462" t="s">
        <v>143</v>
      </c>
      <c r="C1462" t="s">
        <v>1852</v>
      </c>
      <c r="D1462" t="s">
        <v>69</v>
      </c>
      <c r="E1462" t="s">
        <v>70</v>
      </c>
      <c r="F1462" s="17">
        <v>1000</v>
      </c>
      <c r="G1462" s="17">
        <v>80000</v>
      </c>
      <c r="H1462" s="17">
        <v>79000</v>
      </c>
      <c r="I1462" s="18">
        <v>0.87</v>
      </c>
      <c r="J1462" s="14">
        <f t="shared" si="0"/>
        <v>79</v>
      </c>
      <c r="K1462" s="15" t="str">
        <f t="shared" si="1"/>
        <v>Exceeds Target</v>
      </c>
    </row>
    <row r="1463" spans="2:11" ht="15" customHeight="1">
      <c r="B1463" t="s">
        <v>313</v>
      </c>
      <c r="C1463" t="s">
        <v>1853</v>
      </c>
      <c r="D1463" t="s">
        <v>69</v>
      </c>
      <c r="E1463" t="s">
        <v>70</v>
      </c>
      <c r="F1463" s="17">
        <v>1000</v>
      </c>
      <c r="G1463" s="17">
        <v>115000</v>
      </c>
      <c r="H1463" s="17">
        <v>114000</v>
      </c>
      <c r="I1463" s="18">
        <v>0.63</v>
      </c>
      <c r="J1463" s="14">
        <f t="shared" si="0"/>
        <v>114</v>
      </c>
      <c r="K1463" s="15" t="str">
        <f t="shared" si="1"/>
        <v>Exceeds Target</v>
      </c>
    </row>
    <row r="1464" spans="2:11" ht="15" customHeight="1">
      <c r="B1464" t="s">
        <v>129</v>
      </c>
      <c r="C1464" t="s">
        <v>1854</v>
      </c>
      <c r="D1464" t="s">
        <v>26</v>
      </c>
      <c r="E1464" t="s">
        <v>27</v>
      </c>
      <c r="F1464" s="17">
        <v>5000</v>
      </c>
      <c r="G1464" s="17">
        <v>90000</v>
      </c>
      <c r="H1464" s="17">
        <v>85000</v>
      </c>
      <c r="I1464" s="18">
        <v>0.18</v>
      </c>
      <c r="J1464" s="14">
        <f t="shared" si="0"/>
        <v>17</v>
      </c>
      <c r="K1464" s="15" t="str">
        <f t="shared" si="1"/>
        <v>Exceeds Target</v>
      </c>
    </row>
    <row r="1465" spans="2:11" ht="15" customHeight="1">
      <c r="B1465" t="s">
        <v>441</v>
      </c>
      <c r="C1465" t="s">
        <v>1855</v>
      </c>
      <c r="D1465" t="s">
        <v>69</v>
      </c>
      <c r="E1465" t="s">
        <v>70</v>
      </c>
      <c r="F1465" s="17">
        <v>1000</v>
      </c>
      <c r="G1465" s="17">
        <v>95000</v>
      </c>
      <c r="H1465" s="17">
        <v>94000</v>
      </c>
      <c r="I1465" s="18">
        <v>0.86</v>
      </c>
      <c r="J1465" s="14">
        <f t="shared" si="0"/>
        <v>94</v>
      </c>
      <c r="K1465" s="15" t="str">
        <f t="shared" si="1"/>
        <v>Exceeds Target</v>
      </c>
    </row>
    <row r="1466" spans="2:11" ht="15" customHeight="1">
      <c r="B1466" t="s">
        <v>107</v>
      </c>
      <c r="C1466" t="s">
        <v>1856</v>
      </c>
      <c r="D1466" t="s">
        <v>80</v>
      </c>
      <c r="E1466" t="s">
        <v>27</v>
      </c>
      <c r="F1466" s="17">
        <v>1000</v>
      </c>
      <c r="G1466" s="17">
        <v>66000</v>
      </c>
      <c r="H1466" s="17">
        <v>65000</v>
      </c>
      <c r="I1466" s="18">
        <v>0.52</v>
      </c>
      <c r="J1466" s="14">
        <f t="shared" si="0"/>
        <v>65</v>
      </c>
      <c r="K1466" s="15" t="str">
        <f t="shared" si="1"/>
        <v>Exceeds Target</v>
      </c>
    </row>
    <row r="1467" spans="2:11" ht="15" customHeight="1">
      <c r="B1467" t="s">
        <v>199</v>
      </c>
      <c r="C1467" t="s">
        <v>1857</v>
      </c>
      <c r="D1467" t="s">
        <v>32</v>
      </c>
      <c r="E1467" t="s">
        <v>27</v>
      </c>
      <c r="F1467" s="17">
        <v>1500</v>
      </c>
      <c r="G1467" s="17">
        <v>54000</v>
      </c>
      <c r="H1467" s="17">
        <v>52500</v>
      </c>
      <c r="I1467" s="18">
        <v>0.42</v>
      </c>
      <c r="J1467" s="14">
        <f t="shared" si="0"/>
        <v>35</v>
      </c>
      <c r="K1467" s="15" t="str">
        <f t="shared" si="1"/>
        <v>Exceeds Target</v>
      </c>
    </row>
    <row r="1468" spans="2:11" ht="15" customHeight="1">
      <c r="B1468" t="s">
        <v>180</v>
      </c>
      <c r="C1468" t="s">
        <v>1858</v>
      </c>
      <c r="D1468" t="s">
        <v>35</v>
      </c>
      <c r="E1468" t="s">
        <v>27</v>
      </c>
      <c r="F1468" s="17">
        <v>3000</v>
      </c>
      <c r="G1468" s="17">
        <v>300000</v>
      </c>
      <c r="H1468" s="17">
        <v>297000</v>
      </c>
      <c r="I1468" s="18">
        <v>0.83</v>
      </c>
      <c r="J1468" s="14">
        <f t="shared" si="0"/>
        <v>99</v>
      </c>
      <c r="K1468" s="15" t="str">
        <f t="shared" si="1"/>
        <v>Exceeds Target</v>
      </c>
    </row>
    <row r="1469" spans="2:11" ht="15" customHeight="1">
      <c r="B1469" t="s">
        <v>252</v>
      </c>
      <c r="C1469" t="s">
        <v>1859</v>
      </c>
      <c r="D1469" t="s">
        <v>26</v>
      </c>
      <c r="E1469" t="s">
        <v>27</v>
      </c>
      <c r="F1469" s="17">
        <v>5000</v>
      </c>
      <c r="G1469" s="17">
        <v>150000</v>
      </c>
      <c r="H1469" s="17">
        <v>145000</v>
      </c>
      <c r="I1469" s="18">
        <v>0.11</v>
      </c>
      <c r="J1469" s="14">
        <f t="shared" si="0"/>
        <v>29</v>
      </c>
      <c r="K1469" s="15" t="str">
        <f t="shared" si="1"/>
        <v>Exceeds Target</v>
      </c>
    </row>
    <row r="1470" spans="2:11" ht="15" customHeight="1">
      <c r="B1470" t="s">
        <v>411</v>
      </c>
      <c r="C1470" t="s">
        <v>1860</v>
      </c>
      <c r="D1470" t="s">
        <v>35</v>
      </c>
      <c r="E1470" t="s">
        <v>27</v>
      </c>
      <c r="F1470" s="17">
        <v>3000</v>
      </c>
      <c r="G1470" s="17">
        <v>230000</v>
      </c>
      <c r="H1470" s="17">
        <v>227000</v>
      </c>
      <c r="I1470" s="18">
        <v>1</v>
      </c>
      <c r="J1470" s="14">
        <f t="shared" si="0"/>
        <v>75.666666666666671</v>
      </c>
      <c r="K1470" s="15" t="str">
        <f t="shared" si="1"/>
        <v>Exceeds Target</v>
      </c>
    </row>
    <row r="1471" spans="2:11" ht="15" customHeight="1">
      <c r="B1471" t="s">
        <v>270</v>
      </c>
      <c r="C1471" t="s">
        <v>1861</v>
      </c>
      <c r="D1471" t="s">
        <v>80</v>
      </c>
      <c r="E1471" t="s">
        <v>27</v>
      </c>
      <c r="F1471" s="17">
        <v>1000</v>
      </c>
      <c r="G1471" s="17">
        <v>72000</v>
      </c>
      <c r="H1471" s="17">
        <v>71000</v>
      </c>
      <c r="I1471" s="18">
        <v>0.84</v>
      </c>
      <c r="J1471" s="14">
        <f t="shared" si="0"/>
        <v>71</v>
      </c>
      <c r="K1471" s="15" t="str">
        <f t="shared" si="1"/>
        <v>Exceeds Target</v>
      </c>
    </row>
    <row r="1472" spans="2:11" ht="15" customHeight="1">
      <c r="B1472" t="s">
        <v>912</v>
      </c>
      <c r="C1472" t="s">
        <v>1862</v>
      </c>
      <c r="D1472" t="s">
        <v>32</v>
      </c>
      <c r="E1472" t="s">
        <v>27</v>
      </c>
      <c r="F1472" s="17">
        <v>1500</v>
      </c>
      <c r="G1472" s="17">
        <v>32000</v>
      </c>
      <c r="H1472" s="17">
        <v>30500</v>
      </c>
      <c r="I1472" s="18">
        <v>0.53</v>
      </c>
      <c r="J1472" s="14">
        <f t="shared" si="0"/>
        <v>20.333333333333332</v>
      </c>
      <c r="K1472" s="15" t="str">
        <f t="shared" si="1"/>
        <v>Exceeds Target</v>
      </c>
    </row>
    <row r="1473" spans="2:11" ht="15" customHeight="1">
      <c r="B1473" t="s">
        <v>446</v>
      </c>
      <c r="C1473" t="s">
        <v>1863</v>
      </c>
      <c r="D1473" t="s">
        <v>35</v>
      </c>
      <c r="E1473" t="s">
        <v>27</v>
      </c>
      <c r="F1473" s="17">
        <v>3000</v>
      </c>
      <c r="G1473" s="17">
        <v>250000</v>
      </c>
      <c r="H1473" s="17">
        <v>247000</v>
      </c>
      <c r="I1473" s="18">
        <v>0.42</v>
      </c>
      <c r="J1473" s="14">
        <f t="shared" si="0"/>
        <v>82.333333333333329</v>
      </c>
      <c r="K1473" s="15" t="str">
        <f t="shared" si="1"/>
        <v>Exceeds Target</v>
      </c>
    </row>
    <row r="1474" spans="2:11" ht="15" customHeight="1">
      <c r="B1474" t="s">
        <v>561</v>
      </c>
      <c r="C1474" t="s">
        <v>1864</v>
      </c>
      <c r="D1474" t="s">
        <v>26</v>
      </c>
      <c r="E1474" t="s">
        <v>27</v>
      </c>
      <c r="F1474" s="17">
        <v>5000</v>
      </c>
      <c r="G1474" s="17">
        <v>120000</v>
      </c>
      <c r="H1474" s="17">
        <v>115000</v>
      </c>
      <c r="I1474" s="18">
        <v>0.23</v>
      </c>
      <c r="J1474" s="14">
        <f t="shared" si="0"/>
        <v>23</v>
      </c>
      <c r="K1474" s="15" t="str">
        <f t="shared" si="1"/>
        <v>Exceeds Target</v>
      </c>
    </row>
    <row r="1475" spans="2:11" ht="15" customHeight="1">
      <c r="B1475" t="s">
        <v>1007</v>
      </c>
      <c r="C1475" t="s">
        <v>1865</v>
      </c>
      <c r="D1475" t="s">
        <v>32</v>
      </c>
      <c r="E1475" t="s">
        <v>27</v>
      </c>
      <c r="F1475" s="17">
        <v>1500</v>
      </c>
      <c r="G1475" s="17">
        <v>20000</v>
      </c>
      <c r="H1475" s="17">
        <v>18500</v>
      </c>
      <c r="I1475" s="18">
        <v>0.74</v>
      </c>
      <c r="J1475" s="14">
        <f t="shared" si="0"/>
        <v>12.333333333333334</v>
      </c>
      <c r="K1475" s="15" t="str">
        <f t="shared" si="1"/>
        <v>Exceeds Target</v>
      </c>
    </row>
    <row r="1476" spans="2:11" ht="15" customHeight="1">
      <c r="B1476" t="s">
        <v>76</v>
      </c>
      <c r="C1476" t="s">
        <v>1866</v>
      </c>
      <c r="D1476" t="s">
        <v>35</v>
      </c>
      <c r="E1476" t="s">
        <v>27</v>
      </c>
      <c r="F1476" s="17">
        <v>3000</v>
      </c>
      <c r="G1476" s="17">
        <v>80000</v>
      </c>
      <c r="H1476" s="17">
        <v>77000</v>
      </c>
      <c r="I1476" s="18">
        <v>0.86</v>
      </c>
      <c r="J1476" s="14">
        <f t="shared" si="0"/>
        <v>25.666666666666668</v>
      </c>
      <c r="K1476" s="15" t="str">
        <f t="shared" si="1"/>
        <v>Exceeds Target</v>
      </c>
    </row>
    <row r="1477" spans="2:11" ht="15" customHeight="1">
      <c r="B1477" t="s">
        <v>1614</v>
      </c>
      <c r="C1477" t="s">
        <v>1867</v>
      </c>
      <c r="D1477" t="s">
        <v>35</v>
      </c>
      <c r="E1477" t="s">
        <v>27</v>
      </c>
      <c r="F1477" s="17">
        <v>3000</v>
      </c>
      <c r="G1477" s="17">
        <v>170000</v>
      </c>
      <c r="H1477" s="17">
        <v>167000</v>
      </c>
      <c r="I1477" s="18">
        <v>0.86</v>
      </c>
      <c r="J1477" s="14">
        <f t="shared" si="0"/>
        <v>55.666666666666664</v>
      </c>
      <c r="K1477" s="15" t="str">
        <f t="shared" si="1"/>
        <v>Exceeds Target</v>
      </c>
    </row>
    <row r="1478" spans="2:11" ht="15" customHeight="1">
      <c r="B1478" t="s">
        <v>1210</v>
      </c>
      <c r="C1478" t="s">
        <v>1868</v>
      </c>
      <c r="D1478" t="s">
        <v>26</v>
      </c>
      <c r="E1478" t="s">
        <v>27</v>
      </c>
      <c r="F1478" s="17">
        <v>5000</v>
      </c>
      <c r="G1478" s="17">
        <v>30000</v>
      </c>
      <c r="H1478" s="17">
        <v>25000</v>
      </c>
      <c r="I1478" s="18">
        <v>7.0000000000000007E-2</v>
      </c>
      <c r="J1478" s="14">
        <f t="shared" si="0"/>
        <v>5</v>
      </c>
      <c r="K1478" s="15" t="str">
        <f t="shared" si="1"/>
        <v>Exceeds Target</v>
      </c>
    </row>
    <row r="1479" spans="2:11" ht="15" customHeight="1">
      <c r="B1479" t="s">
        <v>227</v>
      </c>
      <c r="C1479" t="s">
        <v>1869</v>
      </c>
      <c r="D1479" t="s">
        <v>80</v>
      </c>
      <c r="E1479" t="s">
        <v>27</v>
      </c>
      <c r="F1479" s="17">
        <v>1000</v>
      </c>
      <c r="G1479" s="17">
        <v>87000</v>
      </c>
      <c r="H1479" s="17">
        <v>86000</v>
      </c>
      <c r="I1479" s="18">
        <v>0.73</v>
      </c>
      <c r="J1479" s="14">
        <f t="shared" si="0"/>
        <v>86</v>
      </c>
      <c r="K1479" s="15" t="str">
        <f t="shared" si="1"/>
        <v>Exceeds Target</v>
      </c>
    </row>
    <row r="1480" spans="2:11" ht="15" customHeight="1">
      <c r="B1480" t="s">
        <v>1323</v>
      </c>
      <c r="C1480" t="s">
        <v>1870</v>
      </c>
      <c r="D1480" t="s">
        <v>26</v>
      </c>
      <c r="E1480" t="s">
        <v>27</v>
      </c>
      <c r="F1480" s="17">
        <v>5000</v>
      </c>
      <c r="G1480" s="17">
        <v>150000</v>
      </c>
      <c r="H1480" s="17">
        <v>145000</v>
      </c>
      <c r="I1480" s="18">
        <v>0.16</v>
      </c>
      <c r="J1480" s="14">
        <f t="shared" si="0"/>
        <v>29</v>
      </c>
      <c r="K1480" s="15" t="str">
        <f t="shared" si="1"/>
        <v>Exceeds Target</v>
      </c>
    </row>
    <row r="1481" spans="2:11" ht="15" customHeight="1">
      <c r="B1481" t="s">
        <v>999</v>
      </c>
      <c r="C1481" t="s">
        <v>1871</v>
      </c>
      <c r="D1481" t="s">
        <v>69</v>
      </c>
      <c r="E1481" t="s">
        <v>70</v>
      </c>
      <c r="F1481" s="17">
        <v>1000</v>
      </c>
      <c r="G1481" s="17">
        <v>70000</v>
      </c>
      <c r="H1481" s="17">
        <v>69000</v>
      </c>
      <c r="I1481" s="18">
        <v>0.91</v>
      </c>
      <c r="J1481" s="14">
        <f t="shared" si="0"/>
        <v>69</v>
      </c>
      <c r="K1481" s="15" t="str">
        <f t="shared" si="1"/>
        <v>Exceeds Target</v>
      </c>
    </row>
    <row r="1482" spans="2:11" ht="15" customHeight="1">
      <c r="B1482" t="s">
        <v>582</v>
      </c>
      <c r="C1482" t="s">
        <v>1872</v>
      </c>
      <c r="D1482" t="s">
        <v>69</v>
      </c>
      <c r="E1482" t="s">
        <v>70</v>
      </c>
      <c r="F1482" s="17">
        <v>1000</v>
      </c>
      <c r="G1482" s="17">
        <v>100000</v>
      </c>
      <c r="H1482" s="17">
        <v>99000</v>
      </c>
      <c r="I1482" s="18">
        <v>0.85</v>
      </c>
      <c r="J1482" s="14">
        <f t="shared" si="0"/>
        <v>99</v>
      </c>
      <c r="K1482" s="15" t="str">
        <f t="shared" si="1"/>
        <v>Exceeds Target</v>
      </c>
    </row>
    <row r="1483" spans="2:11" ht="15" customHeight="1">
      <c r="B1483" t="s">
        <v>939</v>
      </c>
      <c r="C1483" t="s">
        <v>1873</v>
      </c>
      <c r="D1483" t="s">
        <v>35</v>
      </c>
      <c r="E1483" t="s">
        <v>27</v>
      </c>
      <c r="F1483" s="17">
        <v>3000</v>
      </c>
      <c r="G1483" s="17">
        <v>190000</v>
      </c>
      <c r="H1483" s="17">
        <v>187000</v>
      </c>
      <c r="I1483" s="18">
        <v>0.42</v>
      </c>
      <c r="J1483" s="14">
        <f t="shared" si="0"/>
        <v>62.333333333333336</v>
      </c>
      <c r="K1483" s="15" t="str">
        <f t="shared" si="1"/>
        <v>Exceeds Target</v>
      </c>
    </row>
    <row r="1484" spans="2:11" ht="15" customHeight="1">
      <c r="B1484" t="s">
        <v>274</v>
      </c>
      <c r="C1484" t="s">
        <v>1874</v>
      </c>
      <c r="D1484" t="s">
        <v>26</v>
      </c>
      <c r="E1484" t="s">
        <v>27</v>
      </c>
      <c r="F1484" s="17">
        <v>5000</v>
      </c>
      <c r="G1484" s="17">
        <v>120000</v>
      </c>
      <c r="H1484" s="17">
        <v>115000</v>
      </c>
      <c r="I1484" s="18">
        <v>7.0000000000000007E-2</v>
      </c>
      <c r="J1484" s="14">
        <f t="shared" si="0"/>
        <v>23</v>
      </c>
      <c r="K1484" s="15" t="str">
        <f t="shared" si="1"/>
        <v>Exceeds Target</v>
      </c>
    </row>
    <row r="1485" spans="2:11" ht="15" customHeight="1">
      <c r="B1485" t="s">
        <v>368</v>
      </c>
      <c r="C1485" t="s">
        <v>1875</v>
      </c>
      <c r="D1485" t="s">
        <v>69</v>
      </c>
      <c r="E1485" t="s">
        <v>70</v>
      </c>
      <c r="F1485" s="17">
        <v>1000</v>
      </c>
      <c r="G1485" s="17">
        <v>55000</v>
      </c>
      <c r="H1485" s="17">
        <v>54000</v>
      </c>
      <c r="I1485" s="18">
        <v>0.69</v>
      </c>
      <c r="J1485" s="14">
        <f t="shared" si="0"/>
        <v>54</v>
      </c>
      <c r="K1485" s="15" t="str">
        <f t="shared" si="1"/>
        <v>Exceeds Target</v>
      </c>
    </row>
    <row r="1486" spans="2:11" ht="15" customHeight="1">
      <c r="B1486" t="s">
        <v>394</v>
      </c>
      <c r="C1486" t="s">
        <v>1876</v>
      </c>
      <c r="D1486" t="s">
        <v>32</v>
      </c>
      <c r="E1486" t="s">
        <v>27</v>
      </c>
      <c r="F1486" s="17">
        <v>1500</v>
      </c>
      <c r="G1486" s="17">
        <v>44000</v>
      </c>
      <c r="H1486" s="17">
        <v>42500</v>
      </c>
      <c r="I1486" s="18">
        <v>0.51</v>
      </c>
      <c r="J1486" s="14">
        <f t="shared" si="0"/>
        <v>28.333333333333332</v>
      </c>
      <c r="K1486" s="15" t="str">
        <f t="shared" si="1"/>
        <v>Exceeds Target</v>
      </c>
    </row>
    <row r="1487" spans="2:11" ht="15" customHeight="1">
      <c r="B1487" t="s">
        <v>188</v>
      </c>
      <c r="C1487" t="s">
        <v>1877</v>
      </c>
      <c r="D1487" t="s">
        <v>69</v>
      </c>
      <c r="E1487" t="s">
        <v>70</v>
      </c>
      <c r="F1487" s="17">
        <v>1000</v>
      </c>
      <c r="G1487" s="17">
        <v>30000</v>
      </c>
      <c r="H1487" s="17">
        <v>29000</v>
      </c>
      <c r="I1487" s="18">
        <v>0.32</v>
      </c>
      <c r="J1487" s="14">
        <f t="shared" si="0"/>
        <v>29</v>
      </c>
      <c r="K1487" s="15" t="str">
        <f t="shared" si="1"/>
        <v>Exceeds Target</v>
      </c>
    </row>
    <row r="1488" spans="2:11" ht="15" customHeight="1">
      <c r="B1488" t="s">
        <v>397</v>
      </c>
      <c r="C1488" t="s">
        <v>1878</v>
      </c>
      <c r="D1488" t="s">
        <v>80</v>
      </c>
      <c r="E1488" t="s">
        <v>27</v>
      </c>
      <c r="F1488" s="17">
        <v>1000</v>
      </c>
      <c r="G1488" s="17">
        <v>48000</v>
      </c>
      <c r="H1488" s="17">
        <v>47000</v>
      </c>
      <c r="I1488" s="18">
        <v>0.68</v>
      </c>
      <c r="J1488" s="14">
        <f t="shared" si="0"/>
        <v>47</v>
      </c>
      <c r="K1488" s="15" t="str">
        <f t="shared" si="1"/>
        <v>Exceeds Target</v>
      </c>
    </row>
    <row r="1489" spans="2:11" ht="15" customHeight="1">
      <c r="B1489" t="s">
        <v>999</v>
      </c>
      <c r="C1489" t="s">
        <v>1879</v>
      </c>
      <c r="D1489" t="s">
        <v>69</v>
      </c>
      <c r="E1489" t="s">
        <v>70</v>
      </c>
      <c r="F1489" s="17">
        <v>1000</v>
      </c>
      <c r="G1489" s="17">
        <v>130000</v>
      </c>
      <c r="H1489" s="17">
        <v>129000</v>
      </c>
      <c r="I1489" s="18">
        <v>0.67</v>
      </c>
      <c r="J1489" s="14">
        <f t="shared" si="0"/>
        <v>129</v>
      </c>
      <c r="K1489" s="15" t="str">
        <f t="shared" si="1"/>
        <v>Exceeds Target</v>
      </c>
    </row>
    <row r="1490" spans="2:11" ht="15" customHeight="1">
      <c r="B1490" t="s">
        <v>178</v>
      </c>
      <c r="C1490" t="s">
        <v>1880</v>
      </c>
      <c r="D1490" t="s">
        <v>26</v>
      </c>
      <c r="E1490" t="s">
        <v>27</v>
      </c>
      <c r="F1490" s="17">
        <v>5000</v>
      </c>
      <c r="G1490" s="17">
        <v>150000</v>
      </c>
      <c r="H1490" s="17">
        <v>145000</v>
      </c>
      <c r="I1490" s="18">
        <v>0.24</v>
      </c>
      <c r="J1490" s="14">
        <f t="shared" si="0"/>
        <v>29</v>
      </c>
      <c r="K1490" s="15" t="str">
        <f t="shared" si="1"/>
        <v>Exceeds Target</v>
      </c>
    </row>
    <row r="1491" spans="2:11" ht="15" customHeight="1">
      <c r="B1491" t="s">
        <v>601</v>
      </c>
      <c r="C1491" t="s">
        <v>1881</v>
      </c>
      <c r="D1491" t="s">
        <v>32</v>
      </c>
      <c r="E1491" t="s">
        <v>27</v>
      </c>
      <c r="F1491" s="17">
        <v>1500</v>
      </c>
      <c r="G1491" s="17">
        <v>58000</v>
      </c>
      <c r="H1491" s="17">
        <v>56500</v>
      </c>
      <c r="I1491" s="18">
        <v>0.56000000000000005</v>
      </c>
      <c r="J1491" s="14">
        <f t="shared" si="0"/>
        <v>37.666666666666664</v>
      </c>
      <c r="K1491" s="15" t="str">
        <f t="shared" si="1"/>
        <v>Exceeds Target</v>
      </c>
    </row>
    <row r="1492" spans="2:11" ht="15" customHeight="1">
      <c r="B1492" t="s">
        <v>489</v>
      </c>
      <c r="C1492" t="s">
        <v>1882</v>
      </c>
      <c r="D1492" t="s">
        <v>80</v>
      </c>
      <c r="E1492" t="s">
        <v>27</v>
      </c>
      <c r="F1492" s="17">
        <v>1000</v>
      </c>
      <c r="G1492" s="17">
        <v>60000</v>
      </c>
      <c r="H1492" s="17">
        <v>59000</v>
      </c>
      <c r="I1492" s="18">
        <v>0.92</v>
      </c>
      <c r="J1492" s="14">
        <f t="shared" si="0"/>
        <v>59</v>
      </c>
      <c r="K1492" s="15" t="str">
        <f t="shared" si="1"/>
        <v>Exceeds Target</v>
      </c>
    </row>
    <row r="1493" spans="2:11" ht="15" customHeight="1">
      <c r="B1493" t="s">
        <v>557</v>
      </c>
      <c r="C1493" t="s">
        <v>1883</v>
      </c>
      <c r="D1493" t="s">
        <v>69</v>
      </c>
      <c r="E1493" t="s">
        <v>70</v>
      </c>
      <c r="F1493" s="17">
        <v>1000</v>
      </c>
      <c r="G1493" s="17">
        <v>50000</v>
      </c>
      <c r="H1493" s="17">
        <v>49000</v>
      </c>
      <c r="I1493" s="18">
        <v>0.75</v>
      </c>
      <c r="J1493" s="14">
        <f t="shared" si="0"/>
        <v>49</v>
      </c>
      <c r="K1493" s="15" t="str">
        <f t="shared" si="1"/>
        <v>Exceeds Target</v>
      </c>
    </row>
    <row r="1494" spans="2:11" ht="15" customHeight="1">
      <c r="B1494" t="s">
        <v>1349</v>
      </c>
      <c r="C1494" t="s">
        <v>1884</v>
      </c>
      <c r="D1494" t="s">
        <v>80</v>
      </c>
      <c r="E1494" t="s">
        <v>27</v>
      </c>
      <c r="F1494" s="17">
        <v>1000</v>
      </c>
      <c r="G1494" s="17">
        <v>102000</v>
      </c>
      <c r="H1494" s="17">
        <v>101000</v>
      </c>
      <c r="I1494" s="18">
        <v>0.72</v>
      </c>
      <c r="J1494" s="14">
        <f t="shared" si="0"/>
        <v>101</v>
      </c>
      <c r="K1494" s="15" t="str">
        <f t="shared" si="1"/>
        <v>Exceeds Target</v>
      </c>
    </row>
    <row r="1495" spans="2:11" ht="15" customHeight="1">
      <c r="B1495" t="s">
        <v>818</v>
      </c>
      <c r="C1495" t="s">
        <v>1885</v>
      </c>
      <c r="D1495" t="s">
        <v>69</v>
      </c>
      <c r="E1495" t="s">
        <v>70</v>
      </c>
      <c r="F1495" s="17">
        <v>1000</v>
      </c>
      <c r="G1495" s="17">
        <v>105000</v>
      </c>
      <c r="H1495" s="17">
        <v>104000</v>
      </c>
      <c r="I1495" s="18">
        <v>0.83</v>
      </c>
      <c r="J1495" s="14">
        <f t="shared" si="0"/>
        <v>104</v>
      </c>
      <c r="K1495" s="15" t="str">
        <f t="shared" si="1"/>
        <v>Exceeds Target</v>
      </c>
    </row>
    <row r="1496" spans="2:11" ht="15" customHeight="1">
      <c r="B1496" t="s">
        <v>1516</v>
      </c>
      <c r="C1496" t="s">
        <v>1886</v>
      </c>
      <c r="D1496" t="s">
        <v>35</v>
      </c>
      <c r="E1496" t="s">
        <v>27</v>
      </c>
      <c r="F1496" s="17">
        <v>3000</v>
      </c>
      <c r="G1496" s="17">
        <v>130000</v>
      </c>
      <c r="H1496" s="17">
        <v>127000</v>
      </c>
      <c r="I1496" s="18">
        <v>0.71</v>
      </c>
      <c r="J1496" s="14">
        <f t="shared" si="0"/>
        <v>42.333333333333336</v>
      </c>
      <c r="K1496" s="15" t="str">
        <f t="shared" si="1"/>
        <v>Exceeds Target</v>
      </c>
    </row>
    <row r="1497" spans="2:11" ht="15" customHeight="1">
      <c r="B1497" t="s">
        <v>289</v>
      </c>
      <c r="C1497" t="s">
        <v>1887</v>
      </c>
      <c r="D1497" t="s">
        <v>32</v>
      </c>
      <c r="E1497" t="s">
        <v>27</v>
      </c>
      <c r="F1497" s="17">
        <v>1500</v>
      </c>
      <c r="G1497" s="17">
        <v>30000</v>
      </c>
      <c r="H1497" s="17">
        <v>28500</v>
      </c>
      <c r="I1497" s="18">
        <v>0.45</v>
      </c>
      <c r="J1497" s="14">
        <f t="shared" si="0"/>
        <v>19</v>
      </c>
      <c r="K1497" s="15" t="str">
        <f t="shared" si="1"/>
        <v>Exceeds Target</v>
      </c>
    </row>
    <row r="1498" spans="2:11" ht="15" customHeight="1">
      <c r="B1498" t="s">
        <v>190</v>
      </c>
      <c r="C1498" t="s">
        <v>1888</v>
      </c>
      <c r="D1498" t="s">
        <v>26</v>
      </c>
      <c r="E1498" t="s">
        <v>27</v>
      </c>
      <c r="F1498" s="17">
        <v>5000</v>
      </c>
      <c r="G1498" s="17">
        <v>30000</v>
      </c>
      <c r="H1498" s="17">
        <v>25000</v>
      </c>
      <c r="I1498" s="18">
        <v>0.16</v>
      </c>
      <c r="J1498" s="14">
        <f t="shared" si="0"/>
        <v>5</v>
      </c>
      <c r="K1498" s="15" t="str">
        <f t="shared" si="1"/>
        <v>Exceeds Target</v>
      </c>
    </row>
    <row r="1499" spans="2:11" ht="15" customHeight="1">
      <c r="B1499" t="s">
        <v>1059</v>
      </c>
      <c r="C1499" t="s">
        <v>1889</v>
      </c>
      <c r="D1499" t="s">
        <v>26</v>
      </c>
      <c r="E1499" t="s">
        <v>27</v>
      </c>
      <c r="F1499" s="17">
        <v>5000</v>
      </c>
      <c r="G1499" s="17">
        <v>60000</v>
      </c>
      <c r="H1499" s="17">
        <v>55000</v>
      </c>
      <c r="I1499" s="18">
        <v>0.14000000000000001</v>
      </c>
      <c r="J1499" s="14">
        <f t="shared" si="0"/>
        <v>11</v>
      </c>
      <c r="K1499" s="15" t="str">
        <f t="shared" si="1"/>
        <v>Exceeds Target</v>
      </c>
    </row>
    <row r="1500" spans="2:11" ht="15" customHeight="1">
      <c r="B1500" t="s">
        <v>489</v>
      </c>
      <c r="C1500" t="s">
        <v>1890</v>
      </c>
      <c r="D1500" t="s">
        <v>26</v>
      </c>
      <c r="E1500" t="s">
        <v>27</v>
      </c>
      <c r="F1500" s="17">
        <v>5000</v>
      </c>
      <c r="G1500" s="17">
        <v>120000</v>
      </c>
      <c r="H1500" s="17">
        <v>115000</v>
      </c>
      <c r="I1500" s="18">
        <v>0.21</v>
      </c>
      <c r="J1500" s="14">
        <f t="shared" si="0"/>
        <v>23</v>
      </c>
      <c r="K1500" s="15" t="str">
        <f t="shared" si="1"/>
        <v>Exceeds Target</v>
      </c>
    </row>
    <row r="1501" spans="2:11" ht="15" customHeight="1">
      <c r="B1501" t="s">
        <v>1516</v>
      </c>
      <c r="C1501" t="s">
        <v>1891</v>
      </c>
      <c r="D1501" t="s">
        <v>35</v>
      </c>
      <c r="E1501" t="s">
        <v>27</v>
      </c>
      <c r="F1501" s="17">
        <v>3000</v>
      </c>
      <c r="G1501" s="17">
        <v>290000</v>
      </c>
      <c r="H1501" s="17">
        <v>287000</v>
      </c>
      <c r="I1501" s="18">
        <v>0.78</v>
      </c>
      <c r="J1501" s="14">
        <f t="shared" si="0"/>
        <v>95.666666666666671</v>
      </c>
      <c r="K1501" s="15" t="str">
        <f t="shared" si="1"/>
        <v>Exceeds Target</v>
      </c>
    </row>
    <row r="1502" spans="2:11" ht="15" customHeight="1">
      <c r="B1502" t="s">
        <v>1034</v>
      </c>
      <c r="C1502" t="s">
        <v>1892</v>
      </c>
      <c r="D1502" t="s">
        <v>26</v>
      </c>
      <c r="E1502" t="s">
        <v>27</v>
      </c>
      <c r="F1502" s="17">
        <v>5000</v>
      </c>
      <c r="G1502" s="17">
        <v>90000</v>
      </c>
      <c r="H1502" s="17">
        <v>85000</v>
      </c>
      <c r="I1502" s="18">
        <v>0.12</v>
      </c>
      <c r="J1502" s="14">
        <f t="shared" si="0"/>
        <v>17</v>
      </c>
      <c r="K1502" s="15" t="str">
        <f t="shared" si="1"/>
        <v>Exceeds Target</v>
      </c>
    </row>
    <row r="1503" spans="2:11" ht="15" customHeight="1">
      <c r="B1503" t="s">
        <v>107</v>
      </c>
      <c r="C1503" t="s">
        <v>1893</v>
      </c>
      <c r="D1503" t="s">
        <v>35</v>
      </c>
      <c r="E1503" t="s">
        <v>27</v>
      </c>
      <c r="F1503" s="17">
        <v>3000</v>
      </c>
      <c r="G1503" s="17">
        <v>210000</v>
      </c>
      <c r="H1503" s="17">
        <v>207000</v>
      </c>
      <c r="I1503" s="18">
        <v>0.56999999999999995</v>
      </c>
      <c r="J1503" s="14">
        <f t="shared" si="0"/>
        <v>69</v>
      </c>
      <c r="K1503" s="15" t="str">
        <f t="shared" si="1"/>
        <v>Exceeds Target</v>
      </c>
    </row>
    <row r="1504" spans="2:11" ht="15" customHeight="1">
      <c r="B1504" t="s">
        <v>91</v>
      </c>
      <c r="C1504" t="s">
        <v>1894</v>
      </c>
      <c r="D1504" t="s">
        <v>26</v>
      </c>
      <c r="E1504" t="s">
        <v>27</v>
      </c>
      <c r="F1504" s="17">
        <v>5000</v>
      </c>
      <c r="G1504" s="17">
        <v>60000</v>
      </c>
      <c r="H1504" s="17">
        <v>55000</v>
      </c>
      <c r="I1504" s="18">
        <v>0.34</v>
      </c>
      <c r="J1504" s="14">
        <f t="shared" si="0"/>
        <v>11</v>
      </c>
      <c r="K1504" s="15" t="str">
        <f t="shared" si="1"/>
        <v>Exceeds Target</v>
      </c>
    </row>
    <row r="1505" spans="2:11" ht="15" customHeight="1">
      <c r="B1505" t="s">
        <v>939</v>
      </c>
      <c r="C1505" t="s">
        <v>1895</v>
      </c>
      <c r="D1505" t="s">
        <v>32</v>
      </c>
      <c r="E1505" t="s">
        <v>27</v>
      </c>
      <c r="F1505" s="17">
        <v>1500</v>
      </c>
      <c r="G1505" s="17">
        <v>30000</v>
      </c>
      <c r="H1505" s="17">
        <v>28500</v>
      </c>
      <c r="I1505" s="18">
        <v>0.56999999999999995</v>
      </c>
      <c r="J1505" s="14">
        <f t="shared" si="0"/>
        <v>19</v>
      </c>
      <c r="K1505" s="15" t="str">
        <f t="shared" si="1"/>
        <v>Exceeds Target</v>
      </c>
    </row>
    <row r="1506" spans="2:11" ht="15" customHeight="1">
      <c r="B1506" t="s">
        <v>765</v>
      </c>
      <c r="C1506" t="s">
        <v>1896</v>
      </c>
      <c r="D1506" t="s">
        <v>69</v>
      </c>
      <c r="E1506" t="s">
        <v>70</v>
      </c>
      <c r="F1506" s="17">
        <v>1000</v>
      </c>
      <c r="G1506" s="17">
        <v>30000</v>
      </c>
      <c r="H1506" s="17">
        <v>29000</v>
      </c>
      <c r="I1506" s="18">
        <v>0.93</v>
      </c>
      <c r="J1506" s="14">
        <f t="shared" si="0"/>
        <v>29</v>
      </c>
      <c r="K1506" s="15" t="str">
        <f t="shared" si="1"/>
        <v>Exceeds Target</v>
      </c>
    </row>
    <row r="1507" spans="2:11" ht="15" customHeight="1">
      <c r="B1507" t="s">
        <v>446</v>
      </c>
      <c r="C1507" t="s">
        <v>1897</v>
      </c>
      <c r="D1507" t="s">
        <v>32</v>
      </c>
      <c r="E1507" t="s">
        <v>27</v>
      </c>
      <c r="F1507" s="17">
        <v>1500</v>
      </c>
      <c r="G1507" s="17">
        <v>38000</v>
      </c>
      <c r="H1507" s="17">
        <v>36500</v>
      </c>
      <c r="I1507" s="18">
        <v>0.23</v>
      </c>
      <c r="J1507" s="14">
        <f t="shared" si="0"/>
        <v>24.333333333333332</v>
      </c>
      <c r="K1507" s="15" t="str">
        <f t="shared" si="1"/>
        <v>Exceeds Target</v>
      </c>
    </row>
    <row r="1508" spans="2:11" ht="15" customHeight="1">
      <c r="B1508" t="s">
        <v>939</v>
      </c>
      <c r="C1508" t="s">
        <v>1898</v>
      </c>
      <c r="D1508" t="s">
        <v>35</v>
      </c>
      <c r="E1508" t="s">
        <v>27</v>
      </c>
      <c r="F1508" s="17">
        <v>3000</v>
      </c>
      <c r="G1508" s="17">
        <v>90000</v>
      </c>
      <c r="H1508" s="17">
        <v>87000</v>
      </c>
      <c r="I1508" s="18">
        <v>0.57999999999999996</v>
      </c>
      <c r="J1508" s="14">
        <f t="shared" si="0"/>
        <v>29</v>
      </c>
      <c r="K1508" s="15" t="str">
        <f t="shared" si="1"/>
        <v>Exceeds Target</v>
      </c>
    </row>
    <row r="1509" spans="2:11" ht="15" customHeight="1">
      <c r="B1509" t="s">
        <v>1644</v>
      </c>
      <c r="C1509" t="s">
        <v>1899</v>
      </c>
      <c r="D1509" t="s">
        <v>35</v>
      </c>
      <c r="E1509" t="s">
        <v>27</v>
      </c>
      <c r="F1509" s="17">
        <v>3000</v>
      </c>
      <c r="G1509" s="17">
        <v>240000</v>
      </c>
      <c r="H1509" s="17">
        <v>237000</v>
      </c>
      <c r="I1509" s="18">
        <v>0.82</v>
      </c>
      <c r="J1509" s="14">
        <f t="shared" si="0"/>
        <v>79</v>
      </c>
      <c r="K1509" s="15" t="str">
        <f t="shared" si="1"/>
        <v>Exceeds Target</v>
      </c>
    </row>
    <row r="1510" spans="2:11" ht="15" customHeight="1">
      <c r="B1510" t="s">
        <v>214</v>
      </c>
      <c r="C1510" t="s">
        <v>1900</v>
      </c>
      <c r="D1510" t="s">
        <v>69</v>
      </c>
      <c r="E1510" t="s">
        <v>70</v>
      </c>
      <c r="F1510" s="17">
        <v>1000</v>
      </c>
      <c r="G1510" s="17">
        <v>95000</v>
      </c>
      <c r="H1510" s="17">
        <v>94000</v>
      </c>
      <c r="I1510" s="18">
        <v>0.4</v>
      </c>
      <c r="J1510" s="14">
        <f t="shared" si="0"/>
        <v>94</v>
      </c>
      <c r="K1510" s="15" t="str">
        <f t="shared" si="1"/>
        <v>Exceeds Target</v>
      </c>
    </row>
    <row r="1511" spans="2:11" ht="15" customHeight="1">
      <c r="B1511" t="s">
        <v>1305</v>
      </c>
      <c r="C1511" t="s">
        <v>1901</v>
      </c>
      <c r="D1511" t="s">
        <v>26</v>
      </c>
      <c r="E1511" t="s">
        <v>27</v>
      </c>
      <c r="F1511" s="17">
        <v>5000</v>
      </c>
      <c r="G1511" s="17">
        <v>120000</v>
      </c>
      <c r="H1511" s="17">
        <v>115000</v>
      </c>
      <c r="I1511" s="18">
        <v>0.34</v>
      </c>
      <c r="J1511" s="14">
        <f t="shared" si="0"/>
        <v>23</v>
      </c>
      <c r="K1511" s="15" t="str">
        <f t="shared" si="1"/>
        <v>Exceeds Target</v>
      </c>
    </row>
    <row r="1512" spans="2:11" ht="15" customHeight="1">
      <c r="B1512" t="s">
        <v>63</v>
      </c>
      <c r="C1512" t="s">
        <v>1902</v>
      </c>
      <c r="D1512" t="s">
        <v>26</v>
      </c>
      <c r="E1512" t="s">
        <v>27</v>
      </c>
      <c r="F1512" s="17">
        <v>5000</v>
      </c>
      <c r="G1512" s="17">
        <v>90000</v>
      </c>
      <c r="H1512" s="17">
        <v>85000</v>
      </c>
      <c r="I1512" s="18">
        <v>7.0000000000000007E-2</v>
      </c>
      <c r="J1512" s="14">
        <f t="shared" si="0"/>
        <v>17</v>
      </c>
      <c r="K1512" s="15" t="str">
        <f t="shared" si="1"/>
        <v>Exceeds Target</v>
      </c>
    </row>
    <row r="1513" spans="2:11" ht="15" customHeight="1">
      <c r="B1513" t="s">
        <v>574</v>
      </c>
      <c r="C1513" t="s">
        <v>1903</v>
      </c>
      <c r="D1513" t="s">
        <v>69</v>
      </c>
      <c r="E1513" t="s">
        <v>70</v>
      </c>
      <c r="F1513" s="17">
        <v>1000</v>
      </c>
      <c r="G1513" s="17">
        <v>85000</v>
      </c>
      <c r="H1513" s="17">
        <v>84000</v>
      </c>
      <c r="I1513" s="18">
        <v>0.98</v>
      </c>
      <c r="J1513" s="14">
        <f t="shared" si="0"/>
        <v>84</v>
      </c>
      <c r="K1513" s="15" t="str">
        <f t="shared" si="1"/>
        <v>Exceeds Target</v>
      </c>
    </row>
    <row r="1514" spans="2:11" ht="15" customHeight="1">
      <c r="B1514" t="s">
        <v>214</v>
      </c>
      <c r="C1514" t="s">
        <v>1904</v>
      </c>
      <c r="D1514" t="s">
        <v>35</v>
      </c>
      <c r="E1514" t="s">
        <v>27</v>
      </c>
      <c r="F1514" s="17">
        <v>3000</v>
      </c>
      <c r="G1514" s="17">
        <v>140000</v>
      </c>
      <c r="H1514" s="17">
        <v>137000</v>
      </c>
      <c r="I1514" s="18">
        <v>0.71</v>
      </c>
      <c r="J1514" s="14">
        <f t="shared" si="0"/>
        <v>45.666666666666664</v>
      </c>
      <c r="K1514" s="15" t="str">
        <f t="shared" si="1"/>
        <v>Exceeds Target</v>
      </c>
    </row>
    <row r="1515" spans="2:11" ht="15" customHeight="1">
      <c r="B1515" t="s">
        <v>199</v>
      </c>
      <c r="C1515" t="s">
        <v>1905</v>
      </c>
      <c r="D1515" t="s">
        <v>32</v>
      </c>
      <c r="E1515" t="s">
        <v>27</v>
      </c>
      <c r="F1515" s="17">
        <v>1500</v>
      </c>
      <c r="G1515" s="17">
        <v>40000</v>
      </c>
      <c r="H1515" s="17">
        <v>38500</v>
      </c>
      <c r="I1515" s="18">
        <v>0.25</v>
      </c>
      <c r="J1515" s="14">
        <f t="shared" si="0"/>
        <v>25.666666666666668</v>
      </c>
      <c r="K1515" s="15" t="str">
        <f t="shared" si="1"/>
        <v>Exceeds Target</v>
      </c>
    </row>
    <row r="1516" spans="2:11" ht="15" customHeight="1">
      <c r="B1516" t="s">
        <v>642</v>
      </c>
      <c r="C1516" t="s">
        <v>1906</v>
      </c>
      <c r="D1516" t="s">
        <v>69</v>
      </c>
      <c r="E1516" t="s">
        <v>70</v>
      </c>
      <c r="F1516" s="17">
        <v>1000</v>
      </c>
      <c r="G1516" s="17">
        <v>35000</v>
      </c>
      <c r="H1516" s="17">
        <v>34000</v>
      </c>
      <c r="I1516" s="18">
        <v>0.55000000000000004</v>
      </c>
      <c r="J1516" s="14">
        <f t="shared" si="0"/>
        <v>34</v>
      </c>
      <c r="K1516" s="15" t="str">
        <f t="shared" si="1"/>
        <v>Exceeds Target</v>
      </c>
    </row>
    <row r="1517" spans="2:11" ht="15" customHeight="1">
      <c r="B1517" t="s">
        <v>553</v>
      </c>
      <c r="C1517" t="s">
        <v>1907</v>
      </c>
      <c r="D1517" t="s">
        <v>26</v>
      </c>
      <c r="E1517" t="s">
        <v>27</v>
      </c>
      <c r="F1517" s="17">
        <v>5000</v>
      </c>
      <c r="G1517" s="17">
        <v>90000</v>
      </c>
      <c r="H1517" s="17">
        <v>85000</v>
      </c>
      <c r="I1517" s="18">
        <v>0.14000000000000001</v>
      </c>
      <c r="J1517" s="14">
        <f t="shared" si="0"/>
        <v>17</v>
      </c>
      <c r="K1517" s="15" t="str">
        <f t="shared" si="1"/>
        <v>Exceeds Target</v>
      </c>
    </row>
    <row r="1518" spans="2:11" ht="15" customHeight="1">
      <c r="B1518" t="s">
        <v>687</v>
      </c>
      <c r="C1518" t="s">
        <v>1908</v>
      </c>
      <c r="D1518" t="s">
        <v>32</v>
      </c>
      <c r="E1518" t="s">
        <v>27</v>
      </c>
      <c r="F1518" s="17">
        <v>1500</v>
      </c>
      <c r="G1518" s="17">
        <v>50000</v>
      </c>
      <c r="H1518" s="17">
        <v>48500</v>
      </c>
      <c r="I1518" s="18">
        <v>0.93</v>
      </c>
      <c r="J1518" s="14">
        <f t="shared" si="0"/>
        <v>32.333333333333336</v>
      </c>
      <c r="K1518" s="15" t="str">
        <f t="shared" si="1"/>
        <v>Exceeds Target</v>
      </c>
    </row>
    <row r="1519" spans="2:11" ht="15" customHeight="1">
      <c r="B1519" t="s">
        <v>608</v>
      </c>
      <c r="C1519" t="s">
        <v>1909</v>
      </c>
      <c r="D1519" t="s">
        <v>69</v>
      </c>
      <c r="E1519" t="s">
        <v>70</v>
      </c>
      <c r="F1519" s="17">
        <v>1000</v>
      </c>
      <c r="G1519" s="17">
        <v>120000</v>
      </c>
      <c r="H1519" s="17">
        <v>119000</v>
      </c>
      <c r="I1519" s="18">
        <v>0.36</v>
      </c>
      <c r="J1519" s="14">
        <f t="shared" si="0"/>
        <v>119</v>
      </c>
      <c r="K1519" s="15" t="str">
        <f t="shared" si="1"/>
        <v>Exceeds Target</v>
      </c>
    </row>
    <row r="1520" spans="2:11" ht="15" customHeight="1">
      <c r="B1520" t="s">
        <v>794</v>
      </c>
      <c r="C1520" t="s">
        <v>1910</v>
      </c>
      <c r="D1520" t="s">
        <v>80</v>
      </c>
      <c r="E1520" t="s">
        <v>27</v>
      </c>
      <c r="F1520" s="17">
        <v>1000</v>
      </c>
      <c r="G1520" s="17">
        <v>96000</v>
      </c>
      <c r="H1520" s="17">
        <v>95000</v>
      </c>
      <c r="I1520" s="18">
        <v>0.96</v>
      </c>
      <c r="J1520" s="14">
        <f t="shared" si="0"/>
        <v>95</v>
      </c>
      <c r="K1520" s="15" t="str">
        <f t="shared" si="1"/>
        <v>Exceeds Target</v>
      </c>
    </row>
    <row r="1521" spans="2:11" ht="15" customHeight="1">
      <c r="B1521" t="s">
        <v>760</v>
      </c>
      <c r="C1521" t="s">
        <v>1911</v>
      </c>
      <c r="D1521" t="s">
        <v>35</v>
      </c>
      <c r="E1521" t="s">
        <v>27</v>
      </c>
      <c r="F1521" s="17">
        <v>3000</v>
      </c>
      <c r="G1521" s="17">
        <v>170000</v>
      </c>
      <c r="H1521" s="17">
        <v>167000</v>
      </c>
      <c r="I1521" s="18">
        <v>0.8</v>
      </c>
      <c r="J1521" s="14">
        <f t="shared" si="0"/>
        <v>55.666666666666664</v>
      </c>
      <c r="K1521" s="15" t="str">
        <f t="shared" si="1"/>
        <v>Exceeds Target</v>
      </c>
    </row>
    <row r="1522" spans="2:11" ht="15" customHeight="1">
      <c r="B1522" t="s">
        <v>426</v>
      </c>
      <c r="C1522" t="s">
        <v>1912</v>
      </c>
      <c r="D1522" t="s">
        <v>32</v>
      </c>
      <c r="E1522" t="s">
        <v>27</v>
      </c>
      <c r="F1522" s="17">
        <v>1500</v>
      </c>
      <c r="G1522" s="17">
        <v>56000</v>
      </c>
      <c r="H1522" s="17">
        <v>54500</v>
      </c>
      <c r="I1522" s="18">
        <v>0.93</v>
      </c>
      <c r="J1522" s="14">
        <f t="shared" si="0"/>
        <v>36.333333333333336</v>
      </c>
      <c r="K1522" s="15" t="str">
        <f t="shared" si="1"/>
        <v>Exceeds Target</v>
      </c>
    </row>
    <row r="1523" spans="2:11" ht="15" customHeight="1">
      <c r="B1523" t="s">
        <v>155</v>
      </c>
      <c r="C1523" t="s">
        <v>1913</v>
      </c>
      <c r="D1523" t="s">
        <v>69</v>
      </c>
      <c r="E1523" t="s">
        <v>70</v>
      </c>
      <c r="F1523" s="17">
        <v>1000</v>
      </c>
      <c r="G1523" s="17">
        <v>150000</v>
      </c>
      <c r="H1523" s="17">
        <v>149000</v>
      </c>
      <c r="I1523" s="18">
        <v>0.57999999999999996</v>
      </c>
      <c r="J1523" s="14">
        <f t="shared" si="0"/>
        <v>149</v>
      </c>
      <c r="K1523" s="15" t="str">
        <f t="shared" si="1"/>
        <v>Exceeds Target</v>
      </c>
    </row>
    <row r="1524" spans="2:11" ht="15" customHeight="1">
      <c r="B1524" t="s">
        <v>137</v>
      </c>
      <c r="C1524" t="s">
        <v>1914</v>
      </c>
      <c r="D1524" t="s">
        <v>69</v>
      </c>
      <c r="E1524" t="s">
        <v>70</v>
      </c>
      <c r="F1524" s="17">
        <v>1000</v>
      </c>
      <c r="G1524" s="17">
        <v>115000</v>
      </c>
      <c r="H1524" s="17">
        <v>114000</v>
      </c>
      <c r="I1524" s="18">
        <v>0.83</v>
      </c>
      <c r="J1524" s="14">
        <f t="shared" si="0"/>
        <v>114</v>
      </c>
      <c r="K1524" s="15" t="str">
        <f t="shared" si="1"/>
        <v>Exceeds Target</v>
      </c>
    </row>
    <row r="1525" spans="2:11" ht="15" customHeight="1">
      <c r="B1525" t="s">
        <v>769</v>
      </c>
      <c r="C1525" t="s">
        <v>1915</v>
      </c>
      <c r="D1525" t="s">
        <v>69</v>
      </c>
      <c r="E1525" t="s">
        <v>70</v>
      </c>
      <c r="F1525" s="17">
        <v>1000</v>
      </c>
      <c r="G1525" s="17">
        <v>55000</v>
      </c>
      <c r="H1525" s="17">
        <v>54000</v>
      </c>
      <c r="I1525" s="18">
        <v>0.27</v>
      </c>
      <c r="J1525" s="14">
        <f t="shared" si="0"/>
        <v>54</v>
      </c>
      <c r="K1525" s="15" t="str">
        <f t="shared" si="1"/>
        <v>Exceeds Target</v>
      </c>
    </row>
    <row r="1526" spans="2:11" ht="15" customHeight="1">
      <c r="B1526" t="s">
        <v>163</v>
      </c>
      <c r="C1526" t="s">
        <v>1916</v>
      </c>
      <c r="D1526" t="s">
        <v>69</v>
      </c>
      <c r="E1526" t="s">
        <v>70</v>
      </c>
      <c r="F1526" s="17">
        <v>1000</v>
      </c>
      <c r="G1526" s="17">
        <v>40000</v>
      </c>
      <c r="H1526" s="17">
        <v>39000</v>
      </c>
      <c r="I1526" s="18">
        <v>0.21</v>
      </c>
      <c r="J1526" s="14">
        <f t="shared" si="0"/>
        <v>39</v>
      </c>
      <c r="K1526" s="15" t="str">
        <f t="shared" si="1"/>
        <v>Exceeds Target</v>
      </c>
    </row>
    <row r="1527" spans="2:11" ht="15" customHeight="1">
      <c r="B1527" t="s">
        <v>555</v>
      </c>
      <c r="C1527" t="s">
        <v>1917</v>
      </c>
      <c r="D1527" t="s">
        <v>26</v>
      </c>
      <c r="E1527" t="s">
        <v>27</v>
      </c>
      <c r="F1527" s="17">
        <v>5000</v>
      </c>
      <c r="G1527" s="17">
        <v>90000</v>
      </c>
      <c r="H1527" s="17">
        <v>85000</v>
      </c>
      <c r="I1527" s="18">
        <v>0.33</v>
      </c>
      <c r="J1527" s="14">
        <f t="shared" si="0"/>
        <v>17</v>
      </c>
      <c r="K1527" s="15" t="str">
        <f t="shared" si="1"/>
        <v>Exceeds Target</v>
      </c>
    </row>
    <row r="1528" spans="2:11" ht="15" customHeight="1">
      <c r="B1528" t="s">
        <v>459</v>
      </c>
      <c r="C1528" t="s">
        <v>1918</v>
      </c>
      <c r="D1528" t="s">
        <v>32</v>
      </c>
      <c r="E1528" t="s">
        <v>27</v>
      </c>
      <c r="F1528" s="17">
        <v>1500</v>
      </c>
      <c r="G1528" s="17">
        <v>60000</v>
      </c>
      <c r="H1528" s="17">
        <v>58500</v>
      </c>
      <c r="I1528" s="18">
        <v>0.66</v>
      </c>
      <c r="J1528" s="14">
        <f t="shared" si="0"/>
        <v>39</v>
      </c>
      <c r="K1528" s="15" t="str">
        <f t="shared" si="1"/>
        <v>Exceeds Target</v>
      </c>
    </row>
    <row r="1529" spans="2:11" ht="15" customHeight="1">
      <c r="B1529" t="s">
        <v>169</v>
      </c>
      <c r="C1529" t="s">
        <v>1919</v>
      </c>
      <c r="D1529" t="s">
        <v>69</v>
      </c>
      <c r="E1529" t="s">
        <v>70</v>
      </c>
      <c r="F1529" s="17">
        <v>1000</v>
      </c>
      <c r="G1529" s="17">
        <v>120000</v>
      </c>
      <c r="H1529" s="17">
        <v>119000</v>
      </c>
      <c r="I1529" s="18">
        <v>0.86</v>
      </c>
      <c r="J1529" s="14">
        <f t="shared" si="0"/>
        <v>119</v>
      </c>
      <c r="K1529" s="15" t="str">
        <f t="shared" si="1"/>
        <v>Exceeds Target</v>
      </c>
    </row>
    <row r="1530" spans="2:11" ht="15" customHeight="1">
      <c r="B1530" t="s">
        <v>426</v>
      </c>
      <c r="C1530" t="s">
        <v>1920</v>
      </c>
      <c r="D1530" t="s">
        <v>80</v>
      </c>
      <c r="E1530" t="s">
        <v>27</v>
      </c>
      <c r="F1530" s="17">
        <v>1000</v>
      </c>
      <c r="G1530" s="17">
        <v>99000</v>
      </c>
      <c r="H1530" s="17">
        <v>98000</v>
      </c>
      <c r="I1530" s="18">
        <v>0.64</v>
      </c>
      <c r="J1530" s="14">
        <f t="shared" si="0"/>
        <v>98</v>
      </c>
      <c r="K1530" s="15" t="str">
        <f t="shared" si="1"/>
        <v>Exceeds Target</v>
      </c>
    </row>
    <row r="1531" spans="2:11" ht="15" customHeight="1">
      <c r="B1531" t="s">
        <v>857</v>
      </c>
      <c r="C1531" t="s">
        <v>1921</v>
      </c>
      <c r="D1531" t="s">
        <v>80</v>
      </c>
      <c r="E1531" t="s">
        <v>27</v>
      </c>
      <c r="F1531" s="17">
        <v>1000</v>
      </c>
      <c r="G1531" s="17">
        <v>75000</v>
      </c>
      <c r="H1531" s="17">
        <v>74000</v>
      </c>
      <c r="I1531" s="18">
        <v>0.98</v>
      </c>
      <c r="J1531" s="14">
        <f t="shared" si="0"/>
        <v>74</v>
      </c>
      <c r="K1531" s="15" t="str">
        <f t="shared" si="1"/>
        <v>Exceeds Target</v>
      </c>
    </row>
    <row r="1532" spans="2:11" ht="15" customHeight="1">
      <c r="B1532" t="s">
        <v>446</v>
      </c>
      <c r="C1532" t="s">
        <v>1922</v>
      </c>
      <c r="D1532" t="s">
        <v>69</v>
      </c>
      <c r="E1532" t="s">
        <v>70</v>
      </c>
      <c r="F1532" s="17">
        <v>1000</v>
      </c>
      <c r="G1532" s="17">
        <v>150000</v>
      </c>
      <c r="H1532" s="17">
        <v>149000</v>
      </c>
      <c r="I1532" s="18">
        <v>0.6</v>
      </c>
      <c r="J1532" s="14">
        <f t="shared" si="0"/>
        <v>149</v>
      </c>
      <c r="K1532" s="15" t="str">
        <f t="shared" si="1"/>
        <v>Exceeds Target</v>
      </c>
    </row>
    <row r="1533" spans="2:11" ht="15" customHeight="1">
      <c r="B1533" t="s">
        <v>730</v>
      </c>
      <c r="C1533" t="s">
        <v>1923</v>
      </c>
      <c r="D1533" t="s">
        <v>69</v>
      </c>
      <c r="E1533" t="s">
        <v>70</v>
      </c>
      <c r="F1533" s="17">
        <v>1000</v>
      </c>
      <c r="G1533" s="17">
        <v>55000</v>
      </c>
      <c r="H1533" s="17">
        <v>54000</v>
      </c>
      <c r="I1533" s="18">
        <v>0.99</v>
      </c>
      <c r="J1533" s="14">
        <f t="shared" si="0"/>
        <v>54</v>
      </c>
      <c r="K1533" s="15" t="str">
        <f t="shared" si="1"/>
        <v>Exceeds Target</v>
      </c>
    </row>
    <row r="1534" spans="2:11" ht="15" customHeight="1">
      <c r="B1534" t="s">
        <v>459</v>
      </c>
      <c r="C1534" t="s">
        <v>1924</v>
      </c>
      <c r="D1534" t="s">
        <v>69</v>
      </c>
      <c r="E1534" t="s">
        <v>70</v>
      </c>
      <c r="F1534" s="17">
        <v>1000</v>
      </c>
      <c r="G1534" s="17">
        <v>125000</v>
      </c>
      <c r="H1534" s="17">
        <v>124000</v>
      </c>
      <c r="I1534" s="18">
        <v>0.37</v>
      </c>
      <c r="J1534" s="14">
        <f t="shared" si="0"/>
        <v>124</v>
      </c>
      <c r="K1534" s="15" t="str">
        <f t="shared" si="1"/>
        <v>Exceeds Target</v>
      </c>
    </row>
    <row r="1535" spans="2:11" ht="15" customHeight="1">
      <c r="B1535" t="s">
        <v>939</v>
      </c>
      <c r="C1535" t="s">
        <v>1925</v>
      </c>
      <c r="D1535" t="s">
        <v>69</v>
      </c>
      <c r="E1535" t="s">
        <v>70</v>
      </c>
      <c r="F1535" s="17">
        <v>1000</v>
      </c>
      <c r="G1535" s="17">
        <v>120000</v>
      </c>
      <c r="H1535" s="17">
        <v>119000</v>
      </c>
      <c r="I1535" s="18">
        <v>0.85</v>
      </c>
      <c r="J1535" s="14">
        <f t="shared" si="0"/>
        <v>119</v>
      </c>
      <c r="K1535" s="15" t="str">
        <f t="shared" si="1"/>
        <v>Exceeds Target</v>
      </c>
    </row>
    <row r="1536" spans="2:11" ht="15" customHeight="1">
      <c r="B1536" t="s">
        <v>824</v>
      </c>
      <c r="C1536" t="s">
        <v>1926</v>
      </c>
      <c r="D1536" t="s">
        <v>69</v>
      </c>
      <c r="E1536" t="s">
        <v>70</v>
      </c>
      <c r="F1536" s="17">
        <v>1000</v>
      </c>
      <c r="G1536" s="17">
        <v>100000</v>
      </c>
      <c r="H1536" s="17">
        <v>99000</v>
      </c>
      <c r="I1536" s="18">
        <v>0.56000000000000005</v>
      </c>
      <c r="J1536" s="14">
        <f t="shared" si="0"/>
        <v>99</v>
      </c>
      <c r="K1536" s="15" t="str">
        <f t="shared" si="1"/>
        <v>Exceeds Target</v>
      </c>
    </row>
    <row r="1537" spans="2:11" ht="15" customHeight="1">
      <c r="B1537" t="s">
        <v>315</v>
      </c>
      <c r="C1537" t="s">
        <v>1927</v>
      </c>
      <c r="D1537" t="s">
        <v>26</v>
      </c>
      <c r="E1537" t="s">
        <v>27</v>
      </c>
      <c r="F1537" s="17">
        <v>5000</v>
      </c>
      <c r="G1537" s="17">
        <v>150000</v>
      </c>
      <c r="H1537" s="17">
        <v>145000</v>
      </c>
      <c r="I1537" s="18">
        <v>0.3</v>
      </c>
      <c r="J1537" s="14">
        <f t="shared" si="0"/>
        <v>29</v>
      </c>
      <c r="K1537" s="15" t="str">
        <f t="shared" si="1"/>
        <v>Exceeds Target</v>
      </c>
    </row>
    <row r="1538" spans="2:11" ht="15" customHeight="1">
      <c r="B1538" t="s">
        <v>1604</v>
      </c>
      <c r="C1538" t="s">
        <v>1928</v>
      </c>
      <c r="D1538" t="s">
        <v>26</v>
      </c>
      <c r="E1538" t="s">
        <v>27</v>
      </c>
      <c r="F1538" s="17">
        <v>5000</v>
      </c>
      <c r="G1538" s="17">
        <v>120000</v>
      </c>
      <c r="H1538" s="17">
        <v>115000</v>
      </c>
      <c r="I1538" s="18">
        <v>0.28000000000000003</v>
      </c>
      <c r="J1538" s="14">
        <f t="shared" si="0"/>
        <v>23</v>
      </c>
      <c r="K1538" s="15" t="str">
        <f t="shared" si="1"/>
        <v>Exceeds Target</v>
      </c>
    </row>
    <row r="1539" spans="2:11" ht="15" customHeight="1">
      <c r="B1539" t="s">
        <v>734</v>
      </c>
      <c r="C1539" t="s">
        <v>1929</v>
      </c>
      <c r="D1539" t="s">
        <v>35</v>
      </c>
      <c r="E1539" t="s">
        <v>27</v>
      </c>
      <c r="F1539" s="17">
        <v>3000</v>
      </c>
      <c r="G1539" s="17">
        <v>210000</v>
      </c>
      <c r="H1539" s="17">
        <v>207000</v>
      </c>
      <c r="I1539" s="18">
        <v>0.32</v>
      </c>
      <c r="J1539" s="14">
        <f t="shared" si="0"/>
        <v>69</v>
      </c>
      <c r="K1539" s="15" t="str">
        <f t="shared" si="1"/>
        <v>Exceeds Target</v>
      </c>
    </row>
    <row r="1540" spans="2:11" ht="15" customHeight="1">
      <c r="B1540" t="s">
        <v>356</v>
      </c>
      <c r="C1540" t="s">
        <v>1930</v>
      </c>
      <c r="D1540" t="s">
        <v>32</v>
      </c>
      <c r="E1540" t="s">
        <v>27</v>
      </c>
      <c r="F1540" s="17">
        <v>1500</v>
      </c>
      <c r="G1540" s="17">
        <v>26000</v>
      </c>
      <c r="H1540" s="17">
        <v>24500</v>
      </c>
      <c r="I1540" s="18">
        <v>0.56000000000000005</v>
      </c>
      <c r="J1540" s="14">
        <f t="shared" si="0"/>
        <v>16.333333333333332</v>
      </c>
      <c r="K1540" s="15" t="str">
        <f t="shared" si="1"/>
        <v>Exceeds Target</v>
      </c>
    </row>
    <row r="1541" spans="2:11" ht="15" customHeight="1">
      <c r="B1541" t="s">
        <v>446</v>
      </c>
      <c r="C1541" t="s">
        <v>1931</v>
      </c>
      <c r="D1541" t="s">
        <v>35</v>
      </c>
      <c r="E1541" t="s">
        <v>27</v>
      </c>
      <c r="F1541" s="17">
        <v>3000</v>
      </c>
      <c r="G1541" s="17">
        <v>300000</v>
      </c>
      <c r="H1541" s="17">
        <v>297000</v>
      </c>
      <c r="I1541" s="18">
        <v>0.39</v>
      </c>
      <c r="J1541" s="14">
        <f t="shared" si="0"/>
        <v>99</v>
      </c>
      <c r="K1541" s="15" t="str">
        <f t="shared" si="1"/>
        <v>Exceeds Target</v>
      </c>
    </row>
    <row r="1542" spans="2:11" ht="15" customHeight="1">
      <c r="B1542" t="s">
        <v>1305</v>
      </c>
      <c r="C1542" t="s">
        <v>1932</v>
      </c>
      <c r="D1542" t="s">
        <v>26</v>
      </c>
      <c r="E1542" t="s">
        <v>27</v>
      </c>
      <c r="F1542" s="17">
        <v>5000</v>
      </c>
      <c r="G1542" s="17">
        <v>150000</v>
      </c>
      <c r="H1542" s="17">
        <v>145000</v>
      </c>
      <c r="I1542" s="18">
        <v>0.24</v>
      </c>
      <c r="J1542" s="14">
        <f t="shared" si="0"/>
        <v>29</v>
      </c>
      <c r="K1542" s="15" t="str">
        <f t="shared" si="1"/>
        <v>Exceeds Target</v>
      </c>
    </row>
    <row r="1543" spans="2:11" ht="15" customHeight="1">
      <c r="B1543" t="s">
        <v>87</v>
      </c>
      <c r="C1543" t="s">
        <v>1933</v>
      </c>
      <c r="D1543" t="s">
        <v>32</v>
      </c>
      <c r="E1543" t="s">
        <v>27</v>
      </c>
      <c r="F1543" s="17">
        <v>1500</v>
      </c>
      <c r="G1543" s="17">
        <v>16000</v>
      </c>
      <c r="H1543" s="17">
        <v>14500</v>
      </c>
      <c r="I1543" s="18">
        <v>0.56000000000000005</v>
      </c>
      <c r="J1543" s="14">
        <f t="shared" si="0"/>
        <v>9.6666666666666661</v>
      </c>
      <c r="K1543" s="15" t="str">
        <f t="shared" si="1"/>
        <v>Exceeds Target</v>
      </c>
    </row>
    <row r="1544" spans="2:11" ht="15" customHeight="1">
      <c r="B1544" t="s">
        <v>76</v>
      </c>
      <c r="C1544" t="s">
        <v>1934</v>
      </c>
      <c r="D1544" t="s">
        <v>32</v>
      </c>
      <c r="E1544" t="s">
        <v>27</v>
      </c>
      <c r="F1544" s="17">
        <v>1500</v>
      </c>
      <c r="G1544" s="17">
        <v>50000</v>
      </c>
      <c r="H1544" s="17">
        <v>48500</v>
      </c>
      <c r="I1544" s="18">
        <v>0.65</v>
      </c>
      <c r="J1544" s="14">
        <f t="shared" si="0"/>
        <v>32.333333333333336</v>
      </c>
      <c r="K1544" s="15" t="str">
        <f t="shared" si="1"/>
        <v>Exceeds Target</v>
      </c>
    </row>
    <row r="1545" spans="2:11" ht="15" customHeight="1">
      <c r="B1545" t="s">
        <v>1055</v>
      </c>
      <c r="C1545" t="s">
        <v>1935</v>
      </c>
      <c r="D1545" t="s">
        <v>80</v>
      </c>
      <c r="E1545" t="s">
        <v>27</v>
      </c>
      <c r="F1545" s="17">
        <v>1000</v>
      </c>
      <c r="G1545" s="17">
        <v>78000</v>
      </c>
      <c r="H1545" s="17">
        <v>77000</v>
      </c>
      <c r="I1545" s="18">
        <v>0.79</v>
      </c>
      <c r="J1545" s="14">
        <f t="shared" si="0"/>
        <v>77</v>
      </c>
      <c r="K1545" s="15" t="str">
        <f t="shared" si="1"/>
        <v>Exceeds Target</v>
      </c>
    </row>
    <row r="1546" spans="2:11" ht="15" customHeight="1">
      <c r="B1546" t="s">
        <v>384</v>
      </c>
      <c r="C1546" t="s">
        <v>1936</v>
      </c>
      <c r="D1546" t="s">
        <v>32</v>
      </c>
      <c r="E1546" t="s">
        <v>27</v>
      </c>
      <c r="F1546" s="17">
        <v>1500</v>
      </c>
      <c r="G1546" s="17">
        <v>26000</v>
      </c>
      <c r="H1546" s="17">
        <v>24500</v>
      </c>
      <c r="I1546" s="18">
        <v>0.3</v>
      </c>
      <c r="J1546" s="14">
        <f t="shared" si="0"/>
        <v>16.333333333333332</v>
      </c>
      <c r="K1546" s="15" t="str">
        <f t="shared" si="1"/>
        <v>Exceeds Target</v>
      </c>
    </row>
    <row r="1547" spans="2:11" ht="15" customHeight="1">
      <c r="B1547" t="s">
        <v>1937</v>
      </c>
      <c r="C1547" t="s">
        <v>1938</v>
      </c>
      <c r="D1547" t="s">
        <v>26</v>
      </c>
      <c r="E1547" t="s">
        <v>27</v>
      </c>
      <c r="F1547" s="17">
        <v>5000</v>
      </c>
      <c r="G1547" s="17">
        <v>120000</v>
      </c>
      <c r="H1547" s="17">
        <v>115000</v>
      </c>
      <c r="I1547" s="18">
        <v>0.18</v>
      </c>
      <c r="J1547" s="14">
        <f t="shared" si="0"/>
        <v>23</v>
      </c>
      <c r="K1547" s="15" t="str">
        <f t="shared" si="1"/>
        <v>Exceeds Target</v>
      </c>
    </row>
    <row r="1548" spans="2:11" ht="15" customHeight="1">
      <c r="B1548" t="s">
        <v>457</v>
      </c>
      <c r="C1548" t="s">
        <v>1939</v>
      </c>
      <c r="D1548" t="s">
        <v>26</v>
      </c>
      <c r="E1548" t="s">
        <v>27</v>
      </c>
      <c r="F1548" s="17">
        <v>5000</v>
      </c>
      <c r="G1548" s="17">
        <v>90000</v>
      </c>
      <c r="H1548" s="17">
        <v>85000</v>
      </c>
      <c r="I1548" s="18">
        <v>0.28000000000000003</v>
      </c>
      <c r="J1548" s="14">
        <f t="shared" si="0"/>
        <v>17</v>
      </c>
      <c r="K1548" s="15" t="str">
        <f t="shared" si="1"/>
        <v>Exceeds Target</v>
      </c>
    </row>
    <row r="1549" spans="2:11" ht="15" customHeight="1">
      <c r="B1549" t="s">
        <v>190</v>
      </c>
      <c r="C1549" t="s">
        <v>1940</v>
      </c>
      <c r="D1549" t="s">
        <v>69</v>
      </c>
      <c r="E1549" t="s">
        <v>70</v>
      </c>
      <c r="F1549" s="17">
        <v>1000</v>
      </c>
      <c r="G1549" s="17">
        <v>85000</v>
      </c>
      <c r="H1549" s="17">
        <v>84000</v>
      </c>
      <c r="I1549" s="18">
        <v>0.74</v>
      </c>
      <c r="J1549" s="14">
        <f t="shared" si="0"/>
        <v>84</v>
      </c>
      <c r="K1549" s="15" t="str">
        <f t="shared" si="1"/>
        <v>Exceeds Target</v>
      </c>
    </row>
    <row r="1550" spans="2:11" ht="15" customHeight="1">
      <c r="B1550" t="s">
        <v>450</v>
      </c>
      <c r="C1550" t="s">
        <v>1941</v>
      </c>
      <c r="D1550" t="s">
        <v>69</v>
      </c>
      <c r="E1550" t="s">
        <v>70</v>
      </c>
      <c r="F1550" s="17">
        <v>1000</v>
      </c>
      <c r="G1550" s="17">
        <v>90000</v>
      </c>
      <c r="H1550" s="17">
        <v>89000</v>
      </c>
      <c r="I1550" s="18">
        <v>0.72</v>
      </c>
      <c r="J1550" s="14">
        <f t="shared" si="0"/>
        <v>89</v>
      </c>
      <c r="K1550" s="15" t="str">
        <f t="shared" si="1"/>
        <v>Exceeds Target</v>
      </c>
    </row>
    <row r="1551" spans="2:11" ht="15" customHeight="1">
      <c r="B1551" t="s">
        <v>343</v>
      </c>
      <c r="C1551" t="s">
        <v>1942</v>
      </c>
      <c r="D1551" t="s">
        <v>32</v>
      </c>
      <c r="E1551" t="s">
        <v>27</v>
      </c>
      <c r="F1551" s="17">
        <v>1500</v>
      </c>
      <c r="G1551" s="17">
        <v>30000</v>
      </c>
      <c r="H1551" s="17">
        <v>28500</v>
      </c>
      <c r="I1551" s="18">
        <v>0.55000000000000004</v>
      </c>
      <c r="J1551" s="14">
        <f t="shared" si="0"/>
        <v>19</v>
      </c>
      <c r="K1551" s="15" t="str">
        <f t="shared" si="1"/>
        <v>Exceeds Target</v>
      </c>
    </row>
    <row r="1552" spans="2:11" ht="15" customHeight="1">
      <c r="B1552" t="s">
        <v>818</v>
      </c>
      <c r="C1552" t="s">
        <v>1943</v>
      </c>
      <c r="D1552" t="s">
        <v>69</v>
      </c>
      <c r="E1552" t="s">
        <v>70</v>
      </c>
      <c r="F1552" s="17">
        <v>1000</v>
      </c>
      <c r="G1552" s="17">
        <v>95000</v>
      </c>
      <c r="H1552" s="17">
        <v>94000</v>
      </c>
      <c r="I1552" s="18">
        <v>0.24</v>
      </c>
      <c r="J1552" s="14">
        <f t="shared" si="0"/>
        <v>94</v>
      </c>
      <c r="K1552" s="15" t="str">
        <f t="shared" si="1"/>
        <v>Exceeds Target</v>
      </c>
    </row>
    <row r="1553" spans="2:11" ht="15" customHeight="1">
      <c r="B1553" t="s">
        <v>505</v>
      </c>
      <c r="C1553" t="s">
        <v>1944</v>
      </c>
      <c r="D1553" t="s">
        <v>35</v>
      </c>
      <c r="E1553" t="s">
        <v>27</v>
      </c>
      <c r="F1553" s="17">
        <v>3000</v>
      </c>
      <c r="G1553" s="17">
        <v>70000</v>
      </c>
      <c r="H1553" s="17">
        <v>67000</v>
      </c>
      <c r="I1553" s="18">
        <v>0.94</v>
      </c>
      <c r="J1553" s="14">
        <f t="shared" si="0"/>
        <v>22.333333333333332</v>
      </c>
      <c r="K1553" s="15" t="str">
        <f t="shared" si="1"/>
        <v>Exceeds Target</v>
      </c>
    </row>
    <row r="1554" spans="2:11" ht="15" customHeight="1">
      <c r="B1554" t="s">
        <v>54</v>
      </c>
      <c r="C1554" t="s">
        <v>1945</v>
      </c>
      <c r="D1554" t="s">
        <v>35</v>
      </c>
      <c r="E1554" t="s">
        <v>27</v>
      </c>
      <c r="F1554" s="17">
        <v>3000</v>
      </c>
      <c r="G1554" s="17">
        <v>200000</v>
      </c>
      <c r="H1554" s="17">
        <v>197000</v>
      </c>
      <c r="I1554" s="18">
        <v>0.93</v>
      </c>
      <c r="J1554" s="14">
        <f t="shared" si="0"/>
        <v>65.666666666666671</v>
      </c>
      <c r="K1554" s="15" t="str">
        <f t="shared" si="1"/>
        <v>Exceeds Target</v>
      </c>
    </row>
    <row r="1555" spans="2:11" ht="15" customHeight="1">
      <c r="B1555" t="s">
        <v>220</v>
      </c>
      <c r="C1555" t="s">
        <v>1946</v>
      </c>
      <c r="D1555" t="s">
        <v>80</v>
      </c>
      <c r="E1555" t="s">
        <v>27</v>
      </c>
      <c r="F1555" s="17">
        <v>1000</v>
      </c>
      <c r="G1555" s="17">
        <v>60000</v>
      </c>
      <c r="H1555" s="17">
        <v>59000</v>
      </c>
      <c r="I1555" s="18">
        <v>0.92</v>
      </c>
      <c r="J1555" s="14">
        <f t="shared" si="0"/>
        <v>59</v>
      </c>
      <c r="K1555" s="15" t="str">
        <f t="shared" si="1"/>
        <v>Exceeds Target</v>
      </c>
    </row>
    <row r="1556" spans="2:11" ht="15" customHeight="1">
      <c r="B1556" t="s">
        <v>366</v>
      </c>
      <c r="C1556" t="s">
        <v>1947</v>
      </c>
      <c r="D1556" t="s">
        <v>69</v>
      </c>
      <c r="E1556" t="s">
        <v>70</v>
      </c>
      <c r="F1556" s="17">
        <v>1000</v>
      </c>
      <c r="G1556" s="17">
        <v>30000</v>
      </c>
      <c r="H1556" s="17">
        <v>29000</v>
      </c>
      <c r="I1556" s="18">
        <v>0.61</v>
      </c>
      <c r="J1556" s="14">
        <f t="shared" si="0"/>
        <v>29</v>
      </c>
      <c r="K1556" s="15" t="str">
        <f t="shared" si="1"/>
        <v>Exceeds Target</v>
      </c>
    </row>
    <row r="1557" spans="2:11" ht="15" customHeight="1">
      <c r="B1557" t="s">
        <v>818</v>
      </c>
      <c r="C1557" t="s">
        <v>1948</v>
      </c>
      <c r="D1557" t="s">
        <v>80</v>
      </c>
      <c r="E1557" t="s">
        <v>27</v>
      </c>
      <c r="F1557" s="17">
        <v>1000</v>
      </c>
      <c r="G1557" s="17">
        <v>90000</v>
      </c>
      <c r="H1557" s="17">
        <v>89000</v>
      </c>
      <c r="I1557" s="18">
        <v>0.65</v>
      </c>
      <c r="J1557" s="14">
        <f t="shared" si="0"/>
        <v>89</v>
      </c>
      <c r="K1557" s="15" t="str">
        <f t="shared" si="1"/>
        <v>Exceeds Target</v>
      </c>
    </row>
    <row r="1558" spans="2:11" ht="15" customHeight="1">
      <c r="B1558" t="s">
        <v>810</v>
      </c>
      <c r="C1558" t="s">
        <v>1949</v>
      </c>
      <c r="D1558" t="s">
        <v>26</v>
      </c>
      <c r="E1558" t="s">
        <v>27</v>
      </c>
      <c r="F1558" s="17">
        <v>5000</v>
      </c>
      <c r="G1558" s="17">
        <v>150000</v>
      </c>
      <c r="H1558" s="17">
        <v>145000</v>
      </c>
      <c r="I1558" s="18">
        <v>0.11</v>
      </c>
      <c r="J1558" s="14">
        <f t="shared" si="0"/>
        <v>29</v>
      </c>
      <c r="K1558" s="15" t="str">
        <f t="shared" si="1"/>
        <v>Exceeds Target</v>
      </c>
    </row>
    <row r="1559" spans="2:11" ht="15" customHeight="1">
      <c r="B1559" t="s">
        <v>390</v>
      </c>
      <c r="C1559" t="s">
        <v>1950</v>
      </c>
      <c r="D1559" t="s">
        <v>32</v>
      </c>
      <c r="E1559" t="s">
        <v>27</v>
      </c>
      <c r="F1559" s="17">
        <v>1500</v>
      </c>
      <c r="G1559" s="17">
        <v>52000</v>
      </c>
      <c r="H1559" s="17">
        <v>50500</v>
      </c>
      <c r="I1559" s="18">
        <v>0.27</v>
      </c>
      <c r="J1559" s="14">
        <f t="shared" si="0"/>
        <v>33.666666666666664</v>
      </c>
      <c r="K1559" s="15" t="str">
        <f t="shared" si="1"/>
        <v>Exceeds Target</v>
      </c>
    </row>
    <row r="1560" spans="2:11" ht="15" customHeight="1">
      <c r="B1560" t="s">
        <v>694</v>
      </c>
      <c r="C1560" t="s">
        <v>1951</v>
      </c>
      <c r="D1560" t="s">
        <v>32</v>
      </c>
      <c r="E1560" t="s">
        <v>27</v>
      </c>
      <c r="F1560" s="17">
        <v>1500</v>
      </c>
      <c r="G1560" s="17">
        <v>42000</v>
      </c>
      <c r="H1560" s="17">
        <v>40500</v>
      </c>
      <c r="I1560" s="18">
        <v>0.59</v>
      </c>
      <c r="J1560" s="14">
        <f t="shared" si="0"/>
        <v>27</v>
      </c>
      <c r="K1560" s="15" t="str">
        <f t="shared" si="1"/>
        <v>Exceeds Target</v>
      </c>
    </row>
    <row r="1561" spans="2:11" ht="15" customHeight="1">
      <c r="B1561" t="s">
        <v>746</v>
      </c>
      <c r="C1561" t="s">
        <v>1952</v>
      </c>
      <c r="D1561" t="s">
        <v>32</v>
      </c>
      <c r="E1561" t="s">
        <v>27</v>
      </c>
      <c r="F1561" s="17">
        <v>1500</v>
      </c>
      <c r="G1561" s="17">
        <v>20000</v>
      </c>
      <c r="H1561" s="17">
        <v>18500</v>
      </c>
      <c r="I1561" s="18">
        <v>0.91</v>
      </c>
      <c r="J1561" s="14">
        <f t="shared" si="0"/>
        <v>12.333333333333334</v>
      </c>
      <c r="K1561" s="15" t="str">
        <f t="shared" si="1"/>
        <v>Exceeds Target</v>
      </c>
    </row>
    <row r="1562" spans="2:11" ht="15" customHeight="1">
      <c r="B1562" t="s">
        <v>1516</v>
      </c>
      <c r="C1562" t="s">
        <v>1953</v>
      </c>
      <c r="D1562" t="s">
        <v>69</v>
      </c>
      <c r="E1562" t="s">
        <v>70</v>
      </c>
      <c r="F1562" s="17">
        <v>1000</v>
      </c>
      <c r="G1562" s="17">
        <v>35000</v>
      </c>
      <c r="H1562" s="17">
        <v>34000</v>
      </c>
      <c r="I1562" s="18">
        <v>0.93</v>
      </c>
      <c r="J1562" s="14">
        <f t="shared" si="0"/>
        <v>34</v>
      </c>
      <c r="K1562" s="15" t="str">
        <f t="shared" si="1"/>
        <v>Exceeds Target</v>
      </c>
    </row>
    <row r="1563" spans="2:11" ht="15" customHeight="1">
      <c r="B1563" t="s">
        <v>356</v>
      </c>
      <c r="C1563" t="s">
        <v>1954</v>
      </c>
      <c r="D1563" t="s">
        <v>69</v>
      </c>
      <c r="E1563" t="s">
        <v>70</v>
      </c>
      <c r="F1563" s="17">
        <v>1000</v>
      </c>
      <c r="G1563" s="17">
        <v>50000</v>
      </c>
      <c r="H1563" s="17">
        <v>49000</v>
      </c>
      <c r="I1563" s="18">
        <v>0.9</v>
      </c>
      <c r="J1563" s="14">
        <f t="shared" si="0"/>
        <v>49</v>
      </c>
      <c r="K1563" s="15" t="str">
        <f t="shared" si="1"/>
        <v>Exceeds Target</v>
      </c>
    </row>
    <row r="1564" spans="2:11" ht="15" customHeight="1">
      <c r="B1564" t="s">
        <v>205</v>
      </c>
      <c r="C1564" t="s">
        <v>1955</v>
      </c>
      <c r="D1564" t="s">
        <v>35</v>
      </c>
      <c r="E1564" t="s">
        <v>27</v>
      </c>
      <c r="F1564" s="17">
        <v>3000</v>
      </c>
      <c r="G1564" s="17">
        <v>110000</v>
      </c>
      <c r="H1564" s="17">
        <v>107000</v>
      </c>
      <c r="I1564" s="18">
        <v>0.89</v>
      </c>
      <c r="J1564" s="14">
        <f t="shared" si="0"/>
        <v>35.666666666666664</v>
      </c>
      <c r="K1564" s="15" t="str">
        <f t="shared" si="1"/>
        <v>Exceeds Target</v>
      </c>
    </row>
    <row r="1565" spans="2:11" ht="15" customHeight="1">
      <c r="B1565" t="s">
        <v>1477</v>
      </c>
      <c r="C1565" t="s">
        <v>1956</v>
      </c>
      <c r="D1565" t="s">
        <v>80</v>
      </c>
      <c r="E1565" t="s">
        <v>27</v>
      </c>
      <c r="F1565" s="17">
        <v>1000</v>
      </c>
      <c r="G1565" s="17">
        <v>84000</v>
      </c>
      <c r="H1565" s="17">
        <v>83000</v>
      </c>
      <c r="I1565" s="18">
        <v>0.57999999999999996</v>
      </c>
      <c r="J1565" s="14">
        <f t="shared" si="0"/>
        <v>83</v>
      </c>
      <c r="K1565" s="15" t="str">
        <f t="shared" si="1"/>
        <v>Exceeds Target</v>
      </c>
    </row>
    <row r="1566" spans="2:11" ht="15" customHeight="1">
      <c r="B1566" t="s">
        <v>441</v>
      </c>
      <c r="C1566" t="s">
        <v>1957</v>
      </c>
      <c r="D1566" t="s">
        <v>35</v>
      </c>
      <c r="E1566" t="s">
        <v>27</v>
      </c>
      <c r="F1566" s="17">
        <v>3000</v>
      </c>
      <c r="G1566" s="17">
        <v>200000</v>
      </c>
      <c r="H1566" s="17">
        <v>197000</v>
      </c>
      <c r="I1566" s="18">
        <v>0.26</v>
      </c>
      <c r="J1566" s="14">
        <f t="shared" si="0"/>
        <v>65.666666666666671</v>
      </c>
      <c r="K1566" s="15" t="str">
        <f t="shared" si="1"/>
        <v>Exceeds Target</v>
      </c>
    </row>
    <row r="1567" spans="2:11" ht="15" customHeight="1">
      <c r="B1567" t="s">
        <v>327</v>
      </c>
      <c r="C1567" t="s">
        <v>1958</v>
      </c>
      <c r="D1567" t="s">
        <v>35</v>
      </c>
      <c r="E1567" t="s">
        <v>27</v>
      </c>
      <c r="F1567" s="17">
        <v>3000</v>
      </c>
      <c r="G1567" s="17">
        <v>200000</v>
      </c>
      <c r="H1567" s="17">
        <v>197000</v>
      </c>
      <c r="I1567" s="18">
        <v>0.53</v>
      </c>
      <c r="J1567" s="14">
        <f t="shared" si="0"/>
        <v>65.666666666666671</v>
      </c>
      <c r="K1567" s="15" t="str">
        <f t="shared" si="1"/>
        <v>Exceeds Target</v>
      </c>
    </row>
    <row r="1568" spans="2:11" ht="15" customHeight="1">
      <c r="B1568" t="s">
        <v>89</v>
      </c>
      <c r="C1568" t="s">
        <v>1959</v>
      </c>
      <c r="D1568" t="s">
        <v>69</v>
      </c>
      <c r="E1568" t="s">
        <v>70</v>
      </c>
      <c r="F1568" s="17">
        <v>1000</v>
      </c>
      <c r="G1568" s="17">
        <v>95000</v>
      </c>
      <c r="H1568" s="17">
        <v>94000</v>
      </c>
      <c r="I1568" s="18">
        <v>0.36</v>
      </c>
      <c r="J1568" s="14">
        <f t="shared" si="0"/>
        <v>94</v>
      </c>
      <c r="K1568" s="15" t="str">
        <f t="shared" si="1"/>
        <v>Exceeds Target</v>
      </c>
    </row>
    <row r="1569" spans="2:11" ht="15" customHeight="1">
      <c r="B1569" t="s">
        <v>551</v>
      </c>
      <c r="C1569" t="s">
        <v>1960</v>
      </c>
      <c r="D1569" t="s">
        <v>35</v>
      </c>
      <c r="E1569" t="s">
        <v>27</v>
      </c>
      <c r="F1569" s="17">
        <v>3000</v>
      </c>
      <c r="G1569" s="17">
        <v>200000</v>
      </c>
      <c r="H1569" s="17">
        <v>197000</v>
      </c>
      <c r="I1569" s="18">
        <v>0.97</v>
      </c>
      <c r="J1569" s="14">
        <f t="shared" si="0"/>
        <v>65.666666666666671</v>
      </c>
      <c r="K1569" s="15" t="str">
        <f t="shared" si="1"/>
        <v>Exceeds Target</v>
      </c>
    </row>
    <row r="1570" spans="2:11" ht="15" customHeight="1">
      <c r="B1570" t="s">
        <v>462</v>
      </c>
      <c r="C1570" t="s">
        <v>1961</v>
      </c>
      <c r="D1570" t="s">
        <v>35</v>
      </c>
      <c r="E1570" t="s">
        <v>27</v>
      </c>
      <c r="F1570" s="17">
        <v>3000</v>
      </c>
      <c r="G1570" s="17">
        <v>150000</v>
      </c>
      <c r="H1570" s="17">
        <v>147000</v>
      </c>
      <c r="I1570" s="18">
        <v>0.72</v>
      </c>
      <c r="J1570" s="14">
        <f t="shared" si="0"/>
        <v>49</v>
      </c>
      <c r="K1570" s="15" t="str">
        <f t="shared" si="1"/>
        <v>Exceeds Target</v>
      </c>
    </row>
    <row r="1571" spans="2:11" ht="15" customHeight="1">
      <c r="B1571" t="s">
        <v>580</v>
      </c>
      <c r="C1571" t="s">
        <v>1962</v>
      </c>
      <c r="D1571" t="s">
        <v>69</v>
      </c>
      <c r="E1571" t="s">
        <v>70</v>
      </c>
      <c r="F1571" s="17">
        <v>1000</v>
      </c>
      <c r="G1571" s="17">
        <v>115000</v>
      </c>
      <c r="H1571" s="17">
        <v>114000</v>
      </c>
      <c r="I1571" s="18">
        <v>0.92</v>
      </c>
      <c r="J1571" s="14">
        <f t="shared" si="0"/>
        <v>114</v>
      </c>
      <c r="K1571" s="15" t="str">
        <f t="shared" si="1"/>
        <v>Exceeds Target</v>
      </c>
    </row>
    <row r="1572" spans="2:11" ht="15" customHeight="1">
      <c r="B1572" t="s">
        <v>730</v>
      </c>
      <c r="C1572" t="s">
        <v>1963</v>
      </c>
      <c r="D1572" t="s">
        <v>69</v>
      </c>
      <c r="E1572" t="s">
        <v>70</v>
      </c>
      <c r="F1572" s="17">
        <v>1000</v>
      </c>
      <c r="G1572" s="17">
        <v>95000</v>
      </c>
      <c r="H1572" s="17">
        <v>94000</v>
      </c>
      <c r="I1572" s="18">
        <v>0.68</v>
      </c>
      <c r="J1572" s="14">
        <f t="shared" si="0"/>
        <v>94</v>
      </c>
      <c r="K1572" s="15" t="str">
        <f t="shared" si="1"/>
        <v>Exceeds Target</v>
      </c>
    </row>
    <row r="1573" spans="2:11" ht="15" customHeight="1">
      <c r="B1573" t="s">
        <v>178</v>
      </c>
      <c r="C1573" t="s">
        <v>1964</v>
      </c>
      <c r="D1573" t="s">
        <v>80</v>
      </c>
      <c r="E1573" t="s">
        <v>27</v>
      </c>
      <c r="F1573" s="17">
        <v>1000</v>
      </c>
      <c r="G1573" s="17">
        <v>108000</v>
      </c>
      <c r="H1573" s="17">
        <v>107000</v>
      </c>
      <c r="I1573" s="18">
        <v>0.86</v>
      </c>
      <c r="J1573" s="14">
        <f t="shared" si="0"/>
        <v>107</v>
      </c>
      <c r="K1573" s="15" t="str">
        <f t="shared" si="1"/>
        <v>Exceeds Target</v>
      </c>
    </row>
    <row r="1574" spans="2:11" ht="15" customHeight="1">
      <c r="B1574" t="s">
        <v>209</v>
      </c>
      <c r="C1574" t="s">
        <v>1965</v>
      </c>
      <c r="D1574" t="s">
        <v>69</v>
      </c>
      <c r="E1574" t="s">
        <v>70</v>
      </c>
      <c r="F1574" s="17">
        <v>1000</v>
      </c>
      <c r="G1574" s="17">
        <v>115000</v>
      </c>
      <c r="H1574" s="17">
        <v>114000</v>
      </c>
      <c r="I1574" s="18">
        <v>0.38</v>
      </c>
      <c r="J1574" s="14">
        <f t="shared" si="0"/>
        <v>114</v>
      </c>
      <c r="K1574" s="15" t="str">
        <f t="shared" si="1"/>
        <v>Exceeds Target</v>
      </c>
    </row>
    <row r="1575" spans="2:11" ht="15" customHeight="1">
      <c r="B1575" t="s">
        <v>1349</v>
      </c>
      <c r="C1575" t="s">
        <v>1966</v>
      </c>
      <c r="D1575" t="s">
        <v>80</v>
      </c>
      <c r="E1575" t="s">
        <v>27</v>
      </c>
      <c r="F1575" s="17">
        <v>1000</v>
      </c>
      <c r="G1575" s="17">
        <v>78000</v>
      </c>
      <c r="H1575" s="17">
        <v>77000</v>
      </c>
      <c r="I1575" s="18">
        <v>0.77</v>
      </c>
      <c r="J1575" s="14">
        <f t="shared" si="0"/>
        <v>77</v>
      </c>
      <c r="K1575" s="15" t="str">
        <f t="shared" si="1"/>
        <v>Exceeds Target</v>
      </c>
    </row>
    <row r="1576" spans="2:11" ht="15" customHeight="1">
      <c r="B1576" t="s">
        <v>356</v>
      </c>
      <c r="C1576" t="s">
        <v>1967</v>
      </c>
      <c r="D1576" t="s">
        <v>26</v>
      </c>
      <c r="E1576" t="s">
        <v>27</v>
      </c>
      <c r="F1576" s="17">
        <v>5000</v>
      </c>
      <c r="G1576" s="17">
        <v>60000</v>
      </c>
      <c r="H1576" s="17">
        <v>55000</v>
      </c>
      <c r="I1576" s="18">
        <v>7.0000000000000007E-2</v>
      </c>
      <c r="J1576" s="14">
        <f t="shared" si="0"/>
        <v>11</v>
      </c>
      <c r="K1576" s="15" t="str">
        <f t="shared" si="1"/>
        <v>Exceeds Target</v>
      </c>
    </row>
    <row r="1577" spans="2:11" ht="15" customHeight="1">
      <c r="B1577" t="s">
        <v>505</v>
      </c>
      <c r="C1577" t="s">
        <v>1968</v>
      </c>
      <c r="D1577" t="s">
        <v>26</v>
      </c>
      <c r="E1577" t="s">
        <v>27</v>
      </c>
      <c r="F1577" s="17">
        <v>5000</v>
      </c>
      <c r="G1577" s="17">
        <v>90000</v>
      </c>
      <c r="H1577" s="17">
        <v>85000</v>
      </c>
      <c r="I1577" s="18">
        <v>0.11</v>
      </c>
      <c r="J1577" s="14">
        <f t="shared" si="0"/>
        <v>17</v>
      </c>
      <c r="K1577" s="15" t="str">
        <f t="shared" si="1"/>
        <v>Exceeds Target</v>
      </c>
    </row>
    <row r="1578" spans="2:11" ht="15" customHeight="1">
      <c r="B1578" t="s">
        <v>364</v>
      </c>
      <c r="C1578" t="s">
        <v>1969</v>
      </c>
      <c r="D1578" t="s">
        <v>80</v>
      </c>
      <c r="E1578" t="s">
        <v>27</v>
      </c>
      <c r="F1578" s="17">
        <v>1000</v>
      </c>
      <c r="G1578" s="17">
        <v>78000</v>
      </c>
      <c r="H1578" s="17">
        <v>77000</v>
      </c>
      <c r="I1578" s="18">
        <v>0.78</v>
      </c>
      <c r="J1578" s="14">
        <f t="shared" si="0"/>
        <v>77</v>
      </c>
      <c r="K1578" s="15" t="str">
        <f t="shared" si="1"/>
        <v>Exceeds Target</v>
      </c>
    </row>
    <row r="1579" spans="2:11" ht="15" customHeight="1">
      <c r="B1579" t="s">
        <v>1644</v>
      </c>
      <c r="C1579" t="s">
        <v>1970</v>
      </c>
      <c r="D1579" t="s">
        <v>26</v>
      </c>
      <c r="E1579" t="s">
        <v>27</v>
      </c>
      <c r="F1579" s="17">
        <v>5000</v>
      </c>
      <c r="G1579" s="17">
        <v>90000</v>
      </c>
      <c r="H1579" s="17">
        <v>85000</v>
      </c>
      <c r="I1579" s="18">
        <v>0.13</v>
      </c>
      <c r="J1579" s="14">
        <f t="shared" si="0"/>
        <v>17</v>
      </c>
      <c r="K1579" s="15" t="str">
        <f t="shared" si="1"/>
        <v>Exceeds Target</v>
      </c>
    </row>
    <row r="1580" spans="2:11" ht="15" customHeight="1">
      <c r="B1580" t="s">
        <v>111</v>
      </c>
      <c r="C1580" t="s">
        <v>1971</v>
      </c>
      <c r="D1580" t="s">
        <v>32</v>
      </c>
      <c r="E1580" t="s">
        <v>27</v>
      </c>
      <c r="F1580" s="17">
        <v>1500</v>
      </c>
      <c r="G1580" s="17">
        <v>46000</v>
      </c>
      <c r="H1580" s="17">
        <v>44500</v>
      </c>
      <c r="I1580" s="18">
        <v>0.27</v>
      </c>
      <c r="J1580" s="14">
        <f t="shared" si="0"/>
        <v>29.666666666666668</v>
      </c>
      <c r="K1580" s="15" t="str">
        <f t="shared" si="1"/>
        <v>Exceeds Target</v>
      </c>
    </row>
    <row r="1581" spans="2:11" ht="15" customHeight="1">
      <c r="B1581" t="s">
        <v>1247</v>
      </c>
      <c r="C1581" t="s">
        <v>1972</v>
      </c>
      <c r="D1581" t="s">
        <v>26</v>
      </c>
      <c r="E1581" t="s">
        <v>27</v>
      </c>
      <c r="F1581" s="17">
        <v>5000</v>
      </c>
      <c r="G1581" s="17">
        <v>120000</v>
      </c>
      <c r="H1581" s="17">
        <v>115000</v>
      </c>
      <c r="I1581" s="18">
        <v>0.14000000000000001</v>
      </c>
      <c r="J1581" s="14">
        <f t="shared" si="0"/>
        <v>23</v>
      </c>
      <c r="K1581" s="15" t="str">
        <f t="shared" si="1"/>
        <v>Exceeds Target</v>
      </c>
    </row>
    <row r="1582" spans="2:11" ht="15" customHeight="1">
      <c r="B1582" t="s">
        <v>907</v>
      </c>
      <c r="C1582" t="s">
        <v>1973</v>
      </c>
      <c r="D1582" t="s">
        <v>80</v>
      </c>
      <c r="E1582" t="s">
        <v>27</v>
      </c>
      <c r="F1582" s="17">
        <v>1000</v>
      </c>
      <c r="G1582" s="17">
        <v>48000</v>
      </c>
      <c r="H1582" s="17">
        <v>47000</v>
      </c>
      <c r="I1582" s="18">
        <v>0.92</v>
      </c>
      <c r="J1582" s="14">
        <f t="shared" si="0"/>
        <v>47</v>
      </c>
      <c r="K1582" s="15" t="str">
        <f t="shared" si="1"/>
        <v>Exceeds Target</v>
      </c>
    </row>
    <row r="1583" spans="2:11" ht="15" customHeight="1">
      <c r="B1583" t="s">
        <v>1157</v>
      </c>
      <c r="C1583" t="s">
        <v>1974</v>
      </c>
      <c r="D1583" t="s">
        <v>69</v>
      </c>
      <c r="E1583" t="s">
        <v>70</v>
      </c>
      <c r="F1583" s="17">
        <v>1000</v>
      </c>
      <c r="G1583" s="17">
        <v>90000</v>
      </c>
      <c r="H1583" s="17">
        <v>89000</v>
      </c>
      <c r="I1583" s="18">
        <v>0.65</v>
      </c>
      <c r="J1583" s="14">
        <f t="shared" si="0"/>
        <v>89</v>
      </c>
      <c r="K1583" s="15" t="str">
        <f t="shared" si="1"/>
        <v>Exceeds Target</v>
      </c>
    </row>
    <row r="1584" spans="2:11" ht="15" customHeight="1">
      <c r="B1584" t="s">
        <v>199</v>
      </c>
      <c r="C1584" t="s">
        <v>1975</v>
      </c>
      <c r="D1584" t="s">
        <v>35</v>
      </c>
      <c r="E1584" t="s">
        <v>27</v>
      </c>
      <c r="F1584" s="17">
        <v>3000</v>
      </c>
      <c r="G1584" s="17">
        <v>160000</v>
      </c>
      <c r="H1584" s="17">
        <v>157000</v>
      </c>
      <c r="I1584" s="18">
        <v>0.56999999999999995</v>
      </c>
      <c r="J1584" s="14">
        <f t="shared" si="0"/>
        <v>52.333333333333336</v>
      </c>
      <c r="K1584" s="15" t="str">
        <f t="shared" si="1"/>
        <v>Exceeds Target</v>
      </c>
    </row>
    <row r="1585" spans="2:11" ht="15" customHeight="1">
      <c r="B1585" t="s">
        <v>40</v>
      </c>
      <c r="C1585" t="s">
        <v>1976</v>
      </c>
      <c r="D1585" t="s">
        <v>32</v>
      </c>
      <c r="E1585" t="s">
        <v>27</v>
      </c>
      <c r="F1585" s="17">
        <v>1500</v>
      </c>
      <c r="G1585" s="17">
        <v>14000</v>
      </c>
      <c r="H1585" s="17">
        <v>12500</v>
      </c>
      <c r="I1585" s="18">
        <v>0.74</v>
      </c>
      <c r="J1585" s="14">
        <f t="shared" si="0"/>
        <v>8.3333333333333339</v>
      </c>
      <c r="K1585" s="15" t="str">
        <f t="shared" si="1"/>
        <v>Exceeds Target</v>
      </c>
    </row>
    <row r="1586" spans="2:11" ht="15" customHeight="1">
      <c r="B1586" t="s">
        <v>190</v>
      </c>
      <c r="C1586" t="s">
        <v>1977</v>
      </c>
      <c r="D1586" t="s">
        <v>80</v>
      </c>
      <c r="E1586" t="s">
        <v>27</v>
      </c>
      <c r="F1586" s="17">
        <v>1000</v>
      </c>
      <c r="G1586" s="17">
        <v>63000</v>
      </c>
      <c r="H1586" s="17">
        <v>62000</v>
      </c>
      <c r="I1586" s="18">
        <v>0.96</v>
      </c>
      <c r="J1586" s="14">
        <f t="shared" si="0"/>
        <v>62</v>
      </c>
      <c r="K1586" s="15" t="str">
        <f t="shared" si="1"/>
        <v>Exceeds Target</v>
      </c>
    </row>
    <row r="1587" spans="2:11" ht="15" customHeight="1">
      <c r="B1587" t="s">
        <v>1115</v>
      </c>
      <c r="C1587" t="s">
        <v>1978</v>
      </c>
      <c r="D1587" t="s">
        <v>35</v>
      </c>
      <c r="E1587" t="s">
        <v>27</v>
      </c>
      <c r="F1587" s="17">
        <v>3000</v>
      </c>
      <c r="G1587" s="17">
        <v>140000</v>
      </c>
      <c r="H1587" s="17">
        <v>137000</v>
      </c>
      <c r="I1587" s="18">
        <v>0.36</v>
      </c>
      <c r="J1587" s="14">
        <f t="shared" si="0"/>
        <v>45.666666666666664</v>
      </c>
      <c r="K1587" s="15" t="str">
        <f t="shared" si="1"/>
        <v>Exceeds Target</v>
      </c>
    </row>
    <row r="1588" spans="2:11" ht="15" customHeight="1">
      <c r="B1588" t="s">
        <v>33</v>
      </c>
      <c r="C1588" t="s">
        <v>1979</v>
      </c>
      <c r="D1588" t="s">
        <v>26</v>
      </c>
      <c r="E1588" t="s">
        <v>27</v>
      </c>
      <c r="F1588" s="17">
        <v>5000</v>
      </c>
      <c r="G1588" s="17">
        <v>90000</v>
      </c>
      <c r="H1588" s="17">
        <v>85000</v>
      </c>
      <c r="I1588" s="18">
        <v>0.06</v>
      </c>
      <c r="J1588" s="14">
        <f t="shared" si="0"/>
        <v>17</v>
      </c>
      <c r="K1588" s="15" t="str">
        <f t="shared" si="1"/>
        <v>Exceeds Target</v>
      </c>
    </row>
    <row r="1589" spans="2:11" ht="15" customHeight="1">
      <c r="B1589" t="s">
        <v>201</v>
      </c>
      <c r="C1589" t="s">
        <v>1980</v>
      </c>
      <c r="D1589" t="s">
        <v>26</v>
      </c>
      <c r="E1589" t="s">
        <v>27</v>
      </c>
      <c r="F1589" s="17">
        <v>5000</v>
      </c>
      <c r="G1589" s="17">
        <v>90000</v>
      </c>
      <c r="H1589" s="17">
        <v>85000</v>
      </c>
      <c r="I1589" s="18">
        <v>0.21</v>
      </c>
      <c r="J1589" s="14">
        <f t="shared" si="0"/>
        <v>17</v>
      </c>
      <c r="K1589" s="15" t="str">
        <f t="shared" si="1"/>
        <v>Exceeds Target</v>
      </c>
    </row>
    <row r="1590" spans="2:11" ht="15" customHeight="1">
      <c r="B1590" t="s">
        <v>99</v>
      </c>
      <c r="C1590" t="s">
        <v>1981</v>
      </c>
      <c r="D1590" t="s">
        <v>26</v>
      </c>
      <c r="E1590" t="s">
        <v>27</v>
      </c>
      <c r="F1590" s="17">
        <v>5000</v>
      </c>
      <c r="G1590" s="17">
        <v>30000</v>
      </c>
      <c r="H1590" s="17">
        <v>25000</v>
      </c>
      <c r="I1590" s="18">
        <v>7.0000000000000007E-2</v>
      </c>
      <c r="J1590" s="14">
        <f t="shared" si="0"/>
        <v>5</v>
      </c>
      <c r="K1590" s="15" t="str">
        <f t="shared" si="1"/>
        <v>Exceeds Target</v>
      </c>
    </row>
    <row r="1591" spans="2:11" ht="15" customHeight="1">
      <c r="B1591" t="s">
        <v>507</v>
      </c>
      <c r="C1591" t="s">
        <v>1982</v>
      </c>
      <c r="D1591" t="s">
        <v>26</v>
      </c>
      <c r="E1591" t="s">
        <v>27</v>
      </c>
      <c r="F1591" s="17">
        <v>5000</v>
      </c>
      <c r="G1591" s="17">
        <v>60000</v>
      </c>
      <c r="H1591" s="17">
        <v>55000</v>
      </c>
      <c r="I1591" s="18">
        <v>0.18</v>
      </c>
      <c r="J1591" s="14">
        <f t="shared" si="0"/>
        <v>11</v>
      </c>
      <c r="K1591" s="15" t="str">
        <f t="shared" si="1"/>
        <v>Exceeds Target</v>
      </c>
    </row>
    <row r="1592" spans="2:11" ht="15" customHeight="1">
      <c r="B1592" t="s">
        <v>350</v>
      </c>
      <c r="C1592" t="s">
        <v>1983</v>
      </c>
      <c r="D1592" t="s">
        <v>26</v>
      </c>
      <c r="E1592" t="s">
        <v>27</v>
      </c>
      <c r="F1592" s="17">
        <v>5000</v>
      </c>
      <c r="G1592" s="17">
        <v>60000</v>
      </c>
      <c r="H1592" s="17">
        <v>55000</v>
      </c>
      <c r="I1592" s="18">
        <v>7.0000000000000007E-2</v>
      </c>
      <c r="J1592" s="14">
        <f t="shared" si="0"/>
        <v>11</v>
      </c>
      <c r="K1592" s="15" t="str">
        <f t="shared" si="1"/>
        <v>Exceeds Target</v>
      </c>
    </row>
    <row r="1593" spans="2:11" ht="15" customHeight="1">
      <c r="B1593" t="s">
        <v>119</v>
      </c>
      <c r="C1593" t="s">
        <v>1984</v>
      </c>
      <c r="D1593" t="s">
        <v>32</v>
      </c>
      <c r="E1593" t="s">
        <v>27</v>
      </c>
      <c r="F1593" s="17">
        <v>1500</v>
      </c>
      <c r="G1593" s="17">
        <v>38000</v>
      </c>
      <c r="H1593" s="17">
        <v>36500</v>
      </c>
      <c r="I1593" s="18">
        <v>0.82</v>
      </c>
      <c r="J1593" s="14">
        <f t="shared" si="0"/>
        <v>24.333333333333332</v>
      </c>
      <c r="K1593" s="15" t="str">
        <f t="shared" si="1"/>
        <v>Exceeds Target</v>
      </c>
    </row>
    <row r="1594" spans="2:11" ht="15" customHeight="1">
      <c r="B1594" t="s">
        <v>359</v>
      </c>
      <c r="C1594" t="s">
        <v>1985</v>
      </c>
      <c r="D1594" t="s">
        <v>35</v>
      </c>
      <c r="E1594" t="s">
        <v>27</v>
      </c>
      <c r="F1594" s="17">
        <v>3000</v>
      </c>
      <c r="G1594" s="17">
        <v>210000</v>
      </c>
      <c r="H1594" s="17">
        <v>207000</v>
      </c>
      <c r="I1594" s="18">
        <v>0.48</v>
      </c>
      <c r="J1594" s="14">
        <f t="shared" si="0"/>
        <v>69</v>
      </c>
      <c r="K1594" s="15" t="str">
        <f t="shared" si="1"/>
        <v>Exceeds Target</v>
      </c>
    </row>
    <row r="1595" spans="2:11" ht="15" customHeight="1">
      <c r="B1595" t="s">
        <v>971</v>
      </c>
      <c r="C1595" t="s">
        <v>1986</v>
      </c>
      <c r="D1595" t="s">
        <v>26</v>
      </c>
      <c r="E1595" t="s">
        <v>27</v>
      </c>
      <c r="F1595" s="17">
        <v>5000</v>
      </c>
      <c r="G1595" s="17">
        <v>30000</v>
      </c>
      <c r="H1595" s="17">
        <v>25000</v>
      </c>
      <c r="I1595" s="18">
        <v>0.15</v>
      </c>
      <c r="J1595" s="14">
        <f t="shared" si="0"/>
        <v>5</v>
      </c>
      <c r="K1595" s="15" t="str">
        <f t="shared" si="1"/>
        <v>Exceeds Target</v>
      </c>
    </row>
    <row r="1596" spans="2:11" ht="15" customHeight="1">
      <c r="B1596" t="s">
        <v>608</v>
      </c>
      <c r="C1596" t="s">
        <v>1987</v>
      </c>
      <c r="D1596" t="s">
        <v>32</v>
      </c>
      <c r="E1596" t="s">
        <v>27</v>
      </c>
      <c r="F1596" s="17">
        <v>1500</v>
      </c>
      <c r="G1596" s="17">
        <v>36000</v>
      </c>
      <c r="H1596" s="17">
        <v>34500</v>
      </c>
      <c r="I1596" s="18">
        <v>0.28999999999999998</v>
      </c>
      <c r="J1596" s="14">
        <f t="shared" si="0"/>
        <v>23</v>
      </c>
      <c r="K1596" s="15" t="str">
        <f t="shared" si="1"/>
        <v>Exceeds Target</v>
      </c>
    </row>
    <row r="1597" spans="2:11" ht="15" customHeight="1">
      <c r="B1597" t="s">
        <v>397</v>
      </c>
      <c r="C1597" t="s">
        <v>1988</v>
      </c>
      <c r="D1597" t="s">
        <v>35</v>
      </c>
      <c r="E1597" t="s">
        <v>27</v>
      </c>
      <c r="F1597" s="17">
        <v>3000</v>
      </c>
      <c r="G1597" s="17">
        <v>150000</v>
      </c>
      <c r="H1597" s="17">
        <v>147000</v>
      </c>
      <c r="I1597" s="18">
        <v>0.64</v>
      </c>
      <c r="J1597" s="14">
        <f t="shared" si="0"/>
        <v>49</v>
      </c>
      <c r="K1597" s="15" t="str">
        <f t="shared" si="1"/>
        <v>Exceeds Target</v>
      </c>
    </row>
    <row r="1598" spans="2:11" ht="15" customHeight="1">
      <c r="B1598" t="s">
        <v>123</v>
      </c>
      <c r="C1598" t="s">
        <v>1989</v>
      </c>
      <c r="D1598" t="s">
        <v>32</v>
      </c>
      <c r="E1598" t="s">
        <v>27</v>
      </c>
      <c r="F1598" s="17">
        <v>1500</v>
      </c>
      <c r="G1598" s="17">
        <v>52000</v>
      </c>
      <c r="H1598" s="17">
        <v>50500</v>
      </c>
      <c r="I1598" s="18">
        <v>0.37</v>
      </c>
      <c r="J1598" s="14">
        <f t="shared" si="0"/>
        <v>33.666666666666664</v>
      </c>
      <c r="K1598" s="15" t="str">
        <f t="shared" si="1"/>
        <v>Exceeds Target</v>
      </c>
    </row>
    <row r="1599" spans="2:11" ht="15" customHeight="1">
      <c r="B1599" t="s">
        <v>815</v>
      </c>
      <c r="C1599" t="s">
        <v>1990</v>
      </c>
      <c r="D1599" t="s">
        <v>32</v>
      </c>
      <c r="E1599" t="s">
        <v>27</v>
      </c>
      <c r="F1599" s="17">
        <v>1500</v>
      </c>
      <c r="G1599" s="17">
        <v>34000</v>
      </c>
      <c r="H1599" s="17">
        <v>32500</v>
      </c>
      <c r="I1599" s="18">
        <v>0.62</v>
      </c>
      <c r="J1599" s="14">
        <f t="shared" si="0"/>
        <v>21.666666666666668</v>
      </c>
      <c r="K1599" s="15" t="str">
        <f t="shared" si="1"/>
        <v>Exceeds Target</v>
      </c>
    </row>
    <row r="1600" spans="2:11" ht="15" customHeight="1">
      <c r="B1600" t="s">
        <v>1309</v>
      </c>
      <c r="C1600" t="s">
        <v>1991</v>
      </c>
      <c r="D1600" t="s">
        <v>26</v>
      </c>
      <c r="E1600" t="s">
        <v>27</v>
      </c>
      <c r="F1600" s="17">
        <v>5000</v>
      </c>
      <c r="G1600" s="17">
        <v>90000</v>
      </c>
      <c r="H1600" s="17">
        <v>85000</v>
      </c>
      <c r="I1600" s="18">
        <v>0.38</v>
      </c>
      <c r="J1600" s="14">
        <f t="shared" si="0"/>
        <v>17</v>
      </c>
      <c r="K1600" s="15" t="str">
        <f t="shared" si="1"/>
        <v>Exceeds Target</v>
      </c>
    </row>
    <row r="1601" spans="2:11" ht="15" customHeight="1">
      <c r="B1601" t="s">
        <v>1055</v>
      </c>
      <c r="C1601" t="s">
        <v>1992</v>
      </c>
      <c r="D1601" t="s">
        <v>69</v>
      </c>
      <c r="E1601" t="s">
        <v>70</v>
      </c>
      <c r="F1601" s="17">
        <v>1000</v>
      </c>
      <c r="G1601" s="17">
        <v>135000</v>
      </c>
      <c r="H1601" s="17">
        <v>134000</v>
      </c>
      <c r="I1601" s="18">
        <v>0.93</v>
      </c>
      <c r="J1601" s="14">
        <f t="shared" si="0"/>
        <v>134</v>
      </c>
      <c r="K1601" s="15" t="str">
        <f t="shared" si="1"/>
        <v>Exceeds Target</v>
      </c>
    </row>
    <row r="1602" spans="2:11" ht="15" customHeight="1">
      <c r="B1602" t="s">
        <v>85</v>
      </c>
      <c r="C1602" t="s">
        <v>1993</v>
      </c>
      <c r="D1602" t="s">
        <v>80</v>
      </c>
      <c r="E1602" t="s">
        <v>27</v>
      </c>
      <c r="F1602" s="17">
        <v>1000</v>
      </c>
      <c r="G1602" s="17">
        <v>45000</v>
      </c>
      <c r="H1602" s="17">
        <v>44000</v>
      </c>
      <c r="I1602" s="18">
        <v>0.72</v>
      </c>
      <c r="J1602" s="14">
        <f t="shared" si="0"/>
        <v>44</v>
      </c>
      <c r="K1602" s="15" t="str">
        <f t="shared" si="1"/>
        <v>Exceeds Target</v>
      </c>
    </row>
    <row r="1603" spans="2:11" ht="15" customHeight="1">
      <c r="B1603" t="s">
        <v>1157</v>
      </c>
      <c r="C1603" t="s">
        <v>1994</v>
      </c>
      <c r="D1603" t="s">
        <v>26</v>
      </c>
      <c r="E1603" t="s">
        <v>27</v>
      </c>
      <c r="F1603" s="17">
        <v>5000</v>
      </c>
      <c r="G1603" s="17">
        <v>150000</v>
      </c>
      <c r="H1603" s="17">
        <v>145000</v>
      </c>
      <c r="I1603" s="18">
        <v>0.25</v>
      </c>
      <c r="J1603" s="14">
        <f t="shared" si="0"/>
        <v>29</v>
      </c>
      <c r="K1603" s="15" t="str">
        <f t="shared" si="1"/>
        <v>Exceeds Target</v>
      </c>
    </row>
    <row r="1604" spans="2:11" ht="15" customHeight="1">
      <c r="B1604" t="s">
        <v>707</v>
      </c>
      <c r="C1604" t="s">
        <v>1995</v>
      </c>
      <c r="D1604" t="s">
        <v>35</v>
      </c>
      <c r="E1604" t="s">
        <v>27</v>
      </c>
      <c r="F1604" s="17">
        <v>3000</v>
      </c>
      <c r="G1604" s="17">
        <v>150000</v>
      </c>
      <c r="H1604" s="17">
        <v>147000</v>
      </c>
      <c r="I1604" s="18">
        <v>0.43</v>
      </c>
      <c r="J1604" s="14">
        <f t="shared" si="0"/>
        <v>49</v>
      </c>
      <c r="K1604" s="15" t="str">
        <f t="shared" si="1"/>
        <v>Exceeds Target</v>
      </c>
    </row>
    <row r="1605" spans="2:11" ht="15" customHeight="1">
      <c r="B1605" t="s">
        <v>247</v>
      </c>
      <c r="C1605" t="s">
        <v>1996</v>
      </c>
      <c r="D1605" t="s">
        <v>80</v>
      </c>
      <c r="E1605" t="s">
        <v>27</v>
      </c>
      <c r="F1605" s="17">
        <v>1000</v>
      </c>
      <c r="G1605" s="17">
        <v>81000</v>
      </c>
      <c r="H1605" s="17">
        <v>80000</v>
      </c>
      <c r="I1605" s="18">
        <v>0.82</v>
      </c>
      <c r="J1605" s="14">
        <f t="shared" si="0"/>
        <v>80</v>
      </c>
      <c r="K1605" s="15" t="str">
        <f t="shared" si="1"/>
        <v>Exceeds Target</v>
      </c>
    </row>
    <row r="1606" spans="2:11" ht="15" customHeight="1">
      <c r="B1606" t="s">
        <v>832</v>
      </c>
      <c r="C1606" t="s">
        <v>1997</v>
      </c>
      <c r="D1606" t="s">
        <v>26</v>
      </c>
      <c r="E1606" t="s">
        <v>27</v>
      </c>
      <c r="F1606" s="17">
        <v>5000</v>
      </c>
      <c r="G1606" s="17">
        <v>30000</v>
      </c>
      <c r="H1606" s="17">
        <v>25000</v>
      </c>
      <c r="I1606" s="18">
        <v>0.3</v>
      </c>
      <c r="J1606" s="14">
        <f t="shared" si="0"/>
        <v>5</v>
      </c>
      <c r="K1606" s="15" t="str">
        <f t="shared" si="1"/>
        <v>Exceeds Target</v>
      </c>
    </row>
    <row r="1607" spans="2:11" ht="15" customHeight="1">
      <c r="B1607" t="s">
        <v>890</v>
      </c>
      <c r="C1607" t="s">
        <v>1998</v>
      </c>
      <c r="D1607" t="s">
        <v>35</v>
      </c>
      <c r="E1607" t="s">
        <v>27</v>
      </c>
      <c r="F1607" s="17">
        <v>3000</v>
      </c>
      <c r="G1607" s="17">
        <v>190000</v>
      </c>
      <c r="H1607" s="17">
        <v>187000</v>
      </c>
      <c r="I1607" s="18">
        <v>0.97</v>
      </c>
      <c r="J1607" s="14">
        <f t="shared" si="0"/>
        <v>62.333333333333336</v>
      </c>
      <c r="K1607" s="15" t="str">
        <f t="shared" si="1"/>
        <v>Exceeds Target</v>
      </c>
    </row>
    <row r="1608" spans="2:11" ht="15" customHeight="1">
      <c r="B1608" t="s">
        <v>1320</v>
      </c>
      <c r="C1608" t="s">
        <v>1999</v>
      </c>
      <c r="D1608" t="s">
        <v>35</v>
      </c>
      <c r="E1608" t="s">
        <v>27</v>
      </c>
      <c r="F1608" s="17">
        <v>3000</v>
      </c>
      <c r="G1608" s="17">
        <v>100000</v>
      </c>
      <c r="H1608" s="17">
        <v>97000</v>
      </c>
      <c r="I1608" s="18">
        <v>0.92</v>
      </c>
      <c r="J1608" s="14">
        <f t="shared" si="0"/>
        <v>32.333333333333336</v>
      </c>
      <c r="K1608" s="15" t="str">
        <f t="shared" si="1"/>
        <v>Exceeds Target</v>
      </c>
    </row>
    <row r="1609" spans="2:11" ht="15" customHeight="1">
      <c r="B1609" t="s">
        <v>2000</v>
      </c>
      <c r="C1609" t="s">
        <v>2001</v>
      </c>
      <c r="D1609" t="s">
        <v>26</v>
      </c>
      <c r="E1609" t="s">
        <v>27</v>
      </c>
      <c r="F1609" s="17">
        <v>5000</v>
      </c>
      <c r="G1609" s="17">
        <v>120000</v>
      </c>
      <c r="H1609" s="17">
        <v>115000</v>
      </c>
      <c r="I1609" s="18">
        <v>0.16</v>
      </c>
      <c r="J1609" s="14">
        <f t="shared" si="0"/>
        <v>23</v>
      </c>
      <c r="K1609" s="15" t="str">
        <f t="shared" si="1"/>
        <v>Exceeds Target</v>
      </c>
    </row>
    <row r="1610" spans="2:11" ht="15" customHeight="1">
      <c r="B1610" t="s">
        <v>1323</v>
      </c>
      <c r="C1610" t="s">
        <v>2002</v>
      </c>
      <c r="D1610" t="s">
        <v>26</v>
      </c>
      <c r="E1610" t="s">
        <v>27</v>
      </c>
      <c r="F1610" s="17">
        <v>5000</v>
      </c>
      <c r="G1610" s="17">
        <v>30000</v>
      </c>
      <c r="H1610" s="17">
        <v>25000</v>
      </c>
      <c r="I1610" s="18">
        <v>0.12</v>
      </c>
      <c r="J1610" s="14">
        <f t="shared" si="0"/>
        <v>5</v>
      </c>
      <c r="K1610" s="15" t="str">
        <f t="shared" si="1"/>
        <v>Exceeds Target</v>
      </c>
    </row>
    <row r="1611" spans="2:11" ht="15" customHeight="1">
      <c r="B1611" t="s">
        <v>1216</v>
      </c>
      <c r="C1611" t="s">
        <v>2003</v>
      </c>
      <c r="D1611" t="s">
        <v>32</v>
      </c>
      <c r="E1611" t="s">
        <v>27</v>
      </c>
      <c r="F1611" s="17">
        <v>1500</v>
      </c>
      <c r="G1611" s="17">
        <v>54000</v>
      </c>
      <c r="H1611" s="17">
        <v>52500</v>
      </c>
      <c r="I1611" s="18">
        <v>0.46</v>
      </c>
      <c r="J1611" s="14">
        <f t="shared" si="0"/>
        <v>35</v>
      </c>
      <c r="K1611" s="15" t="str">
        <f t="shared" si="1"/>
        <v>Exceeds Target</v>
      </c>
    </row>
    <row r="1612" spans="2:11" ht="15" customHeight="1">
      <c r="B1612" t="s">
        <v>648</v>
      </c>
      <c r="C1612" t="s">
        <v>2004</v>
      </c>
      <c r="D1612" t="s">
        <v>26</v>
      </c>
      <c r="E1612" t="s">
        <v>27</v>
      </c>
      <c r="F1612" s="17">
        <v>5000</v>
      </c>
      <c r="G1612" s="17">
        <v>150000</v>
      </c>
      <c r="H1612" s="17">
        <v>145000</v>
      </c>
      <c r="I1612" s="18">
        <v>0.18</v>
      </c>
      <c r="J1612" s="14">
        <f t="shared" si="0"/>
        <v>29</v>
      </c>
      <c r="K1612" s="15" t="str">
        <f t="shared" si="1"/>
        <v>Exceeds Target</v>
      </c>
    </row>
    <row r="1613" spans="2:11" ht="15" customHeight="1">
      <c r="B1613" t="s">
        <v>993</v>
      </c>
      <c r="C1613" t="s">
        <v>2005</v>
      </c>
      <c r="D1613" t="s">
        <v>80</v>
      </c>
      <c r="E1613" t="s">
        <v>27</v>
      </c>
      <c r="F1613" s="17">
        <v>1000</v>
      </c>
      <c r="G1613" s="17">
        <v>54000</v>
      </c>
      <c r="H1613" s="17">
        <v>53000</v>
      </c>
      <c r="I1613" s="18">
        <v>0.62</v>
      </c>
      <c r="J1613" s="14">
        <f t="shared" si="0"/>
        <v>53</v>
      </c>
      <c r="K1613" s="15" t="str">
        <f t="shared" si="1"/>
        <v>Exceeds Target</v>
      </c>
    </row>
    <row r="1614" spans="2:11" ht="15" customHeight="1">
      <c r="B1614" t="s">
        <v>67</v>
      </c>
      <c r="C1614" t="s">
        <v>2006</v>
      </c>
      <c r="D1614" t="s">
        <v>26</v>
      </c>
      <c r="E1614" t="s">
        <v>27</v>
      </c>
      <c r="F1614" s="17">
        <v>5000</v>
      </c>
      <c r="G1614" s="17">
        <v>30000</v>
      </c>
      <c r="H1614" s="17">
        <v>25000</v>
      </c>
      <c r="I1614" s="18">
        <v>7.0000000000000007E-2</v>
      </c>
      <c r="J1614" s="14">
        <f t="shared" si="0"/>
        <v>5</v>
      </c>
      <c r="K1614" s="15" t="str">
        <f t="shared" si="1"/>
        <v>Exceeds Target</v>
      </c>
    </row>
    <row r="1615" spans="2:11" ht="15" customHeight="1">
      <c r="B1615" t="s">
        <v>1510</v>
      </c>
      <c r="C1615" t="s">
        <v>2007</v>
      </c>
      <c r="D1615" t="s">
        <v>69</v>
      </c>
      <c r="E1615" t="s">
        <v>70</v>
      </c>
      <c r="F1615" s="17">
        <v>1000</v>
      </c>
      <c r="G1615" s="17">
        <v>55000</v>
      </c>
      <c r="H1615" s="17">
        <v>54000</v>
      </c>
      <c r="I1615" s="18">
        <v>0.67</v>
      </c>
      <c r="J1615" s="14">
        <f t="shared" si="0"/>
        <v>54</v>
      </c>
      <c r="K1615" s="15" t="str">
        <f t="shared" si="1"/>
        <v>Exceeds Target</v>
      </c>
    </row>
    <row r="1616" spans="2:11" ht="15" customHeight="1">
      <c r="B1616" t="s">
        <v>661</v>
      </c>
      <c r="C1616" t="s">
        <v>2008</v>
      </c>
      <c r="D1616" t="s">
        <v>32</v>
      </c>
      <c r="E1616" t="s">
        <v>27</v>
      </c>
      <c r="F1616" s="17">
        <v>1500</v>
      </c>
      <c r="G1616" s="17">
        <v>30000</v>
      </c>
      <c r="H1616" s="17">
        <v>28500</v>
      </c>
      <c r="I1616" s="18">
        <v>0.5</v>
      </c>
      <c r="J1616" s="14">
        <f t="shared" si="0"/>
        <v>19</v>
      </c>
      <c r="K1616" s="15" t="str">
        <f t="shared" si="1"/>
        <v>Exceeds Target</v>
      </c>
    </row>
    <row r="1617" spans="2:11" ht="15" customHeight="1">
      <c r="B1617" t="s">
        <v>231</v>
      </c>
      <c r="C1617" t="s">
        <v>2009</v>
      </c>
      <c r="D1617" t="s">
        <v>35</v>
      </c>
      <c r="E1617" t="s">
        <v>27</v>
      </c>
      <c r="F1617" s="17">
        <v>3000</v>
      </c>
      <c r="G1617" s="17">
        <v>280000</v>
      </c>
      <c r="H1617" s="17">
        <v>277000</v>
      </c>
      <c r="I1617" s="18">
        <v>0.24</v>
      </c>
      <c r="J1617" s="14">
        <f t="shared" si="0"/>
        <v>92.333333333333329</v>
      </c>
      <c r="K1617" s="15" t="str">
        <f t="shared" si="1"/>
        <v>Exceeds Target</v>
      </c>
    </row>
    <row r="1618" spans="2:11" ht="15" customHeight="1">
      <c r="B1618" t="s">
        <v>659</v>
      </c>
      <c r="C1618" t="s">
        <v>2010</v>
      </c>
      <c r="D1618" t="s">
        <v>32</v>
      </c>
      <c r="E1618" t="s">
        <v>27</v>
      </c>
      <c r="F1618" s="17">
        <v>1500</v>
      </c>
      <c r="G1618" s="17">
        <v>26000</v>
      </c>
      <c r="H1618" s="17">
        <v>24500</v>
      </c>
      <c r="I1618" s="18">
        <v>0.3</v>
      </c>
      <c r="J1618" s="14">
        <f t="shared" si="0"/>
        <v>16.333333333333332</v>
      </c>
      <c r="K1618" s="15" t="str">
        <f t="shared" si="1"/>
        <v>Exceeds Target</v>
      </c>
    </row>
    <row r="1619" spans="2:11" ht="15" customHeight="1">
      <c r="B1619" t="s">
        <v>201</v>
      </c>
      <c r="C1619" t="s">
        <v>2011</v>
      </c>
      <c r="D1619" t="s">
        <v>26</v>
      </c>
      <c r="E1619" t="s">
        <v>27</v>
      </c>
      <c r="F1619" s="17">
        <v>5000</v>
      </c>
      <c r="G1619" s="17">
        <v>90000</v>
      </c>
      <c r="H1619" s="17">
        <v>85000</v>
      </c>
      <c r="I1619" s="18">
        <v>0.21</v>
      </c>
      <c r="J1619" s="14">
        <f t="shared" si="0"/>
        <v>17</v>
      </c>
      <c r="K1619" s="15" t="str">
        <f t="shared" si="1"/>
        <v>Exceeds Target</v>
      </c>
    </row>
    <row r="1620" spans="2:11" ht="15" customHeight="1">
      <c r="B1620" t="s">
        <v>46</v>
      </c>
      <c r="C1620" t="s">
        <v>2012</v>
      </c>
      <c r="D1620" t="s">
        <v>26</v>
      </c>
      <c r="E1620" t="s">
        <v>27</v>
      </c>
      <c r="F1620" s="17">
        <v>5000</v>
      </c>
      <c r="G1620" s="17">
        <v>30000</v>
      </c>
      <c r="H1620" s="17">
        <v>25000</v>
      </c>
      <c r="I1620" s="18">
        <v>0.21</v>
      </c>
      <c r="J1620" s="14">
        <f t="shared" si="0"/>
        <v>5</v>
      </c>
      <c r="K1620" s="15" t="str">
        <f t="shared" si="1"/>
        <v>Exceeds Target</v>
      </c>
    </row>
    <row r="1621" spans="2:11" ht="15" customHeight="1">
      <c r="B1621" t="s">
        <v>646</v>
      </c>
      <c r="C1621" t="s">
        <v>2013</v>
      </c>
      <c r="D1621" t="s">
        <v>69</v>
      </c>
      <c r="E1621" t="s">
        <v>70</v>
      </c>
      <c r="F1621" s="17">
        <v>1000</v>
      </c>
      <c r="G1621" s="17">
        <v>115000</v>
      </c>
      <c r="H1621" s="17">
        <v>114000</v>
      </c>
      <c r="I1621" s="18">
        <v>0.83</v>
      </c>
      <c r="J1621" s="14">
        <f t="shared" si="0"/>
        <v>114</v>
      </c>
      <c r="K1621" s="15" t="str">
        <f t="shared" si="1"/>
        <v>Exceeds Target</v>
      </c>
    </row>
    <row r="1622" spans="2:11" ht="15" customHeight="1">
      <c r="B1622" t="s">
        <v>608</v>
      </c>
      <c r="C1622" t="s">
        <v>2014</v>
      </c>
      <c r="D1622" t="s">
        <v>35</v>
      </c>
      <c r="E1622" t="s">
        <v>27</v>
      </c>
      <c r="F1622" s="17">
        <v>3000</v>
      </c>
      <c r="G1622" s="17">
        <v>110000</v>
      </c>
      <c r="H1622" s="17">
        <v>107000</v>
      </c>
      <c r="I1622" s="18">
        <v>0.91</v>
      </c>
      <c r="J1622" s="14">
        <f t="shared" si="0"/>
        <v>35.666666666666664</v>
      </c>
      <c r="K1622" s="15" t="str">
        <f t="shared" si="1"/>
        <v>Exceeds Target</v>
      </c>
    </row>
    <row r="1623" spans="2:11" ht="15" customHeight="1">
      <c r="B1623" t="s">
        <v>212</v>
      </c>
      <c r="C1623" t="s">
        <v>2015</v>
      </c>
      <c r="D1623" t="s">
        <v>69</v>
      </c>
      <c r="E1623" t="s">
        <v>70</v>
      </c>
      <c r="F1623" s="17">
        <v>1000</v>
      </c>
      <c r="G1623" s="17">
        <v>75000</v>
      </c>
      <c r="H1623" s="17">
        <v>74000</v>
      </c>
      <c r="I1623" s="18">
        <v>0.95</v>
      </c>
      <c r="J1623" s="14">
        <f t="shared" si="0"/>
        <v>74</v>
      </c>
      <c r="K1623" s="15" t="str">
        <f t="shared" si="1"/>
        <v>Exceeds Target</v>
      </c>
    </row>
    <row r="1624" spans="2:11" ht="15" customHeight="1">
      <c r="B1624" t="s">
        <v>958</v>
      </c>
      <c r="C1624" t="s">
        <v>2016</v>
      </c>
      <c r="D1624" t="s">
        <v>32</v>
      </c>
      <c r="E1624" t="s">
        <v>27</v>
      </c>
      <c r="F1624" s="17">
        <v>1500</v>
      </c>
      <c r="G1624" s="17">
        <v>44000</v>
      </c>
      <c r="H1624" s="17">
        <v>42500</v>
      </c>
      <c r="I1624" s="18">
        <v>0.71</v>
      </c>
      <c r="J1624" s="14">
        <f t="shared" si="0"/>
        <v>28.333333333333332</v>
      </c>
      <c r="K1624" s="15" t="str">
        <f t="shared" si="1"/>
        <v>Exceeds Target</v>
      </c>
    </row>
    <row r="1625" spans="2:11" ht="15" customHeight="1">
      <c r="B1625" t="s">
        <v>67</v>
      </c>
      <c r="C1625" t="s">
        <v>2017</v>
      </c>
      <c r="D1625" t="s">
        <v>80</v>
      </c>
      <c r="E1625" t="s">
        <v>27</v>
      </c>
      <c r="F1625" s="17">
        <v>1000</v>
      </c>
      <c r="G1625" s="17">
        <v>72000</v>
      </c>
      <c r="H1625" s="17">
        <v>71000</v>
      </c>
      <c r="I1625" s="18">
        <v>0.76</v>
      </c>
      <c r="J1625" s="14">
        <f t="shared" si="0"/>
        <v>71</v>
      </c>
      <c r="K1625" s="15" t="str">
        <f t="shared" si="1"/>
        <v>Exceeds Target</v>
      </c>
    </row>
    <row r="1626" spans="2:11" ht="15" customHeight="1">
      <c r="B1626" t="s">
        <v>687</v>
      </c>
      <c r="C1626" t="s">
        <v>2018</v>
      </c>
      <c r="D1626" t="s">
        <v>26</v>
      </c>
      <c r="E1626" t="s">
        <v>27</v>
      </c>
      <c r="F1626" s="17">
        <v>5000</v>
      </c>
      <c r="G1626" s="17">
        <v>30000</v>
      </c>
      <c r="H1626" s="17">
        <v>25000</v>
      </c>
      <c r="I1626" s="18">
        <v>0.11</v>
      </c>
      <c r="J1626" s="14">
        <f t="shared" si="0"/>
        <v>5</v>
      </c>
      <c r="K1626" s="15" t="str">
        <f t="shared" si="1"/>
        <v>Exceeds Target</v>
      </c>
    </row>
    <row r="1627" spans="2:11" ht="15" customHeight="1">
      <c r="B1627" t="s">
        <v>123</v>
      </c>
      <c r="C1627" t="s">
        <v>2019</v>
      </c>
      <c r="D1627" t="s">
        <v>26</v>
      </c>
      <c r="E1627" t="s">
        <v>27</v>
      </c>
      <c r="F1627" s="17">
        <v>5000</v>
      </c>
      <c r="G1627" s="17">
        <v>60000</v>
      </c>
      <c r="H1627" s="17">
        <v>55000</v>
      </c>
      <c r="I1627" s="18">
        <v>0.12</v>
      </c>
      <c r="J1627" s="14">
        <f t="shared" si="0"/>
        <v>11</v>
      </c>
      <c r="K1627" s="15" t="str">
        <f t="shared" si="1"/>
        <v>Exceeds Target</v>
      </c>
    </row>
    <row r="1628" spans="2:11" ht="15" customHeight="1">
      <c r="B1628" t="s">
        <v>267</v>
      </c>
      <c r="C1628" t="s">
        <v>2020</v>
      </c>
      <c r="D1628" t="s">
        <v>69</v>
      </c>
      <c r="E1628" t="s">
        <v>70</v>
      </c>
      <c r="F1628" s="17">
        <v>1000</v>
      </c>
      <c r="G1628" s="17">
        <v>130000</v>
      </c>
      <c r="H1628" s="17">
        <v>129000</v>
      </c>
      <c r="I1628" s="18">
        <v>0.27</v>
      </c>
      <c r="J1628" s="14">
        <f t="shared" si="0"/>
        <v>129</v>
      </c>
      <c r="K1628" s="15" t="str">
        <f t="shared" si="1"/>
        <v>Exceeds Target</v>
      </c>
    </row>
    <row r="1629" spans="2:11" ht="15" customHeight="1">
      <c r="B1629" t="s">
        <v>307</v>
      </c>
      <c r="C1629" t="s">
        <v>2021</v>
      </c>
      <c r="D1629" t="s">
        <v>26</v>
      </c>
      <c r="E1629" t="s">
        <v>27</v>
      </c>
      <c r="F1629" s="17">
        <v>5000</v>
      </c>
      <c r="G1629" s="17">
        <v>30000</v>
      </c>
      <c r="H1629" s="17">
        <v>25000</v>
      </c>
      <c r="I1629" s="18">
        <v>0.21</v>
      </c>
      <c r="J1629" s="14">
        <f t="shared" si="0"/>
        <v>5</v>
      </c>
      <c r="K1629" s="15" t="str">
        <f t="shared" si="1"/>
        <v>Exceeds Target</v>
      </c>
    </row>
    <row r="1630" spans="2:11" ht="15" customHeight="1">
      <c r="B1630" t="s">
        <v>824</v>
      </c>
      <c r="C1630" t="s">
        <v>2022</v>
      </c>
      <c r="D1630" t="s">
        <v>35</v>
      </c>
      <c r="E1630" t="s">
        <v>27</v>
      </c>
      <c r="F1630" s="17">
        <v>3000</v>
      </c>
      <c r="G1630" s="17">
        <v>230000</v>
      </c>
      <c r="H1630" s="17">
        <v>227000</v>
      </c>
      <c r="I1630" s="18">
        <v>0.7</v>
      </c>
      <c r="J1630" s="14">
        <f t="shared" si="0"/>
        <v>75.666666666666671</v>
      </c>
      <c r="K1630" s="15" t="str">
        <f t="shared" si="1"/>
        <v>Exceeds Target</v>
      </c>
    </row>
    <row r="1631" spans="2:11" ht="15" customHeight="1">
      <c r="B1631" t="s">
        <v>43</v>
      </c>
      <c r="C1631" t="s">
        <v>2023</v>
      </c>
      <c r="D1631" t="s">
        <v>80</v>
      </c>
      <c r="E1631" t="s">
        <v>27</v>
      </c>
      <c r="F1631" s="17">
        <v>1000</v>
      </c>
      <c r="G1631" s="17">
        <v>117000</v>
      </c>
      <c r="H1631" s="17">
        <v>116000</v>
      </c>
      <c r="I1631" s="18">
        <v>0.97</v>
      </c>
      <c r="J1631" s="14">
        <f t="shared" si="0"/>
        <v>116</v>
      </c>
      <c r="K1631" s="15" t="str">
        <f t="shared" si="1"/>
        <v>Exceeds Target</v>
      </c>
    </row>
    <row r="1632" spans="2:11" ht="15" customHeight="1">
      <c r="B1632" t="s">
        <v>1122</v>
      </c>
      <c r="C1632" t="s">
        <v>2024</v>
      </c>
      <c r="D1632" t="s">
        <v>80</v>
      </c>
      <c r="E1632" t="s">
        <v>27</v>
      </c>
      <c r="F1632" s="17">
        <v>1000</v>
      </c>
      <c r="G1632" s="17">
        <v>63000</v>
      </c>
      <c r="H1632" s="17">
        <v>62000</v>
      </c>
      <c r="I1632" s="18">
        <v>0.74</v>
      </c>
      <c r="J1632" s="14">
        <f t="shared" si="0"/>
        <v>62</v>
      </c>
      <c r="K1632" s="15" t="str">
        <f t="shared" si="1"/>
        <v>Exceeds Target</v>
      </c>
    </row>
    <row r="1633" spans="2:11" ht="15" customHeight="1">
      <c r="B1633" t="s">
        <v>454</v>
      </c>
      <c r="C1633" t="s">
        <v>2025</v>
      </c>
      <c r="D1633" t="s">
        <v>69</v>
      </c>
      <c r="E1633" t="s">
        <v>70</v>
      </c>
      <c r="F1633" s="17">
        <v>1000</v>
      </c>
      <c r="G1633" s="17">
        <v>65000</v>
      </c>
      <c r="H1633" s="17">
        <v>64000</v>
      </c>
      <c r="I1633" s="18">
        <v>0.47</v>
      </c>
      <c r="J1633" s="14">
        <f t="shared" si="0"/>
        <v>64</v>
      </c>
      <c r="K1633" s="15" t="str">
        <f t="shared" si="1"/>
        <v>Exceeds Target</v>
      </c>
    </row>
    <row r="1634" spans="2:11" ht="15" customHeight="1">
      <c r="B1634" t="s">
        <v>736</v>
      </c>
      <c r="C1634" t="s">
        <v>2026</v>
      </c>
      <c r="D1634" t="s">
        <v>35</v>
      </c>
      <c r="E1634" t="s">
        <v>27</v>
      </c>
      <c r="F1634" s="17">
        <v>3000</v>
      </c>
      <c r="G1634" s="17">
        <v>80000</v>
      </c>
      <c r="H1634" s="17">
        <v>77000</v>
      </c>
      <c r="I1634" s="18">
        <v>0.47</v>
      </c>
      <c r="J1634" s="14">
        <f t="shared" si="0"/>
        <v>25.666666666666668</v>
      </c>
      <c r="K1634" s="15" t="str">
        <f t="shared" si="1"/>
        <v>Exceeds Target</v>
      </c>
    </row>
    <row r="1635" spans="2:11" ht="15" customHeight="1">
      <c r="B1635" t="s">
        <v>1516</v>
      </c>
      <c r="C1635" t="s">
        <v>2027</v>
      </c>
      <c r="D1635" t="s">
        <v>35</v>
      </c>
      <c r="E1635" t="s">
        <v>27</v>
      </c>
      <c r="F1635" s="17">
        <v>3000</v>
      </c>
      <c r="G1635" s="17">
        <v>210000</v>
      </c>
      <c r="H1635" s="17">
        <v>207000</v>
      </c>
      <c r="I1635" s="18">
        <v>0.78</v>
      </c>
      <c r="J1635" s="14">
        <f t="shared" si="0"/>
        <v>69</v>
      </c>
      <c r="K1635" s="15" t="str">
        <f t="shared" si="1"/>
        <v>Exceeds Target</v>
      </c>
    </row>
    <row r="1636" spans="2:11" ht="15" customHeight="1">
      <c r="B1636" t="s">
        <v>457</v>
      </c>
      <c r="C1636" t="s">
        <v>2028</v>
      </c>
      <c r="D1636" t="s">
        <v>80</v>
      </c>
      <c r="E1636" t="s">
        <v>27</v>
      </c>
      <c r="F1636" s="17">
        <v>1000</v>
      </c>
      <c r="G1636" s="17">
        <v>51000</v>
      </c>
      <c r="H1636" s="17">
        <v>50000</v>
      </c>
      <c r="I1636" s="18">
        <v>0.94</v>
      </c>
      <c r="J1636" s="14">
        <f t="shared" si="0"/>
        <v>50</v>
      </c>
      <c r="K1636" s="15" t="str">
        <f t="shared" si="1"/>
        <v>Exceeds Target</v>
      </c>
    </row>
    <row r="1637" spans="2:11" ht="15" customHeight="1">
      <c r="B1637" t="s">
        <v>67</v>
      </c>
      <c r="C1637" t="s">
        <v>2029</v>
      </c>
      <c r="D1637" t="s">
        <v>35</v>
      </c>
      <c r="E1637" t="s">
        <v>27</v>
      </c>
      <c r="F1637" s="17">
        <v>3000</v>
      </c>
      <c r="G1637" s="17">
        <v>260000</v>
      </c>
      <c r="H1637" s="17">
        <v>257000</v>
      </c>
      <c r="I1637" s="18">
        <v>0.68</v>
      </c>
      <c r="J1637" s="14">
        <f t="shared" si="0"/>
        <v>85.666666666666671</v>
      </c>
      <c r="K1637" s="15" t="str">
        <f t="shared" si="1"/>
        <v>Exceeds Target</v>
      </c>
    </row>
    <row r="1638" spans="2:11" ht="15" customHeight="1">
      <c r="B1638" t="s">
        <v>450</v>
      </c>
      <c r="C1638" t="s">
        <v>2030</v>
      </c>
      <c r="D1638" t="s">
        <v>69</v>
      </c>
      <c r="E1638" t="s">
        <v>70</v>
      </c>
      <c r="F1638" s="17">
        <v>1000</v>
      </c>
      <c r="G1638" s="17">
        <v>80000</v>
      </c>
      <c r="H1638" s="17">
        <v>79000</v>
      </c>
      <c r="I1638" s="18">
        <v>0.52</v>
      </c>
      <c r="J1638" s="14">
        <f t="shared" si="0"/>
        <v>79</v>
      </c>
      <c r="K1638" s="15" t="str">
        <f t="shared" si="1"/>
        <v>Exceeds Target</v>
      </c>
    </row>
    <row r="1639" spans="2:11" ht="15" customHeight="1">
      <c r="B1639" t="s">
        <v>420</v>
      </c>
      <c r="C1639" t="s">
        <v>2031</v>
      </c>
      <c r="D1639" t="s">
        <v>32</v>
      </c>
      <c r="E1639" t="s">
        <v>27</v>
      </c>
      <c r="F1639" s="17">
        <v>1500</v>
      </c>
      <c r="G1639" s="17">
        <v>54000</v>
      </c>
      <c r="H1639" s="17">
        <v>52500</v>
      </c>
      <c r="I1639" s="18">
        <v>1</v>
      </c>
      <c r="J1639" s="14">
        <f t="shared" si="0"/>
        <v>35</v>
      </c>
      <c r="K1639" s="15" t="str">
        <f t="shared" si="1"/>
        <v>Exceeds Target</v>
      </c>
    </row>
    <row r="1640" spans="2:11" ht="15" customHeight="1">
      <c r="B1640" t="s">
        <v>364</v>
      </c>
      <c r="C1640" t="s">
        <v>2032</v>
      </c>
      <c r="D1640" t="s">
        <v>26</v>
      </c>
      <c r="E1640" t="s">
        <v>27</v>
      </c>
      <c r="F1640" s="17">
        <v>5000</v>
      </c>
      <c r="G1640" s="17">
        <v>90000</v>
      </c>
      <c r="H1640" s="17">
        <v>85000</v>
      </c>
      <c r="I1640" s="18">
        <v>0.15</v>
      </c>
      <c r="J1640" s="14">
        <f t="shared" si="0"/>
        <v>17</v>
      </c>
      <c r="K1640" s="15" t="str">
        <f t="shared" si="1"/>
        <v>Exceeds Target</v>
      </c>
    </row>
    <row r="1641" spans="2:11" ht="15" customHeight="1">
      <c r="B1641" t="s">
        <v>670</v>
      </c>
      <c r="C1641" t="s">
        <v>2033</v>
      </c>
      <c r="D1641" t="s">
        <v>26</v>
      </c>
      <c r="E1641" t="s">
        <v>27</v>
      </c>
      <c r="F1641" s="17">
        <v>5000</v>
      </c>
      <c r="G1641" s="17">
        <v>60000</v>
      </c>
      <c r="H1641" s="17">
        <v>55000</v>
      </c>
      <c r="I1641" s="18">
        <v>0.21</v>
      </c>
      <c r="J1641" s="14">
        <f t="shared" si="0"/>
        <v>11</v>
      </c>
      <c r="K1641" s="15" t="str">
        <f t="shared" si="1"/>
        <v>Exceeds Target</v>
      </c>
    </row>
    <row r="1642" spans="2:11" ht="15" customHeight="1">
      <c r="B1642" t="s">
        <v>311</v>
      </c>
      <c r="C1642" t="s">
        <v>2034</v>
      </c>
      <c r="D1642" t="s">
        <v>69</v>
      </c>
      <c r="E1642" t="s">
        <v>70</v>
      </c>
      <c r="F1642" s="17">
        <v>1000</v>
      </c>
      <c r="G1642" s="17">
        <v>150000</v>
      </c>
      <c r="H1642" s="17">
        <v>149000</v>
      </c>
      <c r="I1642" s="18">
        <v>0.94</v>
      </c>
      <c r="J1642" s="14">
        <f t="shared" si="0"/>
        <v>149</v>
      </c>
      <c r="K1642" s="15" t="str">
        <f t="shared" si="1"/>
        <v>Exceeds Target</v>
      </c>
    </row>
    <row r="1643" spans="2:11" ht="15" customHeight="1">
      <c r="B1643" t="s">
        <v>277</v>
      </c>
      <c r="C1643" t="s">
        <v>2035</v>
      </c>
      <c r="D1643" t="s">
        <v>35</v>
      </c>
      <c r="E1643" t="s">
        <v>27</v>
      </c>
      <c r="F1643" s="17">
        <v>3000</v>
      </c>
      <c r="G1643" s="17">
        <v>80000</v>
      </c>
      <c r="H1643" s="17">
        <v>77000</v>
      </c>
      <c r="I1643" s="18">
        <v>0.49</v>
      </c>
      <c r="J1643" s="14">
        <f t="shared" si="0"/>
        <v>25.666666666666668</v>
      </c>
      <c r="K1643" s="15" t="str">
        <f t="shared" si="1"/>
        <v>Exceeds Target</v>
      </c>
    </row>
    <row r="1644" spans="2:11" ht="15" customHeight="1">
      <c r="B1644" t="s">
        <v>850</v>
      </c>
      <c r="C1644" t="s">
        <v>2036</v>
      </c>
      <c r="D1644" t="s">
        <v>32</v>
      </c>
      <c r="E1644" t="s">
        <v>27</v>
      </c>
      <c r="F1644" s="17">
        <v>1500</v>
      </c>
      <c r="G1644" s="17">
        <v>22000</v>
      </c>
      <c r="H1644" s="17">
        <v>20500</v>
      </c>
      <c r="I1644" s="18">
        <v>0.74</v>
      </c>
      <c r="J1644" s="14">
        <f t="shared" si="0"/>
        <v>13.666666666666666</v>
      </c>
      <c r="K1644" s="15" t="str">
        <f t="shared" si="1"/>
        <v>Exceeds Target</v>
      </c>
    </row>
    <row r="1645" spans="2:11" ht="15" customHeight="1">
      <c r="B1645" t="s">
        <v>287</v>
      </c>
      <c r="C1645" t="s">
        <v>2037</v>
      </c>
      <c r="D1645" t="s">
        <v>80</v>
      </c>
      <c r="E1645" t="s">
        <v>27</v>
      </c>
      <c r="F1645" s="17">
        <v>1000</v>
      </c>
      <c r="G1645" s="17">
        <v>54000</v>
      </c>
      <c r="H1645" s="17">
        <v>53000</v>
      </c>
      <c r="I1645" s="18">
        <v>0.56999999999999995</v>
      </c>
      <c r="J1645" s="14">
        <f t="shared" si="0"/>
        <v>53</v>
      </c>
      <c r="K1645" s="15" t="str">
        <f t="shared" si="1"/>
        <v>Exceeds Target</v>
      </c>
    </row>
    <row r="1646" spans="2:11" ht="15" customHeight="1">
      <c r="B1646" t="s">
        <v>161</v>
      </c>
      <c r="C1646" t="s">
        <v>2038</v>
      </c>
      <c r="D1646" t="s">
        <v>69</v>
      </c>
      <c r="E1646" t="s">
        <v>70</v>
      </c>
      <c r="F1646" s="17">
        <v>1000</v>
      </c>
      <c r="G1646" s="17">
        <v>135000</v>
      </c>
      <c r="H1646" s="17">
        <v>134000</v>
      </c>
      <c r="I1646" s="18">
        <v>0.52</v>
      </c>
      <c r="J1646" s="14">
        <f t="shared" si="0"/>
        <v>134</v>
      </c>
      <c r="K1646" s="15" t="str">
        <f t="shared" si="1"/>
        <v>Exceeds Target</v>
      </c>
    </row>
    <row r="1647" spans="2:11" ht="15" customHeight="1">
      <c r="B1647" t="s">
        <v>317</v>
      </c>
      <c r="C1647" t="s">
        <v>2039</v>
      </c>
      <c r="D1647" t="s">
        <v>80</v>
      </c>
      <c r="E1647" t="s">
        <v>27</v>
      </c>
      <c r="F1647" s="17">
        <v>1000</v>
      </c>
      <c r="G1647" s="17">
        <v>87000</v>
      </c>
      <c r="H1647" s="17">
        <v>86000</v>
      </c>
      <c r="I1647" s="18">
        <v>0.92</v>
      </c>
      <c r="J1647" s="14">
        <f t="shared" si="0"/>
        <v>86</v>
      </c>
      <c r="K1647" s="15" t="str">
        <f t="shared" si="1"/>
        <v>Exceeds Target</v>
      </c>
    </row>
    <row r="1648" spans="2:11" ht="15" customHeight="1">
      <c r="B1648" t="s">
        <v>135</v>
      </c>
      <c r="C1648" t="s">
        <v>2040</v>
      </c>
      <c r="D1648" t="s">
        <v>26</v>
      </c>
      <c r="E1648" t="s">
        <v>27</v>
      </c>
      <c r="F1648" s="17">
        <v>5000</v>
      </c>
      <c r="G1648" s="17">
        <v>90000</v>
      </c>
      <c r="H1648" s="17">
        <v>85000</v>
      </c>
      <c r="I1648" s="18">
        <v>0.26</v>
      </c>
      <c r="J1648" s="14">
        <f t="shared" si="0"/>
        <v>17</v>
      </c>
      <c r="K1648" s="15" t="str">
        <f t="shared" si="1"/>
        <v>Exceeds Target</v>
      </c>
    </row>
    <row r="1649" spans="2:11" ht="15" customHeight="1">
      <c r="B1649" t="s">
        <v>1063</v>
      </c>
      <c r="C1649" t="s">
        <v>2041</v>
      </c>
      <c r="D1649" t="s">
        <v>80</v>
      </c>
      <c r="E1649" t="s">
        <v>27</v>
      </c>
      <c r="F1649" s="17">
        <v>1000</v>
      </c>
      <c r="G1649" s="17">
        <v>72000</v>
      </c>
      <c r="H1649" s="17">
        <v>71000</v>
      </c>
      <c r="I1649" s="18">
        <v>0.61</v>
      </c>
      <c r="J1649" s="14">
        <f t="shared" si="0"/>
        <v>71</v>
      </c>
      <c r="K1649" s="15" t="str">
        <f t="shared" si="1"/>
        <v>Exceeds Target</v>
      </c>
    </row>
    <row r="1650" spans="2:11" ht="15" customHeight="1">
      <c r="B1650" t="s">
        <v>939</v>
      </c>
      <c r="C1650" t="s">
        <v>2042</v>
      </c>
      <c r="D1650" t="s">
        <v>32</v>
      </c>
      <c r="E1650" t="s">
        <v>27</v>
      </c>
      <c r="F1650" s="17">
        <v>1500</v>
      </c>
      <c r="G1650" s="17">
        <v>44000</v>
      </c>
      <c r="H1650" s="17">
        <v>42500</v>
      </c>
      <c r="I1650" s="18">
        <v>0.27</v>
      </c>
      <c r="J1650" s="14">
        <f t="shared" si="0"/>
        <v>28.333333333333332</v>
      </c>
      <c r="K1650" s="15" t="str">
        <f t="shared" si="1"/>
        <v>Exceeds Target</v>
      </c>
    </row>
    <row r="1651" spans="2:11" ht="15" customHeight="1">
      <c r="B1651" t="s">
        <v>1621</v>
      </c>
      <c r="C1651" t="s">
        <v>2043</v>
      </c>
      <c r="D1651" t="s">
        <v>35</v>
      </c>
      <c r="E1651" t="s">
        <v>27</v>
      </c>
      <c r="F1651" s="17">
        <v>3000</v>
      </c>
      <c r="G1651" s="17">
        <v>60000</v>
      </c>
      <c r="H1651" s="17">
        <v>57000</v>
      </c>
      <c r="I1651" s="18">
        <v>0.28999999999999998</v>
      </c>
      <c r="J1651" s="14">
        <f t="shared" si="0"/>
        <v>19</v>
      </c>
      <c r="K1651" s="15" t="str">
        <f t="shared" si="1"/>
        <v>Exceeds Target</v>
      </c>
    </row>
    <row r="1652" spans="2:11" ht="15" customHeight="1">
      <c r="B1652" t="s">
        <v>1323</v>
      </c>
      <c r="C1652" t="s">
        <v>2044</v>
      </c>
      <c r="D1652" t="s">
        <v>80</v>
      </c>
      <c r="E1652" t="s">
        <v>27</v>
      </c>
      <c r="F1652" s="17">
        <v>1000</v>
      </c>
      <c r="G1652" s="17">
        <v>60000</v>
      </c>
      <c r="H1652" s="17">
        <v>59000</v>
      </c>
      <c r="I1652" s="18">
        <v>0.78</v>
      </c>
      <c r="J1652" s="14">
        <f t="shared" si="0"/>
        <v>59</v>
      </c>
      <c r="K1652" s="15" t="str">
        <f t="shared" si="1"/>
        <v>Exceeds Target</v>
      </c>
    </row>
    <row r="1653" spans="2:11" ht="15" customHeight="1">
      <c r="B1653" t="s">
        <v>1210</v>
      </c>
      <c r="C1653" t="s">
        <v>2045</v>
      </c>
      <c r="D1653" t="s">
        <v>69</v>
      </c>
      <c r="E1653" t="s">
        <v>70</v>
      </c>
      <c r="F1653" s="17">
        <v>1000</v>
      </c>
      <c r="G1653" s="17">
        <v>60000</v>
      </c>
      <c r="H1653" s="17">
        <v>59000</v>
      </c>
      <c r="I1653" s="18">
        <v>0.78</v>
      </c>
      <c r="J1653" s="14">
        <f t="shared" si="0"/>
        <v>59</v>
      </c>
      <c r="K1653" s="15" t="str">
        <f t="shared" si="1"/>
        <v>Exceeds Target</v>
      </c>
    </row>
    <row r="1654" spans="2:11" ht="15" customHeight="1">
      <c r="B1654" t="s">
        <v>776</v>
      </c>
      <c r="C1654" t="s">
        <v>2046</v>
      </c>
      <c r="D1654" t="s">
        <v>26</v>
      </c>
      <c r="E1654" t="s">
        <v>27</v>
      </c>
      <c r="F1654" s="17">
        <v>5000</v>
      </c>
      <c r="G1654" s="17">
        <v>30000</v>
      </c>
      <c r="H1654" s="17">
        <v>25000</v>
      </c>
      <c r="I1654" s="18">
        <v>0.26</v>
      </c>
      <c r="J1654" s="14">
        <f t="shared" si="0"/>
        <v>5</v>
      </c>
      <c r="K1654" s="15" t="str">
        <f t="shared" si="1"/>
        <v>Exceeds Target</v>
      </c>
    </row>
    <row r="1655" spans="2:11" ht="15" customHeight="1">
      <c r="B1655" t="s">
        <v>880</v>
      </c>
      <c r="C1655" t="s">
        <v>2047</v>
      </c>
      <c r="D1655" t="s">
        <v>32</v>
      </c>
      <c r="E1655" t="s">
        <v>27</v>
      </c>
      <c r="F1655" s="17">
        <v>1500</v>
      </c>
      <c r="G1655" s="17">
        <v>54000</v>
      </c>
      <c r="H1655" s="17">
        <v>52500</v>
      </c>
      <c r="I1655" s="18">
        <v>0.19</v>
      </c>
      <c r="J1655" s="14">
        <f t="shared" si="0"/>
        <v>35</v>
      </c>
      <c r="K1655" s="15" t="str">
        <f t="shared" si="1"/>
        <v>Exceeds Target</v>
      </c>
    </row>
    <row r="1656" spans="2:11" ht="15" customHeight="1">
      <c r="B1656" t="s">
        <v>197</v>
      </c>
      <c r="C1656" t="s">
        <v>2048</v>
      </c>
      <c r="D1656" t="s">
        <v>32</v>
      </c>
      <c r="E1656" t="s">
        <v>27</v>
      </c>
      <c r="F1656" s="17">
        <v>1500</v>
      </c>
      <c r="G1656" s="17">
        <v>20000</v>
      </c>
      <c r="H1656" s="17">
        <v>18500</v>
      </c>
      <c r="I1656" s="18">
        <v>0.91</v>
      </c>
      <c r="J1656" s="14">
        <f t="shared" si="0"/>
        <v>12.333333333333334</v>
      </c>
      <c r="K1656" s="15" t="str">
        <f t="shared" si="1"/>
        <v>Exceeds Target</v>
      </c>
    </row>
    <row r="1657" spans="2:11" ht="15" customHeight="1">
      <c r="B1657" t="s">
        <v>420</v>
      </c>
      <c r="C1657" t="s">
        <v>2049</v>
      </c>
      <c r="D1657" t="s">
        <v>35</v>
      </c>
      <c r="E1657" t="s">
        <v>27</v>
      </c>
      <c r="F1657" s="17">
        <v>3000</v>
      </c>
      <c r="G1657" s="17">
        <v>110000</v>
      </c>
      <c r="H1657" s="17">
        <v>107000</v>
      </c>
      <c r="I1657" s="18">
        <v>0.71</v>
      </c>
      <c r="J1657" s="14">
        <f t="shared" si="0"/>
        <v>35.666666666666664</v>
      </c>
      <c r="K1657" s="15" t="str">
        <f t="shared" si="1"/>
        <v>Exceeds Target</v>
      </c>
    </row>
    <row r="1658" spans="2:11" ht="15" customHeight="1">
      <c r="B1658" t="s">
        <v>1320</v>
      </c>
      <c r="C1658" t="s">
        <v>2050</v>
      </c>
      <c r="D1658" t="s">
        <v>32</v>
      </c>
      <c r="E1658" t="s">
        <v>27</v>
      </c>
      <c r="F1658" s="17">
        <v>1500</v>
      </c>
      <c r="G1658" s="17">
        <v>30000</v>
      </c>
      <c r="H1658" s="17">
        <v>28500</v>
      </c>
      <c r="I1658" s="18">
        <v>0.27</v>
      </c>
      <c r="J1658" s="14">
        <f t="shared" si="0"/>
        <v>19</v>
      </c>
      <c r="K1658" s="15" t="str">
        <f t="shared" si="1"/>
        <v>Exceeds Target</v>
      </c>
    </row>
    <row r="1659" spans="2:11" ht="15" customHeight="1">
      <c r="B1659" t="s">
        <v>135</v>
      </c>
      <c r="C1659" t="s">
        <v>2051</v>
      </c>
      <c r="D1659" t="s">
        <v>32</v>
      </c>
      <c r="E1659" t="s">
        <v>27</v>
      </c>
      <c r="F1659" s="17">
        <v>1500</v>
      </c>
      <c r="G1659" s="17">
        <v>24000</v>
      </c>
      <c r="H1659" s="17">
        <v>22500</v>
      </c>
      <c r="I1659" s="18">
        <v>0.98</v>
      </c>
      <c r="J1659" s="14">
        <f t="shared" si="0"/>
        <v>15</v>
      </c>
      <c r="K1659" s="15" t="str">
        <f t="shared" si="1"/>
        <v>Exceeds Target</v>
      </c>
    </row>
    <row r="1660" spans="2:11" ht="15" customHeight="1">
      <c r="B1660" t="s">
        <v>824</v>
      </c>
      <c r="C1660" t="s">
        <v>2052</v>
      </c>
      <c r="D1660" t="s">
        <v>69</v>
      </c>
      <c r="E1660" t="s">
        <v>70</v>
      </c>
      <c r="F1660" s="17">
        <v>1000</v>
      </c>
      <c r="G1660" s="17">
        <v>75000</v>
      </c>
      <c r="H1660" s="17">
        <v>74000</v>
      </c>
      <c r="I1660" s="18">
        <v>0.75</v>
      </c>
      <c r="J1660" s="14">
        <f t="shared" si="0"/>
        <v>74</v>
      </c>
      <c r="K1660" s="15" t="str">
        <f t="shared" si="1"/>
        <v>Exceeds Target</v>
      </c>
    </row>
    <row r="1661" spans="2:11" ht="15" customHeight="1">
      <c r="B1661" t="s">
        <v>340</v>
      </c>
      <c r="C1661" t="s">
        <v>2053</v>
      </c>
      <c r="D1661" t="s">
        <v>69</v>
      </c>
      <c r="E1661" t="s">
        <v>70</v>
      </c>
      <c r="F1661" s="17">
        <v>1000</v>
      </c>
      <c r="G1661" s="17">
        <v>40000</v>
      </c>
      <c r="H1661" s="17">
        <v>39000</v>
      </c>
      <c r="I1661" s="18">
        <v>0.54</v>
      </c>
      <c r="J1661" s="14">
        <f t="shared" si="0"/>
        <v>39</v>
      </c>
      <c r="K1661" s="15" t="str">
        <f t="shared" si="1"/>
        <v>Exceeds Target</v>
      </c>
    </row>
    <row r="1662" spans="2:11" ht="15" customHeight="1">
      <c r="B1662" t="s">
        <v>648</v>
      </c>
      <c r="C1662" t="s">
        <v>2054</v>
      </c>
      <c r="D1662" t="s">
        <v>32</v>
      </c>
      <c r="E1662" t="s">
        <v>27</v>
      </c>
      <c r="F1662" s="17">
        <v>1500</v>
      </c>
      <c r="G1662" s="17">
        <v>48000</v>
      </c>
      <c r="H1662" s="17">
        <v>46500</v>
      </c>
      <c r="I1662" s="18">
        <v>0.44</v>
      </c>
      <c r="J1662" s="14">
        <f t="shared" si="0"/>
        <v>31</v>
      </c>
      <c r="K1662" s="15" t="str">
        <f t="shared" si="1"/>
        <v>Exceeds Target</v>
      </c>
    </row>
    <row r="1663" spans="2:11" ht="15" customHeight="1">
      <c r="B1663" t="s">
        <v>762</v>
      </c>
      <c r="C1663" t="s">
        <v>2055</v>
      </c>
      <c r="D1663" t="s">
        <v>69</v>
      </c>
      <c r="E1663" t="s">
        <v>70</v>
      </c>
      <c r="F1663" s="17">
        <v>1000</v>
      </c>
      <c r="G1663" s="17">
        <v>65000</v>
      </c>
      <c r="H1663" s="17">
        <v>64000</v>
      </c>
      <c r="I1663" s="18">
        <v>0.63</v>
      </c>
      <c r="J1663" s="14">
        <f t="shared" si="0"/>
        <v>64</v>
      </c>
      <c r="K1663" s="15" t="str">
        <f t="shared" si="1"/>
        <v>Exceeds Target</v>
      </c>
    </row>
    <row r="1664" spans="2:11" ht="15" customHeight="1">
      <c r="B1664" t="s">
        <v>792</v>
      </c>
      <c r="C1664" t="s">
        <v>2056</v>
      </c>
      <c r="D1664" t="s">
        <v>26</v>
      </c>
      <c r="E1664" t="s">
        <v>27</v>
      </c>
      <c r="F1664" s="17">
        <v>5000</v>
      </c>
      <c r="G1664" s="17">
        <v>60000</v>
      </c>
      <c r="H1664" s="17">
        <v>55000</v>
      </c>
      <c r="I1664" s="18">
        <v>7.0000000000000007E-2</v>
      </c>
      <c r="J1664" s="14">
        <f t="shared" si="0"/>
        <v>11</v>
      </c>
      <c r="K1664" s="15" t="str">
        <f t="shared" si="1"/>
        <v>Exceeds Target</v>
      </c>
    </row>
    <row r="1665" spans="2:11" ht="15" customHeight="1">
      <c r="B1665" t="s">
        <v>642</v>
      </c>
      <c r="C1665" t="s">
        <v>2057</v>
      </c>
      <c r="D1665" t="s">
        <v>69</v>
      </c>
      <c r="E1665" t="s">
        <v>70</v>
      </c>
      <c r="F1665" s="17">
        <v>1000</v>
      </c>
      <c r="G1665" s="17">
        <v>100000</v>
      </c>
      <c r="H1665" s="17">
        <v>99000</v>
      </c>
      <c r="I1665" s="18">
        <v>0.89</v>
      </c>
      <c r="J1665" s="14">
        <f t="shared" si="0"/>
        <v>99</v>
      </c>
      <c r="K1665" s="15" t="str">
        <f t="shared" si="1"/>
        <v>Exceeds Target</v>
      </c>
    </row>
    <row r="1666" spans="2:11" ht="15" customHeight="1">
      <c r="B1666" t="s">
        <v>303</v>
      </c>
      <c r="C1666" t="s">
        <v>2058</v>
      </c>
      <c r="D1666" t="s">
        <v>26</v>
      </c>
      <c r="E1666" t="s">
        <v>27</v>
      </c>
      <c r="F1666" s="17">
        <v>5000</v>
      </c>
      <c r="G1666" s="17">
        <v>120000</v>
      </c>
      <c r="H1666" s="17">
        <v>115000</v>
      </c>
      <c r="I1666" s="18">
        <v>0.23</v>
      </c>
      <c r="J1666" s="14">
        <f t="shared" si="0"/>
        <v>23</v>
      </c>
      <c r="K1666" s="15" t="str">
        <f t="shared" si="1"/>
        <v>Exceeds Target</v>
      </c>
    </row>
    <row r="1667" spans="2:11" ht="15" customHeight="1">
      <c r="B1667" t="s">
        <v>517</v>
      </c>
      <c r="C1667" t="s">
        <v>2059</v>
      </c>
      <c r="D1667" t="s">
        <v>80</v>
      </c>
      <c r="E1667" t="s">
        <v>27</v>
      </c>
      <c r="F1667" s="17">
        <v>1000</v>
      </c>
      <c r="G1667" s="17">
        <v>96000</v>
      </c>
      <c r="H1667" s="17">
        <v>95000</v>
      </c>
      <c r="I1667" s="18">
        <v>0.75</v>
      </c>
      <c r="J1667" s="14">
        <f t="shared" si="0"/>
        <v>95</v>
      </c>
      <c r="K1667" s="15" t="str">
        <f t="shared" si="1"/>
        <v>Exceeds Target</v>
      </c>
    </row>
    <row r="1668" spans="2:11" ht="15" customHeight="1">
      <c r="B1668" t="s">
        <v>1241</v>
      </c>
      <c r="C1668" t="s">
        <v>2060</v>
      </c>
      <c r="D1668" t="s">
        <v>69</v>
      </c>
      <c r="E1668" t="s">
        <v>70</v>
      </c>
      <c r="F1668" s="17">
        <v>1000</v>
      </c>
      <c r="G1668" s="17">
        <v>50000</v>
      </c>
      <c r="H1668" s="17">
        <v>49000</v>
      </c>
      <c r="I1668" s="18">
        <v>0.49</v>
      </c>
      <c r="J1668" s="14">
        <f t="shared" si="0"/>
        <v>49</v>
      </c>
      <c r="K1668" s="15" t="str">
        <f t="shared" si="1"/>
        <v>Exceeds Target</v>
      </c>
    </row>
    <row r="1669" spans="2:11" ht="15" customHeight="1">
      <c r="B1669" t="s">
        <v>1241</v>
      </c>
      <c r="C1669" t="s">
        <v>2061</v>
      </c>
      <c r="D1669" t="s">
        <v>80</v>
      </c>
      <c r="E1669" t="s">
        <v>27</v>
      </c>
      <c r="F1669" s="17">
        <v>1000</v>
      </c>
      <c r="G1669" s="17">
        <v>102000</v>
      </c>
      <c r="H1669" s="17">
        <v>101000</v>
      </c>
      <c r="I1669" s="18">
        <v>0.73</v>
      </c>
      <c r="J1669" s="14">
        <f t="shared" si="0"/>
        <v>101</v>
      </c>
      <c r="K1669" s="15" t="str">
        <f t="shared" si="1"/>
        <v>Exceeds Target</v>
      </c>
    </row>
    <row r="1670" spans="2:11" ht="15" customHeight="1">
      <c r="B1670" t="s">
        <v>43</v>
      </c>
      <c r="C1670" t="s">
        <v>2062</v>
      </c>
      <c r="D1670" t="s">
        <v>32</v>
      </c>
      <c r="E1670" t="s">
        <v>27</v>
      </c>
      <c r="F1670" s="17">
        <v>1500</v>
      </c>
      <c r="G1670" s="17">
        <v>12000</v>
      </c>
      <c r="H1670" s="17">
        <v>10500</v>
      </c>
      <c r="I1670" s="18">
        <v>0.84</v>
      </c>
      <c r="J1670" s="14">
        <f t="shared" si="0"/>
        <v>7</v>
      </c>
      <c r="K1670" s="15" t="str">
        <f t="shared" si="1"/>
        <v>Exceeds Target</v>
      </c>
    </row>
    <row r="1671" spans="2:11" ht="15" customHeight="1">
      <c r="B1671" t="s">
        <v>265</v>
      </c>
      <c r="C1671" t="s">
        <v>2063</v>
      </c>
      <c r="D1671" t="s">
        <v>26</v>
      </c>
      <c r="E1671" t="s">
        <v>27</v>
      </c>
      <c r="F1671" s="17">
        <v>5000</v>
      </c>
      <c r="G1671" s="17">
        <v>120000</v>
      </c>
      <c r="H1671" s="17">
        <v>115000</v>
      </c>
      <c r="I1671" s="18">
        <v>0.09</v>
      </c>
      <c r="J1671" s="14">
        <f t="shared" si="0"/>
        <v>23</v>
      </c>
      <c r="K1671" s="15" t="str">
        <f t="shared" si="1"/>
        <v>Exceeds Target</v>
      </c>
    </row>
    <row r="1672" spans="2:11" ht="15" customHeight="1">
      <c r="B1672" t="s">
        <v>1113</v>
      </c>
      <c r="C1672" t="s">
        <v>2064</v>
      </c>
      <c r="D1672" t="s">
        <v>26</v>
      </c>
      <c r="E1672" t="s">
        <v>27</v>
      </c>
      <c r="F1672" s="17">
        <v>5000</v>
      </c>
      <c r="G1672" s="17">
        <v>150000</v>
      </c>
      <c r="H1672" s="17">
        <v>145000</v>
      </c>
      <c r="I1672" s="18">
        <v>0.08</v>
      </c>
      <c r="J1672" s="14">
        <f t="shared" si="0"/>
        <v>29</v>
      </c>
      <c r="K1672" s="15" t="str">
        <f t="shared" si="1"/>
        <v>Exceeds Target</v>
      </c>
    </row>
    <row r="1673" spans="2:11" ht="15" customHeight="1">
      <c r="B1673" t="s">
        <v>307</v>
      </c>
      <c r="C1673" t="s">
        <v>2065</v>
      </c>
      <c r="D1673" t="s">
        <v>26</v>
      </c>
      <c r="E1673" t="s">
        <v>27</v>
      </c>
      <c r="F1673" s="17">
        <v>5000</v>
      </c>
      <c r="G1673" s="17">
        <v>30000</v>
      </c>
      <c r="H1673" s="17">
        <v>25000</v>
      </c>
      <c r="I1673" s="18">
        <v>0.17</v>
      </c>
      <c r="J1673" s="14">
        <f t="shared" si="0"/>
        <v>5</v>
      </c>
      <c r="K1673" s="15" t="str">
        <f t="shared" si="1"/>
        <v>Exceeds Target</v>
      </c>
    </row>
    <row r="1674" spans="2:11" ht="15" customHeight="1">
      <c r="B1674" t="s">
        <v>1247</v>
      </c>
      <c r="C1674" t="s">
        <v>2066</v>
      </c>
      <c r="D1674" t="s">
        <v>26</v>
      </c>
      <c r="E1674" t="s">
        <v>27</v>
      </c>
      <c r="F1674" s="17">
        <v>5000</v>
      </c>
      <c r="G1674" s="17">
        <v>150000</v>
      </c>
      <c r="H1674" s="17">
        <v>145000</v>
      </c>
      <c r="I1674" s="18">
        <v>0.06</v>
      </c>
      <c r="J1674" s="14">
        <f t="shared" si="0"/>
        <v>29</v>
      </c>
      <c r="K1674" s="15" t="str">
        <f t="shared" si="1"/>
        <v>Exceeds Target</v>
      </c>
    </row>
    <row r="1675" spans="2:11" ht="15" customHeight="1">
      <c r="B1675" t="s">
        <v>1176</v>
      </c>
      <c r="C1675" t="s">
        <v>2067</v>
      </c>
      <c r="D1675" t="s">
        <v>69</v>
      </c>
      <c r="E1675" t="s">
        <v>70</v>
      </c>
      <c r="F1675" s="17">
        <v>1000</v>
      </c>
      <c r="G1675" s="17">
        <v>100000</v>
      </c>
      <c r="H1675" s="17">
        <v>99000</v>
      </c>
      <c r="I1675" s="18">
        <v>0.73</v>
      </c>
      <c r="J1675" s="14">
        <f t="shared" si="0"/>
        <v>99</v>
      </c>
      <c r="K1675" s="15" t="str">
        <f t="shared" si="1"/>
        <v>Exceeds Target</v>
      </c>
    </row>
    <row r="1676" spans="2:11" ht="15" customHeight="1">
      <c r="B1676" t="s">
        <v>382</v>
      </c>
      <c r="C1676" t="s">
        <v>2068</v>
      </c>
      <c r="D1676" t="s">
        <v>80</v>
      </c>
      <c r="E1676" t="s">
        <v>27</v>
      </c>
      <c r="F1676" s="17">
        <v>1000</v>
      </c>
      <c r="G1676" s="17">
        <v>96000</v>
      </c>
      <c r="H1676" s="17">
        <v>95000</v>
      </c>
      <c r="I1676" s="18">
        <v>0.71</v>
      </c>
      <c r="J1676" s="14">
        <f t="shared" si="0"/>
        <v>95</v>
      </c>
      <c r="K1676" s="15" t="str">
        <f t="shared" si="1"/>
        <v>Exceeds Target</v>
      </c>
    </row>
    <row r="1677" spans="2:11" ht="15" customHeight="1">
      <c r="B1677" t="s">
        <v>1358</v>
      </c>
      <c r="C1677" t="s">
        <v>2069</v>
      </c>
      <c r="D1677" t="s">
        <v>80</v>
      </c>
      <c r="E1677" t="s">
        <v>27</v>
      </c>
      <c r="F1677" s="17">
        <v>1000</v>
      </c>
      <c r="G1677" s="17">
        <v>57000</v>
      </c>
      <c r="H1677" s="17">
        <v>56000</v>
      </c>
      <c r="I1677" s="18">
        <v>0.99</v>
      </c>
      <c r="J1677" s="14">
        <f t="shared" si="0"/>
        <v>56</v>
      </c>
      <c r="K1677" s="15" t="str">
        <f t="shared" si="1"/>
        <v>Exceeds Target</v>
      </c>
    </row>
    <row r="1678" spans="2:11" ht="15" customHeight="1">
      <c r="B1678" t="s">
        <v>1477</v>
      </c>
      <c r="C1678" t="s">
        <v>2070</v>
      </c>
      <c r="D1678" t="s">
        <v>69</v>
      </c>
      <c r="E1678" t="s">
        <v>70</v>
      </c>
      <c r="F1678" s="17">
        <v>1000</v>
      </c>
      <c r="G1678" s="17">
        <v>60000</v>
      </c>
      <c r="H1678" s="17">
        <v>59000</v>
      </c>
      <c r="I1678" s="18">
        <v>0.89</v>
      </c>
      <c r="J1678" s="14">
        <f t="shared" si="0"/>
        <v>59</v>
      </c>
      <c r="K1678" s="15" t="str">
        <f t="shared" si="1"/>
        <v>Exceeds Target</v>
      </c>
    </row>
    <row r="1679" spans="2:11" ht="15" customHeight="1">
      <c r="B1679" t="s">
        <v>810</v>
      </c>
      <c r="C1679" t="s">
        <v>2071</v>
      </c>
      <c r="D1679" t="s">
        <v>80</v>
      </c>
      <c r="E1679" t="s">
        <v>27</v>
      </c>
      <c r="F1679" s="17">
        <v>1000</v>
      </c>
      <c r="G1679" s="17">
        <v>114000</v>
      </c>
      <c r="H1679" s="17">
        <v>113000</v>
      </c>
      <c r="I1679" s="18">
        <v>0.68</v>
      </c>
      <c r="J1679" s="14">
        <f t="shared" si="0"/>
        <v>113</v>
      </c>
      <c r="K1679" s="15" t="str">
        <f t="shared" si="1"/>
        <v>Exceeds Target</v>
      </c>
    </row>
    <row r="1680" spans="2:11" ht="15" customHeight="1">
      <c r="B1680" t="s">
        <v>566</v>
      </c>
      <c r="C1680" t="s">
        <v>2072</v>
      </c>
      <c r="D1680" t="s">
        <v>69</v>
      </c>
      <c r="E1680" t="s">
        <v>70</v>
      </c>
      <c r="F1680" s="17">
        <v>1000</v>
      </c>
      <c r="G1680" s="17">
        <v>90000</v>
      </c>
      <c r="H1680" s="17">
        <v>89000</v>
      </c>
      <c r="I1680" s="18">
        <v>0.66</v>
      </c>
      <c r="J1680" s="14">
        <f t="shared" si="0"/>
        <v>89</v>
      </c>
      <c r="K1680" s="15" t="str">
        <f t="shared" si="1"/>
        <v>Exceeds Target</v>
      </c>
    </row>
    <row r="1681" spans="2:11" ht="15" customHeight="1">
      <c r="B1681" t="s">
        <v>832</v>
      </c>
      <c r="C1681" t="s">
        <v>2073</v>
      </c>
      <c r="D1681" t="s">
        <v>80</v>
      </c>
      <c r="E1681" t="s">
        <v>27</v>
      </c>
      <c r="F1681" s="17">
        <v>1000</v>
      </c>
      <c r="G1681" s="17">
        <v>93000</v>
      </c>
      <c r="H1681" s="17">
        <v>92000</v>
      </c>
      <c r="I1681" s="18">
        <v>0.74</v>
      </c>
      <c r="J1681" s="14">
        <f t="shared" si="0"/>
        <v>92</v>
      </c>
      <c r="K1681" s="15" t="str">
        <f t="shared" si="1"/>
        <v>Exceeds Target</v>
      </c>
    </row>
    <row r="1682" spans="2:11" ht="15" customHeight="1">
      <c r="B1682" t="s">
        <v>113</v>
      </c>
      <c r="C1682" t="s">
        <v>2074</v>
      </c>
      <c r="D1682" t="s">
        <v>35</v>
      </c>
      <c r="E1682" t="s">
        <v>27</v>
      </c>
      <c r="F1682" s="17">
        <v>3000</v>
      </c>
      <c r="G1682" s="17">
        <v>60000</v>
      </c>
      <c r="H1682" s="17">
        <v>57000</v>
      </c>
      <c r="I1682" s="18">
        <v>0.39</v>
      </c>
      <c r="J1682" s="14">
        <f t="shared" si="0"/>
        <v>19</v>
      </c>
      <c r="K1682" s="15" t="str">
        <f t="shared" si="1"/>
        <v>Exceeds Target</v>
      </c>
    </row>
    <row r="1683" spans="2:11" ht="15" customHeight="1">
      <c r="B1683" t="s">
        <v>1007</v>
      </c>
      <c r="C1683" t="s">
        <v>2075</v>
      </c>
      <c r="D1683" t="s">
        <v>32</v>
      </c>
      <c r="E1683" t="s">
        <v>27</v>
      </c>
      <c r="F1683" s="17">
        <v>1500</v>
      </c>
      <c r="G1683" s="17">
        <v>44000</v>
      </c>
      <c r="H1683" s="17">
        <v>42500</v>
      </c>
      <c r="I1683" s="18">
        <v>0.61</v>
      </c>
      <c r="J1683" s="14">
        <f t="shared" si="0"/>
        <v>28.333333333333332</v>
      </c>
      <c r="K1683" s="15" t="str">
        <f t="shared" si="1"/>
        <v>Exceeds Target</v>
      </c>
    </row>
    <row r="1684" spans="2:11" ht="15" customHeight="1">
      <c r="B1684" t="s">
        <v>51</v>
      </c>
      <c r="C1684" t="s">
        <v>2076</v>
      </c>
      <c r="D1684" t="s">
        <v>80</v>
      </c>
      <c r="E1684" t="s">
        <v>27</v>
      </c>
      <c r="F1684" s="17">
        <v>1000</v>
      </c>
      <c r="G1684" s="17">
        <v>72000</v>
      </c>
      <c r="H1684" s="17">
        <v>71000</v>
      </c>
      <c r="I1684" s="18">
        <v>0.57999999999999996</v>
      </c>
      <c r="J1684" s="14">
        <f t="shared" si="0"/>
        <v>71</v>
      </c>
      <c r="K1684" s="15" t="str">
        <f t="shared" si="1"/>
        <v>Exceeds Target</v>
      </c>
    </row>
    <row r="1685" spans="2:11" ht="15" customHeight="1">
      <c r="B1685" t="s">
        <v>220</v>
      </c>
      <c r="C1685" t="s">
        <v>2077</v>
      </c>
      <c r="D1685" t="s">
        <v>26</v>
      </c>
      <c r="E1685" t="s">
        <v>27</v>
      </c>
      <c r="F1685" s="17">
        <v>5000</v>
      </c>
      <c r="G1685" s="17">
        <v>120000</v>
      </c>
      <c r="H1685" s="17">
        <v>115000</v>
      </c>
      <c r="I1685" s="18">
        <v>0.06</v>
      </c>
      <c r="J1685" s="14">
        <f t="shared" si="0"/>
        <v>23</v>
      </c>
      <c r="K1685" s="15" t="str">
        <f t="shared" si="1"/>
        <v>Exceeds Target</v>
      </c>
    </row>
    <row r="1686" spans="2:11" ht="15" customHeight="1">
      <c r="B1686" t="s">
        <v>169</v>
      </c>
      <c r="C1686" t="s">
        <v>2078</v>
      </c>
      <c r="D1686" t="s">
        <v>80</v>
      </c>
      <c r="E1686" t="s">
        <v>27</v>
      </c>
      <c r="F1686" s="17">
        <v>1000</v>
      </c>
      <c r="G1686" s="17">
        <v>84000</v>
      </c>
      <c r="H1686" s="17">
        <v>83000</v>
      </c>
      <c r="I1686" s="18">
        <v>0.83</v>
      </c>
      <c r="J1686" s="14">
        <f t="shared" si="0"/>
        <v>83</v>
      </c>
      <c r="K1686" s="15" t="str">
        <f t="shared" si="1"/>
        <v>Exceeds Target</v>
      </c>
    </row>
    <row r="1687" spans="2:11" ht="15" customHeight="1">
      <c r="B1687" t="s">
        <v>538</v>
      </c>
      <c r="C1687" t="s">
        <v>2079</v>
      </c>
      <c r="D1687" t="s">
        <v>80</v>
      </c>
      <c r="E1687" t="s">
        <v>27</v>
      </c>
      <c r="F1687" s="17">
        <v>1000</v>
      </c>
      <c r="G1687" s="17">
        <v>51000</v>
      </c>
      <c r="H1687" s="17">
        <v>50000</v>
      </c>
      <c r="I1687" s="18">
        <v>0.69</v>
      </c>
      <c r="J1687" s="14">
        <f t="shared" si="0"/>
        <v>50</v>
      </c>
      <c r="K1687" s="15" t="str">
        <f t="shared" si="1"/>
        <v>Exceeds Target</v>
      </c>
    </row>
    <row r="1688" spans="2:11" ht="15" customHeight="1">
      <c r="B1688" t="s">
        <v>111</v>
      </c>
      <c r="C1688" t="s">
        <v>2080</v>
      </c>
      <c r="D1688" t="s">
        <v>26</v>
      </c>
      <c r="E1688" t="s">
        <v>27</v>
      </c>
      <c r="F1688" s="17">
        <v>5000</v>
      </c>
      <c r="G1688" s="17">
        <v>30000</v>
      </c>
      <c r="H1688" s="17">
        <v>25000</v>
      </c>
      <c r="I1688" s="18">
        <v>0.12</v>
      </c>
      <c r="J1688" s="14">
        <f t="shared" si="0"/>
        <v>5</v>
      </c>
      <c r="K1688" s="15" t="str">
        <f t="shared" si="1"/>
        <v>Exceeds Target</v>
      </c>
    </row>
    <row r="1689" spans="2:11" ht="15" customHeight="1">
      <c r="B1689" t="s">
        <v>183</v>
      </c>
      <c r="C1689" t="s">
        <v>2081</v>
      </c>
      <c r="D1689" t="s">
        <v>32</v>
      </c>
      <c r="E1689" t="s">
        <v>27</v>
      </c>
      <c r="F1689" s="17">
        <v>1500</v>
      </c>
      <c r="G1689" s="17">
        <v>56000</v>
      </c>
      <c r="H1689" s="17">
        <v>54500</v>
      </c>
      <c r="I1689" s="18">
        <v>0.89</v>
      </c>
      <c r="J1689" s="14">
        <f t="shared" si="0"/>
        <v>36.333333333333336</v>
      </c>
      <c r="K1689" s="15" t="str">
        <f t="shared" si="1"/>
        <v>Exceeds Target</v>
      </c>
    </row>
    <row r="1690" spans="2:11" ht="15" customHeight="1">
      <c r="B1690" t="s">
        <v>1260</v>
      </c>
      <c r="C1690" t="s">
        <v>2082</v>
      </c>
      <c r="D1690" t="s">
        <v>35</v>
      </c>
      <c r="E1690" t="s">
        <v>27</v>
      </c>
      <c r="F1690" s="17">
        <v>3000</v>
      </c>
      <c r="G1690" s="17">
        <v>170000</v>
      </c>
      <c r="H1690" s="17">
        <v>167000</v>
      </c>
      <c r="I1690" s="18">
        <v>0.36</v>
      </c>
      <c r="J1690" s="14">
        <f t="shared" si="0"/>
        <v>55.666666666666664</v>
      </c>
      <c r="K1690" s="15" t="str">
        <f t="shared" si="1"/>
        <v>Exceeds Target</v>
      </c>
    </row>
    <row r="1691" spans="2:11" ht="15" customHeight="1">
      <c r="B1691" t="s">
        <v>557</v>
      </c>
      <c r="C1691" t="s">
        <v>2083</v>
      </c>
      <c r="D1691" t="s">
        <v>69</v>
      </c>
      <c r="E1691" t="s">
        <v>70</v>
      </c>
      <c r="F1691" s="17">
        <v>1000</v>
      </c>
      <c r="G1691" s="17">
        <v>135000</v>
      </c>
      <c r="H1691" s="17">
        <v>134000</v>
      </c>
      <c r="I1691" s="18">
        <v>0.66</v>
      </c>
      <c r="J1691" s="14">
        <f t="shared" si="0"/>
        <v>134</v>
      </c>
      <c r="K1691" s="15" t="str">
        <f t="shared" si="1"/>
        <v>Exceeds Target</v>
      </c>
    </row>
    <row r="1692" spans="2:11" ht="15" customHeight="1">
      <c r="B1692" t="s">
        <v>432</v>
      </c>
      <c r="C1692" t="s">
        <v>2084</v>
      </c>
      <c r="D1692" t="s">
        <v>35</v>
      </c>
      <c r="E1692" t="s">
        <v>27</v>
      </c>
      <c r="F1692" s="17">
        <v>3000</v>
      </c>
      <c r="G1692" s="17">
        <v>240000</v>
      </c>
      <c r="H1692" s="17">
        <v>237000</v>
      </c>
      <c r="I1692" s="18">
        <v>0.96</v>
      </c>
      <c r="J1692" s="14">
        <f t="shared" si="0"/>
        <v>79</v>
      </c>
      <c r="K1692" s="15" t="str">
        <f t="shared" si="1"/>
        <v>Exceeds Target</v>
      </c>
    </row>
    <row r="1693" spans="2:11" ht="15" customHeight="1">
      <c r="B1693" t="s">
        <v>471</v>
      </c>
      <c r="C1693" t="s">
        <v>2085</v>
      </c>
      <c r="D1693" t="s">
        <v>69</v>
      </c>
      <c r="E1693" t="s">
        <v>70</v>
      </c>
      <c r="F1693" s="17">
        <v>1000</v>
      </c>
      <c r="G1693" s="17">
        <v>95000</v>
      </c>
      <c r="H1693" s="17">
        <v>94000</v>
      </c>
      <c r="I1693" s="18">
        <v>0.75</v>
      </c>
      <c r="J1693" s="14">
        <f t="shared" si="0"/>
        <v>94</v>
      </c>
      <c r="K1693" s="15" t="str">
        <f t="shared" si="1"/>
        <v>Exceeds Target</v>
      </c>
    </row>
    <row r="1694" spans="2:11" ht="15" customHeight="1">
      <c r="B1694" t="s">
        <v>403</v>
      </c>
      <c r="C1694" t="s">
        <v>2086</v>
      </c>
      <c r="D1694" t="s">
        <v>80</v>
      </c>
      <c r="E1694" t="s">
        <v>27</v>
      </c>
      <c r="F1694" s="17">
        <v>1000</v>
      </c>
      <c r="G1694" s="17">
        <v>57000</v>
      </c>
      <c r="H1694" s="17">
        <v>56000</v>
      </c>
      <c r="I1694" s="18">
        <v>0.71</v>
      </c>
      <c r="J1694" s="14">
        <f t="shared" si="0"/>
        <v>56</v>
      </c>
      <c r="K1694" s="15" t="str">
        <f t="shared" si="1"/>
        <v>Exceeds Target</v>
      </c>
    </row>
    <row r="1695" spans="2:11" ht="15" customHeight="1">
      <c r="B1695" t="s">
        <v>890</v>
      </c>
      <c r="C1695" t="s">
        <v>2087</v>
      </c>
      <c r="D1695" t="s">
        <v>80</v>
      </c>
      <c r="E1695" t="s">
        <v>27</v>
      </c>
      <c r="F1695" s="17">
        <v>1000</v>
      </c>
      <c r="G1695" s="17">
        <v>120000</v>
      </c>
      <c r="H1695" s="17">
        <v>119000</v>
      </c>
      <c r="I1695" s="18">
        <v>1</v>
      </c>
      <c r="J1695" s="14">
        <f t="shared" si="0"/>
        <v>119</v>
      </c>
      <c r="K1695" s="15" t="str">
        <f t="shared" si="1"/>
        <v>Exceeds Target</v>
      </c>
    </row>
    <row r="1696" spans="2:11" ht="15" customHeight="1">
      <c r="B1696" t="s">
        <v>374</v>
      </c>
      <c r="C1696" t="s">
        <v>2088</v>
      </c>
      <c r="D1696" t="s">
        <v>80</v>
      </c>
      <c r="E1696" t="s">
        <v>27</v>
      </c>
      <c r="F1696" s="17">
        <v>1000</v>
      </c>
      <c r="G1696" s="17">
        <v>69000</v>
      </c>
      <c r="H1696" s="17">
        <v>68000</v>
      </c>
      <c r="I1696" s="18">
        <v>0.96</v>
      </c>
      <c r="J1696" s="14">
        <f t="shared" si="0"/>
        <v>68</v>
      </c>
      <c r="K1696" s="15" t="str">
        <f t="shared" si="1"/>
        <v>Exceeds Target</v>
      </c>
    </row>
    <row r="1697" spans="2:11" ht="15" customHeight="1">
      <c r="B1697" t="s">
        <v>1216</v>
      </c>
      <c r="C1697" t="s">
        <v>2089</v>
      </c>
      <c r="D1697" t="s">
        <v>35</v>
      </c>
      <c r="E1697" t="s">
        <v>27</v>
      </c>
      <c r="F1697" s="17">
        <v>3000</v>
      </c>
      <c r="G1697" s="17">
        <v>260000</v>
      </c>
      <c r="H1697" s="17">
        <v>257000</v>
      </c>
      <c r="I1697" s="18">
        <v>0.74</v>
      </c>
      <c r="J1697" s="14">
        <f t="shared" si="0"/>
        <v>85.666666666666671</v>
      </c>
      <c r="K1697" s="15" t="str">
        <f t="shared" si="1"/>
        <v>Exceeds Target</v>
      </c>
    </row>
    <row r="1698" spans="2:11" ht="15" customHeight="1">
      <c r="B1698" t="s">
        <v>33</v>
      </c>
      <c r="C1698" t="s">
        <v>2090</v>
      </c>
      <c r="D1698" t="s">
        <v>80</v>
      </c>
      <c r="E1698" t="s">
        <v>27</v>
      </c>
      <c r="F1698" s="17">
        <v>1000</v>
      </c>
      <c r="G1698" s="17">
        <v>72000</v>
      </c>
      <c r="H1698" s="17">
        <v>71000</v>
      </c>
      <c r="I1698" s="18">
        <v>0.97</v>
      </c>
      <c r="J1698" s="14">
        <f t="shared" si="0"/>
        <v>71</v>
      </c>
      <c r="K1698" s="15" t="str">
        <f t="shared" si="1"/>
        <v>Exceeds Target</v>
      </c>
    </row>
    <row r="1699" spans="2:11" ht="15" customHeight="1">
      <c r="B1699" t="s">
        <v>229</v>
      </c>
      <c r="C1699" t="s">
        <v>2091</v>
      </c>
      <c r="D1699" t="s">
        <v>69</v>
      </c>
      <c r="E1699" t="s">
        <v>70</v>
      </c>
      <c r="F1699" s="17">
        <v>1000</v>
      </c>
      <c r="G1699" s="17">
        <v>120000</v>
      </c>
      <c r="H1699" s="17">
        <v>119000</v>
      </c>
      <c r="I1699" s="18">
        <v>0.61</v>
      </c>
      <c r="J1699" s="14">
        <f t="shared" si="0"/>
        <v>119</v>
      </c>
      <c r="K1699" s="15" t="str">
        <f t="shared" si="1"/>
        <v>Exceeds Target</v>
      </c>
    </row>
    <row r="1700" spans="2:11" ht="15" customHeight="1">
      <c r="B1700" t="s">
        <v>61</v>
      </c>
      <c r="C1700" t="s">
        <v>2092</v>
      </c>
      <c r="D1700" t="s">
        <v>80</v>
      </c>
      <c r="E1700" t="s">
        <v>27</v>
      </c>
      <c r="F1700" s="17">
        <v>1000</v>
      </c>
      <c r="G1700" s="17">
        <v>96000</v>
      </c>
      <c r="H1700" s="17">
        <v>95000</v>
      </c>
      <c r="I1700" s="18">
        <v>0.55000000000000004</v>
      </c>
      <c r="J1700" s="14">
        <f t="shared" si="0"/>
        <v>95</v>
      </c>
      <c r="K1700" s="15" t="str">
        <f t="shared" si="1"/>
        <v>Exceeds Target</v>
      </c>
    </row>
    <row r="1701" spans="2:11" ht="15" customHeight="1">
      <c r="B1701" t="s">
        <v>394</v>
      </c>
      <c r="C1701" t="s">
        <v>2093</v>
      </c>
      <c r="D1701" t="s">
        <v>35</v>
      </c>
      <c r="E1701" t="s">
        <v>27</v>
      </c>
      <c r="F1701" s="17">
        <v>3000</v>
      </c>
      <c r="G1701" s="17">
        <v>60000</v>
      </c>
      <c r="H1701" s="17">
        <v>57000</v>
      </c>
      <c r="I1701" s="18">
        <v>0.38</v>
      </c>
      <c r="J1701" s="14">
        <f t="shared" si="0"/>
        <v>19</v>
      </c>
      <c r="K1701" s="15" t="str">
        <f t="shared" si="1"/>
        <v>Exceeds Target</v>
      </c>
    </row>
    <row r="1702" spans="2:11" ht="15" customHeight="1">
      <c r="B1702" t="s">
        <v>192</v>
      </c>
      <c r="C1702" t="s">
        <v>2094</v>
      </c>
      <c r="D1702" t="s">
        <v>32</v>
      </c>
      <c r="E1702" t="s">
        <v>27</v>
      </c>
      <c r="F1702" s="17">
        <v>1500</v>
      </c>
      <c r="G1702" s="17">
        <v>34000</v>
      </c>
      <c r="H1702" s="17">
        <v>32500</v>
      </c>
      <c r="I1702" s="18">
        <v>0.99</v>
      </c>
      <c r="J1702" s="14">
        <f t="shared" si="0"/>
        <v>21.666666666666668</v>
      </c>
      <c r="K1702" s="15" t="str">
        <f t="shared" si="1"/>
        <v>Exceeds Target</v>
      </c>
    </row>
    <row r="1703" spans="2:11" ht="15" customHeight="1">
      <c r="B1703" t="s">
        <v>551</v>
      </c>
      <c r="C1703" t="s">
        <v>2095</v>
      </c>
      <c r="D1703" t="s">
        <v>35</v>
      </c>
      <c r="E1703" t="s">
        <v>27</v>
      </c>
      <c r="F1703" s="17">
        <v>3000</v>
      </c>
      <c r="G1703" s="17">
        <v>100000</v>
      </c>
      <c r="H1703" s="17">
        <v>97000</v>
      </c>
      <c r="I1703" s="18">
        <v>0.7</v>
      </c>
      <c r="J1703" s="14">
        <f t="shared" si="0"/>
        <v>32.333333333333336</v>
      </c>
      <c r="K1703" s="15" t="str">
        <f t="shared" si="1"/>
        <v>Exceeds Target</v>
      </c>
    </row>
    <row r="1704" spans="2:11" ht="15" customHeight="1">
      <c r="B1704" t="s">
        <v>509</v>
      </c>
      <c r="C1704" t="s">
        <v>2096</v>
      </c>
      <c r="D1704" t="s">
        <v>26</v>
      </c>
      <c r="E1704" t="s">
        <v>27</v>
      </c>
      <c r="F1704" s="17">
        <v>5000</v>
      </c>
      <c r="G1704" s="17">
        <v>30000</v>
      </c>
      <c r="H1704" s="17">
        <v>25000</v>
      </c>
      <c r="I1704" s="18">
        <v>0.08</v>
      </c>
      <c r="J1704" s="14">
        <f t="shared" si="0"/>
        <v>5</v>
      </c>
      <c r="K1704" s="15" t="str">
        <f t="shared" si="1"/>
        <v>Exceeds Target</v>
      </c>
    </row>
    <row r="1705" spans="2:11" ht="15" customHeight="1">
      <c r="B1705" t="s">
        <v>384</v>
      </c>
      <c r="C1705" t="s">
        <v>2097</v>
      </c>
      <c r="D1705" t="s">
        <v>26</v>
      </c>
      <c r="E1705" t="s">
        <v>27</v>
      </c>
      <c r="F1705" s="17">
        <v>5000</v>
      </c>
      <c r="G1705" s="17">
        <v>30000</v>
      </c>
      <c r="H1705" s="17">
        <v>25000</v>
      </c>
      <c r="I1705" s="18">
        <v>0.13</v>
      </c>
      <c r="J1705" s="14">
        <f t="shared" si="0"/>
        <v>5</v>
      </c>
      <c r="K1705" s="15" t="str">
        <f t="shared" si="1"/>
        <v>Exceeds Target</v>
      </c>
    </row>
    <row r="1706" spans="2:11" ht="15" customHeight="1">
      <c r="B1706" t="s">
        <v>185</v>
      </c>
      <c r="C1706" t="s">
        <v>2098</v>
      </c>
      <c r="D1706" t="s">
        <v>80</v>
      </c>
      <c r="E1706" t="s">
        <v>27</v>
      </c>
      <c r="F1706" s="17">
        <v>1000</v>
      </c>
      <c r="G1706" s="17">
        <v>48000</v>
      </c>
      <c r="H1706" s="17">
        <v>47000</v>
      </c>
      <c r="I1706" s="18">
        <v>0.78</v>
      </c>
      <c r="J1706" s="14">
        <f t="shared" si="0"/>
        <v>47</v>
      </c>
      <c r="K1706" s="15" t="str">
        <f t="shared" si="1"/>
        <v>Exceeds Target</v>
      </c>
    </row>
    <row r="1707" spans="2:11" ht="15" customHeight="1">
      <c r="B1707" t="s">
        <v>574</v>
      </c>
      <c r="C1707" t="s">
        <v>2099</v>
      </c>
      <c r="D1707" t="s">
        <v>69</v>
      </c>
      <c r="E1707" t="s">
        <v>70</v>
      </c>
      <c r="F1707" s="17">
        <v>1000</v>
      </c>
      <c r="G1707" s="17">
        <v>30000</v>
      </c>
      <c r="H1707" s="17">
        <v>29000</v>
      </c>
      <c r="I1707" s="18">
        <v>0.82</v>
      </c>
      <c r="J1707" s="14">
        <f t="shared" si="0"/>
        <v>29</v>
      </c>
      <c r="K1707" s="15" t="str">
        <f t="shared" si="1"/>
        <v>Exceeds Target</v>
      </c>
    </row>
    <row r="1708" spans="2:11" ht="15" customHeight="1">
      <c r="B1708" t="s">
        <v>964</v>
      </c>
      <c r="C1708" t="s">
        <v>2100</v>
      </c>
      <c r="D1708" t="s">
        <v>32</v>
      </c>
      <c r="E1708" t="s">
        <v>27</v>
      </c>
      <c r="F1708" s="17">
        <v>1500</v>
      </c>
      <c r="G1708" s="17">
        <v>16000</v>
      </c>
      <c r="H1708" s="17">
        <v>14500</v>
      </c>
      <c r="I1708" s="18">
        <v>0.41</v>
      </c>
      <c r="J1708" s="14">
        <f t="shared" si="0"/>
        <v>9.6666666666666661</v>
      </c>
      <c r="K1708" s="15" t="str">
        <f t="shared" si="1"/>
        <v>Exceeds Target</v>
      </c>
    </row>
    <row r="1709" spans="2:11" ht="15" customHeight="1">
      <c r="B1709" t="s">
        <v>418</v>
      </c>
      <c r="C1709" t="s">
        <v>2101</v>
      </c>
      <c r="D1709" t="s">
        <v>32</v>
      </c>
      <c r="E1709" t="s">
        <v>27</v>
      </c>
      <c r="F1709" s="17">
        <v>1500</v>
      </c>
      <c r="G1709" s="17">
        <v>12000</v>
      </c>
      <c r="H1709" s="17">
        <v>10500</v>
      </c>
      <c r="I1709" s="18">
        <v>0.59</v>
      </c>
      <c r="J1709" s="14">
        <f t="shared" si="0"/>
        <v>7</v>
      </c>
      <c r="K1709" s="15" t="str">
        <f t="shared" si="1"/>
        <v>Exceeds Target</v>
      </c>
    </row>
    <row r="1710" spans="2:11" ht="15" customHeight="1">
      <c r="B1710" t="s">
        <v>1516</v>
      </c>
      <c r="C1710" t="s">
        <v>2102</v>
      </c>
      <c r="D1710" t="s">
        <v>69</v>
      </c>
      <c r="E1710" t="s">
        <v>70</v>
      </c>
      <c r="F1710" s="17">
        <v>1000</v>
      </c>
      <c r="G1710" s="17">
        <v>50000</v>
      </c>
      <c r="H1710" s="17">
        <v>49000</v>
      </c>
      <c r="I1710" s="18">
        <v>0.88</v>
      </c>
      <c r="J1710" s="14">
        <f t="shared" si="0"/>
        <v>49</v>
      </c>
      <c r="K1710" s="15" t="str">
        <f t="shared" si="1"/>
        <v>Exceeds Target</v>
      </c>
    </row>
    <row r="1711" spans="2:11" ht="15" customHeight="1">
      <c r="B1711" t="s">
        <v>234</v>
      </c>
      <c r="C1711" t="s">
        <v>2103</v>
      </c>
      <c r="D1711" t="s">
        <v>69</v>
      </c>
      <c r="E1711" t="s">
        <v>70</v>
      </c>
      <c r="F1711" s="17">
        <v>1000</v>
      </c>
      <c r="G1711" s="17">
        <v>130000</v>
      </c>
      <c r="H1711" s="17">
        <v>129000</v>
      </c>
      <c r="I1711" s="18">
        <v>0.36</v>
      </c>
      <c r="J1711" s="14">
        <f t="shared" si="0"/>
        <v>129</v>
      </c>
      <c r="K1711" s="15" t="str">
        <f t="shared" si="1"/>
        <v>Exceeds Target</v>
      </c>
    </row>
    <row r="1712" spans="2:11" ht="15" customHeight="1">
      <c r="B1712" t="s">
        <v>291</v>
      </c>
      <c r="C1712" t="s">
        <v>2104</v>
      </c>
      <c r="D1712" t="s">
        <v>80</v>
      </c>
      <c r="E1712" t="s">
        <v>27</v>
      </c>
      <c r="F1712" s="17">
        <v>1000</v>
      </c>
      <c r="G1712" s="17">
        <v>102000</v>
      </c>
      <c r="H1712" s="17">
        <v>101000</v>
      </c>
      <c r="I1712" s="18">
        <v>0.74</v>
      </c>
      <c r="J1712" s="14">
        <f t="shared" si="0"/>
        <v>101</v>
      </c>
      <c r="K1712" s="15" t="str">
        <f t="shared" si="1"/>
        <v>Exceeds Target</v>
      </c>
    </row>
    <row r="1713" spans="2:11" ht="15" customHeight="1">
      <c r="B1713" t="s">
        <v>218</v>
      </c>
      <c r="C1713" t="s">
        <v>2105</v>
      </c>
      <c r="D1713" t="s">
        <v>26</v>
      </c>
      <c r="E1713" t="s">
        <v>27</v>
      </c>
      <c r="F1713" s="17">
        <v>5000</v>
      </c>
      <c r="G1713" s="17">
        <v>90000</v>
      </c>
      <c r="H1713" s="17">
        <v>85000</v>
      </c>
      <c r="I1713" s="18">
        <v>0.28999999999999998</v>
      </c>
      <c r="J1713" s="14">
        <f t="shared" si="0"/>
        <v>17</v>
      </c>
      <c r="K1713" s="15" t="str">
        <f t="shared" si="1"/>
        <v>Exceeds Target</v>
      </c>
    </row>
    <row r="1714" spans="2:11" ht="15" customHeight="1">
      <c r="B1714" t="s">
        <v>203</v>
      </c>
      <c r="C1714" t="s">
        <v>2106</v>
      </c>
      <c r="D1714" t="s">
        <v>80</v>
      </c>
      <c r="E1714" t="s">
        <v>27</v>
      </c>
      <c r="F1714" s="17">
        <v>1000</v>
      </c>
      <c r="G1714" s="17">
        <v>60000</v>
      </c>
      <c r="H1714" s="17">
        <v>59000</v>
      </c>
      <c r="I1714" s="18">
        <v>0.67</v>
      </c>
      <c r="J1714" s="14">
        <f t="shared" si="0"/>
        <v>59</v>
      </c>
      <c r="K1714" s="15" t="str">
        <f t="shared" si="1"/>
        <v>Exceeds Target</v>
      </c>
    </row>
    <row r="1715" spans="2:11" ht="15" customHeight="1">
      <c r="B1715" t="s">
        <v>255</v>
      </c>
      <c r="C1715" t="s">
        <v>2107</v>
      </c>
      <c r="D1715" t="s">
        <v>80</v>
      </c>
      <c r="E1715" t="s">
        <v>27</v>
      </c>
      <c r="F1715" s="17">
        <v>1000</v>
      </c>
      <c r="G1715" s="17">
        <v>63000</v>
      </c>
      <c r="H1715" s="17">
        <v>62000</v>
      </c>
      <c r="I1715" s="18">
        <v>0.54</v>
      </c>
      <c r="J1715" s="14">
        <f t="shared" si="0"/>
        <v>62</v>
      </c>
      <c r="K1715" s="15" t="str">
        <f t="shared" si="1"/>
        <v>Exceeds Target</v>
      </c>
    </row>
    <row r="1716" spans="2:11" ht="15" customHeight="1">
      <c r="B1716" t="s">
        <v>580</v>
      </c>
      <c r="C1716" t="s">
        <v>2108</v>
      </c>
      <c r="D1716" t="s">
        <v>69</v>
      </c>
      <c r="E1716" t="s">
        <v>70</v>
      </c>
      <c r="F1716" s="17">
        <v>1000</v>
      </c>
      <c r="G1716" s="17">
        <v>75000</v>
      </c>
      <c r="H1716" s="17">
        <v>74000</v>
      </c>
      <c r="I1716" s="18">
        <v>0.35</v>
      </c>
      <c r="J1716" s="14">
        <f t="shared" si="0"/>
        <v>74</v>
      </c>
      <c r="K1716" s="15" t="str">
        <f t="shared" si="1"/>
        <v>Exceeds Target</v>
      </c>
    </row>
    <row r="1717" spans="2:11" ht="15" customHeight="1">
      <c r="B1717" t="s">
        <v>1462</v>
      </c>
      <c r="C1717" t="s">
        <v>2109</v>
      </c>
      <c r="D1717" t="s">
        <v>32</v>
      </c>
      <c r="E1717" t="s">
        <v>27</v>
      </c>
      <c r="F1717" s="17">
        <v>1500</v>
      </c>
      <c r="G1717" s="17">
        <v>42000</v>
      </c>
      <c r="H1717" s="17">
        <v>40500</v>
      </c>
      <c r="I1717" s="18">
        <v>0.59</v>
      </c>
      <c r="J1717" s="14">
        <f t="shared" si="0"/>
        <v>27</v>
      </c>
      <c r="K1717" s="15" t="str">
        <f t="shared" si="1"/>
        <v>Exceeds Target</v>
      </c>
    </row>
    <row r="1718" spans="2:11" ht="15" customHeight="1">
      <c r="B1718" t="s">
        <v>964</v>
      </c>
      <c r="C1718" t="s">
        <v>2110</v>
      </c>
      <c r="D1718" t="s">
        <v>80</v>
      </c>
      <c r="E1718" t="s">
        <v>27</v>
      </c>
      <c r="F1718" s="17">
        <v>1000</v>
      </c>
      <c r="G1718" s="17">
        <v>81000</v>
      </c>
      <c r="H1718" s="17">
        <v>80000</v>
      </c>
      <c r="I1718" s="18">
        <v>0.72</v>
      </c>
      <c r="J1718" s="14">
        <f t="shared" si="0"/>
        <v>80</v>
      </c>
      <c r="K1718" s="15" t="str">
        <f t="shared" si="1"/>
        <v>Exceeds Target</v>
      </c>
    </row>
    <row r="1719" spans="2:11" ht="15" customHeight="1">
      <c r="B1719" t="s">
        <v>327</v>
      </c>
      <c r="C1719" t="s">
        <v>2111</v>
      </c>
      <c r="D1719" t="s">
        <v>35</v>
      </c>
      <c r="E1719" t="s">
        <v>27</v>
      </c>
      <c r="F1719" s="17">
        <v>3000</v>
      </c>
      <c r="G1719" s="17">
        <v>210000</v>
      </c>
      <c r="H1719" s="17">
        <v>207000</v>
      </c>
      <c r="I1719" s="18">
        <v>0.41</v>
      </c>
      <c r="J1719" s="14">
        <f t="shared" si="0"/>
        <v>69</v>
      </c>
      <c r="K1719" s="15" t="str">
        <f t="shared" si="1"/>
        <v>Exceeds Target</v>
      </c>
    </row>
    <row r="1720" spans="2:11" ht="15" customHeight="1">
      <c r="B1720" t="s">
        <v>687</v>
      </c>
      <c r="C1720" t="s">
        <v>2112</v>
      </c>
      <c r="D1720" t="s">
        <v>80</v>
      </c>
      <c r="E1720" t="s">
        <v>27</v>
      </c>
      <c r="F1720" s="17">
        <v>1000</v>
      </c>
      <c r="G1720" s="17">
        <v>117000</v>
      </c>
      <c r="H1720" s="17">
        <v>116000</v>
      </c>
      <c r="I1720" s="18">
        <v>0.82</v>
      </c>
      <c r="J1720" s="14">
        <f t="shared" si="0"/>
        <v>116</v>
      </c>
      <c r="K1720" s="15" t="str">
        <f t="shared" si="1"/>
        <v>Exceeds Target</v>
      </c>
    </row>
    <row r="1721" spans="2:11" ht="15" customHeight="1">
      <c r="B1721" t="s">
        <v>105</v>
      </c>
      <c r="C1721" t="s">
        <v>2113</v>
      </c>
      <c r="D1721" t="s">
        <v>35</v>
      </c>
      <c r="E1721" t="s">
        <v>27</v>
      </c>
      <c r="F1721" s="17">
        <v>3000</v>
      </c>
      <c r="G1721" s="17">
        <v>300000</v>
      </c>
      <c r="H1721" s="17">
        <v>297000</v>
      </c>
      <c r="I1721" s="18">
        <v>0.69</v>
      </c>
      <c r="J1721" s="14">
        <f t="shared" si="0"/>
        <v>99</v>
      </c>
      <c r="K1721" s="15" t="str">
        <f t="shared" si="1"/>
        <v>Exceeds Target</v>
      </c>
    </row>
    <row r="1722" spans="2:11" ht="15" customHeight="1">
      <c r="B1722" t="s">
        <v>291</v>
      </c>
      <c r="C1722" t="s">
        <v>2114</v>
      </c>
      <c r="D1722" t="s">
        <v>26</v>
      </c>
      <c r="E1722" t="s">
        <v>27</v>
      </c>
      <c r="F1722" s="17">
        <v>5000</v>
      </c>
      <c r="G1722" s="17">
        <v>150000</v>
      </c>
      <c r="H1722" s="17">
        <v>145000</v>
      </c>
      <c r="I1722" s="18">
        <v>0.23</v>
      </c>
      <c r="J1722" s="14">
        <f t="shared" si="0"/>
        <v>29</v>
      </c>
      <c r="K1722" s="15" t="str">
        <f t="shared" si="1"/>
        <v>Exceeds Target</v>
      </c>
    </row>
    <row r="1723" spans="2:11" ht="15" customHeight="1">
      <c r="B1723" t="s">
        <v>818</v>
      </c>
      <c r="C1723" t="s">
        <v>2115</v>
      </c>
      <c r="D1723" t="s">
        <v>80</v>
      </c>
      <c r="E1723" t="s">
        <v>27</v>
      </c>
      <c r="F1723" s="17">
        <v>1000</v>
      </c>
      <c r="G1723" s="17">
        <v>66000</v>
      </c>
      <c r="H1723" s="17">
        <v>65000</v>
      </c>
      <c r="I1723" s="18">
        <v>0.97</v>
      </c>
      <c r="J1723" s="14">
        <f t="shared" si="0"/>
        <v>65</v>
      </c>
      <c r="K1723" s="15" t="str">
        <f t="shared" si="1"/>
        <v>Exceeds Target</v>
      </c>
    </row>
    <row r="1724" spans="2:11" ht="15" customHeight="1">
      <c r="B1724" t="s">
        <v>1194</v>
      </c>
      <c r="C1724" t="s">
        <v>2116</v>
      </c>
      <c r="D1724" t="s">
        <v>80</v>
      </c>
      <c r="E1724" t="s">
        <v>27</v>
      </c>
      <c r="F1724" s="17">
        <v>1000</v>
      </c>
      <c r="G1724" s="17">
        <v>54000</v>
      </c>
      <c r="H1724" s="17">
        <v>53000</v>
      </c>
      <c r="I1724" s="18">
        <v>0.99</v>
      </c>
      <c r="J1724" s="14">
        <f t="shared" si="0"/>
        <v>53</v>
      </c>
      <c r="K1724" s="15" t="str">
        <f t="shared" si="1"/>
        <v>Exceeds Target</v>
      </c>
    </row>
    <row r="1725" spans="2:11" ht="15" customHeight="1">
      <c r="B1725" t="s">
        <v>1053</v>
      </c>
      <c r="C1725" t="s">
        <v>2117</v>
      </c>
      <c r="D1725" t="s">
        <v>35</v>
      </c>
      <c r="E1725" t="s">
        <v>27</v>
      </c>
      <c r="F1725" s="17">
        <v>3000</v>
      </c>
      <c r="G1725" s="17">
        <v>240000</v>
      </c>
      <c r="H1725" s="17">
        <v>237000</v>
      </c>
      <c r="I1725" s="18">
        <v>0.26</v>
      </c>
      <c r="J1725" s="14">
        <f t="shared" si="0"/>
        <v>79</v>
      </c>
      <c r="K1725" s="15" t="str">
        <f t="shared" si="1"/>
        <v>Exceeds Target</v>
      </c>
    </row>
    <row r="1726" spans="2:11" ht="15" customHeight="1">
      <c r="B1726" t="s">
        <v>143</v>
      </c>
      <c r="C1726" t="s">
        <v>2118</v>
      </c>
      <c r="D1726" t="s">
        <v>26</v>
      </c>
      <c r="E1726" t="s">
        <v>27</v>
      </c>
      <c r="F1726" s="17">
        <v>5000</v>
      </c>
      <c r="G1726" s="17">
        <v>30000</v>
      </c>
      <c r="H1726" s="17">
        <v>25000</v>
      </c>
      <c r="I1726" s="18">
        <v>0.06</v>
      </c>
      <c r="J1726" s="14">
        <f t="shared" si="0"/>
        <v>5</v>
      </c>
      <c r="K1726" s="15" t="str">
        <f t="shared" si="1"/>
        <v>Exceeds Target</v>
      </c>
    </row>
    <row r="1727" spans="2:11" ht="15" customHeight="1">
      <c r="B1727" t="s">
        <v>845</v>
      </c>
      <c r="C1727" t="s">
        <v>2119</v>
      </c>
      <c r="D1727" t="s">
        <v>80</v>
      </c>
      <c r="E1727" t="s">
        <v>27</v>
      </c>
      <c r="F1727" s="17">
        <v>1000</v>
      </c>
      <c r="G1727" s="17">
        <v>66000</v>
      </c>
      <c r="H1727" s="17">
        <v>65000</v>
      </c>
      <c r="I1727" s="18">
        <v>0.86</v>
      </c>
      <c r="J1727" s="14">
        <f t="shared" si="0"/>
        <v>65</v>
      </c>
      <c r="K1727" s="15" t="str">
        <f t="shared" si="1"/>
        <v>Exceeds Target</v>
      </c>
    </row>
    <row r="1728" spans="2:11" ht="15" customHeight="1">
      <c r="B1728" t="s">
        <v>261</v>
      </c>
      <c r="C1728" t="s">
        <v>2120</v>
      </c>
      <c r="D1728" t="s">
        <v>80</v>
      </c>
      <c r="E1728" t="s">
        <v>27</v>
      </c>
      <c r="F1728" s="17">
        <v>1000</v>
      </c>
      <c r="G1728" s="17">
        <v>78000</v>
      </c>
      <c r="H1728" s="17">
        <v>77000</v>
      </c>
      <c r="I1728" s="18">
        <v>0.88</v>
      </c>
      <c r="J1728" s="14">
        <f t="shared" si="0"/>
        <v>77</v>
      </c>
      <c r="K1728" s="15" t="str">
        <f t="shared" si="1"/>
        <v>Exceeds Target</v>
      </c>
    </row>
    <row r="1729" spans="2:11" ht="15" customHeight="1">
      <c r="B1729" t="s">
        <v>418</v>
      </c>
      <c r="C1729" t="s">
        <v>2121</v>
      </c>
      <c r="D1729" t="s">
        <v>69</v>
      </c>
      <c r="E1729" t="s">
        <v>70</v>
      </c>
      <c r="F1729" s="17">
        <v>1000</v>
      </c>
      <c r="G1729" s="17">
        <v>85000</v>
      </c>
      <c r="H1729" s="17">
        <v>84000</v>
      </c>
      <c r="I1729" s="18">
        <v>0.93</v>
      </c>
      <c r="J1729" s="14">
        <f t="shared" si="0"/>
        <v>84</v>
      </c>
      <c r="K1729" s="15" t="str">
        <f t="shared" si="1"/>
        <v>Exceeds Target</v>
      </c>
    </row>
    <row r="1730" spans="2:11" ht="15" customHeight="1">
      <c r="B1730" t="s">
        <v>522</v>
      </c>
      <c r="C1730" t="s">
        <v>2122</v>
      </c>
      <c r="D1730" t="s">
        <v>32</v>
      </c>
      <c r="E1730" t="s">
        <v>27</v>
      </c>
      <c r="F1730" s="17">
        <v>1500</v>
      </c>
      <c r="G1730" s="17">
        <v>20000</v>
      </c>
      <c r="H1730" s="17">
        <v>18500</v>
      </c>
      <c r="I1730" s="18">
        <v>0.49</v>
      </c>
      <c r="J1730" s="14">
        <f t="shared" si="0"/>
        <v>12.333333333333334</v>
      </c>
      <c r="K1730" s="15" t="str">
        <f t="shared" si="1"/>
        <v>Exceeds Target</v>
      </c>
    </row>
    <row r="1731" spans="2:11" ht="15" customHeight="1">
      <c r="B1731" t="s">
        <v>694</v>
      </c>
      <c r="C1731" t="s">
        <v>2123</v>
      </c>
      <c r="D1731" t="s">
        <v>35</v>
      </c>
      <c r="E1731" t="s">
        <v>27</v>
      </c>
      <c r="F1731" s="17">
        <v>3000</v>
      </c>
      <c r="G1731" s="17">
        <v>280000</v>
      </c>
      <c r="H1731" s="17">
        <v>277000</v>
      </c>
      <c r="I1731" s="18">
        <v>0.9</v>
      </c>
      <c r="J1731" s="14">
        <f t="shared" si="0"/>
        <v>92.333333333333329</v>
      </c>
      <c r="K1731" s="15" t="str">
        <f t="shared" si="1"/>
        <v>Exceeds Target</v>
      </c>
    </row>
    <row r="1732" spans="2:11" ht="15" customHeight="1">
      <c r="B1732" t="s">
        <v>270</v>
      </c>
      <c r="C1732" t="s">
        <v>2124</v>
      </c>
      <c r="D1732" t="s">
        <v>69</v>
      </c>
      <c r="E1732" t="s">
        <v>70</v>
      </c>
      <c r="F1732" s="17">
        <v>1000</v>
      </c>
      <c r="G1732" s="17">
        <v>70000</v>
      </c>
      <c r="H1732" s="17">
        <v>69000</v>
      </c>
      <c r="I1732" s="18">
        <v>0.72</v>
      </c>
      <c r="J1732" s="14">
        <f t="shared" si="0"/>
        <v>69</v>
      </c>
      <c r="K1732" s="15" t="str">
        <f t="shared" si="1"/>
        <v>Exceeds Target</v>
      </c>
    </row>
    <row r="1733" spans="2:11" ht="15" customHeight="1">
      <c r="B1733" t="s">
        <v>475</v>
      </c>
      <c r="C1733" t="s">
        <v>2125</v>
      </c>
      <c r="D1733" t="s">
        <v>35</v>
      </c>
      <c r="E1733" t="s">
        <v>27</v>
      </c>
      <c r="F1733" s="17">
        <v>3000</v>
      </c>
      <c r="G1733" s="17">
        <v>270000</v>
      </c>
      <c r="H1733" s="17">
        <v>267000</v>
      </c>
      <c r="I1733" s="18">
        <v>0.57999999999999996</v>
      </c>
      <c r="J1733" s="14">
        <f t="shared" si="0"/>
        <v>89</v>
      </c>
      <c r="K1733" s="15" t="str">
        <f t="shared" si="1"/>
        <v>Exceeds Target</v>
      </c>
    </row>
    <row r="1734" spans="2:11" ht="15" customHeight="1">
      <c r="B1734" t="s">
        <v>1247</v>
      </c>
      <c r="C1734" t="s">
        <v>2126</v>
      </c>
      <c r="D1734" t="s">
        <v>26</v>
      </c>
      <c r="E1734" t="s">
        <v>27</v>
      </c>
      <c r="F1734" s="17">
        <v>5000</v>
      </c>
      <c r="G1734" s="17">
        <v>30000</v>
      </c>
      <c r="H1734" s="17">
        <v>25000</v>
      </c>
      <c r="I1734" s="18">
        <v>0.13</v>
      </c>
      <c r="J1734" s="14">
        <f t="shared" si="0"/>
        <v>5</v>
      </c>
      <c r="K1734" s="15" t="str">
        <f t="shared" si="1"/>
        <v>Exceeds Target</v>
      </c>
    </row>
    <row r="1735" spans="2:11" ht="15" customHeight="1">
      <c r="B1735" t="s">
        <v>441</v>
      </c>
      <c r="C1735" t="s">
        <v>2127</v>
      </c>
      <c r="D1735" t="s">
        <v>26</v>
      </c>
      <c r="E1735" t="s">
        <v>27</v>
      </c>
      <c r="F1735" s="17">
        <v>5000</v>
      </c>
      <c r="G1735" s="17">
        <v>90000</v>
      </c>
      <c r="H1735" s="17">
        <v>85000</v>
      </c>
      <c r="I1735" s="18">
        <v>0.27</v>
      </c>
      <c r="J1735" s="14">
        <f t="shared" si="0"/>
        <v>17</v>
      </c>
      <c r="K1735" s="15" t="str">
        <f t="shared" si="1"/>
        <v>Exceeds Target</v>
      </c>
    </row>
    <row r="1736" spans="2:11" ht="15" customHeight="1">
      <c r="B1736" t="s">
        <v>932</v>
      </c>
      <c r="C1736" t="s">
        <v>2128</v>
      </c>
      <c r="D1736" t="s">
        <v>35</v>
      </c>
      <c r="E1736" t="s">
        <v>27</v>
      </c>
      <c r="F1736" s="17">
        <v>3000</v>
      </c>
      <c r="G1736" s="17">
        <v>220000</v>
      </c>
      <c r="H1736" s="17">
        <v>217000</v>
      </c>
      <c r="I1736" s="18">
        <v>0.77</v>
      </c>
      <c r="J1736" s="14">
        <f t="shared" si="0"/>
        <v>72.333333333333329</v>
      </c>
      <c r="K1736" s="15" t="str">
        <f t="shared" si="1"/>
        <v>Exceeds Target</v>
      </c>
    </row>
    <row r="1737" spans="2:11" ht="15" customHeight="1">
      <c r="B1737" t="s">
        <v>418</v>
      </c>
      <c r="C1737" t="s">
        <v>2129</v>
      </c>
      <c r="D1737" t="s">
        <v>32</v>
      </c>
      <c r="E1737" t="s">
        <v>27</v>
      </c>
      <c r="F1737" s="17">
        <v>1500</v>
      </c>
      <c r="G1737" s="17">
        <v>30000</v>
      </c>
      <c r="H1737" s="17">
        <v>28500</v>
      </c>
      <c r="I1737" s="18">
        <v>0.51</v>
      </c>
      <c r="J1737" s="14">
        <f t="shared" si="0"/>
        <v>19</v>
      </c>
      <c r="K1737" s="15" t="str">
        <f t="shared" si="1"/>
        <v>Exceeds Target</v>
      </c>
    </row>
    <row r="1738" spans="2:11" ht="15" customHeight="1">
      <c r="B1738" t="s">
        <v>907</v>
      </c>
      <c r="C1738" t="s">
        <v>2130</v>
      </c>
      <c r="D1738" t="s">
        <v>32</v>
      </c>
      <c r="E1738" t="s">
        <v>27</v>
      </c>
      <c r="F1738" s="17">
        <v>1500</v>
      </c>
      <c r="G1738" s="17">
        <v>42000</v>
      </c>
      <c r="H1738" s="17">
        <v>40500</v>
      </c>
      <c r="I1738" s="18">
        <v>0.85</v>
      </c>
      <c r="J1738" s="14">
        <f t="shared" si="0"/>
        <v>27</v>
      </c>
      <c r="K1738" s="15" t="str">
        <f t="shared" si="1"/>
        <v>Exceeds Target</v>
      </c>
    </row>
    <row r="1739" spans="2:11" ht="15" customHeight="1">
      <c r="B1739" t="s">
        <v>397</v>
      </c>
      <c r="C1739" t="s">
        <v>2131</v>
      </c>
      <c r="D1739" t="s">
        <v>69</v>
      </c>
      <c r="E1739" t="s">
        <v>70</v>
      </c>
      <c r="F1739" s="17">
        <v>1000</v>
      </c>
      <c r="G1739" s="17">
        <v>115000</v>
      </c>
      <c r="H1739" s="17">
        <v>114000</v>
      </c>
      <c r="I1739" s="18">
        <v>0.71</v>
      </c>
      <c r="J1739" s="14">
        <f t="shared" si="0"/>
        <v>114</v>
      </c>
      <c r="K1739" s="15" t="str">
        <f t="shared" si="1"/>
        <v>Exceeds Target</v>
      </c>
    </row>
    <row r="1740" spans="2:11" ht="15" customHeight="1">
      <c r="B1740" t="s">
        <v>270</v>
      </c>
      <c r="C1740" t="s">
        <v>2132</v>
      </c>
      <c r="D1740" t="s">
        <v>69</v>
      </c>
      <c r="E1740" t="s">
        <v>70</v>
      </c>
      <c r="F1740" s="17">
        <v>1000</v>
      </c>
      <c r="G1740" s="17">
        <v>115000</v>
      </c>
      <c r="H1740" s="17">
        <v>114000</v>
      </c>
      <c r="I1740" s="18">
        <v>0.89</v>
      </c>
      <c r="J1740" s="14">
        <f t="shared" si="0"/>
        <v>114</v>
      </c>
      <c r="K1740" s="15" t="str">
        <f t="shared" si="1"/>
        <v>Exceeds Target</v>
      </c>
    </row>
    <row r="1741" spans="2:11" ht="15" customHeight="1">
      <c r="B1741" t="s">
        <v>117</v>
      </c>
      <c r="C1741" t="s">
        <v>2133</v>
      </c>
      <c r="D1741" t="s">
        <v>69</v>
      </c>
      <c r="E1741" t="s">
        <v>70</v>
      </c>
      <c r="F1741" s="17">
        <v>1000</v>
      </c>
      <c r="G1741" s="17">
        <v>130000</v>
      </c>
      <c r="H1741" s="17">
        <v>129000</v>
      </c>
      <c r="I1741" s="18">
        <v>0.51</v>
      </c>
      <c r="J1741" s="14">
        <f t="shared" si="0"/>
        <v>129</v>
      </c>
      <c r="K1741" s="15" t="str">
        <f t="shared" si="1"/>
        <v>Exceeds Target</v>
      </c>
    </row>
    <row r="1742" spans="2:11" ht="15" customHeight="1">
      <c r="B1742" t="s">
        <v>916</v>
      </c>
      <c r="C1742" t="s">
        <v>2134</v>
      </c>
      <c r="D1742" t="s">
        <v>32</v>
      </c>
      <c r="E1742" t="s">
        <v>27</v>
      </c>
      <c r="F1742" s="17">
        <v>1500</v>
      </c>
      <c r="G1742" s="17">
        <v>16000</v>
      </c>
      <c r="H1742" s="17">
        <v>14500</v>
      </c>
      <c r="I1742" s="18">
        <v>0.64</v>
      </c>
      <c r="J1742" s="14">
        <f t="shared" si="0"/>
        <v>9.6666666666666661</v>
      </c>
      <c r="K1742" s="15" t="str">
        <f t="shared" si="1"/>
        <v>Exceeds Target</v>
      </c>
    </row>
    <row r="1743" spans="2:11" ht="15" customHeight="1">
      <c r="B1743" t="s">
        <v>443</v>
      </c>
      <c r="C1743" t="s">
        <v>2135</v>
      </c>
      <c r="D1743" t="s">
        <v>69</v>
      </c>
      <c r="E1743" t="s">
        <v>70</v>
      </c>
      <c r="F1743" s="17">
        <v>1000</v>
      </c>
      <c r="G1743" s="17">
        <v>75000</v>
      </c>
      <c r="H1743" s="17">
        <v>74000</v>
      </c>
      <c r="I1743" s="18">
        <v>0.4</v>
      </c>
      <c r="J1743" s="14">
        <f t="shared" si="0"/>
        <v>74</v>
      </c>
      <c r="K1743" s="15" t="str">
        <f t="shared" si="1"/>
        <v>Exceeds Target</v>
      </c>
    </row>
    <row r="1744" spans="2:11" ht="15" customHeight="1">
      <c r="B1744" t="s">
        <v>46</v>
      </c>
      <c r="C1744" t="s">
        <v>2136</v>
      </c>
      <c r="D1744" t="s">
        <v>35</v>
      </c>
      <c r="E1744" t="s">
        <v>27</v>
      </c>
      <c r="F1744" s="17">
        <v>3000</v>
      </c>
      <c r="G1744" s="17">
        <v>160000</v>
      </c>
      <c r="H1744" s="17">
        <v>157000</v>
      </c>
      <c r="I1744" s="18">
        <v>0.91</v>
      </c>
      <c r="J1744" s="14">
        <f t="shared" si="0"/>
        <v>52.333333333333336</v>
      </c>
      <c r="K1744" s="15" t="str">
        <f t="shared" si="1"/>
        <v>Exceeds Target</v>
      </c>
    </row>
    <row r="1745" spans="2:11" ht="15" customHeight="1">
      <c r="B1745" t="s">
        <v>999</v>
      </c>
      <c r="C1745" t="s">
        <v>2137</v>
      </c>
      <c r="D1745" t="s">
        <v>80</v>
      </c>
      <c r="E1745" t="s">
        <v>27</v>
      </c>
      <c r="F1745" s="17">
        <v>1000</v>
      </c>
      <c r="G1745" s="17">
        <v>84000</v>
      </c>
      <c r="H1745" s="17">
        <v>83000</v>
      </c>
      <c r="I1745" s="18">
        <v>0.86</v>
      </c>
      <c r="J1745" s="14">
        <f t="shared" si="0"/>
        <v>83</v>
      </c>
      <c r="K1745" s="15" t="str">
        <f t="shared" si="1"/>
        <v>Exceeds Target</v>
      </c>
    </row>
    <row r="1746" spans="2:11" ht="15" customHeight="1">
      <c r="B1746" t="s">
        <v>854</v>
      </c>
      <c r="C1746" t="s">
        <v>2138</v>
      </c>
      <c r="D1746" t="s">
        <v>26</v>
      </c>
      <c r="E1746" t="s">
        <v>27</v>
      </c>
      <c r="F1746" s="17">
        <v>5000</v>
      </c>
      <c r="G1746" s="17">
        <v>120000</v>
      </c>
      <c r="H1746" s="17">
        <v>115000</v>
      </c>
      <c r="I1746" s="18">
        <v>0.18</v>
      </c>
      <c r="J1746" s="14">
        <f t="shared" si="0"/>
        <v>23</v>
      </c>
      <c r="K1746" s="15" t="str">
        <f t="shared" si="1"/>
        <v>Exceeds Target</v>
      </c>
    </row>
    <row r="1747" spans="2:11" ht="15" customHeight="1">
      <c r="B1747" t="s">
        <v>673</v>
      </c>
      <c r="C1747" t="s">
        <v>2139</v>
      </c>
      <c r="D1747" t="s">
        <v>80</v>
      </c>
      <c r="E1747" t="s">
        <v>27</v>
      </c>
      <c r="F1747" s="17">
        <v>1000</v>
      </c>
      <c r="G1747" s="17">
        <v>69000</v>
      </c>
      <c r="H1747" s="17">
        <v>68000</v>
      </c>
      <c r="I1747" s="18">
        <v>0.87</v>
      </c>
      <c r="J1747" s="14">
        <f t="shared" si="0"/>
        <v>68</v>
      </c>
      <c r="K1747" s="15" t="str">
        <f t="shared" si="1"/>
        <v>Exceeds Target</v>
      </c>
    </row>
    <row r="1748" spans="2:11" ht="15" customHeight="1">
      <c r="B1748" t="s">
        <v>384</v>
      </c>
      <c r="C1748" t="s">
        <v>2140</v>
      </c>
      <c r="D1748" t="s">
        <v>35</v>
      </c>
      <c r="E1748" t="s">
        <v>27</v>
      </c>
      <c r="F1748" s="17">
        <v>3000</v>
      </c>
      <c r="G1748" s="17">
        <v>240000</v>
      </c>
      <c r="H1748" s="17">
        <v>237000</v>
      </c>
      <c r="I1748" s="18">
        <v>0.71</v>
      </c>
      <c r="J1748" s="14">
        <f t="shared" si="0"/>
        <v>79</v>
      </c>
      <c r="K1748" s="15" t="str">
        <f t="shared" si="1"/>
        <v>Exceeds Target</v>
      </c>
    </row>
    <row r="1749" spans="2:11" ht="15" customHeight="1">
      <c r="B1749" t="s">
        <v>1510</v>
      </c>
      <c r="C1749" t="s">
        <v>2141</v>
      </c>
      <c r="D1749" t="s">
        <v>69</v>
      </c>
      <c r="E1749" t="s">
        <v>70</v>
      </c>
      <c r="F1749" s="17">
        <v>1000</v>
      </c>
      <c r="G1749" s="17">
        <v>40000</v>
      </c>
      <c r="H1749" s="17">
        <v>39000</v>
      </c>
      <c r="I1749" s="18">
        <v>0.9</v>
      </c>
      <c r="J1749" s="14">
        <f t="shared" si="0"/>
        <v>39</v>
      </c>
      <c r="K1749" s="15" t="str">
        <f t="shared" si="1"/>
        <v>Exceeds Target</v>
      </c>
    </row>
    <row r="1750" spans="2:11" ht="15" customHeight="1">
      <c r="B1750" t="s">
        <v>762</v>
      </c>
      <c r="C1750" t="s">
        <v>2142</v>
      </c>
      <c r="D1750" t="s">
        <v>32</v>
      </c>
      <c r="E1750" t="s">
        <v>27</v>
      </c>
      <c r="F1750" s="17">
        <v>1500</v>
      </c>
      <c r="G1750" s="17">
        <v>20000</v>
      </c>
      <c r="H1750" s="17">
        <v>18500</v>
      </c>
      <c r="I1750" s="18">
        <v>0.74</v>
      </c>
      <c r="J1750" s="14">
        <f t="shared" si="0"/>
        <v>12.333333333333334</v>
      </c>
      <c r="K1750" s="15" t="str">
        <f t="shared" si="1"/>
        <v>Exceeds Target</v>
      </c>
    </row>
    <row r="1751" spans="2:11" ht="15" customHeight="1">
      <c r="B1751" t="s">
        <v>448</v>
      </c>
      <c r="C1751" t="s">
        <v>2143</v>
      </c>
      <c r="D1751" t="s">
        <v>80</v>
      </c>
      <c r="E1751" t="s">
        <v>27</v>
      </c>
      <c r="F1751" s="17">
        <v>1000</v>
      </c>
      <c r="G1751" s="17">
        <v>60000</v>
      </c>
      <c r="H1751" s="17">
        <v>59000</v>
      </c>
      <c r="I1751" s="18">
        <v>0.71</v>
      </c>
      <c r="J1751" s="14">
        <f t="shared" si="0"/>
        <v>59</v>
      </c>
      <c r="K1751" s="15" t="str">
        <f t="shared" si="1"/>
        <v>Exceeds Target</v>
      </c>
    </row>
    <row r="1752" spans="2:11" ht="15" customHeight="1">
      <c r="B1752" t="s">
        <v>618</v>
      </c>
      <c r="C1752" t="s">
        <v>2144</v>
      </c>
      <c r="D1752" t="s">
        <v>32</v>
      </c>
      <c r="E1752" t="s">
        <v>27</v>
      </c>
      <c r="F1752" s="17">
        <v>1500</v>
      </c>
      <c r="G1752" s="17">
        <v>46000</v>
      </c>
      <c r="H1752" s="17">
        <v>44500</v>
      </c>
      <c r="I1752" s="18">
        <v>0.91</v>
      </c>
      <c r="J1752" s="14">
        <f t="shared" si="0"/>
        <v>29.666666666666668</v>
      </c>
      <c r="K1752" s="15" t="str">
        <f t="shared" si="1"/>
        <v>Exceeds Target</v>
      </c>
    </row>
    <row r="1753" spans="2:11" ht="15" customHeight="1">
      <c r="B1753" t="s">
        <v>555</v>
      </c>
      <c r="C1753" t="s">
        <v>2145</v>
      </c>
      <c r="D1753" t="s">
        <v>32</v>
      </c>
      <c r="E1753" t="s">
        <v>27</v>
      </c>
      <c r="F1753" s="17">
        <v>1500</v>
      </c>
      <c r="G1753" s="17">
        <v>14000</v>
      </c>
      <c r="H1753" s="17">
        <v>12500</v>
      </c>
      <c r="I1753" s="18">
        <v>0.27</v>
      </c>
      <c r="J1753" s="14">
        <f t="shared" si="0"/>
        <v>8.3333333333333339</v>
      </c>
      <c r="K1753" s="15" t="str">
        <f t="shared" si="1"/>
        <v>Exceeds Target</v>
      </c>
    </row>
    <row r="1754" spans="2:11" ht="15" customHeight="1">
      <c r="B1754" t="s">
        <v>408</v>
      </c>
      <c r="C1754" t="s">
        <v>2146</v>
      </c>
      <c r="D1754" t="s">
        <v>32</v>
      </c>
      <c r="E1754" t="s">
        <v>27</v>
      </c>
      <c r="F1754" s="17">
        <v>1500</v>
      </c>
      <c r="G1754" s="17">
        <v>14000</v>
      </c>
      <c r="H1754" s="17">
        <v>12500</v>
      </c>
      <c r="I1754" s="18">
        <v>0.8</v>
      </c>
      <c r="J1754" s="14">
        <f t="shared" si="0"/>
        <v>8.3333333333333339</v>
      </c>
      <c r="K1754" s="15" t="str">
        <f t="shared" si="1"/>
        <v>Exceeds Target</v>
      </c>
    </row>
    <row r="1755" spans="2:11" ht="15" customHeight="1">
      <c r="B1755" t="s">
        <v>993</v>
      </c>
      <c r="C1755" t="s">
        <v>2147</v>
      </c>
      <c r="D1755" t="s">
        <v>35</v>
      </c>
      <c r="E1755" t="s">
        <v>27</v>
      </c>
      <c r="F1755" s="17">
        <v>3000</v>
      </c>
      <c r="G1755" s="17">
        <v>120000</v>
      </c>
      <c r="H1755" s="17">
        <v>117000</v>
      </c>
      <c r="I1755" s="18">
        <v>0.33</v>
      </c>
      <c r="J1755" s="14">
        <f t="shared" si="0"/>
        <v>39</v>
      </c>
      <c r="K1755" s="15" t="str">
        <f t="shared" si="1"/>
        <v>Exceeds Target</v>
      </c>
    </row>
    <row r="1756" spans="2:11" ht="15" customHeight="1">
      <c r="B1756" t="s">
        <v>1510</v>
      </c>
      <c r="C1756" t="s">
        <v>2148</v>
      </c>
      <c r="D1756" t="s">
        <v>69</v>
      </c>
      <c r="E1756" t="s">
        <v>70</v>
      </c>
      <c r="F1756" s="17">
        <v>1000</v>
      </c>
      <c r="G1756" s="17">
        <v>110000</v>
      </c>
      <c r="H1756" s="17">
        <v>109000</v>
      </c>
      <c r="I1756" s="18">
        <v>0.86</v>
      </c>
      <c r="J1756" s="14">
        <f t="shared" si="0"/>
        <v>109</v>
      </c>
      <c r="K1756" s="15" t="str">
        <f t="shared" si="1"/>
        <v>Exceeds Target</v>
      </c>
    </row>
    <row r="1757" spans="2:11" ht="15" customHeight="1">
      <c r="B1757" t="s">
        <v>1358</v>
      </c>
      <c r="C1757" t="s">
        <v>2149</v>
      </c>
      <c r="D1757" t="s">
        <v>26</v>
      </c>
      <c r="E1757" t="s">
        <v>27</v>
      </c>
      <c r="F1757" s="17">
        <v>5000</v>
      </c>
      <c r="G1757" s="17">
        <v>90000</v>
      </c>
      <c r="H1757" s="17">
        <v>85000</v>
      </c>
      <c r="I1757" s="18">
        <v>0.36</v>
      </c>
      <c r="J1757" s="14">
        <f t="shared" si="0"/>
        <v>17</v>
      </c>
      <c r="K1757" s="15" t="str">
        <f t="shared" si="1"/>
        <v>Exceeds Target</v>
      </c>
    </row>
    <row r="1758" spans="2:11" ht="15" customHeight="1">
      <c r="B1758" t="s">
        <v>287</v>
      </c>
      <c r="C1758" t="s">
        <v>2150</v>
      </c>
      <c r="D1758" t="s">
        <v>26</v>
      </c>
      <c r="E1758" t="s">
        <v>27</v>
      </c>
      <c r="F1758" s="17">
        <v>5000</v>
      </c>
      <c r="G1758" s="17">
        <v>30000</v>
      </c>
      <c r="H1758" s="17">
        <v>25000</v>
      </c>
      <c r="I1758" s="18">
        <v>0.24</v>
      </c>
      <c r="J1758" s="14">
        <f t="shared" si="0"/>
        <v>5</v>
      </c>
      <c r="K1758" s="15" t="str">
        <f t="shared" si="1"/>
        <v>Exceeds Target</v>
      </c>
    </row>
    <row r="1759" spans="2:11" ht="15" customHeight="1">
      <c r="B1759" t="s">
        <v>401</v>
      </c>
      <c r="C1759" t="s">
        <v>2151</v>
      </c>
      <c r="D1759" t="s">
        <v>26</v>
      </c>
      <c r="E1759" t="s">
        <v>27</v>
      </c>
      <c r="F1759" s="17">
        <v>5000</v>
      </c>
      <c r="G1759" s="17">
        <v>30000</v>
      </c>
      <c r="H1759" s="17">
        <v>25000</v>
      </c>
      <c r="I1759" s="18">
        <v>0.09</v>
      </c>
      <c r="J1759" s="14">
        <f t="shared" si="0"/>
        <v>5</v>
      </c>
      <c r="K1759" s="15" t="str">
        <f t="shared" si="1"/>
        <v>Exceeds Target</v>
      </c>
    </row>
    <row r="1760" spans="2:11" ht="15" customHeight="1">
      <c r="B1760" t="s">
        <v>207</v>
      </c>
      <c r="C1760" t="s">
        <v>2152</v>
      </c>
      <c r="D1760" t="s">
        <v>26</v>
      </c>
      <c r="E1760" t="s">
        <v>27</v>
      </c>
      <c r="F1760" s="17">
        <v>5000</v>
      </c>
      <c r="G1760" s="17">
        <v>30000</v>
      </c>
      <c r="H1760" s="17">
        <v>25000</v>
      </c>
      <c r="I1760" s="18">
        <v>7.0000000000000007E-2</v>
      </c>
      <c r="J1760" s="14">
        <f t="shared" si="0"/>
        <v>5</v>
      </c>
      <c r="K1760" s="15" t="str">
        <f t="shared" si="1"/>
        <v>Exceeds Target</v>
      </c>
    </row>
    <row r="1761" spans="2:11" ht="15" customHeight="1">
      <c r="B1761" t="s">
        <v>139</v>
      </c>
      <c r="C1761" t="s">
        <v>2153</v>
      </c>
      <c r="D1761" t="s">
        <v>35</v>
      </c>
      <c r="E1761" t="s">
        <v>27</v>
      </c>
      <c r="F1761" s="17">
        <v>3000</v>
      </c>
      <c r="G1761" s="17">
        <v>150000</v>
      </c>
      <c r="H1761" s="17">
        <v>147000</v>
      </c>
      <c r="I1761" s="18">
        <v>0.52</v>
      </c>
      <c r="J1761" s="14">
        <f t="shared" si="0"/>
        <v>49</v>
      </c>
      <c r="K1761" s="15" t="str">
        <f t="shared" si="1"/>
        <v>Exceeds Target</v>
      </c>
    </row>
    <row r="1762" spans="2:11" ht="15" customHeight="1">
      <c r="B1762" t="s">
        <v>279</v>
      </c>
      <c r="C1762" t="s">
        <v>2154</v>
      </c>
      <c r="D1762" t="s">
        <v>69</v>
      </c>
      <c r="E1762" t="s">
        <v>70</v>
      </c>
      <c r="F1762" s="17">
        <v>1000</v>
      </c>
      <c r="G1762" s="17">
        <v>60000</v>
      </c>
      <c r="H1762" s="17">
        <v>59000</v>
      </c>
      <c r="I1762" s="18">
        <v>0.47</v>
      </c>
      <c r="J1762" s="14">
        <f t="shared" si="0"/>
        <v>59</v>
      </c>
      <c r="K1762" s="15" t="str">
        <f t="shared" si="1"/>
        <v>Exceeds Target</v>
      </c>
    </row>
    <row r="1763" spans="2:11" ht="15" customHeight="1">
      <c r="B1763" t="s">
        <v>267</v>
      </c>
      <c r="C1763" t="s">
        <v>2155</v>
      </c>
      <c r="D1763" t="s">
        <v>35</v>
      </c>
      <c r="E1763" t="s">
        <v>27</v>
      </c>
      <c r="F1763" s="17">
        <v>3000</v>
      </c>
      <c r="G1763" s="17">
        <v>70000</v>
      </c>
      <c r="H1763" s="17">
        <v>67000</v>
      </c>
      <c r="I1763" s="18">
        <v>0.31</v>
      </c>
      <c r="J1763" s="14">
        <f t="shared" si="0"/>
        <v>22.333333333333332</v>
      </c>
      <c r="K1763" s="15" t="str">
        <f t="shared" si="1"/>
        <v>Exceeds Target</v>
      </c>
    </row>
    <row r="1764" spans="2:11" ht="15" customHeight="1">
      <c r="B1764" t="s">
        <v>563</v>
      </c>
      <c r="C1764" t="s">
        <v>2156</v>
      </c>
      <c r="D1764" t="s">
        <v>32</v>
      </c>
      <c r="E1764" t="s">
        <v>27</v>
      </c>
      <c r="F1764" s="17">
        <v>1500</v>
      </c>
      <c r="G1764" s="17">
        <v>16000</v>
      </c>
      <c r="H1764" s="17">
        <v>14500</v>
      </c>
      <c r="I1764" s="18">
        <v>0.68</v>
      </c>
      <c r="J1764" s="14">
        <f t="shared" si="0"/>
        <v>9.6666666666666661</v>
      </c>
      <c r="K1764" s="15" t="str">
        <f t="shared" si="1"/>
        <v>Exceeds Target</v>
      </c>
    </row>
    <row r="1765" spans="2:11" ht="15" customHeight="1">
      <c r="B1765" t="s">
        <v>2157</v>
      </c>
      <c r="C1765" t="s">
        <v>2158</v>
      </c>
      <c r="D1765" t="s">
        <v>26</v>
      </c>
      <c r="E1765" t="s">
        <v>27</v>
      </c>
      <c r="F1765" s="17">
        <v>5000</v>
      </c>
      <c r="G1765" s="17">
        <v>120000</v>
      </c>
      <c r="H1765" s="17">
        <v>115000</v>
      </c>
      <c r="I1765" s="18">
        <v>0.31</v>
      </c>
      <c r="J1765" s="14">
        <f t="shared" si="0"/>
        <v>23</v>
      </c>
      <c r="K1765" s="15" t="str">
        <f t="shared" si="1"/>
        <v>Exceeds Target</v>
      </c>
    </row>
    <row r="1766" spans="2:11" ht="15" customHeight="1">
      <c r="B1766" t="s">
        <v>529</v>
      </c>
      <c r="C1766" t="s">
        <v>2159</v>
      </c>
      <c r="D1766" t="s">
        <v>26</v>
      </c>
      <c r="E1766" t="s">
        <v>27</v>
      </c>
      <c r="F1766" s="17">
        <v>5000</v>
      </c>
      <c r="G1766" s="17">
        <v>120000</v>
      </c>
      <c r="H1766" s="17">
        <v>115000</v>
      </c>
      <c r="I1766" s="18">
        <v>0.1</v>
      </c>
      <c r="J1766" s="14">
        <f t="shared" si="0"/>
        <v>23</v>
      </c>
      <c r="K1766" s="15" t="str">
        <f t="shared" si="1"/>
        <v>Exceeds Target</v>
      </c>
    </row>
    <row r="1767" spans="2:11" ht="15" customHeight="1">
      <c r="B1767" t="s">
        <v>531</v>
      </c>
      <c r="C1767" t="s">
        <v>2160</v>
      </c>
      <c r="D1767" t="s">
        <v>26</v>
      </c>
      <c r="E1767" t="s">
        <v>27</v>
      </c>
      <c r="F1767" s="17">
        <v>5000</v>
      </c>
      <c r="G1767" s="17">
        <v>30000</v>
      </c>
      <c r="H1767" s="17">
        <v>25000</v>
      </c>
      <c r="I1767" s="18">
        <v>0.28000000000000003</v>
      </c>
      <c r="J1767" s="14">
        <f t="shared" si="0"/>
        <v>5</v>
      </c>
      <c r="K1767" s="15" t="str">
        <f t="shared" si="1"/>
        <v>Exceeds Target</v>
      </c>
    </row>
    <row r="1768" spans="2:11" ht="15" customHeight="1">
      <c r="B1768" t="s">
        <v>1063</v>
      </c>
      <c r="C1768" t="s">
        <v>2161</v>
      </c>
      <c r="D1768" t="s">
        <v>69</v>
      </c>
      <c r="E1768" t="s">
        <v>70</v>
      </c>
      <c r="F1768" s="17">
        <v>1000</v>
      </c>
      <c r="G1768" s="17">
        <v>55000</v>
      </c>
      <c r="H1768" s="17">
        <v>54000</v>
      </c>
      <c r="I1768" s="18">
        <v>0.7</v>
      </c>
      <c r="J1768" s="14">
        <f t="shared" si="0"/>
        <v>54</v>
      </c>
      <c r="K1768" s="15" t="str">
        <f t="shared" si="1"/>
        <v>Exceeds Target</v>
      </c>
    </row>
    <row r="1769" spans="2:11" ht="15" customHeight="1">
      <c r="B1769" t="s">
        <v>1113</v>
      </c>
      <c r="C1769" t="s">
        <v>2162</v>
      </c>
      <c r="D1769" t="s">
        <v>69</v>
      </c>
      <c r="E1769" t="s">
        <v>70</v>
      </c>
      <c r="F1769" s="17">
        <v>1000</v>
      </c>
      <c r="G1769" s="17">
        <v>135000</v>
      </c>
      <c r="H1769" s="17">
        <v>134000</v>
      </c>
      <c r="I1769" s="18">
        <v>0.59</v>
      </c>
      <c r="J1769" s="14">
        <f t="shared" si="0"/>
        <v>134</v>
      </c>
      <c r="K1769" s="15" t="str">
        <f t="shared" si="1"/>
        <v>Exceeds Target</v>
      </c>
    </row>
    <row r="1770" spans="2:11" ht="15" customHeight="1">
      <c r="B1770" t="s">
        <v>457</v>
      </c>
      <c r="C1770" t="s">
        <v>2163</v>
      </c>
      <c r="D1770" t="s">
        <v>32</v>
      </c>
      <c r="E1770" t="s">
        <v>27</v>
      </c>
      <c r="F1770" s="17">
        <v>1500</v>
      </c>
      <c r="G1770" s="17">
        <v>34000</v>
      </c>
      <c r="H1770" s="17">
        <v>32500</v>
      </c>
      <c r="I1770" s="18">
        <v>0.89</v>
      </c>
      <c r="J1770" s="14">
        <f t="shared" si="0"/>
        <v>21.666666666666668</v>
      </c>
      <c r="K1770" s="15" t="str">
        <f t="shared" si="1"/>
        <v>Exceeds Target</v>
      </c>
    </row>
    <row r="1771" spans="2:11" ht="15" customHeight="1">
      <c r="B1771" t="s">
        <v>890</v>
      </c>
      <c r="C1771" t="s">
        <v>2164</v>
      </c>
      <c r="D1771" t="s">
        <v>26</v>
      </c>
      <c r="E1771" t="s">
        <v>27</v>
      </c>
      <c r="F1771" s="17">
        <v>5000</v>
      </c>
      <c r="G1771" s="17">
        <v>120000</v>
      </c>
      <c r="H1771" s="17">
        <v>115000</v>
      </c>
      <c r="I1771" s="18">
        <v>0.25</v>
      </c>
      <c r="J1771" s="14">
        <f t="shared" si="0"/>
        <v>23</v>
      </c>
      <c r="K1771" s="15" t="str">
        <f t="shared" si="1"/>
        <v>Exceeds Target</v>
      </c>
    </row>
    <row r="1772" spans="2:11" ht="15" customHeight="1">
      <c r="B1772" t="s">
        <v>1013</v>
      </c>
      <c r="C1772" t="s">
        <v>2165</v>
      </c>
      <c r="D1772" t="s">
        <v>69</v>
      </c>
      <c r="E1772" t="s">
        <v>70</v>
      </c>
      <c r="F1772" s="17">
        <v>1000</v>
      </c>
      <c r="G1772" s="17">
        <v>65000</v>
      </c>
      <c r="H1772" s="17">
        <v>64000</v>
      </c>
      <c r="I1772" s="18">
        <v>0.66</v>
      </c>
      <c r="J1772" s="14">
        <f t="shared" si="0"/>
        <v>64</v>
      </c>
      <c r="K1772" s="15" t="str">
        <f t="shared" si="1"/>
        <v>Exceeds Target</v>
      </c>
    </row>
    <row r="1773" spans="2:11" ht="15" customHeight="1">
      <c r="B1773" t="s">
        <v>63</v>
      </c>
      <c r="C1773" t="s">
        <v>2166</v>
      </c>
      <c r="D1773" t="s">
        <v>35</v>
      </c>
      <c r="E1773" t="s">
        <v>27</v>
      </c>
      <c r="F1773" s="17">
        <v>3000</v>
      </c>
      <c r="G1773" s="17">
        <v>140000</v>
      </c>
      <c r="H1773" s="17">
        <v>137000</v>
      </c>
      <c r="I1773" s="18">
        <v>0.56999999999999995</v>
      </c>
      <c r="J1773" s="14">
        <f t="shared" si="0"/>
        <v>45.666666666666664</v>
      </c>
      <c r="K1773" s="15" t="str">
        <f t="shared" si="1"/>
        <v>Exceeds Target</v>
      </c>
    </row>
    <row r="1774" spans="2:11" ht="15" customHeight="1">
      <c r="B1774" t="s">
        <v>370</v>
      </c>
      <c r="C1774" t="s">
        <v>2167</v>
      </c>
      <c r="D1774" t="s">
        <v>35</v>
      </c>
      <c r="E1774" t="s">
        <v>27</v>
      </c>
      <c r="F1774" s="17">
        <v>3000</v>
      </c>
      <c r="G1774" s="17">
        <v>260000</v>
      </c>
      <c r="H1774" s="17">
        <v>257000</v>
      </c>
      <c r="I1774" s="18">
        <v>0.43</v>
      </c>
      <c r="J1774" s="14">
        <f t="shared" si="0"/>
        <v>85.666666666666671</v>
      </c>
      <c r="K1774" s="15" t="str">
        <f t="shared" si="1"/>
        <v>Exceeds Target</v>
      </c>
    </row>
    <row r="1775" spans="2:11" ht="15" customHeight="1">
      <c r="B1775" t="s">
        <v>180</v>
      </c>
      <c r="C1775" t="s">
        <v>2168</v>
      </c>
      <c r="D1775" t="s">
        <v>80</v>
      </c>
      <c r="E1775" t="s">
        <v>27</v>
      </c>
      <c r="F1775" s="17">
        <v>1000</v>
      </c>
      <c r="G1775" s="17">
        <v>105000</v>
      </c>
      <c r="H1775" s="17">
        <v>104000</v>
      </c>
      <c r="I1775" s="18">
        <v>0.89</v>
      </c>
      <c r="J1775" s="14">
        <f t="shared" si="0"/>
        <v>104</v>
      </c>
      <c r="K1775" s="15" t="str">
        <f t="shared" si="1"/>
        <v>Exceeds Target</v>
      </c>
    </row>
    <row r="1776" spans="2:11" ht="15" customHeight="1">
      <c r="B1776" t="s">
        <v>500</v>
      </c>
      <c r="C1776" t="s">
        <v>2169</v>
      </c>
      <c r="D1776" t="s">
        <v>69</v>
      </c>
      <c r="E1776" t="s">
        <v>70</v>
      </c>
      <c r="F1776" s="17">
        <v>1000</v>
      </c>
      <c r="G1776" s="17">
        <v>140000</v>
      </c>
      <c r="H1776" s="17">
        <v>139000</v>
      </c>
      <c r="I1776" s="18">
        <v>0.28999999999999998</v>
      </c>
      <c r="J1776" s="14">
        <f t="shared" si="0"/>
        <v>139</v>
      </c>
      <c r="K1776" s="15" t="str">
        <f t="shared" si="1"/>
        <v>Exceeds Target</v>
      </c>
    </row>
    <row r="1777" spans="2:11" ht="15" customHeight="1">
      <c r="B1777" t="s">
        <v>129</v>
      </c>
      <c r="C1777" t="s">
        <v>2170</v>
      </c>
      <c r="D1777" t="s">
        <v>35</v>
      </c>
      <c r="E1777" t="s">
        <v>27</v>
      </c>
      <c r="F1777" s="17">
        <v>3000</v>
      </c>
      <c r="G1777" s="17">
        <v>200000</v>
      </c>
      <c r="H1777" s="17">
        <v>197000</v>
      </c>
      <c r="I1777" s="18">
        <v>0.82</v>
      </c>
      <c r="J1777" s="14">
        <f t="shared" si="0"/>
        <v>65.666666666666671</v>
      </c>
      <c r="K1777" s="15" t="str">
        <f t="shared" si="1"/>
        <v>Exceeds Target</v>
      </c>
    </row>
    <row r="1778" spans="2:11" ht="15" customHeight="1">
      <c r="B1778" t="s">
        <v>167</v>
      </c>
      <c r="C1778" t="s">
        <v>2171</v>
      </c>
      <c r="D1778" t="s">
        <v>35</v>
      </c>
      <c r="E1778" t="s">
        <v>27</v>
      </c>
      <c r="F1778" s="17">
        <v>3000</v>
      </c>
      <c r="G1778" s="17">
        <v>220000</v>
      </c>
      <c r="H1778" s="17">
        <v>217000</v>
      </c>
      <c r="I1778" s="18">
        <v>0.53</v>
      </c>
      <c r="J1778" s="14">
        <f t="shared" si="0"/>
        <v>72.333333333333329</v>
      </c>
      <c r="K1778" s="15" t="str">
        <f t="shared" si="1"/>
        <v>Exceeds Target</v>
      </c>
    </row>
    <row r="1779" spans="2:11" ht="15" customHeight="1">
      <c r="B1779" t="s">
        <v>207</v>
      </c>
      <c r="C1779" t="s">
        <v>2172</v>
      </c>
      <c r="D1779" t="s">
        <v>80</v>
      </c>
      <c r="E1779" t="s">
        <v>27</v>
      </c>
      <c r="F1779" s="17">
        <v>1000</v>
      </c>
      <c r="G1779" s="17">
        <v>57000</v>
      </c>
      <c r="H1779" s="17">
        <v>56000</v>
      </c>
      <c r="I1779" s="18">
        <v>0.59</v>
      </c>
      <c r="J1779" s="14">
        <f t="shared" si="0"/>
        <v>56</v>
      </c>
      <c r="K1779" s="15" t="str">
        <f t="shared" si="1"/>
        <v>Exceeds Target</v>
      </c>
    </row>
    <row r="1780" spans="2:11" ht="15" customHeight="1">
      <c r="B1780" t="s">
        <v>287</v>
      </c>
      <c r="C1780" t="s">
        <v>2173</v>
      </c>
      <c r="D1780" t="s">
        <v>69</v>
      </c>
      <c r="E1780" t="s">
        <v>70</v>
      </c>
      <c r="F1780" s="17">
        <v>1000</v>
      </c>
      <c r="G1780" s="17">
        <v>45000</v>
      </c>
      <c r="H1780" s="17">
        <v>44000</v>
      </c>
      <c r="I1780" s="18">
        <v>0.43</v>
      </c>
      <c r="J1780" s="14">
        <f t="shared" si="0"/>
        <v>44</v>
      </c>
      <c r="K1780" s="15" t="str">
        <f t="shared" si="1"/>
        <v>Exceeds Target</v>
      </c>
    </row>
    <row r="1781" spans="2:11" ht="15" customHeight="1">
      <c r="B1781" t="s">
        <v>416</v>
      </c>
      <c r="C1781" t="s">
        <v>2174</v>
      </c>
      <c r="D1781" t="s">
        <v>26</v>
      </c>
      <c r="E1781" t="s">
        <v>27</v>
      </c>
      <c r="F1781" s="17">
        <v>5000</v>
      </c>
      <c r="G1781" s="17">
        <v>90000</v>
      </c>
      <c r="H1781" s="17">
        <v>85000</v>
      </c>
      <c r="I1781" s="18">
        <v>0.06</v>
      </c>
      <c r="J1781" s="14">
        <f t="shared" si="0"/>
        <v>17</v>
      </c>
      <c r="K1781" s="15" t="str">
        <f t="shared" si="1"/>
        <v>Exceeds Target</v>
      </c>
    </row>
    <row r="1782" spans="2:11" ht="15" customHeight="1">
      <c r="B1782" t="s">
        <v>939</v>
      </c>
      <c r="C1782" t="s">
        <v>2175</v>
      </c>
      <c r="D1782" t="s">
        <v>32</v>
      </c>
      <c r="E1782" t="s">
        <v>27</v>
      </c>
      <c r="F1782" s="17">
        <v>1500</v>
      </c>
      <c r="G1782" s="17">
        <v>38000</v>
      </c>
      <c r="H1782" s="17">
        <v>36500</v>
      </c>
      <c r="I1782" s="18">
        <v>0.57999999999999996</v>
      </c>
      <c r="J1782" s="14">
        <f t="shared" si="0"/>
        <v>24.333333333333332</v>
      </c>
      <c r="K1782" s="15" t="str">
        <f t="shared" si="1"/>
        <v>Exceeds Target</v>
      </c>
    </row>
    <row r="1783" spans="2:11" ht="15" customHeight="1">
      <c r="B1783" t="s">
        <v>929</v>
      </c>
      <c r="C1783" t="s">
        <v>2176</v>
      </c>
      <c r="D1783" t="s">
        <v>26</v>
      </c>
      <c r="E1783" t="s">
        <v>27</v>
      </c>
      <c r="F1783" s="17">
        <v>5000</v>
      </c>
      <c r="G1783" s="17">
        <v>120000</v>
      </c>
      <c r="H1783" s="17">
        <v>115000</v>
      </c>
      <c r="I1783" s="18">
        <v>0.17</v>
      </c>
      <c r="J1783" s="14">
        <f t="shared" si="0"/>
        <v>23</v>
      </c>
      <c r="K1783" s="15" t="str">
        <f t="shared" si="1"/>
        <v>Exceeds Target</v>
      </c>
    </row>
    <row r="1784" spans="2:11" ht="15" customHeight="1">
      <c r="B1784" t="s">
        <v>121</v>
      </c>
      <c r="C1784" t="s">
        <v>2177</v>
      </c>
      <c r="D1784" t="s">
        <v>35</v>
      </c>
      <c r="E1784" t="s">
        <v>27</v>
      </c>
      <c r="F1784" s="17">
        <v>3000</v>
      </c>
      <c r="G1784" s="17">
        <v>160000</v>
      </c>
      <c r="H1784" s="17">
        <v>157000</v>
      </c>
      <c r="I1784" s="18">
        <v>0.56000000000000005</v>
      </c>
      <c r="J1784" s="14">
        <f t="shared" si="0"/>
        <v>52.333333333333336</v>
      </c>
      <c r="K1784" s="15" t="str">
        <f t="shared" si="1"/>
        <v>Exceeds Target</v>
      </c>
    </row>
    <row r="1785" spans="2:11" ht="15" customHeight="1">
      <c r="B1785" t="s">
        <v>860</v>
      </c>
      <c r="C1785" t="s">
        <v>2178</v>
      </c>
      <c r="D1785" t="s">
        <v>32</v>
      </c>
      <c r="E1785" t="s">
        <v>27</v>
      </c>
      <c r="F1785" s="17">
        <v>1500</v>
      </c>
      <c r="G1785" s="17">
        <v>16000</v>
      </c>
      <c r="H1785" s="17">
        <v>14500</v>
      </c>
      <c r="I1785" s="18">
        <v>0.88</v>
      </c>
      <c r="J1785" s="14">
        <f t="shared" si="0"/>
        <v>9.6666666666666661</v>
      </c>
      <c r="K1785" s="15" t="str">
        <f t="shared" si="1"/>
        <v>Exceeds Target</v>
      </c>
    </row>
    <row r="1786" spans="2:11" ht="15" customHeight="1">
      <c r="B1786" t="s">
        <v>601</v>
      </c>
      <c r="C1786" t="s">
        <v>2179</v>
      </c>
      <c r="D1786" t="s">
        <v>69</v>
      </c>
      <c r="E1786" t="s">
        <v>70</v>
      </c>
      <c r="F1786" s="17">
        <v>1000</v>
      </c>
      <c r="G1786" s="17">
        <v>130000</v>
      </c>
      <c r="H1786" s="17">
        <v>129000</v>
      </c>
      <c r="I1786" s="18">
        <v>0.42</v>
      </c>
      <c r="J1786" s="14">
        <f t="shared" si="0"/>
        <v>129</v>
      </c>
      <c r="K1786" s="15" t="str">
        <f t="shared" si="1"/>
        <v>Exceeds Target</v>
      </c>
    </row>
    <row r="1787" spans="2:11" ht="15" customHeight="1">
      <c r="B1787" t="s">
        <v>287</v>
      </c>
      <c r="C1787" t="s">
        <v>2180</v>
      </c>
      <c r="D1787" t="s">
        <v>26</v>
      </c>
      <c r="E1787" t="s">
        <v>27</v>
      </c>
      <c r="F1787" s="17">
        <v>5000</v>
      </c>
      <c r="G1787" s="17">
        <v>60000</v>
      </c>
      <c r="H1787" s="17">
        <v>55000</v>
      </c>
      <c r="I1787" s="18">
        <v>0.26</v>
      </c>
      <c r="J1787" s="14">
        <f t="shared" si="0"/>
        <v>11</v>
      </c>
      <c r="K1787" s="15" t="str">
        <f t="shared" si="1"/>
        <v>Exceeds Target</v>
      </c>
    </row>
    <row r="1788" spans="2:11" ht="15" customHeight="1">
      <c r="B1788" t="s">
        <v>538</v>
      </c>
      <c r="C1788" t="s">
        <v>2181</v>
      </c>
      <c r="D1788" t="s">
        <v>35</v>
      </c>
      <c r="E1788" t="s">
        <v>27</v>
      </c>
      <c r="F1788" s="17">
        <v>3000</v>
      </c>
      <c r="G1788" s="17">
        <v>170000</v>
      </c>
      <c r="H1788" s="17">
        <v>167000</v>
      </c>
      <c r="I1788" s="18">
        <v>0.97</v>
      </c>
      <c r="J1788" s="14">
        <f t="shared" si="0"/>
        <v>55.666666666666664</v>
      </c>
      <c r="K1788" s="15" t="str">
        <f t="shared" si="1"/>
        <v>Exceeds Target</v>
      </c>
    </row>
    <row r="1789" spans="2:11" ht="15" customHeight="1">
      <c r="B1789" t="s">
        <v>205</v>
      </c>
      <c r="C1789" t="s">
        <v>2182</v>
      </c>
      <c r="D1789" t="s">
        <v>32</v>
      </c>
      <c r="E1789" t="s">
        <v>27</v>
      </c>
      <c r="F1789" s="17">
        <v>1500</v>
      </c>
      <c r="G1789" s="17">
        <v>50000</v>
      </c>
      <c r="H1789" s="17">
        <v>48500</v>
      </c>
      <c r="I1789" s="18">
        <v>0.7</v>
      </c>
      <c r="J1789" s="14">
        <f t="shared" si="0"/>
        <v>32.333333333333336</v>
      </c>
      <c r="K1789" s="15" t="str">
        <f t="shared" si="1"/>
        <v>Exceeds Target</v>
      </c>
    </row>
    <row r="1790" spans="2:11" ht="15" customHeight="1">
      <c r="B1790" t="s">
        <v>531</v>
      </c>
      <c r="C1790" t="s">
        <v>2183</v>
      </c>
      <c r="D1790" t="s">
        <v>80</v>
      </c>
      <c r="E1790" t="s">
        <v>27</v>
      </c>
      <c r="F1790" s="17">
        <v>1000</v>
      </c>
      <c r="G1790" s="17">
        <v>81000</v>
      </c>
      <c r="H1790" s="17">
        <v>80000</v>
      </c>
      <c r="I1790" s="18">
        <v>0.94</v>
      </c>
      <c r="J1790" s="14">
        <f t="shared" si="0"/>
        <v>80</v>
      </c>
      <c r="K1790" s="15" t="str">
        <f t="shared" si="1"/>
        <v>Exceeds Target</v>
      </c>
    </row>
    <row r="1791" spans="2:11" ht="15" customHeight="1">
      <c r="B1791" t="s">
        <v>428</v>
      </c>
      <c r="C1791" t="s">
        <v>2184</v>
      </c>
      <c r="D1791" t="s">
        <v>26</v>
      </c>
      <c r="E1791" t="s">
        <v>27</v>
      </c>
      <c r="F1791" s="17">
        <v>5000</v>
      </c>
      <c r="G1791" s="17">
        <v>150000</v>
      </c>
      <c r="H1791" s="17">
        <v>145000</v>
      </c>
      <c r="I1791" s="18">
        <v>0.18</v>
      </c>
      <c r="J1791" s="14">
        <f t="shared" si="0"/>
        <v>29</v>
      </c>
      <c r="K1791" s="15" t="str">
        <f t="shared" si="1"/>
        <v>Exceeds Target</v>
      </c>
    </row>
    <row r="1792" spans="2:11" ht="15" customHeight="1">
      <c r="B1792" t="s">
        <v>159</v>
      </c>
      <c r="C1792" t="s">
        <v>2185</v>
      </c>
      <c r="D1792" t="s">
        <v>69</v>
      </c>
      <c r="E1792" t="s">
        <v>70</v>
      </c>
      <c r="F1792" s="17">
        <v>1000</v>
      </c>
      <c r="G1792" s="17">
        <v>120000</v>
      </c>
      <c r="H1792" s="17">
        <v>119000</v>
      </c>
      <c r="I1792" s="18">
        <v>0.4</v>
      </c>
      <c r="J1792" s="14">
        <f t="shared" si="0"/>
        <v>119</v>
      </c>
      <c r="K1792" s="15" t="str">
        <f t="shared" si="1"/>
        <v>Exceeds Target</v>
      </c>
    </row>
    <row r="1793" spans="2:11" ht="15" customHeight="1">
      <c r="B1793" t="s">
        <v>1222</v>
      </c>
      <c r="C1793" t="s">
        <v>2186</v>
      </c>
      <c r="D1793" t="s">
        <v>32</v>
      </c>
      <c r="E1793" t="s">
        <v>27</v>
      </c>
      <c r="F1793" s="17">
        <v>1500</v>
      </c>
      <c r="G1793" s="17">
        <v>48000</v>
      </c>
      <c r="H1793" s="17">
        <v>46500</v>
      </c>
      <c r="I1793" s="18">
        <v>0.18</v>
      </c>
      <c r="J1793" s="14">
        <f t="shared" si="0"/>
        <v>31</v>
      </c>
      <c r="K1793" s="15" t="str">
        <f t="shared" si="1"/>
        <v>Exceeds Target</v>
      </c>
    </row>
    <row r="1794" spans="2:11" ht="15" customHeight="1">
      <c r="B1794" t="s">
        <v>1018</v>
      </c>
      <c r="C1794" t="s">
        <v>2187</v>
      </c>
      <c r="D1794" t="s">
        <v>80</v>
      </c>
      <c r="E1794" t="s">
        <v>27</v>
      </c>
      <c r="F1794" s="17">
        <v>1000</v>
      </c>
      <c r="G1794" s="17">
        <v>81000</v>
      </c>
      <c r="H1794" s="17">
        <v>80000</v>
      </c>
      <c r="I1794" s="18">
        <v>1</v>
      </c>
      <c r="J1794" s="14">
        <f t="shared" si="0"/>
        <v>80</v>
      </c>
      <c r="K1794" s="15" t="str">
        <f t="shared" si="1"/>
        <v>Exceeds Target</v>
      </c>
    </row>
    <row r="1795" spans="2:11" ht="15" customHeight="1">
      <c r="B1795" t="s">
        <v>1055</v>
      </c>
      <c r="C1795" t="s">
        <v>2188</v>
      </c>
      <c r="D1795" t="s">
        <v>32</v>
      </c>
      <c r="E1795" t="s">
        <v>27</v>
      </c>
      <c r="F1795" s="17">
        <v>1500</v>
      </c>
      <c r="G1795" s="17">
        <v>52000</v>
      </c>
      <c r="H1795" s="17">
        <v>50500</v>
      </c>
      <c r="I1795" s="18">
        <v>0.97</v>
      </c>
      <c r="J1795" s="14">
        <f t="shared" si="0"/>
        <v>33.666666666666664</v>
      </c>
      <c r="K1795" s="15" t="str">
        <f t="shared" si="1"/>
        <v>Exceeds Target</v>
      </c>
    </row>
    <row r="1796" spans="2:11" ht="15" customHeight="1">
      <c r="B1796" t="s">
        <v>1337</v>
      </c>
      <c r="C1796" t="s">
        <v>2189</v>
      </c>
      <c r="D1796" t="s">
        <v>80</v>
      </c>
      <c r="E1796" t="s">
        <v>27</v>
      </c>
      <c r="F1796" s="17">
        <v>1000</v>
      </c>
      <c r="G1796" s="17">
        <v>120000</v>
      </c>
      <c r="H1796" s="17">
        <v>119000</v>
      </c>
      <c r="I1796" s="18">
        <v>0.97</v>
      </c>
      <c r="J1796" s="14">
        <f t="shared" si="0"/>
        <v>119</v>
      </c>
      <c r="K1796" s="15" t="str">
        <f t="shared" si="1"/>
        <v>Exceeds Target</v>
      </c>
    </row>
    <row r="1797" spans="2:11" ht="15" customHeight="1">
      <c r="B1797" t="s">
        <v>267</v>
      </c>
      <c r="C1797" t="s">
        <v>2190</v>
      </c>
      <c r="D1797" t="s">
        <v>32</v>
      </c>
      <c r="E1797" t="s">
        <v>27</v>
      </c>
      <c r="F1797" s="17">
        <v>1500</v>
      </c>
      <c r="G1797" s="17">
        <v>22000</v>
      </c>
      <c r="H1797" s="17">
        <v>20500</v>
      </c>
      <c r="I1797" s="18">
        <v>0.5</v>
      </c>
      <c r="J1797" s="14">
        <f t="shared" si="0"/>
        <v>13.666666666666666</v>
      </c>
      <c r="K1797" s="15" t="str">
        <f t="shared" si="1"/>
        <v>Exceeds Target</v>
      </c>
    </row>
    <row r="1798" spans="2:11" ht="15" customHeight="1">
      <c r="B1798" t="s">
        <v>343</v>
      </c>
      <c r="C1798" t="s">
        <v>2191</v>
      </c>
      <c r="D1798" t="s">
        <v>35</v>
      </c>
      <c r="E1798" t="s">
        <v>27</v>
      </c>
      <c r="F1798" s="17">
        <v>3000</v>
      </c>
      <c r="G1798" s="17">
        <v>90000</v>
      </c>
      <c r="H1798" s="17">
        <v>87000</v>
      </c>
      <c r="I1798" s="18">
        <v>0.85</v>
      </c>
      <c r="J1798" s="14">
        <f t="shared" si="0"/>
        <v>29</v>
      </c>
      <c r="K1798" s="15" t="str">
        <f t="shared" si="1"/>
        <v>Exceeds Target</v>
      </c>
    </row>
    <row r="1799" spans="2:11" ht="15" customHeight="1">
      <c r="B1799" t="s">
        <v>267</v>
      </c>
      <c r="C1799" t="s">
        <v>2192</v>
      </c>
      <c r="D1799" t="s">
        <v>32</v>
      </c>
      <c r="E1799" t="s">
        <v>27</v>
      </c>
      <c r="F1799" s="17">
        <v>1500</v>
      </c>
      <c r="G1799" s="17">
        <v>18000</v>
      </c>
      <c r="H1799" s="17">
        <v>16500</v>
      </c>
      <c r="I1799" s="18">
        <v>0.93</v>
      </c>
      <c r="J1799" s="14">
        <f t="shared" si="0"/>
        <v>11</v>
      </c>
      <c r="K1799" s="15" t="str">
        <f t="shared" si="1"/>
        <v>Exceeds Target</v>
      </c>
    </row>
    <row r="1800" spans="2:11" ht="15" customHeight="1">
      <c r="B1800" t="s">
        <v>646</v>
      </c>
      <c r="C1800" t="s">
        <v>2193</v>
      </c>
      <c r="D1800" t="s">
        <v>80</v>
      </c>
      <c r="E1800" t="s">
        <v>27</v>
      </c>
      <c r="F1800" s="17">
        <v>1000</v>
      </c>
      <c r="G1800" s="17">
        <v>117000</v>
      </c>
      <c r="H1800" s="17">
        <v>116000</v>
      </c>
      <c r="I1800" s="18">
        <v>0.84</v>
      </c>
      <c r="J1800" s="14">
        <f t="shared" si="0"/>
        <v>116</v>
      </c>
      <c r="K1800" s="15" t="str">
        <f t="shared" si="1"/>
        <v>Exceeds Target</v>
      </c>
    </row>
    <row r="1801" spans="2:11" ht="15" customHeight="1">
      <c r="B1801" t="s">
        <v>477</v>
      </c>
      <c r="C1801" t="s">
        <v>2194</v>
      </c>
      <c r="D1801" t="s">
        <v>80</v>
      </c>
      <c r="E1801" t="s">
        <v>27</v>
      </c>
      <c r="F1801" s="17">
        <v>1000</v>
      </c>
      <c r="G1801" s="17">
        <v>81000</v>
      </c>
      <c r="H1801" s="17">
        <v>80000</v>
      </c>
      <c r="I1801" s="18">
        <v>0.96</v>
      </c>
      <c r="J1801" s="14">
        <f t="shared" si="0"/>
        <v>80</v>
      </c>
      <c r="K1801" s="15" t="str">
        <f t="shared" si="1"/>
        <v>Exceeds Target</v>
      </c>
    </row>
    <row r="1802" spans="2:11" ht="15" customHeight="1">
      <c r="B1802" t="s">
        <v>1184</v>
      </c>
      <c r="C1802" t="s">
        <v>2195</v>
      </c>
      <c r="D1802" t="s">
        <v>69</v>
      </c>
      <c r="E1802" t="s">
        <v>70</v>
      </c>
      <c r="F1802" s="17">
        <v>1000</v>
      </c>
      <c r="G1802" s="17">
        <v>95000</v>
      </c>
      <c r="H1802" s="17">
        <v>94000</v>
      </c>
      <c r="I1802" s="18">
        <v>0.73</v>
      </c>
      <c r="J1802" s="14">
        <f t="shared" si="0"/>
        <v>94</v>
      </c>
      <c r="K1802" s="15" t="str">
        <f t="shared" si="1"/>
        <v>Exceeds Target</v>
      </c>
    </row>
    <row r="1803" spans="2:11" ht="15" customHeight="1">
      <c r="B1803" t="s">
        <v>610</v>
      </c>
      <c r="C1803" t="s">
        <v>2196</v>
      </c>
      <c r="D1803" t="s">
        <v>35</v>
      </c>
      <c r="E1803" t="s">
        <v>27</v>
      </c>
      <c r="F1803" s="17">
        <v>3000</v>
      </c>
      <c r="G1803" s="17">
        <v>250000</v>
      </c>
      <c r="H1803" s="17">
        <v>247000</v>
      </c>
      <c r="I1803" s="18">
        <v>0.5</v>
      </c>
      <c r="J1803" s="14">
        <f t="shared" si="0"/>
        <v>82.333333333333329</v>
      </c>
      <c r="K1803" s="15" t="str">
        <f t="shared" si="1"/>
        <v>Exceeds Target</v>
      </c>
    </row>
    <row r="1804" spans="2:11" ht="15" customHeight="1">
      <c r="B1804" t="s">
        <v>707</v>
      </c>
      <c r="C1804" t="s">
        <v>2197</v>
      </c>
      <c r="D1804" t="s">
        <v>32</v>
      </c>
      <c r="E1804" t="s">
        <v>27</v>
      </c>
      <c r="F1804" s="17">
        <v>1500</v>
      </c>
      <c r="G1804" s="17">
        <v>52000</v>
      </c>
      <c r="H1804" s="17">
        <v>50500</v>
      </c>
      <c r="I1804" s="18">
        <v>0.54</v>
      </c>
      <c r="J1804" s="14">
        <f t="shared" si="0"/>
        <v>33.666666666666664</v>
      </c>
      <c r="K1804" s="15" t="str">
        <f t="shared" si="1"/>
        <v>Exceeds Target</v>
      </c>
    </row>
    <row r="1805" spans="2:11" ht="15" customHeight="1">
      <c r="B1805" t="s">
        <v>255</v>
      </c>
      <c r="C1805" t="s">
        <v>2198</v>
      </c>
      <c r="D1805" t="s">
        <v>32</v>
      </c>
      <c r="E1805" t="s">
        <v>27</v>
      </c>
      <c r="F1805" s="17">
        <v>1500</v>
      </c>
      <c r="G1805" s="17">
        <v>56000</v>
      </c>
      <c r="H1805" s="17">
        <v>54500</v>
      </c>
      <c r="I1805" s="18">
        <v>0.33</v>
      </c>
      <c r="J1805" s="14">
        <f t="shared" si="0"/>
        <v>36.333333333333336</v>
      </c>
      <c r="K1805" s="15" t="str">
        <f t="shared" si="1"/>
        <v>Exceeds Target</v>
      </c>
    </row>
    <row r="1806" spans="2:11" ht="15" customHeight="1">
      <c r="B1806" t="s">
        <v>240</v>
      </c>
      <c r="C1806" t="s">
        <v>2199</v>
      </c>
      <c r="D1806" t="s">
        <v>32</v>
      </c>
      <c r="E1806" t="s">
        <v>27</v>
      </c>
      <c r="F1806" s="17">
        <v>1500</v>
      </c>
      <c r="G1806" s="17">
        <v>18000</v>
      </c>
      <c r="H1806" s="17">
        <v>16500</v>
      </c>
      <c r="I1806" s="18">
        <v>0.39</v>
      </c>
      <c r="J1806" s="14">
        <f t="shared" si="0"/>
        <v>11</v>
      </c>
      <c r="K1806" s="15" t="str">
        <f t="shared" si="1"/>
        <v>Exceeds Target</v>
      </c>
    </row>
    <row r="1807" spans="2:11" ht="15" customHeight="1">
      <c r="B1807" t="s">
        <v>225</v>
      </c>
      <c r="C1807" t="s">
        <v>2200</v>
      </c>
      <c r="D1807" t="s">
        <v>35</v>
      </c>
      <c r="E1807" t="s">
        <v>27</v>
      </c>
      <c r="F1807" s="17">
        <v>3000</v>
      </c>
      <c r="G1807" s="17">
        <v>120000</v>
      </c>
      <c r="H1807" s="17">
        <v>117000</v>
      </c>
      <c r="I1807" s="18">
        <v>0.86</v>
      </c>
      <c r="J1807" s="14">
        <f t="shared" si="0"/>
        <v>39</v>
      </c>
      <c r="K1807" s="15" t="str">
        <f t="shared" si="1"/>
        <v>Exceeds Target</v>
      </c>
    </row>
    <row r="1808" spans="2:11" ht="15" customHeight="1">
      <c r="B1808" t="s">
        <v>923</v>
      </c>
      <c r="C1808" t="s">
        <v>2201</v>
      </c>
      <c r="D1808" t="s">
        <v>80</v>
      </c>
      <c r="E1808" t="s">
        <v>27</v>
      </c>
      <c r="F1808" s="17">
        <v>1000</v>
      </c>
      <c r="G1808" s="17">
        <v>78000</v>
      </c>
      <c r="H1808" s="17">
        <v>77000</v>
      </c>
      <c r="I1808" s="18">
        <v>0.7</v>
      </c>
      <c r="J1808" s="14">
        <f t="shared" si="0"/>
        <v>77</v>
      </c>
      <c r="K1808" s="15" t="str">
        <f t="shared" si="1"/>
        <v>Exceeds Target</v>
      </c>
    </row>
    <row r="1809" spans="2:11" ht="15" customHeight="1">
      <c r="B1809" t="s">
        <v>1059</v>
      </c>
      <c r="C1809" t="s">
        <v>2202</v>
      </c>
      <c r="D1809" t="s">
        <v>35</v>
      </c>
      <c r="E1809" t="s">
        <v>27</v>
      </c>
      <c r="F1809" s="17">
        <v>3000</v>
      </c>
      <c r="G1809" s="17">
        <v>300000</v>
      </c>
      <c r="H1809" s="17">
        <v>297000</v>
      </c>
      <c r="I1809" s="18">
        <v>0.4</v>
      </c>
      <c r="J1809" s="14">
        <f t="shared" si="0"/>
        <v>99</v>
      </c>
      <c r="K1809" s="15" t="str">
        <f t="shared" si="1"/>
        <v>Exceeds Target</v>
      </c>
    </row>
    <row r="1810" spans="2:11" ht="15" customHeight="1">
      <c r="B1810" t="s">
        <v>487</v>
      </c>
      <c r="C1810" t="s">
        <v>2203</v>
      </c>
      <c r="D1810" t="s">
        <v>35</v>
      </c>
      <c r="E1810" t="s">
        <v>27</v>
      </c>
      <c r="F1810" s="17">
        <v>3000</v>
      </c>
      <c r="G1810" s="17">
        <v>200000</v>
      </c>
      <c r="H1810" s="17">
        <v>197000</v>
      </c>
      <c r="I1810" s="18">
        <v>0.59</v>
      </c>
      <c r="J1810" s="14">
        <f t="shared" si="0"/>
        <v>65.666666666666671</v>
      </c>
      <c r="K1810" s="15" t="str">
        <f t="shared" si="1"/>
        <v>Exceeds Target</v>
      </c>
    </row>
    <row r="1811" spans="2:11" ht="15" customHeight="1">
      <c r="B1811" t="s">
        <v>1247</v>
      </c>
      <c r="C1811" t="s">
        <v>2204</v>
      </c>
      <c r="D1811" t="s">
        <v>26</v>
      </c>
      <c r="E1811" t="s">
        <v>27</v>
      </c>
      <c r="F1811" s="17">
        <v>5000</v>
      </c>
      <c r="G1811" s="17">
        <v>150000</v>
      </c>
      <c r="H1811" s="17">
        <v>145000</v>
      </c>
      <c r="I1811" s="18">
        <v>0.13</v>
      </c>
      <c r="J1811" s="14">
        <f t="shared" si="0"/>
        <v>29</v>
      </c>
      <c r="K1811" s="15" t="str">
        <f t="shared" si="1"/>
        <v>Exceeds Target</v>
      </c>
    </row>
    <row r="1812" spans="2:11" ht="15" customHeight="1">
      <c r="B1812" t="s">
        <v>776</v>
      </c>
      <c r="C1812" t="s">
        <v>2205</v>
      </c>
      <c r="D1812" t="s">
        <v>69</v>
      </c>
      <c r="E1812" t="s">
        <v>70</v>
      </c>
      <c r="F1812" s="17">
        <v>1000</v>
      </c>
      <c r="G1812" s="17">
        <v>70000</v>
      </c>
      <c r="H1812" s="17">
        <v>69000</v>
      </c>
      <c r="I1812" s="18">
        <v>0.83</v>
      </c>
      <c r="J1812" s="14">
        <f t="shared" si="0"/>
        <v>69</v>
      </c>
      <c r="K1812" s="15" t="str">
        <f t="shared" si="1"/>
        <v>Exceeds Target</v>
      </c>
    </row>
    <row r="1813" spans="2:11" ht="15" customHeight="1">
      <c r="B1813" t="s">
        <v>929</v>
      </c>
      <c r="C1813" t="s">
        <v>2206</v>
      </c>
      <c r="D1813" t="s">
        <v>80</v>
      </c>
      <c r="E1813" t="s">
        <v>27</v>
      </c>
      <c r="F1813" s="17">
        <v>1000</v>
      </c>
      <c r="G1813" s="17">
        <v>117000</v>
      </c>
      <c r="H1813" s="17">
        <v>116000</v>
      </c>
      <c r="I1813" s="18">
        <v>0.97</v>
      </c>
      <c r="J1813" s="14">
        <f t="shared" si="0"/>
        <v>116</v>
      </c>
      <c r="K1813" s="15" t="str">
        <f t="shared" si="1"/>
        <v>Exceeds Target</v>
      </c>
    </row>
    <row r="1814" spans="2:11" ht="15" customHeight="1">
      <c r="B1814" t="s">
        <v>1029</v>
      </c>
      <c r="C1814" t="s">
        <v>2207</v>
      </c>
      <c r="D1814" t="s">
        <v>69</v>
      </c>
      <c r="E1814" t="s">
        <v>70</v>
      </c>
      <c r="F1814" s="17">
        <v>1000</v>
      </c>
      <c r="G1814" s="17">
        <v>35000</v>
      </c>
      <c r="H1814" s="17">
        <v>34000</v>
      </c>
      <c r="I1814" s="18">
        <v>0.37</v>
      </c>
      <c r="J1814" s="14">
        <f t="shared" si="0"/>
        <v>34</v>
      </c>
      <c r="K1814" s="15" t="str">
        <f t="shared" si="1"/>
        <v>Exceeds Target</v>
      </c>
    </row>
    <row r="1815" spans="2:11" ht="15" customHeight="1">
      <c r="B1815" t="s">
        <v>496</v>
      </c>
      <c r="C1815" t="s">
        <v>2208</v>
      </c>
      <c r="D1815" t="s">
        <v>35</v>
      </c>
      <c r="E1815" t="s">
        <v>27</v>
      </c>
      <c r="F1815" s="17">
        <v>3000</v>
      </c>
      <c r="G1815" s="17">
        <v>150000</v>
      </c>
      <c r="H1815" s="17">
        <v>147000</v>
      </c>
      <c r="I1815" s="18">
        <v>0.83</v>
      </c>
      <c r="J1815" s="14">
        <f t="shared" si="0"/>
        <v>49</v>
      </c>
      <c r="K1815" s="15" t="str">
        <f t="shared" si="1"/>
        <v>Exceeds Target</v>
      </c>
    </row>
    <row r="1816" spans="2:11" ht="15" customHeight="1">
      <c r="B1816" t="s">
        <v>399</v>
      </c>
      <c r="C1816" t="s">
        <v>2209</v>
      </c>
      <c r="D1816" t="s">
        <v>26</v>
      </c>
      <c r="E1816" t="s">
        <v>27</v>
      </c>
      <c r="F1816" s="17">
        <v>5000</v>
      </c>
      <c r="G1816" s="17">
        <v>60000</v>
      </c>
      <c r="H1816" s="17">
        <v>55000</v>
      </c>
      <c r="I1816" s="18">
        <v>0.05</v>
      </c>
      <c r="J1816" s="14">
        <f t="shared" si="0"/>
        <v>11</v>
      </c>
      <c r="K1816" s="15" t="str">
        <f t="shared" si="1"/>
        <v>Exceeds Target</v>
      </c>
    </row>
    <row r="1817" spans="2:11" ht="15" customHeight="1">
      <c r="B1817" t="s">
        <v>236</v>
      </c>
      <c r="C1817" t="s">
        <v>2210</v>
      </c>
      <c r="D1817" t="s">
        <v>35</v>
      </c>
      <c r="E1817" t="s">
        <v>27</v>
      </c>
      <c r="F1817" s="17">
        <v>3000</v>
      </c>
      <c r="G1817" s="17">
        <v>230000</v>
      </c>
      <c r="H1817" s="17">
        <v>227000</v>
      </c>
      <c r="I1817" s="18">
        <v>0.97</v>
      </c>
      <c r="J1817" s="14">
        <f t="shared" si="0"/>
        <v>75.666666666666671</v>
      </c>
      <c r="K1817" s="15" t="str">
        <f t="shared" si="1"/>
        <v>Exceeds Target</v>
      </c>
    </row>
    <row r="1818" spans="2:11" ht="15" customHeight="1">
      <c r="B1818" t="s">
        <v>87</v>
      </c>
      <c r="C1818" t="s">
        <v>2211</v>
      </c>
      <c r="D1818" t="s">
        <v>35</v>
      </c>
      <c r="E1818" t="s">
        <v>27</v>
      </c>
      <c r="F1818" s="17">
        <v>3000</v>
      </c>
      <c r="G1818" s="17">
        <v>270000</v>
      </c>
      <c r="H1818" s="17">
        <v>267000</v>
      </c>
      <c r="I1818" s="18">
        <v>0.39</v>
      </c>
      <c r="J1818" s="14">
        <f t="shared" si="0"/>
        <v>89</v>
      </c>
      <c r="K1818" s="15" t="str">
        <f t="shared" si="1"/>
        <v>Exceeds Target</v>
      </c>
    </row>
    <row r="1819" spans="2:11" ht="15" customHeight="1">
      <c r="B1819" t="s">
        <v>642</v>
      </c>
      <c r="C1819" t="s">
        <v>2212</v>
      </c>
      <c r="D1819" t="s">
        <v>26</v>
      </c>
      <c r="E1819" t="s">
        <v>27</v>
      </c>
      <c r="F1819" s="17">
        <v>5000</v>
      </c>
      <c r="G1819" s="17">
        <v>60000</v>
      </c>
      <c r="H1819" s="17">
        <v>55000</v>
      </c>
      <c r="I1819" s="18">
        <v>0.15</v>
      </c>
      <c r="J1819" s="14">
        <f t="shared" si="0"/>
        <v>11</v>
      </c>
      <c r="K1819" s="15" t="str">
        <f t="shared" si="1"/>
        <v>Exceeds Target</v>
      </c>
    </row>
    <row r="1820" spans="2:11" ht="15" customHeight="1">
      <c r="B1820" t="s">
        <v>535</v>
      </c>
      <c r="C1820" t="s">
        <v>2213</v>
      </c>
      <c r="D1820" t="s">
        <v>80</v>
      </c>
      <c r="E1820" t="s">
        <v>27</v>
      </c>
      <c r="F1820" s="17">
        <v>1000</v>
      </c>
      <c r="G1820" s="17">
        <v>84000</v>
      </c>
      <c r="H1820" s="17">
        <v>83000</v>
      </c>
      <c r="I1820" s="18">
        <v>0.98</v>
      </c>
      <c r="J1820" s="14">
        <f t="shared" si="0"/>
        <v>83</v>
      </c>
      <c r="K1820" s="15" t="str">
        <f t="shared" si="1"/>
        <v>Exceeds Target</v>
      </c>
    </row>
    <row r="1821" spans="2:11" ht="15" customHeight="1">
      <c r="B1821" t="s">
        <v>85</v>
      </c>
      <c r="C1821" t="s">
        <v>2214</v>
      </c>
      <c r="D1821" t="s">
        <v>35</v>
      </c>
      <c r="E1821" t="s">
        <v>27</v>
      </c>
      <c r="F1821" s="17">
        <v>3000</v>
      </c>
      <c r="G1821" s="17">
        <v>220000</v>
      </c>
      <c r="H1821" s="17">
        <v>217000</v>
      </c>
      <c r="I1821" s="18">
        <v>0.41</v>
      </c>
      <c r="J1821" s="14">
        <f t="shared" si="0"/>
        <v>72.333333333333329</v>
      </c>
      <c r="K1821" s="15" t="str">
        <f t="shared" si="1"/>
        <v>Exceeds Target</v>
      </c>
    </row>
    <row r="1822" spans="2:11" ht="15" customHeight="1">
      <c r="B1822" t="s">
        <v>1170</v>
      </c>
      <c r="C1822" t="s">
        <v>2215</v>
      </c>
      <c r="D1822" t="s">
        <v>35</v>
      </c>
      <c r="E1822" t="s">
        <v>27</v>
      </c>
      <c r="F1822" s="17">
        <v>3000</v>
      </c>
      <c r="G1822" s="17">
        <v>120000</v>
      </c>
      <c r="H1822" s="17">
        <v>117000</v>
      </c>
      <c r="I1822" s="18">
        <v>0.46</v>
      </c>
      <c r="J1822" s="14">
        <f t="shared" si="0"/>
        <v>39</v>
      </c>
      <c r="K1822" s="15" t="str">
        <f t="shared" si="1"/>
        <v>Exceeds Target</v>
      </c>
    </row>
    <row r="1823" spans="2:11" ht="15" customHeight="1">
      <c r="B1823" t="s">
        <v>434</v>
      </c>
      <c r="C1823" t="s">
        <v>2216</v>
      </c>
      <c r="D1823" t="s">
        <v>32</v>
      </c>
      <c r="E1823" t="s">
        <v>27</v>
      </c>
      <c r="F1823" s="17">
        <v>1500</v>
      </c>
      <c r="G1823" s="17">
        <v>30000</v>
      </c>
      <c r="H1823" s="17">
        <v>28500</v>
      </c>
      <c r="I1823" s="18">
        <v>0.67</v>
      </c>
      <c r="J1823" s="14">
        <f t="shared" si="0"/>
        <v>19</v>
      </c>
      <c r="K1823" s="15" t="str">
        <f t="shared" si="1"/>
        <v>Exceeds Target</v>
      </c>
    </row>
    <row r="1824" spans="2:11" ht="15" customHeight="1">
      <c r="B1824" t="s">
        <v>1013</v>
      </c>
      <c r="C1824" t="s">
        <v>2217</v>
      </c>
      <c r="D1824" t="s">
        <v>35</v>
      </c>
      <c r="E1824" t="s">
        <v>27</v>
      </c>
      <c r="F1824" s="17">
        <v>3000</v>
      </c>
      <c r="G1824" s="17">
        <v>250000</v>
      </c>
      <c r="H1824" s="17">
        <v>247000</v>
      </c>
      <c r="I1824" s="18">
        <v>0.71</v>
      </c>
      <c r="J1824" s="14">
        <f t="shared" si="0"/>
        <v>82.333333333333329</v>
      </c>
      <c r="K1824" s="15" t="str">
        <f t="shared" si="1"/>
        <v>Exceeds Target</v>
      </c>
    </row>
    <row r="1825" spans="2:11" ht="15" customHeight="1">
      <c r="B1825" t="s">
        <v>628</v>
      </c>
      <c r="C1825" t="s">
        <v>2218</v>
      </c>
      <c r="D1825" t="s">
        <v>26</v>
      </c>
      <c r="E1825" t="s">
        <v>27</v>
      </c>
      <c r="F1825" s="17">
        <v>5000</v>
      </c>
      <c r="G1825" s="17">
        <v>60000</v>
      </c>
      <c r="H1825" s="17">
        <v>55000</v>
      </c>
      <c r="I1825" s="18">
        <v>0.33</v>
      </c>
      <c r="J1825" s="14">
        <f t="shared" si="0"/>
        <v>11</v>
      </c>
      <c r="K1825" s="15" t="str">
        <f t="shared" si="1"/>
        <v>Exceeds Target</v>
      </c>
    </row>
    <row r="1826" spans="2:11" ht="15" customHeight="1">
      <c r="B1826" t="s">
        <v>397</v>
      </c>
      <c r="C1826" t="s">
        <v>2219</v>
      </c>
      <c r="D1826" t="s">
        <v>35</v>
      </c>
      <c r="E1826" t="s">
        <v>27</v>
      </c>
      <c r="F1826" s="17">
        <v>3000</v>
      </c>
      <c r="G1826" s="17">
        <v>210000</v>
      </c>
      <c r="H1826" s="17">
        <v>207000</v>
      </c>
      <c r="I1826" s="18">
        <v>0.64</v>
      </c>
      <c r="J1826" s="14">
        <f t="shared" si="0"/>
        <v>69</v>
      </c>
      <c r="K1826" s="15" t="str">
        <f t="shared" si="1"/>
        <v>Exceeds Target</v>
      </c>
    </row>
    <row r="1827" spans="2:11" ht="15" customHeight="1">
      <c r="B1827" t="s">
        <v>141</v>
      </c>
      <c r="C1827" t="s">
        <v>2220</v>
      </c>
      <c r="D1827" t="s">
        <v>80</v>
      </c>
      <c r="E1827" t="s">
        <v>27</v>
      </c>
      <c r="F1827" s="17">
        <v>1000</v>
      </c>
      <c r="G1827" s="17">
        <v>72000</v>
      </c>
      <c r="H1827" s="17">
        <v>71000</v>
      </c>
      <c r="I1827" s="18">
        <v>0.79</v>
      </c>
      <c r="J1827" s="14">
        <f t="shared" si="0"/>
        <v>71</v>
      </c>
      <c r="K1827" s="15" t="str">
        <f t="shared" si="1"/>
        <v>Exceeds Target</v>
      </c>
    </row>
    <row r="1828" spans="2:11" ht="15" customHeight="1">
      <c r="B1828" t="s">
        <v>78</v>
      </c>
      <c r="C1828" t="s">
        <v>2221</v>
      </c>
      <c r="D1828" t="s">
        <v>80</v>
      </c>
      <c r="E1828" t="s">
        <v>27</v>
      </c>
      <c r="F1828" s="17">
        <v>1000</v>
      </c>
      <c r="G1828" s="17">
        <v>54000</v>
      </c>
      <c r="H1828" s="17">
        <v>53000</v>
      </c>
      <c r="I1828" s="18">
        <v>0.91</v>
      </c>
      <c r="J1828" s="14">
        <f t="shared" si="0"/>
        <v>53</v>
      </c>
      <c r="K1828" s="15" t="str">
        <f t="shared" si="1"/>
        <v>Exceeds Target</v>
      </c>
    </row>
    <row r="1829" spans="2:11" ht="15" customHeight="1">
      <c r="B1829" t="s">
        <v>225</v>
      </c>
      <c r="C1829" t="s">
        <v>2222</v>
      </c>
      <c r="D1829" t="s">
        <v>32</v>
      </c>
      <c r="E1829" t="s">
        <v>27</v>
      </c>
      <c r="F1829" s="17">
        <v>1500</v>
      </c>
      <c r="G1829" s="17">
        <v>18000</v>
      </c>
      <c r="H1829" s="17">
        <v>16500</v>
      </c>
      <c r="I1829" s="18">
        <v>0.35</v>
      </c>
      <c r="J1829" s="14">
        <f t="shared" si="0"/>
        <v>11</v>
      </c>
      <c r="K1829" s="15" t="str">
        <f t="shared" si="1"/>
        <v>Exceeds Target</v>
      </c>
    </row>
    <row r="1830" spans="2:11" ht="15" customHeight="1">
      <c r="B1830" t="s">
        <v>359</v>
      </c>
      <c r="C1830" t="s">
        <v>2223</v>
      </c>
      <c r="D1830" t="s">
        <v>80</v>
      </c>
      <c r="E1830" t="s">
        <v>27</v>
      </c>
      <c r="F1830" s="17">
        <v>1000</v>
      </c>
      <c r="G1830" s="17">
        <v>102000</v>
      </c>
      <c r="H1830" s="17">
        <v>101000</v>
      </c>
      <c r="I1830" s="18">
        <v>0.78</v>
      </c>
      <c r="J1830" s="14">
        <f t="shared" si="0"/>
        <v>101</v>
      </c>
      <c r="K1830" s="15" t="str">
        <f t="shared" si="1"/>
        <v>Exceeds Target</v>
      </c>
    </row>
    <row r="1831" spans="2:11" ht="15" customHeight="1">
      <c r="B1831" t="s">
        <v>93</v>
      </c>
      <c r="C1831" t="s">
        <v>2224</v>
      </c>
      <c r="D1831" t="s">
        <v>26</v>
      </c>
      <c r="E1831" t="s">
        <v>27</v>
      </c>
      <c r="F1831" s="17">
        <v>5000</v>
      </c>
      <c r="G1831" s="17">
        <v>60000</v>
      </c>
      <c r="H1831" s="17">
        <v>55000</v>
      </c>
      <c r="I1831" s="18">
        <v>0.23</v>
      </c>
      <c r="J1831" s="14">
        <f t="shared" si="0"/>
        <v>11</v>
      </c>
      <c r="K1831" s="15" t="str">
        <f t="shared" si="1"/>
        <v>Exceeds Target</v>
      </c>
    </row>
    <row r="1832" spans="2:11" ht="15" customHeight="1">
      <c r="B1832" t="s">
        <v>670</v>
      </c>
      <c r="C1832" t="s">
        <v>2225</v>
      </c>
      <c r="D1832" t="s">
        <v>26</v>
      </c>
      <c r="E1832" t="s">
        <v>27</v>
      </c>
      <c r="F1832" s="17">
        <v>5000</v>
      </c>
      <c r="G1832" s="17">
        <v>90000</v>
      </c>
      <c r="H1832" s="17">
        <v>85000</v>
      </c>
      <c r="I1832" s="18">
        <v>0.25</v>
      </c>
      <c r="J1832" s="14">
        <f t="shared" si="0"/>
        <v>17</v>
      </c>
      <c r="K1832" s="15" t="str">
        <f t="shared" si="1"/>
        <v>Exceeds Target</v>
      </c>
    </row>
    <row r="1833" spans="2:11" ht="15" customHeight="1">
      <c r="B1833" t="s">
        <v>477</v>
      </c>
      <c r="C1833" t="s">
        <v>2226</v>
      </c>
      <c r="D1833" t="s">
        <v>80</v>
      </c>
      <c r="E1833" t="s">
        <v>27</v>
      </c>
      <c r="F1833" s="17">
        <v>1000</v>
      </c>
      <c r="G1833" s="17">
        <v>51000</v>
      </c>
      <c r="H1833" s="17">
        <v>50000</v>
      </c>
      <c r="I1833" s="18">
        <v>0.88</v>
      </c>
      <c r="J1833" s="14">
        <f t="shared" si="0"/>
        <v>50</v>
      </c>
      <c r="K1833" s="15" t="str">
        <f t="shared" si="1"/>
        <v>Exceeds Target</v>
      </c>
    </row>
    <row r="1834" spans="2:11" ht="15" customHeight="1">
      <c r="B1834" t="s">
        <v>1320</v>
      </c>
      <c r="C1834" t="s">
        <v>2227</v>
      </c>
      <c r="D1834" t="s">
        <v>80</v>
      </c>
      <c r="E1834" t="s">
        <v>27</v>
      </c>
      <c r="F1834" s="17">
        <v>1000</v>
      </c>
      <c r="G1834" s="17">
        <v>63000</v>
      </c>
      <c r="H1834" s="17">
        <v>62000</v>
      </c>
      <c r="I1834" s="18">
        <v>0.91</v>
      </c>
      <c r="J1834" s="14">
        <f t="shared" si="0"/>
        <v>62</v>
      </c>
      <c r="K1834" s="15" t="str">
        <f t="shared" si="1"/>
        <v>Exceeds Target</v>
      </c>
    </row>
    <row r="1835" spans="2:11" ht="15" customHeight="1">
      <c r="B1835" t="s">
        <v>1063</v>
      </c>
      <c r="C1835" t="s">
        <v>2228</v>
      </c>
      <c r="D1835" t="s">
        <v>32</v>
      </c>
      <c r="E1835" t="s">
        <v>27</v>
      </c>
      <c r="F1835" s="17">
        <v>1500</v>
      </c>
      <c r="G1835" s="17">
        <v>32000</v>
      </c>
      <c r="H1835" s="17">
        <v>30500</v>
      </c>
      <c r="I1835" s="18">
        <v>0.89</v>
      </c>
      <c r="J1835" s="14">
        <f t="shared" si="0"/>
        <v>20.333333333333332</v>
      </c>
      <c r="K1835" s="15" t="str">
        <f t="shared" si="1"/>
        <v>Exceeds Target</v>
      </c>
    </row>
    <row r="1836" spans="2:11" ht="15" customHeight="1">
      <c r="B1836" t="s">
        <v>958</v>
      </c>
      <c r="C1836" t="s">
        <v>2229</v>
      </c>
      <c r="D1836" t="s">
        <v>32</v>
      </c>
      <c r="E1836" t="s">
        <v>27</v>
      </c>
      <c r="F1836" s="17">
        <v>1500</v>
      </c>
      <c r="G1836" s="17">
        <v>12000</v>
      </c>
      <c r="H1836" s="17">
        <v>10500</v>
      </c>
      <c r="I1836" s="18">
        <v>0.54</v>
      </c>
      <c r="J1836" s="14">
        <f t="shared" si="0"/>
        <v>7</v>
      </c>
      <c r="K1836" s="15" t="str">
        <f t="shared" si="1"/>
        <v>Exceeds Target</v>
      </c>
    </row>
    <row r="1837" spans="2:11" ht="15" customHeight="1">
      <c r="B1837" t="s">
        <v>566</v>
      </c>
      <c r="C1837" t="s">
        <v>2230</v>
      </c>
      <c r="D1837" t="s">
        <v>80</v>
      </c>
      <c r="E1837" t="s">
        <v>27</v>
      </c>
      <c r="F1837" s="17">
        <v>1000</v>
      </c>
      <c r="G1837" s="17">
        <v>93000</v>
      </c>
      <c r="H1837" s="17">
        <v>92000</v>
      </c>
      <c r="I1837" s="18">
        <v>0.65</v>
      </c>
      <c r="J1837" s="14">
        <f t="shared" si="0"/>
        <v>92</v>
      </c>
      <c r="K1837" s="15" t="str">
        <f t="shared" si="1"/>
        <v>Exceeds Target</v>
      </c>
    </row>
    <row r="1838" spans="2:11" ht="15" customHeight="1">
      <c r="B1838" t="s">
        <v>327</v>
      </c>
      <c r="C1838" t="s">
        <v>2231</v>
      </c>
      <c r="D1838" t="s">
        <v>32</v>
      </c>
      <c r="E1838" t="s">
        <v>27</v>
      </c>
      <c r="F1838" s="17">
        <v>1500</v>
      </c>
      <c r="G1838" s="17">
        <v>56000</v>
      </c>
      <c r="H1838" s="17">
        <v>54500</v>
      </c>
      <c r="I1838" s="18">
        <v>0.96</v>
      </c>
      <c r="J1838" s="14">
        <f t="shared" si="0"/>
        <v>36.333333333333336</v>
      </c>
      <c r="K1838" s="15" t="str">
        <f t="shared" si="1"/>
        <v>Exceeds Target</v>
      </c>
    </row>
    <row r="1839" spans="2:11" ht="15" customHeight="1">
      <c r="B1839" t="s">
        <v>670</v>
      </c>
      <c r="C1839" t="s">
        <v>2232</v>
      </c>
      <c r="D1839" t="s">
        <v>35</v>
      </c>
      <c r="E1839" t="s">
        <v>27</v>
      </c>
      <c r="F1839" s="17">
        <v>3000</v>
      </c>
      <c r="G1839" s="17">
        <v>90000</v>
      </c>
      <c r="H1839" s="17">
        <v>87000</v>
      </c>
      <c r="I1839" s="18">
        <v>0.86</v>
      </c>
      <c r="J1839" s="14">
        <f t="shared" si="0"/>
        <v>29</v>
      </c>
      <c r="K1839" s="15" t="str">
        <f t="shared" si="1"/>
        <v>Exceeds Target</v>
      </c>
    </row>
    <row r="1840" spans="2:11" ht="15" customHeight="1">
      <c r="B1840" t="s">
        <v>792</v>
      </c>
      <c r="C1840" t="s">
        <v>2233</v>
      </c>
      <c r="D1840" t="s">
        <v>32</v>
      </c>
      <c r="E1840" t="s">
        <v>27</v>
      </c>
      <c r="F1840" s="17">
        <v>1500</v>
      </c>
      <c r="G1840" s="17">
        <v>46000</v>
      </c>
      <c r="H1840" s="17">
        <v>44500</v>
      </c>
      <c r="I1840" s="18">
        <v>0.68</v>
      </c>
      <c r="J1840" s="14">
        <f t="shared" si="0"/>
        <v>29.666666666666668</v>
      </c>
      <c r="K1840" s="15" t="str">
        <f t="shared" si="1"/>
        <v>Exceeds Target</v>
      </c>
    </row>
    <row r="1841" spans="2:11" ht="15" customHeight="1">
      <c r="B1841" t="s">
        <v>364</v>
      </c>
      <c r="C1841" t="s">
        <v>2234</v>
      </c>
      <c r="D1841" t="s">
        <v>32</v>
      </c>
      <c r="E1841" t="s">
        <v>27</v>
      </c>
      <c r="F1841" s="17">
        <v>1500</v>
      </c>
      <c r="G1841" s="17">
        <v>32000</v>
      </c>
      <c r="H1841" s="17">
        <v>30500</v>
      </c>
      <c r="I1841" s="18">
        <v>0.93</v>
      </c>
      <c r="J1841" s="14">
        <f t="shared" si="0"/>
        <v>20.333333333333332</v>
      </c>
      <c r="K1841" s="15" t="str">
        <f t="shared" si="1"/>
        <v>Exceeds Target</v>
      </c>
    </row>
    <row r="1842" spans="2:11" ht="15" customHeight="1">
      <c r="B1842" t="s">
        <v>882</v>
      </c>
      <c r="C1842" t="s">
        <v>2235</v>
      </c>
      <c r="D1842" t="s">
        <v>35</v>
      </c>
      <c r="E1842" t="s">
        <v>27</v>
      </c>
      <c r="F1842" s="17">
        <v>3000</v>
      </c>
      <c r="G1842" s="17">
        <v>200000</v>
      </c>
      <c r="H1842" s="17">
        <v>197000</v>
      </c>
      <c r="I1842" s="18">
        <v>0.42</v>
      </c>
      <c r="J1842" s="14">
        <f t="shared" si="0"/>
        <v>65.666666666666671</v>
      </c>
      <c r="K1842" s="15" t="str">
        <f t="shared" si="1"/>
        <v>Exceeds Target</v>
      </c>
    </row>
    <row r="1843" spans="2:11" ht="15" customHeight="1">
      <c r="B1843" t="s">
        <v>323</v>
      </c>
      <c r="C1843" t="s">
        <v>2236</v>
      </c>
      <c r="D1843" t="s">
        <v>35</v>
      </c>
      <c r="E1843" t="s">
        <v>27</v>
      </c>
      <c r="F1843" s="17">
        <v>3000</v>
      </c>
      <c r="G1843" s="17">
        <v>220000</v>
      </c>
      <c r="H1843" s="17">
        <v>217000</v>
      </c>
      <c r="I1843" s="18">
        <v>0.45</v>
      </c>
      <c r="J1843" s="14">
        <f t="shared" si="0"/>
        <v>72.333333333333329</v>
      </c>
      <c r="K1843" s="15" t="str">
        <f t="shared" si="1"/>
        <v>Exceeds Target</v>
      </c>
    </row>
    <row r="1844" spans="2:11" ht="15" customHeight="1">
      <c r="B1844" t="s">
        <v>117</v>
      </c>
      <c r="C1844" t="s">
        <v>2237</v>
      </c>
      <c r="D1844" t="s">
        <v>26</v>
      </c>
      <c r="E1844" t="s">
        <v>27</v>
      </c>
      <c r="F1844" s="17">
        <v>5000</v>
      </c>
      <c r="G1844" s="17">
        <v>90000</v>
      </c>
      <c r="H1844" s="17">
        <v>85000</v>
      </c>
      <c r="I1844" s="18">
        <v>7.0000000000000007E-2</v>
      </c>
      <c r="J1844" s="14">
        <f t="shared" si="0"/>
        <v>17</v>
      </c>
      <c r="K1844" s="15" t="str">
        <f t="shared" si="1"/>
        <v>Exceeds Target</v>
      </c>
    </row>
    <row r="1845" spans="2:11" ht="15" customHeight="1">
      <c r="B1845" t="s">
        <v>81</v>
      </c>
      <c r="C1845" t="s">
        <v>2238</v>
      </c>
      <c r="D1845" t="s">
        <v>69</v>
      </c>
      <c r="E1845" t="s">
        <v>70</v>
      </c>
      <c r="F1845" s="17">
        <v>1000</v>
      </c>
      <c r="G1845" s="17">
        <v>135000</v>
      </c>
      <c r="H1845" s="17">
        <v>134000</v>
      </c>
      <c r="I1845" s="18">
        <v>0.62</v>
      </c>
      <c r="J1845" s="14">
        <f t="shared" si="0"/>
        <v>134</v>
      </c>
      <c r="K1845" s="15" t="str">
        <f t="shared" si="1"/>
        <v>Exceeds Target</v>
      </c>
    </row>
    <row r="1846" spans="2:11" ht="15" customHeight="1">
      <c r="B1846" t="s">
        <v>150</v>
      </c>
      <c r="C1846" t="s">
        <v>2239</v>
      </c>
      <c r="D1846" t="s">
        <v>80</v>
      </c>
      <c r="E1846" t="s">
        <v>27</v>
      </c>
      <c r="F1846" s="17">
        <v>1000</v>
      </c>
      <c r="G1846" s="17">
        <v>102000</v>
      </c>
      <c r="H1846" s="17">
        <v>101000</v>
      </c>
      <c r="I1846" s="18">
        <v>0.67</v>
      </c>
      <c r="J1846" s="14">
        <f t="shared" si="0"/>
        <v>101</v>
      </c>
      <c r="K1846" s="15" t="str">
        <f t="shared" si="1"/>
        <v>Exceeds Target</v>
      </c>
    </row>
    <row r="1847" spans="2:11" ht="15" customHeight="1">
      <c r="B1847" t="s">
        <v>505</v>
      </c>
      <c r="C1847" t="s">
        <v>2240</v>
      </c>
      <c r="D1847" t="s">
        <v>26</v>
      </c>
      <c r="E1847" t="s">
        <v>27</v>
      </c>
      <c r="F1847" s="17">
        <v>5000</v>
      </c>
      <c r="G1847" s="17">
        <v>30000</v>
      </c>
      <c r="H1847" s="17">
        <v>25000</v>
      </c>
      <c r="I1847" s="18">
        <v>0.31</v>
      </c>
      <c r="J1847" s="14">
        <f t="shared" si="0"/>
        <v>5</v>
      </c>
      <c r="K1847" s="15" t="str">
        <f t="shared" si="1"/>
        <v>Exceeds Target</v>
      </c>
    </row>
    <row r="1848" spans="2:11" ht="15" customHeight="1">
      <c r="B1848" t="s">
        <v>535</v>
      </c>
      <c r="C1848" t="s">
        <v>2241</v>
      </c>
      <c r="D1848" t="s">
        <v>32</v>
      </c>
      <c r="E1848" t="s">
        <v>27</v>
      </c>
      <c r="F1848" s="17">
        <v>1500</v>
      </c>
      <c r="G1848" s="17">
        <v>14000</v>
      </c>
      <c r="H1848" s="17">
        <v>12500</v>
      </c>
      <c r="I1848" s="18">
        <v>0.31</v>
      </c>
      <c r="J1848" s="14">
        <f t="shared" si="0"/>
        <v>8.3333333333333339</v>
      </c>
      <c r="K1848" s="15" t="str">
        <f t="shared" si="1"/>
        <v>Exceeds Target</v>
      </c>
    </row>
    <row r="1849" spans="2:11" ht="15" customHeight="1">
      <c r="B1849" t="s">
        <v>24</v>
      </c>
      <c r="C1849" t="s">
        <v>2242</v>
      </c>
      <c r="D1849" t="s">
        <v>26</v>
      </c>
      <c r="E1849" t="s">
        <v>27</v>
      </c>
      <c r="F1849" s="17">
        <v>5000</v>
      </c>
      <c r="G1849" s="17">
        <v>150000</v>
      </c>
      <c r="H1849" s="17">
        <v>145000</v>
      </c>
      <c r="I1849" s="18">
        <v>0.28000000000000003</v>
      </c>
      <c r="J1849" s="14">
        <f t="shared" si="0"/>
        <v>29</v>
      </c>
      <c r="K1849" s="15" t="str">
        <f t="shared" si="1"/>
        <v>Exceeds Target</v>
      </c>
    </row>
    <row r="1850" spans="2:11" ht="15" customHeight="1">
      <c r="B1850" t="s">
        <v>214</v>
      </c>
      <c r="C1850" t="s">
        <v>2243</v>
      </c>
      <c r="D1850" t="s">
        <v>80</v>
      </c>
      <c r="E1850" t="s">
        <v>27</v>
      </c>
      <c r="F1850" s="17">
        <v>1000</v>
      </c>
      <c r="G1850" s="17">
        <v>63000</v>
      </c>
      <c r="H1850" s="17">
        <v>62000</v>
      </c>
      <c r="I1850" s="18">
        <v>0.8</v>
      </c>
      <c r="J1850" s="14">
        <f t="shared" si="0"/>
        <v>62</v>
      </c>
      <c r="K1850" s="15" t="str">
        <f t="shared" si="1"/>
        <v>Exceeds Target</v>
      </c>
    </row>
    <row r="1851" spans="2:11" ht="15" customHeight="1">
      <c r="B1851" t="s">
        <v>577</v>
      </c>
      <c r="C1851" t="s">
        <v>2244</v>
      </c>
      <c r="D1851" t="s">
        <v>69</v>
      </c>
      <c r="E1851" t="s">
        <v>70</v>
      </c>
      <c r="F1851" s="17">
        <v>1000</v>
      </c>
      <c r="G1851" s="17">
        <v>145000</v>
      </c>
      <c r="H1851" s="17">
        <v>144000</v>
      </c>
      <c r="I1851" s="18">
        <v>0.9</v>
      </c>
      <c r="J1851" s="14">
        <f t="shared" si="0"/>
        <v>144</v>
      </c>
      <c r="K1851" s="15" t="str">
        <f t="shared" si="1"/>
        <v>Exceeds Target</v>
      </c>
    </row>
    <row r="1852" spans="2:11" ht="15" customHeight="1">
      <c r="B1852" t="s">
        <v>548</v>
      </c>
      <c r="C1852" t="s">
        <v>2245</v>
      </c>
      <c r="D1852" t="s">
        <v>69</v>
      </c>
      <c r="E1852" t="s">
        <v>70</v>
      </c>
      <c r="F1852" s="17">
        <v>1000</v>
      </c>
      <c r="G1852" s="17">
        <v>50000</v>
      </c>
      <c r="H1852" s="17">
        <v>49000</v>
      </c>
      <c r="I1852" s="18">
        <v>0.34</v>
      </c>
      <c r="J1852" s="14">
        <f t="shared" si="0"/>
        <v>49</v>
      </c>
      <c r="K1852" s="15" t="str">
        <f t="shared" si="1"/>
        <v>Exceeds Target</v>
      </c>
    </row>
    <row r="1853" spans="2:11" ht="15" customHeight="1">
      <c r="B1853" t="s">
        <v>555</v>
      </c>
      <c r="C1853" t="s">
        <v>2246</v>
      </c>
      <c r="D1853" t="s">
        <v>35</v>
      </c>
      <c r="E1853" t="s">
        <v>27</v>
      </c>
      <c r="F1853" s="17">
        <v>3000</v>
      </c>
      <c r="G1853" s="17">
        <v>130000</v>
      </c>
      <c r="H1853" s="17">
        <v>127000</v>
      </c>
      <c r="I1853" s="18">
        <v>0.92</v>
      </c>
      <c r="J1853" s="14">
        <f t="shared" si="0"/>
        <v>42.333333333333336</v>
      </c>
      <c r="K1853" s="15" t="str">
        <f t="shared" si="1"/>
        <v>Exceeds Target</v>
      </c>
    </row>
    <row r="1854" spans="2:11" ht="15" customHeight="1">
      <c r="B1854" t="s">
        <v>557</v>
      </c>
      <c r="C1854" t="s">
        <v>2247</v>
      </c>
      <c r="D1854" t="s">
        <v>35</v>
      </c>
      <c r="E1854" t="s">
        <v>27</v>
      </c>
      <c r="F1854" s="17">
        <v>3000</v>
      </c>
      <c r="G1854" s="17">
        <v>220000</v>
      </c>
      <c r="H1854" s="17">
        <v>217000</v>
      </c>
      <c r="I1854" s="18">
        <v>0.79</v>
      </c>
      <c r="J1854" s="14">
        <f t="shared" si="0"/>
        <v>72.333333333333329</v>
      </c>
      <c r="K1854" s="15" t="str">
        <f t="shared" si="1"/>
        <v>Exceeds Target</v>
      </c>
    </row>
    <row r="1855" spans="2:11" ht="15" customHeight="1">
      <c r="B1855" t="s">
        <v>139</v>
      </c>
      <c r="C1855" t="s">
        <v>2248</v>
      </c>
      <c r="D1855" t="s">
        <v>26</v>
      </c>
      <c r="E1855" t="s">
        <v>27</v>
      </c>
      <c r="F1855" s="17">
        <v>5000</v>
      </c>
      <c r="G1855" s="17">
        <v>90000</v>
      </c>
      <c r="H1855" s="17">
        <v>85000</v>
      </c>
      <c r="I1855" s="18">
        <v>0.23</v>
      </c>
      <c r="J1855" s="14">
        <f t="shared" si="0"/>
        <v>17</v>
      </c>
      <c r="K1855" s="15" t="str">
        <f t="shared" si="1"/>
        <v>Exceeds Target</v>
      </c>
    </row>
    <row r="1856" spans="2:11" ht="15" customHeight="1">
      <c r="B1856" t="s">
        <v>287</v>
      </c>
      <c r="C1856" t="s">
        <v>2249</v>
      </c>
      <c r="D1856" t="s">
        <v>35</v>
      </c>
      <c r="E1856" t="s">
        <v>27</v>
      </c>
      <c r="F1856" s="17">
        <v>3000</v>
      </c>
      <c r="G1856" s="17">
        <v>60000</v>
      </c>
      <c r="H1856" s="17">
        <v>57000</v>
      </c>
      <c r="I1856" s="18">
        <v>0.82</v>
      </c>
      <c r="J1856" s="14">
        <f t="shared" si="0"/>
        <v>19</v>
      </c>
      <c r="K1856" s="15" t="str">
        <f t="shared" si="1"/>
        <v>Exceeds Target</v>
      </c>
    </row>
    <row r="1857" spans="2:11" ht="15" customHeight="1">
      <c r="B1857" t="s">
        <v>535</v>
      </c>
      <c r="C1857" t="s">
        <v>2250</v>
      </c>
      <c r="D1857" t="s">
        <v>69</v>
      </c>
      <c r="E1857" t="s">
        <v>70</v>
      </c>
      <c r="F1857" s="17">
        <v>1000</v>
      </c>
      <c r="G1857" s="17">
        <v>100000</v>
      </c>
      <c r="H1857" s="17">
        <v>99000</v>
      </c>
      <c r="I1857" s="18">
        <v>0.61</v>
      </c>
      <c r="J1857" s="14">
        <f t="shared" si="0"/>
        <v>99</v>
      </c>
      <c r="K1857" s="15" t="str">
        <f t="shared" si="1"/>
        <v>Exceeds Target</v>
      </c>
    </row>
    <row r="1858" spans="2:11" ht="15" customHeight="1">
      <c r="B1858" t="s">
        <v>352</v>
      </c>
      <c r="C1858" t="s">
        <v>2251</v>
      </c>
      <c r="D1858" t="s">
        <v>32</v>
      </c>
      <c r="E1858" t="s">
        <v>27</v>
      </c>
      <c r="F1858" s="17">
        <v>1500</v>
      </c>
      <c r="G1858" s="17">
        <v>16000</v>
      </c>
      <c r="H1858" s="17">
        <v>14500</v>
      </c>
      <c r="I1858" s="18">
        <v>0.74</v>
      </c>
      <c r="J1858" s="14">
        <f t="shared" si="0"/>
        <v>9.6666666666666661</v>
      </c>
      <c r="K1858" s="15" t="str">
        <f t="shared" si="1"/>
        <v>Exceeds Target</v>
      </c>
    </row>
    <row r="1859" spans="2:11" ht="15" customHeight="1">
      <c r="B1859" t="s">
        <v>374</v>
      </c>
      <c r="C1859" t="s">
        <v>2252</v>
      </c>
      <c r="D1859" t="s">
        <v>35</v>
      </c>
      <c r="E1859" t="s">
        <v>27</v>
      </c>
      <c r="F1859" s="17">
        <v>3000</v>
      </c>
      <c r="G1859" s="17">
        <v>250000</v>
      </c>
      <c r="H1859" s="17">
        <v>247000</v>
      </c>
      <c r="I1859" s="18">
        <v>0.51</v>
      </c>
      <c r="J1859" s="14">
        <f t="shared" si="0"/>
        <v>82.333333333333329</v>
      </c>
      <c r="K1859" s="15" t="str">
        <f t="shared" si="1"/>
        <v>Exceeds Target</v>
      </c>
    </row>
    <row r="1860" spans="2:11" ht="15" customHeight="1">
      <c r="B1860" t="s">
        <v>1260</v>
      </c>
      <c r="C1860" t="s">
        <v>2253</v>
      </c>
      <c r="D1860" t="s">
        <v>35</v>
      </c>
      <c r="E1860" t="s">
        <v>27</v>
      </c>
      <c r="F1860" s="17">
        <v>3000</v>
      </c>
      <c r="G1860" s="17">
        <v>210000</v>
      </c>
      <c r="H1860" s="17">
        <v>207000</v>
      </c>
      <c r="I1860" s="18">
        <v>0.35</v>
      </c>
      <c r="J1860" s="14">
        <f t="shared" si="0"/>
        <v>69</v>
      </c>
      <c r="K1860" s="15" t="str">
        <f t="shared" si="1"/>
        <v>Exceeds Target</v>
      </c>
    </row>
    <row r="1861" spans="2:11" ht="15" customHeight="1">
      <c r="B1861" t="s">
        <v>956</v>
      </c>
      <c r="C1861" t="s">
        <v>2254</v>
      </c>
      <c r="D1861" t="s">
        <v>69</v>
      </c>
      <c r="E1861" t="s">
        <v>70</v>
      </c>
      <c r="F1861" s="17">
        <v>1000</v>
      </c>
      <c r="G1861" s="17">
        <v>140000</v>
      </c>
      <c r="H1861" s="17">
        <v>139000</v>
      </c>
      <c r="I1861" s="18">
        <v>0.31</v>
      </c>
      <c r="J1861" s="14">
        <f t="shared" si="0"/>
        <v>139</v>
      </c>
      <c r="K1861" s="15" t="str">
        <f t="shared" si="1"/>
        <v>Exceeds Target</v>
      </c>
    </row>
    <row r="1862" spans="2:11" ht="15" customHeight="1">
      <c r="B1862" t="s">
        <v>337</v>
      </c>
      <c r="C1862" t="s">
        <v>2255</v>
      </c>
      <c r="D1862" t="s">
        <v>32</v>
      </c>
      <c r="E1862" t="s">
        <v>27</v>
      </c>
      <c r="F1862" s="17">
        <v>1500</v>
      </c>
      <c r="G1862" s="17">
        <v>34000</v>
      </c>
      <c r="H1862" s="17">
        <v>32500</v>
      </c>
      <c r="I1862" s="18">
        <v>0.48</v>
      </c>
      <c r="J1862" s="14">
        <f t="shared" si="0"/>
        <v>21.666666666666668</v>
      </c>
      <c r="K1862" s="15" t="str">
        <f t="shared" si="1"/>
        <v>Exceeds Target</v>
      </c>
    </row>
    <row r="1863" spans="2:11" ht="15" customHeight="1">
      <c r="B1863" t="s">
        <v>185</v>
      </c>
      <c r="C1863" t="s">
        <v>2256</v>
      </c>
      <c r="D1863" t="s">
        <v>69</v>
      </c>
      <c r="E1863" t="s">
        <v>70</v>
      </c>
      <c r="F1863" s="17">
        <v>1000</v>
      </c>
      <c r="G1863" s="17">
        <v>35000</v>
      </c>
      <c r="H1863" s="17">
        <v>34000</v>
      </c>
      <c r="I1863" s="18">
        <v>0.56999999999999995</v>
      </c>
      <c r="J1863" s="14">
        <f t="shared" si="0"/>
        <v>34</v>
      </c>
      <c r="K1863" s="15" t="str">
        <f t="shared" si="1"/>
        <v>Exceeds Target</v>
      </c>
    </row>
    <row r="1864" spans="2:11" ht="15" customHeight="1">
      <c r="B1864" t="s">
        <v>183</v>
      </c>
      <c r="C1864" t="s">
        <v>2257</v>
      </c>
      <c r="D1864" t="s">
        <v>26</v>
      </c>
      <c r="E1864" t="s">
        <v>27</v>
      </c>
      <c r="F1864" s="17">
        <v>5000</v>
      </c>
      <c r="G1864" s="17">
        <v>120000</v>
      </c>
      <c r="H1864" s="17">
        <v>115000</v>
      </c>
      <c r="I1864" s="18">
        <v>0.26</v>
      </c>
      <c r="J1864" s="14">
        <f t="shared" si="0"/>
        <v>23</v>
      </c>
      <c r="K1864" s="15" t="str">
        <f t="shared" si="1"/>
        <v>Exceeds Target</v>
      </c>
    </row>
    <row r="1865" spans="2:11" ht="15" customHeight="1">
      <c r="B1865" t="s">
        <v>1007</v>
      </c>
      <c r="C1865" t="s">
        <v>2258</v>
      </c>
      <c r="D1865" t="s">
        <v>80</v>
      </c>
      <c r="E1865" t="s">
        <v>27</v>
      </c>
      <c r="F1865" s="17">
        <v>1000</v>
      </c>
      <c r="G1865" s="17">
        <v>96000</v>
      </c>
      <c r="H1865" s="17">
        <v>95000</v>
      </c>
      <c r="I1865" s="18">
        <v>0.65</v>
      </c>
      <c r="J1865" s="14">
        <f t="shared" si="0"/>
        <v>95</v>
      </c>
      <c r="K1865" s="15" t="str">
        <f t="shared" si="1"/>
        <v>Exceeds Target</v>
      </c>
    </row>
    <row r="1866" spans="2:11" ht="15" customHeight="1">
      <c r="B1866" t="s">
        <v>115</v>
      </c>
      <c r="C1866" t="s">
        <v>2259</v>
      </c>
      <c r="D1866" t="s">
        <v>26</v>
      </c>
      <c r="E1866" t="s">
        <v>27</v>
      </c>
      <c r="F1866" s="17">
        <v>5000</v>
      </c>
      <c r="G1866" s="17">
        <v>60000</v>
      </c>
      <c r="H1866" s="17">
        <v>55000</v>
      </c>
      <c r="I1866" s="18">
        <v>0.23</v>
      </c>
      <c r="J1866" s="14">
        <f t="shared" si="0"/>
        <v>11</v>
      </c>
      <c r="K1866" s="15" t="str">
        <f t="shared" si="1"/>
        <v>Exceeds Target</v>
      </c>
    </row>
    <row r="1867" spans="2:11" ht="15" customHeight="1">
      <c r="B1867" t="s">
        <v>54</v>
      </c>
      <c r="C1867" t="s">
        <v>2260</v>
      </c>
      <c r="D1867" t="s">
        <v>80</v>
      </c>
      <c r="E1867" t="s">
        <v>27</v>
      </c>
      <c r="F1867" s="17">
        <v>1000</v>
      </c>
      <c r="G1867" s="17">
        <v>87000</v>
      </c>
      <c r="H1867" s="17">
        <v>86000</v>
      </c>
      <c r="I1867" s="18">
        <v>0.94</v>
      </c>
      <c r="J1867" s="14">
        <f t="shared" si="0"/>
        <v>86</v>
      </c>
      <c r="K1867" s="15" t="str">
        <f t="shared" si="1"/>
        <v>Exceeds Target</v>
      </c>
    </row>
    <row r="1868" spans="2:11" ht="15" customHeight="1">
      <c r="B1868" t="s">
        <v>229</v>
      </c>
      <c r="C1868" t="s">
        <v>2261</v>
      </c>
      <c r="D1868" t="s">
        <v>35</v>
      </c>
      <c r="E1868" t="s">
        <v>27</v>
      </c>
      <c r="F1868" s="17">
        <v>3000</v>
      </c>
      <c r="G1868" s="17">
        <v>270000</v>
      </c>
      <c r="H1868" s="17">
        <v>267000</v>
      </c>
      <c r="I1868" s="18">
        <v>0.78</v>
      </c>
      <c r="J1868" s="14">
        <f t="shared" si="0"/>
        <v>89</v>
      </c>
      <c r="K1868" s="15" t="str">
        <f t="shared" si="1"/>
        <v>Exceeds Target</v>
      </c>
    </row>
    <row r="1869" spans="2:11" ht="15" customHeight="1">
      <c r="B1869" t="s">
        <v>1358</v>
      </c>
      <c r="C1869" t="s">
        <v>2262</v>
      </c>
      <c r="D1869" t="s">
        <v>35</v>
      </c>
      <c r="E1869" t="s">
        <v>27</v>
      </c>
      <c r="F1869" s="17">
        <v>3000</v>
      </c>
      <c r="G1869" s="17">
        <v>180000</v>
      </c>
      <c r="H1869" s="17">
        <v>177000</v>
      </c>
      <c r="I1869" s="18">
        <v>0.73</v>
      </c>
      <c r="J1869" s="14">
        <f t="shared" si="0"/>
        <v>59</v>
      </c>
      <c r="K1869" s="15" t="str">
        <f t="shared" si="1"/>
        <v>Exceeds Target</v>
      </c>
    </row>
    <row r="1870" spans="2:11" ht="15" customHeight="1">
      <c r="B1870" t="s">
        <v>231</v>
      </c>
      <c r="C1870" t="s">
        <v>2263</v>
      </c>
      <c r="D1870" t="s">
        <v>35</v>
      </c>
      <c r="E1870" t="s">
        <v>27</v>
      </c>
      <c r="F1870" s="17">
        <v>3000</v>
      </c>
      <c r="G1870" s="17">
        <v>300000</v>
      </c>
      <c r="H1870" s="17">
        <v>297000</v>
      </c>
      <c r="I1870" s="18">
        <v>0.38</v>
      </c>
      <c r="J1870" s="14">
        <f t="shared" si="0"/>
        <v>99</v>
      </c>
      <c r="K1870" s="15" t="str">
        <f t="shared" si="1"/>
        <v>Exceeds Target</v>
      </c>
    </row>
    <row r="1871" spans="2:11" ht="15" customHeight="1">
      <c r="B1871" t="s">
        <v>648</v>
      </c>
      <c r="C1871" t="s">
        <v>2264</v>
      </c>
      <c r="D1871" t="s">
        <v>35</v>
      </c>
      <c r="E1871" t="s">
        <v>27</v>
      </c>
      <c r="F1871" s="17">
        <v>3000</v>
      </c>
      <c r="G1871" s="17">
        <v>270000</v>
      </c>
      <c r="H1871" s="17">
        <v>267000</v>
      </c>
      <c r="I1871" s="18">
        <v>0.65</v>
      </c>
      <c r="J1871" s="14">
        <f t="shared" si="0"/>
        <v>89</v>
      </c>
      <c r="K1871" s="15" t="str">
        <f t="shared" si="1"/>
        <v>Exceeds Target</v>
      </c>
    </row>
    <row r="1872" spans="2:11" ht="15" customHeight="1">
      <c r="B1872" t="s">
        <v>553</v>
      </c>
      <c r="C1872" t="s">
        <v>2265</v>
      </c>
      <c r="D1872" t="s">
        <v>80</v>
      </c>
      <c r="E1872" t="s">
        <v>27</v>
      </c>
      <c r="F1872" s="17">
        <v>1000</v>
      </c>
      <c r="G1872" s="17">
        <v>102000</v>
      </c>
      <c r="H1872" s="17">
        <v>101000</v>
      </c>
      <c r="I1872" s="18">
        <v>0.76</v>
      </c>
      <c r="J1872" s="14">
        <f t="shared" si="0"/>
        <v>101</v>
      </c>
      <c r="K1872" s="15" t="str">
        <f t="shared" si="1"/>
        <v>Exceeds Target</v>
      </c>
    </row>
    <row r="1873" spans="2:11" ht="15" customHeight="1">
      <c r="B1873" t="s">
        <v>787</v>
      </c>
      <c r="C1873" t="s">
        <v>2266</v>
      </c>
      <c r="D1873" t="s">
        <v>35</v>
      </c>
      <c r="E1873" t="s">
        <v>27</v>
      </c>
      <c r="F1873" s="17">
        <v>3000</v>
      </c>
      <c r="G1873" s="17">
        <v>90000</v>
      </c>
      <c r="H1873" s="17">
        <v>87000</v>
      </c>
      <c r="I1873" s="18">
        <v>0.2</v>
      </c>
      <c r="J1873" s="14">
        <f t="shared" si="0"/>
        <v>29</v>
      </c>
      <c r="K1873" s="15" t="str">
        <f t="shared" si="1"/>
        <v>Exceeds Target</v>
      </c>
    </row>
    <row r="1874" spans="2:11" ht="15" customHeight="1">
      <c r="B1874" t="s">
        <v>465</v>
      </c>
      <c r="C1874" t="s">
        <v>2267</v>
      </c>
      <c r="D1874" t="s">
        <v>32</v>
      </c>
      <c r="E1874" t="s">
        <v>27</v>
      </c>
      <c r="F1874" s="17">
        <v>1500</v>
      </c>
      <c r="G1874" s="17">
        <v>26000</v>
      </c>
      <c r="H1874" s="17">
        <v>24500</v>
      </c>
      <c r="I1874" s="18">
        <v>0.94</v>
      </c>
      <c r="J1874" s="14">
        <f t="shared" si="0"/>
        <v>16.333333333333332</v>
      </c>
      <c r="K1874" s="15" t="str">
        <f t="shared" si="1"/>
        <v>Exceeds Target</v>
      </c>
    </row>
    <row r="1875" spans="2:11" ht="15" customHeight="1">
      <c r="B1875" t="s">
        <v>912</v>
      </c>
      <c r="C1875" t="s">
        <v>2268</v>
      </c>
      <c r="D1875" t="s">
        <v>69</v>
      </c>
      <c r="E1875" t="s">
        <v>70</v>
      </c>
      <c r="F1875" s="17">
        <v>1000</v>
      </c>
      <c r="G1875" s="17">
        <v>120000</v>
      </c>
      <c r="H1875" s="17">
        <v>119000</v>
      </c>
      <c r="I1875" s="18">
        <v>0.6</v>
      </c>
      <c r="J1875" s="14">
        <f t="shared" si="0"/>
        <v>119</v>
      </c>
      <c r="K1875" s="15" t="str">
        <f t="shared" si="1"/>
        <v>Exceeds Target</v>
      </c>
    </row>
    <row r="1876" spans="2:11" ht="15" customHeight="1">
      <c r="B1876" t="s">
        <v>337</v>
      </c>
      <c r="C1876" t="s">
        <v>2269</v>
      </c>
      <c r="D1876" t="s">
        <v>80</v>
      </c>
      <c r="E1876" t="s">
        <v>27</v>
      </c>
      <c r="F1876" s="17">
        <v>1000</v>
      </c>
      <c r="G1876" s="17">
        <v>66000</v>
      </c>
      <c r="H1876" s="17">
        <v>65000</v>
      </c>
      <c r="I1876" s="18">
        <v>0.76</v>
      </c>
      <c r="J1876" s="14">
        <f t="shared" si="0"/>
        <v>65</v>
      </c>
      <c r="K1876" s="15" t="str">
        <f t="shared" si="1"/>
        <v>Exceeds Target</v>
      </c>
    </row>
    <row r="1877" spans="2:11" ht="15" customHeight="1">
      <c r="B1877" t="s">
        <v>347</v>
      </c>
      <c r="C1877" t="s">
        <v>2270</v>
      </c>
      <c r="D1877" t="s">
        <v>32</v>
      </c>
      <c r="E1877" t="s">
        <v>27</v>
      </c>
      <c r="F1877" s="17">
        <v>1500</v>
      </c>
      <c r="G1877" s="17">
        <v>50000</v>
      </c>
      <c r="H1877" s="17">
        <v>48500</v>
      </c>
      <c r="I1877" s="18">
        <v>0.94</v>
      </c>
      <c r="J1877" s="14">
        <f t="shared" si="0"/>
        <v>32.333333333333336</v>
      </c>
      <c r="K1877" s="15" t="str">
        <f t="shared" si="1"/>
        <v>Exceeds Target</v>
      </c>
    </row>
    <row r="1878" spans="2:11" ht="15" customHeight="1">
      <c r="B1878" t="s">
        <v>561</v>
      </c>
      <c r="C1878" t="s">
        <v>2271</v>
      </c>
      <c r="D1878" t="s">
        <v>26</v>
      </c>
      <c r="E1878" t="s">
        <v>27</v>
      </c>
      <c r="F1878" s="17">
        <v>5000</v>
      </c>
      <c r="G1878" s="17">
        <v>90000</v>
      </c>
      <c r="H1878" s="17">
        <v>85000</v>
      </c>
      <c r="I1878" s="18">
        <v>0.09</v>
      </c>
      <c r="J1878" s="14">
        <f t="shared" si="0"/>
        <v>17</v>
      </c>
      <c r="K1878" s="15" t="str">
        <f t="shared" si="1"/>
        <v>Exceeds Target</v>
      </c>
    </row>
    <row r="1879" spans="2:11" ht="15" customHeight="1">
      <c r="B1879" t="s">
        <v>323</v>
      </c>
      <c r="C1879" t="s">
        <v>2272</v>
      </c>
      <c r="D1879" t="s">
        <v>80</v>
      </c>
      <c r="E1879" t="s">
        <v>27</v>
      </c>
      <c r="F1879" s="17">
        <v>1000</v>
      </c>
      <c r="G1879" s="17">
        <v>105000</v>
      </c>
      <c r="H1879" s="17">
        <v>104000</v>
      </c>
      <c r="I1879" s="18">
        <v>0.65</v>
      </c>
      <c r="J1879" s="14">
        <f t="shared" si="0"/>
        <v>104</v>
      </c>
      <c r="K1879" s="15" t="str">
        <f t="shared" si="1"/>
        <v>Exceeds Target</v>
      </c>
    </row>
    <row r="1880" spans="2:11" ht="15" customHeight="1">
      <c r="B1880" t="s">
        <v>571</v>
      </c>
      <c r="C1880" t="s">
        <v>2273</v>
      </c>
      <c r="D1880" t="s">
        <v>26</v>
      </c>
      <c r="E1880" t="s">
        <v>27</v>
      </c>
      <c r="F1880" s="17">
        <v>5000</v>
      </c>
      <c r="G1880" s="17">
        <v>150000</v>
      </c>
      <c r="H1880" s="17">
        <v>145000</v>
      </c>
      <c r="I1880" s="18">
        <v>0.04</v>
      </c>
      <c r="J1880" s="14">
        <f t="shared" si="0"/>
        <v>29</v>
      </c>
      <c r="K1880" s="15" t="str">
        <f t="shared" si="1"/>
        <v>Exceeds Target</v>
      </c>
    </row>
    <row r="1881" spans="2:11" ht="15" customHeight="1">
      <c r="B1881" t="s">
        <v>188</v>
      </c>
      <c r="C1881" t="s">
        <v>2274</v>
      </c>
      <c r="D1881" t="s">
        <v>35</v>
      </c>
      <c r="E1881" t="s">
        <v>27</v>
      </c>
      <c r="F1881" s="17">
        <v>3000</v>
      </c>
      <c r="G1881" s="17">
        <v>270000</v>
      </c>
      <c r="H1881" s="17">
        <v>267000</v>
      </c>
      <c r="I1881" s="18">
        <v>0.3</v>
      </c>
      <c r="J1881" s="14">
        <f t="shared" si="0"/>
        <v>89</v>
      </c>
      <c r="K1881" s="15" t="str">
        <f t="shared" si="1"/>
        <v>Exceeds Target</v>
      </c>
    </row>
    <row r="1882" spans="2:11" ht="15" customHeight="1">
      <c r="B1882" t="s">
        <v>956</v>
      </c>
      <c r="C1882" t="s">
        <v>2275</v>
      </c>
      <c r="D1882" t="s">
        <v>35</v>
      </c>
      <c r="E1882" t="s">
        <v>27</v>
      </c>
      <c r="F1882" s="17">
        <v>3000</v>
      </c>
      <c r="G1882" s="17">
        <v>140000</v>
      </c>
      <c r="H1882" s="17">
        <v>137000</v>
      </c>
      <c r="I1882" s="18">
        <v>0.87</v>
      </c>
      <c r="J1882" s="14">
        <f t="shared" si="0"/>
        <v>45.666666666666664</v>
      </c>
      <c r="K1882" s="15" t="str">
        <f t="shared" si="1"/>
        <v>Exceeds Target</v>
      </c>
    </row>
    <row r="1883" spans="2:11" ht="15" customHeight="1">
      <c r="B1883" t="s">
        <v>491</v>
      </c>
      <c r="C1883" t="s">
        <v>2276</v>
      </c>
      <c r="D1883" t="s">
        <v>69</v>
      </c>
      <c r="E1883" t="s">
        <v>70</v>
      </c>
      <c r="F1883" s="17">
        <v>1000</v>
      </c>
      <c r="G1883" s="17">
        <v>135000</v>
      </c>
      <c r="H1883" s="17">
        <v>134000</v>
      </c>
      <c r="I1883" s="18">
        <v>0.62</v>
      </c>
      <c r="J1883" s="14">
        <f t="shared" si="0"/>
        <v>134</v>
      </c>
      <c r="K1883" s="15" t="str">
        <f t="shared" si="1"/>
        <v>Exceeds Target</v>
      </c>
    </row>
    <row r="1884" spans="2:11" ht="15" customHeight="1">
      <c r="B1884" t="s">
        <v>648</v>
      </c>
      <c r="C1884" t="s">
        <v>2277</v>
      </c>
      <c r="D1884" t="s">
        <v>26</v>
      </c>
      <c r="E1884" t="s">
        <v>27</v>
      </c>
      <c r="F1884" s="17">
        <v>5000</v>
      </c>
      <c r="G1884" s="17">
        <v>90000</v>
      </c>
      <c r="H1884" s="17">
        <v>85000</v>
      </c>
      <c r="I1884" s="18">
        <v>0.19</v>
      </c>
      <c r="J1884" s="14">
        <f t="shared" si="0"/>
        <v>17</v>
      </c>
      <c r="K1884" s="15" t="str">
        <f t="shared" si="1"/>
        <v>Exceeds Target</v>
      </c>
    </row>
    <row r="1885" spans="2:11" ht="15" customHeight="1">
      <c r="B1885" t="s">
        <v>265</v>
      </c>
      <c r="C1885" t="s">
        <v>2278</v>
      </c>
      <c r="D1885" t="s">
        <v>80</v>
      </c>
      <c r="E1885" t="s">
        <v>27</v>
      </c>
      <c r="F1885" s="17">
        <v>1000</v>
      </c>
      <c r="G1885" s="17">
        <v>75000</v>
      </c>
      <c r="H1885" s="17">
        <v>74000</v>
      </c>
      <c r="I1885" s="18">
        <v>0.85</v>
      </c>
      <c r="J1885" s="14">
        <f t="shared" si="0"/>
        <v>74</v>
      </c>
      <c r="K1885" s="15" t="str">
        <f t="shared" si="1"/>
        <v>Exceeds Target</v>
      </c>
    </row>
    <row r="1886" spans="2:11" ht="15" customHeight="1">
      <c r="B1886" t="s">
        <v>685</v>
      </c>
      <c r="C1886" t="s">
        <v>2279</v>
      </c>
      <c r="D1886" t="s">
        <v>32</v>
      </c>
      <c r="E1886" t="s">
        <v>27</v>
      </c>
      <c r="F1886" s="17">
        <v>1500</v>
      </c>
      <c r="G1886" s="17">
        <v>52000</v>
      </c>
      <c r="H1886" s="17">
        <v>50500</v>
      </c>
      <c r="I1886" s="18">
        <v>0.49</v>
      </c>
      <c r="J1886" s="14">
        <f t="shared" si="0"/>
        <v>33.666666666666664</v>
      </c>
      <c r="K1886" s="15" t="str">
        <f t="shared" si="1"/>
        <v>Exceeds Target</v>
      </c>
    </row>
    <row r="1887" spans="2:11" ht="15" customHeight="1">
      <c r="B1887" t="s">
        <v>183</v>
      </c>
      <c r="C1887" t="s">
        <v>2280</v>
      </c>
      <c r="D1887" t="s">
        <v>35</v>
      </c>
      <c r="E1887" t="s">
        <v>27</v>
      </c>
      <c r="F1887" s="17">
        <v>3000</v>
      </c>
      <c r="G1887" s="17">
        <v>170000</v>
      </c>
      <c r="H1887" s="17">
        <v>167000</v>
      </c>
      <c r="I1887" s="18">
        <v>0.56000000000000005</v>
      </c>
      <c r="J1887" s="14">
        <f t="shared" si="0"/>
        <v>55.666666666666664</v>
      </c>
      <c r="K1887" s="15" t="str">
        <f t="shared" si="1"/>
        <v>Exceeds Target</v>
      </c>
    </row>
    <row r="1888" spans="2:11" ht="15" customHeight="1">
      <c r="B1888" t="s">
        <v>1349</v>
      </c>
      <c r="C1888" t="s">
        <v>2281</v>
      </c>
      <c r="D1888" t="s">
        <v>69</v>
      </c>
      <c r="E1888" t="s">
        <v>70</v>
      </c>
      <c r="F1888" s="17">
        <v>1000</v>
      </c>
      <c r="G1888" s="17">
        <v>115000</v>
      </c>
      <c r="H1888" s="17">
        <v>114000</v>
      </c>
      <c r="I1888" s="18">
        <v>0.64</v>
      </c>
      <c r="J1888" s="14">
        <f t="shared" si="0"/>
        <v>114</v>
      </c>
      <c r="K1888" s="15" t="str">
        <f t="shared" si="1"/>
        <v>Exceeds Target</v>
      </c>
    </row>
    <row r="1889" spans="2:11" ht="15" customHeight="1">
      <c r="B1889" t="s">
        <v>494</v>
      </c>
      <c r="C1889" t="s">
        <v>2282</v>
      </c>
      <c r="D1889" t="s">
        <v>80</v>
      </c>
      <c r="E1889" t="s">
        <v>27</v>
      </c>
      <c r="F1889" s="17">
        <v>1000</v>
      </c>
      <c r="G1889" s="17">
        <v>54000</v>
      </c>
      <c r="H1889" s="17">
        <v>53000</v>
      </c>
      <c r="I1889" s="18">
        <v>0.75</v>
      </c>
      <c r="J1889" s="14">
        <f t="shared" si="0"/>
        <v>53</v>
      </c>
      <c r="K1889" s="15" t="str">
        <f t="shared" si="1"/>
        <v>Exceeds Target</v>
      </c>
    </row>
    <row r="1890" spans="2:11" ht="15" customHeight="1">
      <c r="B1890" t="s">
        <v>291</v>
      </c>
      <c r="C1890" t="s">
        <v>2283</v>
      </c>
      <c r="D1890" t="s">
        <v>69</v>
      </c>
      <c r="E1890" t="s">
        <v>70</v>
      </c>
      <c r="F1890" s="17">
        <v>1000</v>
      </c>
      <c r="G1890" s="17">
        <v>125000</v>
      </c>
      <c r="H1890" s="17">
        <v>124000</v>
      </c>
      <c r="I1890" s="18">
        <v>0.45</v>
      </c>
      <c r="J1890" s="14">
        <f t="shared" si="0"/>
        <v>124</v>
      </c>
      <c r="K1890" s="15" t="str">
        <f t="shared" si="1"/>
        <v>Exceeds Target</v>
      </c>
    </row>
    <row r="1891" spans="2:11" ht="15" customHeight="1">
      <c r="B1891" t="s">
        <v>623</v>
      </c>
      <c r="C1891" t="s">
        <v>2284</v>
      </c>
      <c r="D1891" t="s">
        <v>69</v>
      </c>
      <c r="E1891" t="s">
        <v>70</v>
      </c>
      <c r="F1891" s="17">
        <v>1000</v>
      </c>
      <c r="G1891" s="17">
        <v>30000</v>
      </c>
      <c r="H1891" s="17">
        <v>29000</v>
      </c>
      <c r="I1891" s="18">
        <v>0.35</v>
      </c>
      <c r="J1891" s="14">
        <f t="shared" si="0"/>
        <v>29</v>
      </c>
      <c r="K1891" s="15" t="str">
        <f t="shared" si="1"/>
        <v>Exceeds Target</v>
      </c>
    </row>
    <row r="1892" spans="2:11" ht="15" customHeight="1">
      <c r="B1892" t="s">
        <v>287</v>
      </c>
      <c r="C1892" t="s">
        <v>2285</v>
      </c>
      <c r="D1892" t="s">
        <v>32</v>
      </c>
      <c r="E1892" t="s">
        <v>27</v>
      </c>
      <c r="F1892" s="17">
        <v>1500</v>
      </c>
      <c r="G1892" s="17">
        <v>26000</v>
      </c>
      <c r="H1892" s="17">
        <v>24500</v>
      </c>
      <c r="I1892" s="18">
        <v>0.9</v>
      </c>
      <c r="J1892" s="14">
        <f t="shared" si="0"/>
        <v>16.333333333333332</v>
      </c>
      <c r="K1892" s="15" t="str">
        <f t="shared" si="1"/>
        <v>Exceeds Target</v>
      </c>
    </row>
    <row r="1893" spans="2:11" ht="15" customHeight="1">
      <c r="B1893" t="s">
        <v>143</v>
      </c>
      <c r="C1893" t="s">
        <v>2286</v>
      </c>
      <c r="D1893" t="s">
        <v>35</v>
      </c>
      <c r="E1893" t="s">
        <v>27</v>
      </c>
      <c r="F1893" s="17">
        <v>3000</v>
      </c>
      <c r="G1893" s="17">
        <v>130000</v>
      </c>
      <c r="H1893" s="17">
        <v>127000</v>
      </c>
      <c r="I1893" s="18">
        <v>0.39</v>
      </c>
      <c r="J1893" s="14">
        <f t="shared" si="0"/>
        <v>42.333333333333336</v>
      </c>
      <c r="K1893" s="15" t="str">
        <f t="shared" si="1"/>
        <v>Exceeds Target</v>
      </c>
    </row>
    <row r="1894" spans="2:11" ht="15" customHeight="1">
      <c r="B1894" t="s">
        <v>1937</v>
      </c>
      <c r="C1894" t="s">
        <v>2287</v>
      </c>
      <c r="D1894" t="s">
        <v>35</v>
      </c>
      <c r="E1894" t="s">
        <v>27</v>
      </c>
      <c r="F1894" s="17">
        <v>3000</v>
      </c>
      <c r="G1894" s="17">
        <v>260000</v>
      </c>
      <c r="H1894" s="17">
        <v>257000</v>
      </c>
      <c r="I1894" s="18">
        <v>0.34</v>
      </c>
      <c r="J1894" s="14">
        <f t="shared" si="0"/>
        <v>85.666666666666671</v>
      </c>
      <c r="K1894" s="15" t="str">
        <f t="shared" si="1"/>
        <v>Exceeds Target</v>
      </c>
    </row>
    <row r="1895" spans="2:11" ht="15" customHeight="1">
      <c r="B1895" t="s">
        <v>664</v>
      </c>
      <c r="C1895" t="s">
        <v>2288</v>
      </c>
      <c r="D1895" t="s">
        <v>32</v>
      </c>
      <c r="E1895" t="s">
        <v>27</v>
      </c>
      <c r="F1895" s="17">
        <v>1500</v>
      </c>
      <c r="G1895" s="17">
        <v>40000</v>
      </c>
      <c r="H1895" s="17">
        <v>38500</v>
      </c>
      <c r="I1895" s="18">
        <v>0.3</v>
      </c>
      <c r="J1895" s="14">
        <f t="shared" si="0"/>
        <v>25.666666666666668</v>
      </c>
      <c r="K1895" s="15" t="str">
        <f t="shared" si="1"/>
        <v>Exceeds Target</v>
      </c>
    </row>
    <row r="1896" spans="2:11" ht="15" customHeight="1">
      <c r="B1896" t="s">
        <v>291</v>
      </c>
      <c r="C1896" t="s">
        <v>2289</v>
      </c>
      <c r="D1896" t="s">
        <v>35</v>
      </c>
      <c r="E1896" t="s">
        <v>27</v>
      </c>
      <c r="F1896" s="17">
        <v>3000</v>
      </c>
      <c r="G1896" s="17">
        <v>220000</v>
      </c>
      <c r="H1896" s="17">
        <v>217000</v>
      </c>
      <c r="I1896" s="18">
        <v>0.68</v>
      </c>
      <c r="J1896" s="14">
        <f t="shared" si="0"/>
        <v>72.333333333333329</v>
      </c>
      <c r="K1896" s="15" t="str">
        <f t="shared" si="1"/>
        <v>Exceeds Target</v>
      </c>
    </row>
    <row r="1897" spans="2:11" ht="15" customHeight="1">
      <c r="B1897" t="s">
        <v>384</v>
      </c>
      <c r="C1897" t="s">
        <v>2290</v>
      </c>
      <c r="D1897" t="s">
        <v>32</v>
      </c>
      <c r="E1897" t="s">
        <v>27</v>
      </c>
      <c r="F1897" s="17">
        <v>1500</v>
      </c>
      <c r="G1897" s="17">
        <v>42000</v>
      </c>
      <c r="H1897" s="17">
        <v>40500</v>
      </c>
      <c r="I1897" s="18">
        <v>0.35</v>
      </c>
      <c r="J1897" s="14">
        <f t="shared" si="0"/>
        <v>27</v>
      </c>
      <c r="K1897" s="15" t="str">
        <f t="shared" si="1"/>
        <v>Exceeds Target</v>
      </c>
    </row>
    <row r="1898" spans="2:11" ht="15" customHeight="1">
      <c r="B1898" t="s">
        <v>238</v>
      </c>
      <c r="C1898" t="s">
        <v>2291</v>
      </c>
      <c r="D1898" t="s">
        <v>69</v>
      </c>
      <c r="E1898" t="s">
        <v>70</v>
      </c>
      <c r="F1898" s="17">
        <v>1000</v>
      </c>
      <c r="G1898" s="17">
        <v>80000</v>
      </c>
      <c r="H1898" s="17">
        <v>79000</v>
      </c>
      <c r="I1898" s="18">
        <v>0.96</v>
      </c>
      <c r="J1898" s="14">
        <f t="shared" si="0"/>
        <v>79</v>
      </c>
      <c r="K1898" s="15" t="str">
        <f t="shared" si="1"/>
        <v>Exceeds Target</v>
      </c>
    </row>
    <row r="1899" spans="2:11" ht="15" customHeight="1">
      <c r="B1899" t="s">
        <v>370</v>
      </c>
      <c r="C1899" t="s">
        <v>2292</v>
      </c>
      <c r="D1899" t="s">
        <v>69</v>
      </c>
      <c r="E1899" t="s">
        <v>70</v>
      </c>
      <c r="F1899" s="17">
        <v>1000</v>
      </c>
      <c r="G1899" s="17">
        <v>120000</v>
      </c>
      <c r="H1899" s="17">
        <v>119000</v>
      </c>
      <c r="I1899" s="18">
        <v>0.49</v>
      </c>
      <c r="J1899" s="14">
        <f t="shared" si="0"/>
        <v>119</v>
      </c>
      <c r="K1899" s="15" t="str">
        <f t="shared" si="1"/>
        <v>Exceeds Target</v>
      </c>
    </row>
    <row r="1900" spans="2:11" ht="15" customHeight="1">
      <c r="B1900" t="s">
        <v>880</v>
      </c>
      <c r="C1900" t="s">
        <v>2293</v>
      </c>
      <c r="D1900" t="s">
        <v>80</v>
      </c>
      <c r="E1900" t="s">
        <v>27</v>
      </c>
      <c r="F1900" s="17">
        <v>1000</v>
      </c>
      <c r="G1900" s="17">
        <v>72000</v>
      </c>
      <c r="H1900" s="17">
        <v>71000</v>
      </c>
      <c r="I1900" s="18">
        <v>0.98</v>
      </c>
      <c r="J1900" s="14">
        <f t="shared" si="0"/>
        <v>71</v>
      </c>
      <c r="K1900" s="15" t="str">
        <f t="shared" si="1"/>
        <v>Exceeds Target</v>
      </c>
    </row>
    <row r="1901" spans="2:11" ht="15" customHeight="1">
      <c r="B1901" t="s">
        <v>477</v>
      </c>
      <c r="C1901" t="s">
        <v>2294</v>
      </c>
      <c r="D1901" t="s">
        <v>80</v>
      </c>
      <c r="E1901" t="s">
        <v>27</v>
      </c>
      <c r="F1901" s="17">
        <v>1000</v>
      </c>
      <c r="G1901" s="17">
        <v>117000</v>
      </c>
      <c r="H1901" s="17">
        <v>116000</v>
      </c>
      <c r="I1901" s="18">
        <v>0.53</v>
      </c>
      <c r="J1901" s="14">
        <f t="shared" si="0"/>
        <v>116</v>
      </c>
      <c r="K1901" s="15" t="str">
        <f t="shared" si="1"/>
        <v>Exceeds Target</v>
      </c>
    </row>
    <row r="1902" spans="2:11" ht="15" customHeight="1">
      <c r="B1902" t="s">
        <v>185</v>
      </c>
      <c r="C1902" t="s">
        <v>2295</v>
      </c>
      <c r="D1902" t="s">
        <v>32</v>
      </c>
      <c r="E1902" t="s">
        <v>27</v>
      </c>
      <c r="F1902" s="17">
        <v>1500</v>
      </c>
      <c r="G1902" s="17">
        <v>58000</v>
      </c>
      <c r="H1902" s="17">
        <v>56500</v>
      </c>
      <c r="I1902" s="18">
        <v>0.94</v>
      </c>
      <c r="J1902" s="14">
        <f t="shared" si="0"/>
        <v>37.666666666666664</v>
      </c>
      <c r="K1902" s="15" t="str">
        <f t="shared" si="1"/>
        <v>Exceeds Target</v>
      </c>
    </row>
    <row r="1903" spans="2:11" ht="15" customHeight="1">
      <c r="B1903" t="s">
        <v>582</v>
      </c>
      <c r="C1903" t="s">
        <v>2296</v>
      </c>
      <c r="D1903" t="s">
        <v>26</v>
      </c>
      <c r="E1903" t="s">
        <v>27</v>
      </c>
      <c r="F1903" s="17">
        <v>5000</v>
      </c>
      <c r="G1903" s="17">
        <v>120000</v>
      </c>
      <c r="H1903" s="17">
        <v>115000</v>
      </c>
      <c r="I1903" s="18">
        <v>0.06</v>
      </c>
      <c r="J1903" s="14">
        <f t="shared" si="0"/>
        <v>23</v>
      </c>
      <c r="K1903" s="15" t="str">
        <f t="shared" si="1"/>
        <v>Exceeds Target</v>
      </c>
    </row>
    <row r="1904" spans="2:11" ht="15" customHeight="1">
      <c r="B1904" t="s">
        <v>263</v>
      </c>
      <c r="C1904" t="s">
        <v>2297</v>
      </c>
      <c r="D1904" t="s">
        <v>32</v>
      </c>
      <c r="E1904" t="s">
        <v>27</v>
      </c>
      <c r="F1904" s="17">
        <v>1500</v>
      </c>
      <c r="G1904" s="17">
        <v>60000</v>
      </c>
      <c r="H1904" s="17">
        <v>58500</v>
      </c>
      <c r="I1904" s="18">
        <v>0.61</v>
      </c>
      <c r="J1904" s="14">
        <f t="shared" si="0"/>
        <v>39</v>
      </c>
      <c r="K1904" s="15" t="str">
        <f t="shared" si="1"/>
        <v>Exceeds Target</v>
      </c>
    </row>
    <row r="1905" spans="2:11" ht="15" customHeight="1">
      <c r="B1905" t="s">
        <v>74</v>
      </c>
      <c r="C1905" t="s">
        <v>2298</v>
      </c>
      <c r="D1905" t="s">
        <v>32</v>
      </c>
      <c r="E1905" t="s">
        <v>27</v>
      </c>
      <c r="F1905" s="17">
        <v>1500</v>
      </c>
      <c r="G1905" s="17">
        <v>30000</v>
      </c>
      <c r="H1905" s="17">
        <v>28500</v>
      </c>
      <c r="I1905" s="18">
        <v>0.39</v>
      </c>
      <c r="J1905" s="14">
        <f t="shared" si="0"/>
        <v>19</v>
      </c>
      <c r="K1905" s="15" t="str">
        <f t="shared" si="1"/>
        <v>Exceeds Target</v>
      </c>
    </row>
    <row r="1906" spans="2:11" ht="15" customHeight="1">
      <c r="B1906" t="s">
        <v>618</v>
      </c>
      <c r="C1906" t="s">
        <v>2299</v>
      </c>
      <c r="D1906" t="s">
        <v>80</v>
      </c>
      <c r="E1906" t="s">
        <v>27</v>
      </c>
      <c r="F1906" s="17">
        <v>1000</v>
      </c>
      <c r="G1906" s="17">
        <v>99000</v>
      </c>
      <c r="H1906" s="17">
        <v>98000</v>
      </c>
      <c r="I1906" s="18">
        <v>0.75</v>
      </c>
      <c r="J1906" s="14">
        <f t="shared" si="0"/>
        <v>98</v>
      </c>
      <c r="K1906" s="15" t="str">
        <f t="shared" si="1"/>
        <v>Exceeds Target</v>
      </c>
    </row>
    <row r="1907" spans="2:11" ht="15" customHeight="1">
      <c r="B1907" t="s">
        <v>105</v>
      </c>
      <c r="C1907" t="s">
        <v>2300</v>
      </c>
      <c r="D1907" t="s">
        <v>35</v>
      </c>
      <c r="E1907" t="s">
        <v>27</v>
      </c>
      <c r="F1907" s="17">
        <v>3000</v>
      </c>
      <c r="G1907" s="17">
        <v>180000</v>
      </c>
      <c r="H1907" s="17">
        <v>177000</v>
      </c>
      <c r="I1907" s="18">
        <v>0.65</v>
      </c>
      <c r="J1907" s="14">
        <f t="shared" si="0"/>
        <v>59</v>
      </c>
      <c r="K1907" s="15" t="str">
        <f t="shared" si="1"/>
        <v>Exceeds Target</v>
      </c>
    </row>
    <row r="1908" spans="2:11" ht="15" customHeight="1">
      <c r="B1908" t="s">
        <v>559</v>
      </c>
      <c r="C1908" t="s">
        <v>2301</v>
      </c>
      <c r="D1908" t="s">
        <v>35</v>
      </c>
      <c r="E1908" t="s">
        <v>27</v>
      </c>
      <c r="F1908" s="17">
        <v>3000</v>
      </c>
      <c r="G1908" s="17">
        <v>210000</v>
      </c>
      <c r="H1908" s="17">
        <v>207000</v>
      </c>
      <c r="I1908" s="18">
        <v>0.55000000000000004</v>
      </c>
      <c r="J1908" s="14">
        <f t="shared" si="0"/>
        <v>69</v>
      </c>
      <c r="K1908" s="15" t="str">
        <f t="shared" si="1"/>
        <v>Exceeds Target</v>
      </c>
    </row>
    <row r="1909" spans="2:11" ht="15" customHeight="1">
      <c r="B1909" t="s">
        <v>467</v>
      </c>
      <c r="C1909" t="s">
        <v>2302</v>
      </c>
      <c r="D1909" t="s">
        <v>69</v>
      </c>
      <c r="E1909" t="s">
        <v>70</v>
      </c>
      <c r="F1909" s="17">
        <v>1000</v>
      </c>
      <c r="G1909" s="17">
        <v>40000</v>
      </c>
      <c r="H1909" s="17">
        <v>39000</v>
      </c>
      <c r="I1909" s="18">
        <v>0.48</v>
      </c>
      <c r="J1909" s="14">
        <f t="shared" si="0"/>
        <v>39</v>
      </c>
      <c r="K1909" s="15" t="str">
        <f t="shared" si="1"/>
        <v>Exceeds Target</v>
      </c>
    </row>
    <row r="1910" spans="2:11" ht="15" customHeight="1">
      <c r="B1910" t="s">
        <v>356</v>
      </c>
      <c r="C1910" t="s">
        <v>2303</v>
      </c>
      <c r="D1910" t="s">
        <v>80</v>
      </c>
      <c r="E1910" t="s">
        <v>27</v>
      </c>
      <c r="F1910" s="17">
        <v>1000</v>
      </c>
      <c r="G1910" s="17">
        <v>120000</v>
      </c>
      <c r="H1910" s="17">
        <v>119000</v>
      </c>
      <c r="I1910" s="18">
        <v>0.85</v>
      </c>
      <c r="J1910" s="14">
        <f t="shared" si="0"/>
        <v>119</v>
      </c>
      <c r="K1910" s="15" t="str">
        <f t="shared" si="1"/>
        <v>Exceeds Target</v>
      </c>
    </row>
    <row r="1911" spans="2:11" ht="15" customHeight="1">
      <c r="B1911" t="s">
        <v>1282</v>
      </c>
      <c r="C1911" t="s">
        <v>2304</v>
      </c>
      <c r="D1911" t="s">
        <v>26</v>
      </c>
      <c r="E1911" t="s">
        <v>27</v>
      </c>
      <c r="F1911" s="17">
        <v>5000</v>
      </c>
      <c r="G1911" s="17">
        <v>150000</v>
      </c>
      <c r="H1911" s="17">
        <v>145000</v>
      </c>
      <c r="I1911" s="18">
        <v>0.14000000000000001</v>
      </c>
      <c r="J1911" s="14">
        <f t="shared" si="0"/>
        <v>29</v>
      </c>
      <c r="K1911" s="15" t="str">
        <f t="shared" si="1"/>
        <v>Exceeds Target</v>
      </c>
    </row>
    <row r="1912" spans="2:11" ht="15" customHeight="1">
      <c r="B1912" t="s">
        <v>462</v>
      </c>
      <c r="C1912" t="s">
        <v>2305</v>
      </c>
      <c r="D1912" t="s">
        <v>80</v>
      </c>
      <c r="E1912" t="s">
        <v>27</v>
      </c>
      <c r="F1912" s="17">
        <v>1000</v>
      </c>
      <c r="G1912" s="17">
        <v>96000</v>
      </c>
      <c r="H1912" s="17">
        <v>95000</v>
      </c>
      <c r="I1912" s="18">
        <v>0.67</v>
      </c>
      <c r="J1912" s="14">
        <f t="shared" si="0"/>
        <v>95</v>
      </c>
      <c r="K1912" s="15" t="str">
        <f t="shared" si="1"/>
        <v>Exceeds Target</v>
      </c>
    </row>
    <row r="1913" spans="2:11" ht="15" customHeight="1">
      <c r="B1913" t="s">
        <v>343</v>
      </c>
      <c r="C1913" t="s">
        <v>2306</v>
      </c>
      <c r="D1913" t="s">
        <v>26</v>
      </c>
      <c r="E1913" t="s">
        <v>27</v>
      </c>
      <c r="F1913" s="17">
        <v>5000</v>
      </c>
      <c r="G1913" s="17">
        <v>60000</v>
      </c>
      <c r="H1913" s="17">
        <v>55000</v>
      </c>
      <c r="I1913" s="18">
        <v>0.08</v>
      </c>
      <c r="J1913" s="14">
        <f t="shared" si="0"/>
        <v>11</v>
      </c>
      <c r="K1913" s="15" t="str">
        <f t="shared" si="1"/>
        <v>Exceeds Target</v>
      </c>
    </row>
    <row r="1914" spans="2:11" ht="15" customHeight="1">
      <c r="B1914" t="s">
        <v>673</v>
      </c>
      <c r="C1914" t="s">
        <v>2307</v>
      </c>
      <c r="D1914" t="s">
        <v>80</v>
      </c>
      <c r="E1914" t="s">
        <v>27</v>
      </c>
      <c r="F1914" s="17">
        <v>1000</v>
      </c>
      <c r="G1914" s="17">
        <v>114000</v>
      </c>
      <c r="H1914" s="17">
        <v>113000</v>
      </c>
      <c r="I1914" s="18">
        <v>0.97</v>
      </c>
      <c r="J1914" s="14">
        <f t="shared" si="0"/>
        <v>113</v>
      </c>
      <c r="K1914" s="15" t="str">
        <f t="shared" si="1"/>
        <v>Exceeds Target</v>
      </c>
    </row>
    <row r="1915" spans="2:11" ht="15" customHeight="1">
      <c r="B1915" t="s">
        <v>24</v>
      </c>
      <c r="C1915" t="s">
        <v>2308</v>
      </c>
      <c r="D1915" t="s">
        <v>80</v>
      </c>
      <c r="E1915" t="s">
        <v>27</v>
      </c>
      <c r="F1915" s="17">
        <v>1000</v>
      </c>
      <c r="G1915" s="17">
        <v>117000</v>
      </c>
      <c r="H1915" s="17">
        <v>116000</v>
      </c>
      <c r="I1915" s="18">
        <v>0.65</v>
      </c>
      <c r="J1915" s="14">
        <f t="shared" si="0"/>
        <v>116</v>
      </c>
      <c r="K1915" s="15" t="str">
        <f t="shared" si="1"/>
        <v>Exceeds Target</v>
      </c>
    </row>
    <row r="1916" spans="2:11" ht="15" customHeight="1">
      <c r="B1916" t="s">
        <v>157</v>
      </c>
      <c r="C1916" t="s">
        <v>2309</v>
      </c>
      <c r="D1916" t="s">
        <v>32</v>
      </c>
      <c r="E1916" t="s">
        <v>27</v>
      </c>
      <c r="F1916" s="17">
        <v>1500</v>
      </c>
      <c r="G1916" s="17">
        <v>44000</v>
      </c>
      <c r="H1916" s="17">
        <v>42500</v>
      </c>
      <c r="I1916" s="18">
        <v>0.46</v>
      </c>
      <c r="J1916" s="14">
        <f t="shared" si="0"/>
        <v>28.333333333333332</v>
      </c>
      <c r="K1916" s="15" t="str">
        <f t="shared" si="1"/>
        <v>Exceeds Target</v>
      </c>
    </row>
    <row r="1917" spans="2:11" ht="15" customHeight="1">
      <c r="B1917" t="s">
        <v>1349</v>
      </c>
      <c r="C1917" t="s">
        <v>2310</v>
      </c>
      <c r="D1917" t="s">
        <v>69</v>
      </c>
      <c r="E1917" t="s">
        <v>70</v>
      </c>
      <c r="F1917" s="17">
        <v>1000</v>
      </c>
      <c r="G1917" s="17">
        <v>30000</v>
      </c>
      <c r="H1917" s="17">
        <v>29000</v>
      </c>
      <c r="I1917" s="18">
        <v>0.56000000000000005</v>
      </c>
      <c r="J1917" s="14">
        <f t="shared" si="0"/>
        <v>29</v>
      </c>
      <c r="K1917" s="15" t="str">
        <f t="shared" si="1"/>
        <v>Exceeds Target</v>
      </c>
    </row>
    <row r="1918" spans="2:11" ht="15" customHeight="1">
      <c r="B1918" t="s">
        <v>420</v>
      </c>
      <c r="C1918" t="s">
        <v>2311</v>
      </c>
      <c r="D1918" t="s">
        <v>26</v>
      </c>
      <c r="E1918" t="s">
        <v>27</v>
      </c>
      <c r="F1918" s="17">
        <v>5000</v>
      </c>
      <c r="G1918" s="17">
        <v>90000</v>
      </c>
      <c r="H1918" s="17">
        <v>85000</v>
      </c>
      <c r="I1918" s="18">
        <v>0.09</v>
      </c>
      <c r="J1918" s="14">
        <f t="shared" si="0"/>
        <v>17</v>
      </c>
      <c r="K1918" s="15" t="str">
        <f t="shared" si="1"/>
        <v>Exceeds Target</v>
      </c>
    </row>
    <row r="1919" spans="2:11" ht="15" customHeight="1">
      <c r="B1919" t="s">
        <v>296</v>
      </c>
      <c r="C1919" t="s">
        <v>2312</v>
      </c>
      <c r="D1919" t="s">
        <v>80</v>
      </c>
      <c r="E1919" t="s">
        <v>27</v>
      </c>
      <c r="F1919" s="17">
        <v>1000</v>
      </c>
      <c r="G1919" s="17">
        <v>72000</v>
      </c>
      <c r="H1919" s="17">
        <v>71000</v>
      </c>
      <c r="I1919" s="18">
        <v>0.83</v>
      </c>
      <c r="J1919" s="14">
        <f t="shared" si="0"/>
        <v>71</v>
      </c>
      <c r="K1919" s="15" t="str">
        <f t="shared" si="1"/>
        <v>Exceeds Target</v>
      </c>
    </row>
    <row r="1920" spans="2:11" ht="15" customHeight="1">
      <c r="B1920" t="s">
        <v>263</v>
      </c>
      <c r="C1920" t="s">
        <v>2313</v>
      </c>
      <c r="D1920" t="s">
        <v>26</v>
      </c>
      <c r="E1920" t="s">
        <v>27</v>
      </c>
      <c r="F1920" s="17">
        <v>5000</v>
      </c>
      <c r="G1920" s="17">
        <v>150000</v>
      </c>
      <c r="H1920" s="17">
        <v>145000</v>
      </c>
      <c r="I1920" s="18">
        <v>0.16</v>
      </c>
      <c r="J1920" s="14">
        <f t="shared" si="0"/>
        <v>29</v>
      </c>
      <c r="K1920" s="15" t="str">
        <f t="shared" si="1"/>
        <v>Exceeds Target</v>
      </c>
    </row>
    <row r="1921" spans="2:11" ht="15" customHeight="1">
      <c r="B1921" t="s">
        <v>535</v>
      </c>
      <c r="C1921" t="s">
        <v>2314</v>
      </c>
      <c r="D1921" t="s">
        <v>80</v>
      </c>
      <c r="E1921" t="s">
        <v>27</v>
      </c>
      <c r="F1921" s="17">
        <v>1000</v>
      </c>
      <c r="G1921" s="17">
        <v>117000</v>
      </c>
      <c r="H1921" s="17">
        <v>116000</v>
      </c>
      <c r="I1921" s="18">
        <v>0.92</v>
      </c>
      <c r="J1921" s="14">
        <f t="shared" si="0"/>
        <v>116</v>
      </c>
      <c r="K1921" s="15" t="str">
        <f t="shared" si="1"/>
        <v>Exceeds Target</v>
      </c>
    </row>
    <row r="1922" spans="2:11" ht="15" customHeight="1">
      <c r="B1922" t="s">
        <v>185</v>
      </c>
      <c r="C1922" t="s">
        <v>2315</v>
      </c>
      <c r="D1922" t="s">
        <v>69</v>
      </c>
      <c r="E1922" t="s">
        <v>70</v>
      </c>
      <c r="F1922" s="17">
        <v>1000</v>
      </c>
      <c r="G1922" s="17">
        <v>65000</v>
      </c>
      <c r="H1922" s="17">
        <v>64000</v>
      </c>
      <c r="I1922" s="18">
        <v>0.93</v>
      </c>
      <c r="J1922" s="14">
        <f t="shared" si="0"/>
        <v>64</v>
      </c>
      <c r="K1922" s="15" t="str">
        <f t="shared" si="1"/>
        <v>Exceeds Target</v>
      </c>
    </row>
    <row r="1923" spans="2:11" ht="15" customHeight="1">
      <c r="B1923" t="s">
        <v>325</v>
      </c>
      <c r="C1923" t="s">
        <v>2316</v>
      </c>
      <c r="D1923" t="s">
        <v>69</v>
      </c>
      <c r="E1923" t="s">
        <v>70</v>
      </c>
      <c r="F1923" s="17">
        <v>1000</v>
      </c>
      <c r="G1923" s="17">
        <v>135000</v>
      </c>
      <c r="H1923" s="17">
        <v>134000</v>
      </c>
      <c r="I1923" s="18">
        <v>0.6</v>
      </c>
      <c r="J1923" s="14">
        <f t="shared" si="0"/>
        <v>134</v>
      </c>
      <c r="K1923" s="15" t="str">
        <f t="shared" si="1"/>
        <v>Exceeds Target</v>
      </c>
    </row>
    <row r="1924" spans="2:11" ht="15" customHeight="1">
      <c r="B1924" t="s">
        <v>67</v>
      </c>
      <c r="C1924" t="s">
        <v>2317</v>
      </c>
      <c r="D1924" t="s">
        <v>32</v>
      </c>
      <c r="E1924" t="s">
        <v>27</v>
      </c>
      <c r="F1924" s="17">
        <v>1500</v>
      </c>
      <c r="G1924" s="17">
        <v>26000</v>
      </c>
      <c r="H1924" s="17">
        <v>24500</v>
      </c>
      <c r="I1924" s="18">
        <v>0.49</v>
      </c>
      <c r="J1924" s="14">
        <f t="shared" si="0"/>
        <v>16.333333333333332</v>
      </c>
      <c r="K1924" s="15" t="str">
        <f t="shared" si="1"/>
        <v>Exceeds Target</v>
      </c>
    </row>
    <row r="1925" spans="2:11" ht="15" customHeight="1">
      <c r="B1925" t="s">
        <v>804</v>
      </c>
      <c r="C1925" t="s">
        <v>2318</v>
      </c>
      <c r="D1925" t="s">
        <v>80</v>
      </c>
      <c r="E1925" t="s">
        <v>27</v>
      </c>
      <c r="F1925" s="17">
        <v>1000</v>
      </c>
      <c r="G1925" s="17">
        <v>60000</v>
      </c>
      <c r="H1925" s="17">
        <v>59000</v>
      </c>
      <c r="I1925" s="18">
        <v>0.78</v>
      </c>
      <c r="J1925" s="14">
        <f t="shared" si="0"/>
        <v>59</v>
      </c>
      <c r="K1925" s="15" t="str">
        <f t="shared" si="1"/>
        <v>Exceeds Target</v>
      </c>
    </row>
    <row r="1926" spans="2:11" ht="15" customHeight="1">
      <c r="B1926" t="s">
        <v>234</v>
      </c>
      <c r="C1926" t="s">
        <v>2319</v>
      </c>
      <c r="D1926" t="s">
        <v>32</v>
      </c>
      <c r="E1926" t="s">
        <v>27</v>
      </c>
      <c r="F1926" s="17">
        <v>1500</v>
      </c>
      <c r="G1926" s="17">
        <v>44000</v>
      </c>
      <c r="H1926" s="17">
        <v>42500</v>
      </c>
      <c r="I1926" s="18">
        <v>0.64</v>
      </c>
      <c r="J1926" s="14">
        <f t="shared" si="0"/>
        <v>28.333333333333332</v>
      </c>
      <c r="K1926" s="15" t="str">
        <f t="shared" si="1"/>
        <v>Exceeds Target</v>
      </c>
    </row>
    <row r="1927" spans="2:11" ht="15" customHeight="1">
      <c r="B1927" t="s">
        <v>890</v>
      </c>
      <c r="C1927" t="s">
        <v>2320</v>
      </c>
      <c r="D1927" t="s">
        <v>80</v>
      </c>
      <c r="E1927" t="s">
        <v>27</v>
      </c>
      <c r="F1927" s="17">
        <v>1000</v>
      </c>
      <c r="G1927" s="17">
        <v>48000</v>
      </c>
      <c r="H1927" s="17">
        <v>47000</v>
      </c>
      <c r="I1927" s="18">
        <v>0.92</v>
      </c>
      <c r="J1927" s="14">
        <f t="shared" si="0"/>
        <v>47</v>
      </c>
      <c r="K1927" s="15" t="str">
        <f t="shared" si="1"/>
        <v>Exceeds Target</v>
      </c>
    </row>
    <row r="1928" spans="2:11" ht="15" customHeight="1">
      <c r="B1928" t="s">
        <v>551</v>
      </c>
      <c r="C1928" t="s">
        <v>2321</v>
      </c>
      <c r="D1928" t="s">
        <v>80</v>
      </c>
      <c r="E1928" t="s">
        <v>27</v>
      </c>
      <c r="F1928" s="17">
        <v>1000</v>
      </c>
      <c r="G1928" s="17">
        <v>117000</v>
      </c>
      <c r="H1928" s="17">
        <v>116000</v>
      </c>
      <c r="I1928" s="18">
        <v>0.96</v>
      </c>
      <c r="J1928" s="14">
        <f t="shared" si="0"/>
        <v>116</v>
      </c>
      <c r="K1928" s="15" t="str">
        <f t="shared" si="1"/>
        <v>Exceeds Target</v>
      </c>
    </row>
    <row r="1929" spans="2:11" ht="15" customHeight="1">
      <c r="B1929" t="s">
        <v>794</v>
      </c>
      <c r="C1929" t="s">
        <v>2322</v>
      </c>
      <c r="D1929" t="s">
        <v>35</v>
      </c>
      <c r="E1929" t="s">
        <v>27</v>
      </c>
      <c r="F1929" s="17">
        <v>3000</v>
      </c>
      <c r="G1929" s="17">
        <v>260000</v>
      </c>
      <c r="H1929" s="17">
        <v>257000</v>
      </c>
      <c r="I1929" s="18">
        <v>0.89</v>
      </c>
      <c r="J1929" s="14">
        <f t="shared" si="0"/>
        <v>85.666666666666671</v>
      </c>
      <c r="K1929" s="15" t="str">
        <f t="shared" si="1"/>
        <v>Exceeds Target</v>
      </c>
    </row>
    <row r="1930" spans="2:11" ht="15" customHeight="1">
      <c r="B1930" t="s">
        <v>180</v>
      </c>
      <c r="C1930" t="s">
        <v>2323</v>
      </c>
      <c r="D1930" t="s">
        <v>69</v>
      </c>
      <c r="E1930" t="s">
        <v>70</v>
      </c>
      <c r="F1930" s="17">
        <v>1000</v>
      </c>
      <c r="G1930" s="17">
        <v>110000</v>
      </c>
      <c r="H1930" s="17">
        <v>109000</v>
      </c>
      <c r="I1930" s="18">
        <v>0.49</v>
      </c>
      <c r="J1930" s="14">
        <f t="shared" si="0"/>
        <v>109</v>
      </c>
      <c r="K1930" s="15" t="str">
        <f t="shared" si="1"/>
        <v>Exceeds Target</v>
      </c>
    </row>
    <row r="1931" spans="2:11" ht="15" customHeight="1">
      <c r="B1931" t="s">
        <v>325</v>
      </c>
      <c r="C1931" t="s">
        <v>2324</v>
      </c>
      <c r="D1931" t="s">
        <v>32</v>
      </c>
      <c r="E1931" t="s">
        <v>27</v>
      </c>
      <c r="F1931" s="17">
        <v>1500</v>
      </c>
      <c r="G1931" s="17">
        <v>48000</v>
      </c>
      <c r="H1931" s="17">
        <v>46500</v>
      </c>
      <c r="I1931" s="18">
        <v>0.39</v>
      </c>
      <c r="J1931" s="14">
        <f t="shared" si="0"/>
        <v>31</v>
      </c>
      <c r="K1931" s="15" t="str">
        <f t="shared" si="1"/>
        <v>Exceeds Target</v>
      </c>
    </row>
    <row r="1932" spans="2:11" ht="15" customHeight="1">
      <c r="B1932" t="s">
        <v>347</v>
      </c>
      <c r="C1932" t="s">
        <v>2325</v>
      </c>
      <c r="D1932" t="s">
        <v>26</v>
      </c>
      <c r="E1932" t="s">
        <v>27</v>
      </c>
      <c r="F1932" s="17">
        <v>5000</v>
      </c>
      <c r="G1932" s="17">
        <v>150000</v>
      </c>
      <c r="H1932" s="17">
        <v>145000</v>
      </c>
      <c r="I1932" s="18">
        <v>0.11</v>
      </c>
      <c r="J1932" s="14">
        <f t="shared" si="0"/>
        <v>29</v>
      </c>
      <c r="K1932" s="15" t="str">
        <f t="shared" si="1"/>
        <v>Exceeds Target</v>
      </c>
    </row>
    <row r="1933" spans="2:11" ht="15" customHeight="1">
      <c r="B1933" t="s">
        <v>462</v>
      </c>
      <c r="C1933" t="s">
        <v>2326</v>
      </c>
      <c r="D1933" t="s">
        <v>26</v>
      </c>
      <c r="E1933" t="s">
        <v>27</v>
      </c>
      <c r="F1933" s="17">
        <v>5000</v>
      </c>
      <c r="G1933" s="17">
        <v>60000</v>
      </c>
      <c r="H1933" s="17">
        <v>55000</v>
      </c>
      <c r="I1933" s="18">
        <v>0.14000000000000001</v>
      </c>
      <c r="J1933" s="14">
        <f t="shared" si="0"/>
        <v>11</v>
      </c>
      <c r="K1933" s="15" t="str">
        <f t="shared" si="1"/>
        <v>Exceeds Target</v>
      </c>
    </row>
    <row r="1934" spans="2:11" ht="15" customHeight="1">
      <c r="B1934" t="s">
        <v>236</v>
      </c>
      <c r="C1934" t="s">
        <v>2327</v>
      </c>
      <c r="D1934" t="s">
        <v>26</v>
      </c>
      <c r="E1934" t="s">
        <v>27</v>
      </c>
      <c r="F1934" s="17">
        <v>5000</v>
      </c>
      <c r="G1934" s="17">
        <v>150000</v>
      </c>
      <c r="H1934" s="17">
        <v>145000</v>
      </c>
      <c r="I1934" s="18">
        <v>0.27</v>
      </c>
      <c r="J1934" s="14">
        <f t="shared" si="0"/>
        <v>29</v>
      </c>
      <c r="K1934" s="15" t="str">
        <f t="shared" si="1"/>
        <v>Exceeds Target</v>
      </c>
    </row>
    <row r="1935" spans="2:11" ht="15" customHeight="1">
      <c r="B1935" t="s">
        <v>484</v>
      </c>
      <c r="C1935" t="s">
        <v>2328</v>
      </c>
      <c r="D1935" t="s">
        <v>26</v>
      </c>
      <c r="E1935" t="s">
        <v>27</v>
      </c>
      <c r="F1935" s="17">
        <v>5000</v>
      </c>
      <c r="G1935" s="17">
        <v>60000</v>
      </c>
      <c r="H1935" s="17">
        <v>55000</v>
      </c>
      <c r="I1935" s="18">
        <v>0.26</v>
      </c>
      <c r="J1935" s="14">
        <f t="shared" si="0"/>
        <v>11</v>
      </c>
      <c r="K1935" s="15" t="str">
        <f t="shared" si="1"/>
        <v>Exceeds Target</v>
      </c>
    </row>
    <row r="1936" spans="2:11" ht="15" customHeight="1">
      <c r="B1936" t="s">
        <v>517</v>
      </c>
      <c r="C1936" t="s">
        <v>2329</v>
      </c>
      <c r="D1936" t="s">
        <v>26</v>
      </c>
      <c r="E1936" t="s">
        <v>27</v>
      </c>
      <c r="F1936" s="17">
        <v>5000</v>
      </c>
      <c r="G1936" s="17">
        <v>150000</v>
      </c>
      <c r="H1936" s="17">
        <v>145000</v>
      </c>
      <c r="I1936" s="18">
        <v>0.25</v>
      </c>
      <c r="J1936" s="14">
        <f t="shared" si="0"/>
        <v>29</v>
      </c>
      <c r="K1936" s="15" t="str">
        <f t="shared" si="1"/>
        <v>Exceeds Target</v>
      </c>
    </row>
    <row r="1937" spans="2:11" ht="15" customHeight="1">
      <c r="B1937" t="s">
        <v>1614</v>
      </c>
      <c r="C1937" t="s">
        <v>2330</v>
      </c>
      <c r="D1937" t="s">
        <v>69</v>
      </c>
      <c r="E1937" t="s">
        <v>70</v>
      </c>
      <c r="F1937" s="17">
        <v>1000</v>
      </c>
      <c r="G1937" s="17">
        <v>35000</v>
      </c>
      <c r="H1937" s="17">
        <v>34000</v>
      </c>
      <c r="I1937" s="18">
        <v>0.88</v>
      </c>
      <c r="J1937" s="14">
        <f t="shared" si="0"/>
        <v>34</v>
      </c>
      <c r="K1937" s="15" t="str">
        <f t="shared" si="1"/>
        <v>Exceeds Target</v>
      </c>
    </row>
    <row r="1938" spans="2:11" ht="15" customHeight="1">
      <c r="B1938" t="s">
        <v>247</v>
      </c>
      <c r="C1938" t="s">
        <v>2331</v>
      </c>
      <c r="D1938" t="s">
        <v>35</v>
      </c>
      <c r="E1938" t="s">
        <v>27</v>
      </c>
      <c r="F1938" s="17">
        <v>3000</v>
      </c>
      <c r="G1938" s="17">
        <v>170000</v>
      </c>
      <c r="H1938" s="17">
        <v>167000</v>
      </c>
      <c r="I1938" s="18">
        <v>0.57999999999999996</v>
      </c>
      <c r="J1938" s="14">
        <f t="shared" si="0"/>
        <v>55.666666666666664</v>
      </c>
      <c r="K1938" s="15" t="str">
        <f t="shared" si="1"/>
        <v>Exceeds Target</v>
      </c>
    </row>
    <row r="1939" spans="2:11" ht="15" customHeight="1">
      <c r="B1939" t="s">
        <v>694</v>
      </c>
      <c r="C1939" t="s">
        <v>2332</v>
      </c>
      <c r="D1939" t="s">
        <v>26</v>
      </c>
      <c r="E1939" t="s">
        <v>27</v>
      </c>
      <c r="F1939" s="17">
        <v>5000</v>
      </c>
      <c r="G1939" s="17">
        <v>120000</v>
      </c>
      <c r="H1939" s="17">
        <v>115000</v>
      </c>
      <c r="I1939" s="18">
        <v>0.26</v>
      </c>
      <c r="J1939" s="14">
        <f t="shared" si="0"/>
        <v>23</v>
      </c>
      <c r="K1939" s="15" t="str">
        <f t="shared" si="1"/>
        <v>Exceeds Target</v>
      </c>
    </row>
    <row r="1940" spans="2:11" ht="15" customHeight="1">
      <c r="B1940" t="s">
        <v>892</v>
      </c>
      <c r="C1940" t="s">
        <v>2333</v>
      </c>
      <c r="D1940" t="s">
        <v>69</v>
      </c>
      <c r="E1940" t="s">
        <v>70</v>
      </c>
      <c r="F1940" s="17">
        <v>1000</v>
      </c>
      <c r="G1940" s="17">
        <v>80000</v>
      </c>
      <c r="H1940" s="17">
        <v>79000</v>
      </c>
      <c r="I1940" s="18">
        <v>0.42</v>
      </c>
      <c r="J1940" s="14">
        <f t="shared" si="0"/>
        <v>79</v>
      </c>
      <c r="K1940" s="15" t="str">
        <f t="shared" si="1"/>
        <v>Exceeds Target</v>
      </c>
    </row>
    <row r="1941" spans="2:11" ht="15" customHeight="1">
      <c r="B1941" t="s">
        <v>487</v>
      </c>
      <c r="C1941" t="s">
        <v>2334</v>
      </c>
      <c r="D1941" t="s">
        <v>80</v>
      </c>
      <c r="E1941" t="s">
        <v>27</v>
      </c>
      <c r="F1941" s="17">
        <v>1000</v>
      </c>
      <c r="G1941" s="17">
        <v>102000</v>
      </c>
      <c r="H1941" s="17">
        <v>101000</v>
      </c>
      <c r="I1941" s="18">
        <v>0.8</v>
      </c>
      <c r="J1941" s="14">
        <f t="shared" si="0"/>
        <v>101</v>
      </c>
      <c r="K1941" s="15" t="str">
        <f t="shared" si="1"/>
        <v>Exceeds Target</v>
      </c>
    </row>
    <row r="1942" spans="2:11" ht="15" customHeight="1">
      <c r="B1942" t="s">
        <v>139</v>
      </c>
      <c r="C1942" t="s">
        <v>2335</v>
      </c>
      <c r="D1942" t="s">
        <v>80</v>
      </c>
      <c r="E1942" t="s">
        <v>27</v>
      </c>
      <c r="F1942" s="17">
        <v>1000</v>
      </c>
      <c r="G1942" s="17">
        <v>111000</v>
      </c>
      <c r="H1942" s="17">
        <v>110000</v>
      </c>
      <c r="I1942" s="18">
        <v>0.9</v>
      </c>
      <c r="J1942" s="14">
        <f t="shared" si="0"/>
        <v>110</v>
      </c>
      <c r="K1942" s="15" t="str">
        <f t="shared" si="1"/>
        <v>Exceeds Target</v>
      </c>
    </row>
    <row r="1943" spans="2:11" ht="15" customHeight="1">
      <c r="B1943" t="s">
        <v>639</v>
      </c>
      <c r="C1943" t="s">
        <v>2336</v>
      </c>
      <c r="D1943" t="s">
        <v>32</v>
      </c>
      <c r="E1943" t="s">
        <v>27</v>
      </c>
      <c r="F1943" s="17">
        <v>1500</v>
      </c>
      <c r="G1943" s="17">
        <v>18000</v>
      </c>
      <c r="H1943" s="17">
        <v>16500</v>
      </c>
      <c r="I1943" s="18">
        <v>0.85</v>
      </c>
      <c r="J1943" s="14">
        <f t="shared" si="0"/>
        <v>11</v>
      </c>
      <c r="K1943" s="15" t="str">
        <f t="shared" si="1"/>
        <v>Exceeds Target</v>
      </c>
    </row>
    <row r="1944" spans="2:11" ht="15" customHeight="1">
      <c r="B1944" t="s">
        <v>677</v>
      </c>
      <c r="C1944" t="s">
        <v>2337</v>
      </c>
      <c r="D1944" t="s">
        <v>26</v>
      </c>
      <c r="E1944" t="s">
        <v>27</v>
      </c>
      <c r="F1944" s="17">
        <v>5000</v>
      </c>
      <c r="G1944" s="17">
        <v>90000</v>
      </c>
      <c r="H1944" s="17">
        <v>85000</v>
      </c>
      <c r="I1944" s="18">
        <v>7.0000000000000007E-2</v>
      </c>
      <c r="J1944" s="14">
        <f t="shared" si="0"/>
        <v>17</v>
      </c>
      <c r="K1944" s="15" t="str">
        <f t="shared" si="1"/>
        <v>Exceeds Target</v>
      </c>
    </row>
    <row r="1945" spans="2:11" ht="15" customHeight="1">
      <c r="B1945" t="s">
        <v>907</v>
      </c>
      <c r="C1945" t="s">
        <v>2338</v>
      </c>
      <c r="D1945" t="s">
        <v>35</v>
      </c>
      <c r="E1945" t="s">
        <v>27</v>
      </c>
      <c r="F1945" s="17">
        <v>3000</v>
      </c>
      <c r="G1945" s="17">
        <v>200000</v>
      </c>
      <c r="H1945" s="17">
        <v>197000</v>
      </c>
      <c r="I1945" s="18">
        <v>0.5</v>
      </c>
      <c r="J1945" s="14">
        <f t="shared" si="0"/>
        <v>65.666666666666671</v>
      </c>
      <c r="K1945" s="15" t="str">
        <f t="shared" si="1"/>
        <v>Exceeds Target</v>
      </c>
    </row>
    <row r="1946" spans="2:11" ht="15" customHeight="1">
      <c r="B1946" t="s">
        <v>1516</v>
      </c>
      <c r="C1946" t="s">
        <v>2339</v>
      </c>
      <c r="D1946" t="s">
        <v>26</v>
      </c>
      <c r="E1946" t="s">
        <v>27</v>
      </c>
      <c r="F1946" s="17">
        <v>5000</v>
      </c>
      <c r="G1946" s="17">
        <v>150000</v>
      </c>
      <c r="H1946" s="17">
        <v>145000</v>
      </c>
      <c r="I1946" s="18">
        <v>0.3</v>
      </c>
      <c r="J1946" s="14">
        <f t="shared" si="0"/>
        <v>29</v>
      </c>
      <c r="K1946" s="15" t="str">
        <f t="shared" si="1"/>
        <v>Exceeds Target</v>
      </c>
    </row>
    <row r="1947" spans="2:11" ht="15" customHeight="1">
      <c r="B1947" t="s">
        <v>1260</v>
      </c>
      <c r="C1947" t="s">
        <v>2340</v>
      </c>
      <c r="D1947" t="s">
        <v>80</v>
      </c>
      <c r="E1947" t="s">
        <v>27</v>
      </c>
      <c r="F1947" s="17">
        <v>1000</v>
      </c>
      <c r="G1947" s="17">
        <v>72000</v>
      </c>
      <c r="H1947" s="17">
        <v>71000</v>
      </c>
      <c r="I1947" s="18">
        <v>0.65</v>
      </c>
      <c r="J1947" s="14">
        <f t="shared" si="0"/>
        <v>71</v>
      </c>
      <c r="K1947" s="15" t="str">
        <f t="shared" si="1"/>
        <v>Exceeds Target</v>
      </c>
    </row>
    <row r="1948" spans="2:11" ht="15" customHeight="1">
      <c r="B1948" t="s">
        <v>958</v>
      </c>
      <c r="C1948" t="s">
        <v>2341</v>
      </c>
      <c r="D1948" t="s">
        <v>32</v>
      </c>
      <c r="E1948" t="s">
        <v>27</v>
      </c>
      <c r="F1948" s="17">
        <v>1500</v>
      </c>
      <c r="G1948" s="17">
        <v>50000</v>
      </c>
      <c r="H1948" s="17">
        <v>48500</v>
      </c>
      <c r="I1948" s="18">
        <v>0.47</v>
      </c>
      <c r="J1948" s="14">
        <f t="shared" si="0"/>
        <v>32.333333333333336</v>
      </c>
      <c r="K1948" s="15" t="str">
        <f t="shared" si="1"/>
        <v>Exceeds Target</v>
      </c>
    </row>
    <row r="1949" spans="2:11" ht="15" customHeight="1">
      <c r="B1949" t="s">
        <v>459</v>
      </c>
      <c r="C1949" t="s">
        <v>2342</v>
      </c>
      <c r="D1949" t="s">
        <v>26</v>
      </c>
      <c r="E1949" t="s">
        <v>27</v>
      </c>
      <c r="F1949" s="17">
        <v>5000</v>
      </c>
      <c r="G1949" s="17">
        <v>30000</v>
      </c>
      <c r="H1949" s="17">
        <v>25000</v>
      </c>
      <c r="I1949" s="18">
        <v>0.18</v>
      </c>
      <c r="J1949" s="14">
        <f t="shared" si="0"/>
        <v>5</v>
      </c>
      <c r="K1949" s="15" t="str">
        <f t="shared" si="1"/>
        <v>Exceeds Target</v>
      </c>
    </row>
    <row r="1950" spans="2:11" ht="15" customHeight="1">
      <c r="B1950" t="s">
        <v>542</v>
      </c>
      <c r="C1950" t="s">
        <v>2343</v>
      </c>
      <c r="D1950" t="s">
        <v>32</v>
      </c>
      <c r="E1950" t="s">
        <v>27</v>
      </c>
      <c r="F1950" s="17">
        <v>1500</v>
      </c>
      <c r="G1950" s="17">
        <v>44000</v>
      </c>
      <c r="H1950" s="17">
        <v>42500</v>
      </c>
      <c r="I1950" s="18">
        <v>0.75</v>
      </c>
      <c r="J1950" s="14">
        <f t="shared" si="0"/>
        <v>28.333333333333332</v>
      </c>
      <c r="K1950" s="15" t="str">
        <f t="shared" si="1"/>
        <v>Exceeds Target</v>
      </c>
    </row>
    <row r="1951" spans="2:11" ht="15" customHeight="1">
      <c r="B1951" t="s">
        <v>457</v>
      </c>
      <c r="C1951" t="s">
        <v>2344</v>
      </c>
      <c r="D1951" t="s">
        <v>80</v>
      </c>
      <c r="E1951" t="s">
        <v>27</v>
      </c>
      <c r="F1951" s="17">
        <v>1000</v>
      </c>
      <c r="G1951" s="17">
        <v>93000</v>
      </c>
      <c r="H1951" s="17">
        <v>92000</v>
      </c>
      <c r="I1951" s="18">
        <v>0.84</v>
      </c>
      <c r="J1951" s="14">
        <f t="shared" si="0"/>
        <v>92</v>
      </c>
      <c r="K1951" s="15" t="str">
        <f t="shared" si="1"/>
        <v>Exceeds Target</v>
      </c>
    </row>
    <row r="1952" spans="2:11" ht="15" customHeight="1">
      <c r="B1952" t="s">
        <v>1510</v>
      </c>
      <c r="C1952" t="s">
        <v>2345</v>
      </c>
      <c r="D1952" t="s">
        <v>69</v>
      </c>
      <c r="E1952" t="s">
        <v>70</v>
      </c>
      <c r="F1952" s="17">
        <v>1000</v>
      </c>
      <c r="G1952" s="17">
        <v>65000</v>
      </c>
      <c r="H1952" s="17">
        <v>64000</v>
      </c>
      <c r="I1952" s="18">
        <v>0.95</v>
      </c>
      <c r="J1952" s="14">
        <f t="shared" si="0"/>
        <v>64</v>
      </c>
      <c r="K1952" s="15" t="str">
        <f t="shared" si="1"/>
        <v>Exceeds Target</v>
      </c>
    </row>
    <row r="1953" spans="2:11" ht="15" customHeight="1">
      <c r="B1953" t="s">
        <v>500</v>
      </c>
      <c r="C1953" t="s">
        <v>2346</v>
      </c>
      <c r="D1953" t="s">
        <v>35</v>
      </c>
      <c r="E1953" t="s">
        <v>27</v>
      </c>
      <c r="F1953" s="17">
        <v>3000</v>
      </c>
      <c r="G1953" s="17">
        <v>80000</v>
      </c>
      <c r="H1953" s="17">
        <v>77000</v>
      </c>
      <c r="I1953" s="18">
        <v>0.8</v>
      </c>
      <c r="J1953" s="14">
        <f t="shared" si="0"/>
        <v>25.666666666666668</v>
      </c>
      <c r="K1953" s="15" t="str">
        <f t="shared" si="1"/>
        <v>Exceeds Target</v>
      </c>
    </row>
    <row r="1954" spans="2:11" ht="15" customHeight="1">
      <c r="B1954" t="s">
        <v>137</v>
      </c>
      <c r="C1954" t="s">
        <v>2347</v>
      </c>
      <c r="D1954" t="s">
        <v>32</v>
      </c>
      <c r="E1954" t="s">
        <v>27</v>
      </c>
      <c r="F1954" s="17">
        <v>1500</v>
      </c>
      <c r="G1954" s="17">
        <v>48000</v>
      </c>
      <c r="H1954" s="17">
        <v>46500</v>
      </c>
      <c r="I1954" s="18">
        <v>0.31</v>
      </c>
      <c r="J1954" s="14">
        <f t="shared" si="0"/>
        <v>31</v>
      </c>
      <c r="K1954" s="15" t="str">
        <f t="shared" si="1"/>
        <v>Exceeds Target</v>
      </c>
    </row>
    <row r="1955" spans="2:11" ht="15" customHeight="1">
      <c r="B1955" t="s">
        <v>305</v>
      </c>
      <c r="C1955" t="s">
        <v>2348</v>
      </c>
      <c r="D1955" t="s">
        <v>80</v>
      </c>
      <c r="E1955" t="s">
        <v>27</v>
      </c>
      <c r="F1955" s="17">
        <v>1000</v>
      </c>
      <c r="G1955" s="17">
        <v>48000</v>
      </c>
      <c r="H1955" s="17">
        <v>47000</v>
      </c>
      <c r="I1955" s="18">
        <v>0.89</v>
      </c>
      <c r="J1955" s="14">
        <f t="shared" si="0"/>
        <v>47</v>
      </c>
      <c r="K1955" s="15" t="str">
        <f t="shared" si="1"/>
        <v>Exceeds Target</v>
      </c>
    </row>
    <row r="1956" spans="2:11" ht="15" customHeight="1">
      <c r="B1956" t="s">
        <v>810</v>
      </c>
      <c r="C1956" t="s">
        <v>2349</v>
      </c>
      <c r="D1956" t="s">
        <v>32</v>
      </c>
      <c r="E1956" t="s">
        <v>27</v>
      </c>
      <c r="F1956" s="17">
        <v>1500</v>
      </c>
      <c r="G1956" s="17">
        <v>56000</v>
      </c>
      <c r="H1956" s="17">
        <v>54500</v>
      </c>
      <c r="I1956" s="18">
        <v>0.77</v>
      </c>
      <c r="J1956" s="14">
        <f t="shared" si="0"/>
        <v>36.333333333333336</v>
      </c>
      <c r="K1956" s="15" t="str">
        <f t="shared" si="1"/>
        <v>Exceeds Target</v>
      </c>
    </row>
    <row r="1957" spans="2:11" ht="15" customHeight="1">
      <c r="B1957" t="s">
        <v>263</v>
      </c>
      <c r="C1957" t="s">
        <v>2350</v>
      </c>
      <c r="D1957" t="s">
        <v>32</v>
      </c>
      <c r="E1957" t="s">
        <v>27</v>
      </c>
      <c r="F1957" s="17">
        <v>1500</v>
      </c>
      <c r="G1957" s="17">
        <v>54000</v>
      </c>
      <c r="H1957" s="17">
        <v>52500</v>
      </c>
      <c r="I1957" s="18">
        <v>0.85</v>
      </c>
      <c r="J1957" s="14">
        <f t="shared" si="0"/>
        <v>35</v>
      </c>
      <c r="K1957" s="15" t="str">
        <f t="shared" si="1"/>
        <v>Exceeds Target</v>
      </c>
    </row>
    <row r="1958" spans="2:11" ht="15" customHeight="1">
      <c r="B1958" t="s">
        <v>76</v>
      </c>
      <c r="C1958" t="s">
        <v>2351</v>
      </c>
      <c r="D1958" t="s">
        <v>80</v>
      </c>
      <c r="E1958" t="s">
        <v>27</v>
      </c>
      <c r="F1958" s="17">
        <v>1000</v>
      </c>
      <c r="G1958" s="17">
        <v>60000</v>
      </c>
      <c r="H1958" s="17">
        <v>59000</v>
      </c>
      <c r="I1958" s="18">
        <v>0.64</v>
      </c>
      <c r="J1958" s="14">
        <f t="shared" si="0"/>
        <v>59</v>
      </c>
      <c r="K1958" s="15" t="str">
        <f t="shared" si="1"/>
        <v>Exceeds Target</v>
      </c>
    </row>
    <row r="1959" spans="2:11" ht="15" customHeight="1">
      <c r="B1959" t="s">
        <v>345</v>
      </c>
      <c r="C1959" t="s">
        <v>2352</v>
      </c>
      <c r="D1959" t="s">
        <v>32</v>
      </c>
      <c r="E1959" t="s">
        <v>27</v>
      </c>
      <c r="F1959" s="17">
        <v>1500</v>
      </c>
      <c r="G1959" s="17">
        <v>20000</v>
      </c>
      <c r="H1959" s="17">
        <v>18500</v>
      </c>
      <c r="I1959" s="18">
        <v>0.41</v>
      </c>
      <c r="J1959" s="14">
        <f t="shared" si="0"/>
        <v>12.333333333333334</v>
      </c>
      <c r="K1959" s="15" t="str">
        <f t="shared" si="1"/>
        <v>Exceeds Target</v>
      </c>
    </row>
    <row r="1960" spans="2:11" ht="15" customHeight="1">
      <c r="B1960" t="s">
        <v>514</v>
      </c>
      <c r="C1960" t="s">
        <v>2353</v>
      </c>
      <c r="D1960" t="s">
        <v>69</v>
      </c>
      <c r="E1960" t="s">
        <v>70</v>
      </c>
      <c r="F1960" s="17">
        <v>1000</v>
      </c>
      <c r="G1960" s="17">
        <v>130000</v>
      </c>
      <c r="H1960" s="17">
        <v>129000</v>
      </c>
      <c r="I1960" s="18">
        <v>0.62</v>
      </c>
      <c r="J1960" s="14">
        <f t="shared" si="0"/>
        <v>129</v>
      </c>
      <c r="K1960" s="15" t="str">
        <f t="shared" si="1"/>
        <v>Exceeds Target</v>
      </c>
    </row>
    <row r="1961" spans="2:11" ht="15" customHeight="1">
      <c r="B1961" t="s">
        <v>1937</v>
      </c>
      <c r="C1961" t="s">
        <v>2354</v>
      </c>
      <c r="D1961" t="s">
        <v>26</v>
      </c>
      <c r="E1961" t="s">
        <v>27</v>
      </c>
      <c r="F1961" s="17">
        <v>5000</v>
      </c>
      <c r="G1961" s="17">
        <v>90000</v>
      </c>
      <c r="H1961" s="17">
        <v>85000</v>
      </c>
      <c r="I1961" s="18">
        <v>0.08</v>
      </c>
      <c r="J1961" s="14">
        <f t="shared" si="0"/>
        <v>17</v>
      </c>
      <c r="K1961" s="15" t="str">
        <f t="shared" si="1"/>
        <v>Exceeds Target</v>
      </c>
    </row>
    <row r="1962" spans="2:11" ht="15" customHeight="1">
      <c r="B1962" t="s">
        <v>321</v>
      </c>
      <c r="C1962" t="s">
        <v>2355</v>
      </c>
      <c r="D1962" t="s">
        <v>80</v>
      </c>
      <c r="E1962" t="s">
        <v>27</v>
      </c>
      <c r="F1962" s="17">
        <v>1000</v>
      </c>
      <c r="G1962" s="17">
        <v>60000</v>
      </c>
      <c r="H1962" s="17">
        <v>59000</v>
      </c>
      <c r="I1962" s="18">
        <v>0.87</v>
      </c>
      <c r="J1962" s="14">
        <f t="shared" si="0"/>
        <v>59</v>
      </c>
      <c r="K1962" s="15" t="str">
        <f t="shared" si="1"/>
        <v>Exceeds Target</v>
      </c>
    </row>
    <row r="1963" spans="2:11" ht="15" customHeight="1">
      <c r="B1963" t="s">
        <v>542</v>
      </c>
      <c r="C1963" t="s">
        <v>2356</v>
      </c>
      <c r="D1963" t="s">
        <v>35</v>
      </c>
      <c r="E1963" t="s">
        <v>27</v>
      </c>
      <c r="F1963" s="17">
        <v>3000</v>
      </c>
      <c r="G1963" s="17">
        <v>140000</v>
      </c>
      <c r="H1963" s="17">
        <v>137000</v>
      </c>
      <c r="I1963" s="18">
        <v>0.35</v>
      </c>
      <c r="J1963" s="14">
        <f t="shared" si="0"/>
        <v>45.666666666666664</v>
      </c>
      <c r="K1963" s="15" t="str">
        <f t="shared" si="1"/>
        <v>Exceeds Target</v>
      </c>
    </row>
    <row r="1964" spans="2:11" ht="15" customHeight="1">
      <c r="B1964" t="s">
        <v>323</v>
      </c>
      <c r="C1964" t="s">
        <v>2357</v>
      </c>
      <c r="D1964" t="s">
        <v>80</v>
      </c>
      <c r="E1964" t="s">
        <v>27</v>
      </c>
      <c r="F1964" s="17">
        <v>1000</v>
      </c>
      <c r="G1964" s="17">
        <v>63000</v>
      </c>
      <c r="H1964" s="17">
        <v>62000</v>
      </c>
      <c r="I1964" s="18">
        <v>0.97</v>
      </c>
      <c r="J1964" s="14">
        <f t="shared" si="0"/>
        <v>62</v>
      </c>
      <c r="K1964" s="15" t="str">
        <f t="shared" si="1"/>
        <v>Exceeds Target</v>
      </c>
    </row>
    <row r="1965" spans="2:11" ht="15" customHeight="1">
      <c r="B1965" t="s">
        <v>1285</v>
      </c>
      <c r="C1965" t="s">
        <v>2358</v>
      </c>
      <c r="D1965" t="s">
        <v>69</v>
      </c>
      <c r="E1965" t="s">
        <v>70</v>
      </c>
      <c r="F1965" s="17">
        <v>1000</v>
      </c>
      <c r="G1965" s="17">
        <v>90000</v>
      </c>
      <c r="H1965" s="17">
        <v>89000</v>
      </c>
      <c r="I1965" s="18">
        <v>0.77</v>
      </c>
      <c r="J1965" s="14">
        <f t="shared" si="0"/>
        <v>89</v>
      </c>
      <c r="K1965" s="15" t="str">
        <f t="shared" si="1"/>
        <v>Exceeds Target</v>
      </c>
    </row>
    <row r="1966" spans="2:11" ht="15" customHeight="1">
      <c r="B1966" t="s">
        <v>95</v>
      </c>
      <c r="C1966" t="s">
        <v>2359</v>
      </c>
      <c r="D1966" t="s">
        <v>35</v>
      </c>
      <c r="E1966" t="s">
        <v>27</v>
      </c>
      <c r="F1966" s="17">
        <v>3000</v>
      </c>
      <c r="G1966" s="17">
        <v>80000</v>
      </c>
      <c r="H1966" s="17">
        <v>77000</v>
      </c>
      <c r="I1966" s="18">
        <v>0.63</v>
      </c>
      <c r="J1966" s="14">
        <f t="shared" si="0"/>
        <v>25.666666666666668</v>
      </c>
      <c r="K1966" s="15" t="str">
        <f t="shared" si="1"/>
        <v>Exceeds Target</v>
      </c>
    </row>
    <row r="1967" spans="2:11" ht="15" customHeight="1">
      <c r="B1967" t="s">
        <v>199</v>
      </c>
      <c r="C1967" t="s">
        <v>2360</v>
      </c>
      <c r="D1967" t="s">
        <v>80</v>
      </c>
      <c r="E1967" t="s">
        <v>27</v>
      </c>
      <c r="F1967" s="17">
        <v>1000</v>
      </c>
      <c r="G1967" s="17">
        <v>75000</v>
      </c>
      <c r="H1967" s="17">
        <v>74000</v>
      </c>
      <c r="I1967" s="18">
        <v>0.93</v>
      </c>
      <c r="J1967" s="14">
        <f t="shared" si="0"/>
        <v>74</v>
      </c>
      <c r="K1967" s="15" t="str">
        <f t="shared" si="1"/>
        <v>Exceeds Target</v>
      </c>
    </row>
    <row r="1968" spans="2:11" ht="15" customHeight="1">
      <c r="B1968" t="s">
        <v>713</v>
      </c>
      <c r="C1968" t="s">
        <v>2361</v>
      </c>
      <c r="D1968" t="s">
        <v>69</v>
      </c>
      <c r="E1968" t="s">
        <v>70</v>
      </c>
      <c r="F1968" s="17">
        <v>1000</v>
      </c>
      <c r="G1968" s="17">
        <v>135000</v>
      </c>
      <c r="H1968" s="17">
        <v>134000</v>
      </c>
      <c r="I1968" s="18">
        <v>0.43</v>
      </c>
      <c r="J1968" s="14">
        <f t="shared" si="0"/>
        <v>134</v>
      </c>
      <c r="K1968" s="15" t="str">
        <f t="shared" si="1"/>
        <v>Exceeds Target</v>
      </c>
    </row>
    <row r="1969" spans="2:11" ht="15" customHeight="1">
      <c r="B1969" t="s">
        <v>109</v>
      </c>
      <c r="C1969" t="s">
        <v>2362</v>
      </c>
      <c r="D1969" t="s">
        <v>69</v>
      </c>
      <c r="E1969" t="s">
        <v>70</v>
      </c>
      <c r="F1969" s="17">
        <v>1000</v>
      </c>
      <c r="G1969" s="17">
        <v>85000</v>
      </c>
      <c r="H1969" s="17">
        <v>84000</v>
      </c>
      <c r="I1969" s="18">
        <v>0.95</v>
      </c>
      <c r="J1969" s="14">
        <f t="shared" si="0"/>
        <v>84</v>
      </c>
      <c r="K1969" s="15" t="str">
        <f t="shared" si="1"/>
        <v>Exceeds Target</v>
      </c>
    </row>
    <row r="1970" spans="2:11" ht="15" customHeight="1">
      <c r="B1970" t="s">
        <v>229</v>
      </c>
      <c r="C1970" t="s">
        <v>2363</v>
      </c>
      <c r="D1970" t="s">
        <v>69</v>
      </c>
      <c r="E1970" t="s">
        <v>70</v>
      </c>
      <c r="F1970" s="17">
        <v>1000</v>
      </c>
      <c r="G1970" s="17">
        <v>50000</v>
      </c>
      <c r="H1970" s="17">
        <v>49000</v>
      </c>
      <c r="I1970" s="18">
        <v>0.88</v>
      </c>
      <c r="J1970" s="14">
        <f t="shared" si="0"/>
        <v>49</v>
      </c>
      <c r="K1970" s="15" t="str">
        <f t="shared" si="1"/>
        <v>Exceeds Target</v>
      </c>
    </row>
    <row r="1971" spans="2:11" ht="15" customHeight="1">
      <c r="B1971" t="s">
        <v>596</v>
      </c>
      <c r="C1971" t="s">
        <v>2364</v>
      </c>
      <c r="D1971" t="s">
        <v>32</v>
      </c>
      <c r="E1971" t="s">
        <v>27</v>
      </c>
      <c r="F1971" s="17">
        <v>1500</v>
      </c>
      <c r="G1971" s="17">
        <v>12000</v>
      </c>
      <c r="H1971" s="17">
        <v>10500</v>
      </c>
      <c r="I1971" s="18">
        <v>0.71</v>
      </c>
      <c r="J1971" s="14">
        <f t="shared" si="0"/>
        <v>7</v>
      </c>
      <c r="K1971" s="15" t="str">
        <f t="shared" si="1"/>
        <v>Exceeds Target</v>
      </c>
    </row>
    <row r="1972" spans="2:11" ht="15" customHeight="1">
      <c r="B1972" t="s">
        <v>368</v>
      </c>
      <c r="C1972" t="s">
        <v>2365</v>
      </c>
      <c r="D1972" t="s">
        <v>35</v>
      </c>
      <c r="E1972" t="s">
        <v>27</v>
      </c>
      <c r="F1972" s="17">
        <v>3000</v>
      </c>
      <c r="G1972" s="17">
        <v>180000</v>
      </c>
      <c r="H1972" s="17">
        <v>177000</v>
      </c>
      <c r="I1972" s="18">
        <v>1</v>
      </c>
      <c r="J1972" s="14">
        <f t="shared" si="0"/>
        <v>59</v>
      </c>
      <c r="K1972" s="15" t="str">
        <f t="shared" si="1"/>
        <v>Exceeds Target</v>
      </c>
    </row>
    <row r="1973" spans="2:11" ht="15" customHeight="1">
      <c r="B1973" t="s">
        <v>123</v>
      </c>
      <c r="C1973" t="s">
        <v>2366</v>
      </c>
      <c r="D1973" t="s">
        <v>26</v>
      </c>
      <c r="E1973" t="s">
        <v>27</v>
      </c>
      <c r="F1973" s="17">
        <v>5000</v>
      </c>
      <c r="G1973" s="17">
        <v>90000</v>
      </c>
      <c r="H1973" s="17">
        <v>85000</v>
      </c>
      <c r="I1973" s="18">
        <v>0.12</v>
      </c>
      <c r="J1973" s="14">
        <f t="shared" si="0"/>
        <v>17</v>
      </c>
      <c r="K1973" s="15" t="str">
        <f t="shared" si="1"/>
        <v>Exceeds Target</v>
      </c>
    </row>
    <row r="1974" spans="2:11" ht="15" customHeight="1">
      <c r="B1974" t="s">
        <v>374</v>
      </c>
      <c r="C1974" t="s">
        <v>2367</v>
      </c>
      <c r="D1974" t="s">
        <v>69</v>
      </c>
      <c r="E1974" t="s">
        <v>70</v>
      </c>
      <c r="F1974" s="17">
        <v>1000</v>
      </c>
      <c r="G1974" s="17">
        <v>70000</v>
      </c>
      <c r="H1974" s="17">
        <v>69000</v>
      </c>
      <c r="I1974" s="18">
        <v>0.4</v>
      </c>
      <c r="J1974" s="14">
        <f t="shared" si="0"/>
        <v>69</v>
      </c>
      <c r="K1974" s="15" t="str">
        <f t="shared" si="1"/>
        <v>Exceeds Target</v>
      </c>
    </row>
    <row r="1975" spans="2:11" ht="15" customHeight="1">
      <c r="B1975" t="s">
        <v>670</v>
      </c>
      <c r="C1975" t="s">
        <v>2368</v>
      </c>
      <c r="D1975" t="s">
        <v>80</v>
      </c>
      <c r="E1975" t="s">
        <v>27</v>
      </c>
      <c r="F1975" s="17">
        <v>1000</v>
      </c>
      <c r="G1975" s="17">
        <v>84000</v>
      </c>
      <c r="H1975" s="17">
        <v>83000</v>
      </c>
      <c r="I1975" s="18">
        <v>0.94</v>
      </c>
      <c r="J1975" s="14">
        <f t="shared" si="0"/>
        <v>83</v>
      </c>
      <c r="K1975" s="15" t="str">
        <f t="shared" si="1"/>
        <v>Exceeds Target</v>
      </c>
    </row>
    <row r="1976" spans="2:11" ht="15" customHeight="1">
      <c r="B1976" t="s">
        <v>880</v>
      </c>
      <c r="C1976" t="s">
        <v>2369</v>
      </c>
      <c r="D1976" t="s">
        <v>80</v>
      </c>
      <c r="E1976" t="s">
        <v>27</v>
      </c>
      <c r="F1976" s="17">
        <v>1000</v>
      </c>
      <c r="G1976" s="17">
        <v>45000</v>
      </c>
      <c r="H1976" s="17">
        <v>44000</v>
      </c>
      <c r="I1976" s="18">
        <v>0.7</v>
      </c>
      <c r="J1976" s="14">
        <f t="shared" si="0"/>
        <v>44</v>
      </c>
      <c r="K1976" s="15" t="str">
        <f t="shared" si="1"/>
        <v>Exceeds Target</v>
      </c>
    </row>
    <row r="1977" spans="2:11" ht="15" customHeight="1">
      <c r="B1977" t="s">
        <v>899</v>
      </c>
      <c r="C1977" t="s">
        <v>2370</v>
      </c>
      <c r="D1977" t="s">
        <v>32</v>
      </c>
      <c r="E1977" t="s">
        <v>27</v>
      </c>
      <c r="F1977" s="17">
        <v>1500</v>
      </c>
      <c r="G1977" s="17">
        <v>14000</v>
      </c>
      <c r="H1977" s="17">
        <v>12500</v>
      </c>
      <c r="I1977" s="18">
        <v>0.52</v>
      </c>
      <c r="J1977" s="14">
        <f t="shared" si="0"/>
        <v>8.3333333333333339</v>
      </c>
      <c r="K1977" s="15" t="str">
        <f t="shared" si="1"/>
        <v>Exceeds Target</v>
      </c>
    </row>
    <row r="1978" spans="2:11" ht="15" customHeight="1">
      <c r="B1978" t="s">
        <v>673</v>
      </c>
      <c r="C1978" t="s">
        <v>2371</v>
      </c>
      <c r="D1978" t="s">
        <v>26</v>
      </c>
      <c r="E1978" t="s">
        <v>27</v>
      </c>
      <c r="F1978" s="17">
        <v>5000</v>
      </c>
      <c r="G1978" s="17">
        <v>90000</v>
      </c>
      <c r="H1978" s="17">
        <v>85000</v>
      </c>
      <c r="I1978" s="18">
        <v>0.09</v>
      </c>
      <c r="J1978" s="14">
        <f t="shared" si="0"/>
        <v>17</v>
      </c>
      <c r="K1978" s="15" t="str">
        <f t="shared" si="1"/>
        <v>Exceeds Target</v>
      </c>
    </row>
    <row r="1979" spans="2:11" ht="15" customHeight="1">
      <c r="B1979" t="s">
        <v>457</v>
      </c>
      <c r="C1979" t="s">
        <v>2372</v>
      </c>
      <c r="D1979" t="s">
        <v>35</v>
      </c>
      <c r="E1979" t="s">
        <v>27</v>
      </c>
      <c r="F1979" s="17">
        <v>3000</v>
      </c>
      <c r="G1979" s="17">
        <v>200000</v>
      </c>
      <c r="H1979" s="17">
        <v>197000</v>
      </c>
      <c r="I1979" s="18">
        <v>0.77</v>
      </c>
      <c r="J1979" s="14">
        <f t="shared" si="0"/>
        <v>65.666666666666671</v>
      </c>
      <c r="K1979" s="15" t="str">
        <f t="shared" si="1"/>
        <v>Exceeds Target</v>
      </c>
    </row>
    <row r="1980" spans="2:11" ht="15" customHeight="1">
      <c r="B1980" t="s">
        <v>287</v>
      </c>
      <c r="C1980" t="s">
        <v>2373</v>
      </c>
      <c r="D1980" t="s">
        <v>69</v>
      </c>
      <c r="E1980" t="s">
        <v>70</v>
      </c>
      <c r="F1980" s="17">
        <v>1000</v>
      </c>
      <c r="G1980" s="17">
        <v>70000</v>
      </c>
      <c r="H1980" s="17">
        <v>69000</v>
      </c>
      <c r="I1980" s="18">
        <v>0.84</v>
      </c>
      <c r="J1980" s="14">
        <f t="shared" si="0"/>
        <v>69</v>
      </c>
      <c r="K1980" s="15" t="str">
        <f t="shared" si="1"/>
        <v>Exceeds Target</v>
      </c>
    </row>
    <row r="1981" spans="2:11" ht="15" customHeight="1">
      <c r="B1981" t="s">
        <v>707</v>
      </c>
      <c r="C1981" t="s">
        <v>2374</v>
      </c>
      <c r="D1981" t="s">
        <v>26</v>
      </c>
      <c r="E1981" t="s">
        <v>27</v>
      </c>
      <c r="F1981" s="17">
        <v>5000</v>
      </c>
      <c r="G1981" s="17">
        <v>120000</v>
      </c>
      <c r="H1981" s="17">
        <v>115000</v>
      </c>
      <c r="I1981" s="18">
        <v>0.28000000000000003</v>
      </c>
      <c r="J1981" s="14">
        <f t="shared" si="0"/>
        <v>23</v>
      </c>
      <c r="K1981" s="15" t="str">
        <f t="shared" si="1"/>
        <v>Exceeds Target</v>
      </c>
    </row>
    <row r="1982" spans="2:11" ht="15" customHeight="1">
      <c r="B1982" t="s">
        <v>63</v>
      </c>
      <c r="C1982" t="s">
        <v>2375</v>
      </c>
      <c r="D1982" t="s">
        <v>26</v>
      </c>
      <c r="E1982" t="s">
        <v>27</v>
      </c>
      <c r="F1982" s="17">
        <v>5000</v>
      </c>
      <c r="G1982" s="17">
        <v>60000</v>
      </c>
      <c r="H1982" s="17">
        <v>55000</v>
      </c>
      <c r="I1982" s="18">
        <v>7.0000000000000007E-2</v>
      </c>
      <c r="J1982" s="14">
        <f t="shared" si="0"/>
        <v>11</v>
      </c>
      <c r="K1982" s="15" t="str">
        <f t="shared" si="1"/>
        <v>Exceeds Target</v>
      </c>
    </row>
    <row r="1983" spans="2:11" ht="15" customHeight="1">
      <c r="B1983" t="s">
        <v>131</v>
      </c>
      <c r="C1983" t="s">
        <v>2376</v>
      </c>
      <c r="D1983" t="s">
        <v>35</v>
      </c>
      <c r="E1983" t="s">
        <v>27</v>
      </c>
      <c r="F1983" s="17">
        <v>3000</v>
      </c>
      <c r="G1983" s="17">
        <v>230000</v>
      </c>
      <c r="H1983" s="17">
        <v>227000</v>
      </c>
      <c r="I1983" s="18">
        <v>0.72</v>
      </c>
      <c r="J1983" s="14">
        <f t="shared" si="0"/>
        <v>75.666666666666671</v>
      </c>
      <c r="K1983" s="15" t="str">
        <f t="shared" si="1"/>
        <v>Exceeds Target</v>
      </c>
    </row>
    <row r="1984" spans="2:11" ht="15" customHeight="1">
      <c r="B1984" t="s">
        <v>608</v>
      </c>
      <c r="C1984" t="s">
        <v>2377</v>
      </c>
      <c r="D1984" t="s">
        <v>80</v>
      </c>
      <c r="E1984" t="s">
        <v>27</v>
      </c>
      <c r="F1984" s="17">
        <v>1000</v>
      </c>
      <c r="G1984" s="17">
        <v>96000</v>
      </c>
      <c r="H1984" s="17">
        <v>95000</v>
      </c>
      <c r="I1984" s="18">
        <v>0.69</v>
      </c>
      <c r="J1984" s="14">
        <f t="shared" si="0"/>
        <v>95</v>
      </c>
      <c r="K1984" s="15" t="str">
        <f t="shared" si="1"/>
        <v>Exceeds Target</v>
      </c>
    </row>
    <row r="1985" spans="2:11" ht="15" customHeight="1">
      <c r="B1985" t="s">
        <v>657</v>
      </c>
      <c r="C1985" t="s">
        <v>2378</v>
      </c>
      <c r="D1985" t="s">
        <v>80</v>
      </c>
      <c r="E1985" t="s">
        <v>27</v>
      </c>
      <c r="F1985" s="17">
        <v>1000</v>
      </c>
      <c r="G1985" s="17">
        <v>51000</v>
      </c>
      <c r="H1985" s="17">
        <v>50000</v>
      </c>
      <c r="I1985" s="18">
        <v>0.96</v>
      </c>
      <c r="J1985" s="14">
        <f t="shared" si="0"/>
        <v>50</v>
      </c>
      <c r="K1985" s="15" t="str">
        <f t="shared" si="1"/>
        <v>Exceeds Target</v>
      </c>
    </row>
    <row r="1986" spans="2:11" ht="15" customHeight="1">
      <c r="B1986" t="s">
        <v>557</v>
      </c>
      <c r="C1986" t="s">
        <v>2379</v>
      </c>
      <c r="D1986" t="s">
        <v>80</v>
      </c>
      <c r="E1986" t="s">
        <v>27</v>
      </c>
      <c r="F1986" s="17">
        <v>1000</v>
      </c>
      <c r="G1986" s="17">
        <v>75000</v>
      </c>
      <c r="H1986" s="17">
        <v>74000</v>
      </c>
      <c r="I1986" s="18">
        <v>0.94</v>
      </c>
      <c r="J1986" s="14">
        <f t="shared" si="0"/>
        <v>74</v>
      </c>
      <c r="K1986" s="15" t="str">
        <f t="shared" si="1"/>
        <v>Exceeds Target</v>
      </c>
    </row>
    <row r="1987" spans="2:11" ht="15" customHeight="1">
      <c r="B1987" t="s">
        <v>776</v>
      </c>
      <c r="C1987" t="s">
        <v>2380</v>
      </c>
      <c r="D1987" t="s">
        <v>35</v>
      </c>
      <c r="E1987" t="s">
        <v>27</v>
      </c>
      <c r="F1987" s="17">
        <v>3000</v>
      </c>
      <c r="G1987" s="17">
        <v>60000</v>
      </c>
      <c r="H1987" s="17">
        <v>57000</v>
      </c>
      <c r="I1987" s="18">
        <v>0.8</v>
      </c>
      <c r="J1987" s="14">
        <f t="shared" si="0"/>
        <v>19</v>
      </c>
      <c r="K1987" s="15" t="str">
        <f t="shared" si="1"/>
        <v>Exceeds Target</v>
      </c>
    </row>
    <row r="1988" spans="2:11" ht="15" customHeight="1">
      <c r="B1988" t="s">
        <v>991</v>
      </c>
      <c r="C1988" t="s">
        <v>2381</v>
      </c>
      <c r="D1988" t="s">
        <v>26</v>
      </c>
      <c r="E1988" t="s">
        <v>27</v>
      </c>
      <c r="F1988" s="17">
        <v>5000</v>
      </c>
      <c r="G1988" s="17">
        <v>60000</v>
      </c>
      <c r="H1988" s="17">
        <v>55000</v>
      </c>
      <c r="I1988" s="18">
        <v>0.16</v>
      </c>
      <c r="J1988" s="14">
        <f t="shared" si="0"/>
        <v>11</v>
      </c>
      <c r="K1988" s="15" t="str">
        <f t="shared" si="1"/>
        <v>Exceeds Target</v>
      </c>
    </row>
    <row r="1989" spans="2:11" ht="15" customHeight="1">
      <c r="B1989" t="s">
        <v>150</v>
      </c>
      <c r="C1989" t="s">
        <v>2382</v>
      </c>
      <c r="D1989" t="s">
        <v>35</v>
      </c>
      <c r="E1989" t="s">
        <v>27</v>
      </c>
      <c r="F1989" s="17">
        <v>3000</v>
      </c>
      <c r="G1989" s="17">
        <v>200000</v>
      </c>
      <c r="H1989" s="17">
        <v>197000</v>
      </c>
      <c r="I1989" s="18">
        <v>0.66</v>
      </c>
      <c r="J1989" s="14">
        <f t="shared" si="0"/>
        <v>65.666666666666671</v>
      </c>
      <c r="K1989" s="15" t="str">
        <f t="shared" si="1"/>
        <v>Exceeds Target</v>
      </c>
    </row>
    <row r="1990" spans="2:11" ht="15" customHeight="1">
      <c r="B1990" t="s">
        <v>175</v>
      </c>
      <c r="C1990" t="s">
        <v>2383</v>
      </c>
      <c r="D1990" t="s">
        <v>69</v>
      </c>
      <c r="E1990" t="s">
        <v>70</v>
      </c>
      <c r="F1990" s="17">
        <v>1000</v>
      </c>
      <c r="G1990" s="17">
        <v>30000</v>
      </c>
      <c r="H1990" s="17">
        <v>29000</v>
      </c>
      <c r="I1990" s="18">
        <v>0.47</v>
      </c>
      <c r="J1990" s="14">
        <f t="shared" si="0"/>
        <v>29</v>
      </c>
      <c r="K1990" s="15" t="str">
        <f t="shared" si="1"/>
        <v>Exceeds Target</v>
      </c>
    </row>
    <row r="1991" spans="2:11" ht="15" customHeight="1">
      <c r="B1991" t="s">
        <v>85</v>
      </c>
      <c r="C1991" t="s">
        <v>2384</v>
      </c>
      <c r="D1991" t="s">
        <v>26</v>
      </c>
      <c r="E1991" t="s">
        <v>27</v>
      </c>
      <c r="F1991" s="17">
        <v>5000</v>
      </c>
      <c r="G1991" s="17">
        <v>60000</v>
      </c>
      <c r="H1991" s="17">
        <v>55000</v>
      </c>
      <c r="I1991" s="18">
        <v>0.38</v>
      </c>
      <c r="J1991" s="14">
        <f t="shared" si="0"/>
        <v>11</v>
      </c>
      <c r="K1991" s="15" t="str">
        <f t="shared" si="1"/>
        <v>Exceeds Target</v>
      </c>
    </row>
    <row r="1992" spans="2:11" ht="15" customHeight="1">
      <c r="B1992" t="s">
        <v>754</v>
      </c>
      <c r="C1992" t="s">
        <v>2385</v>
      </c>
      <c r="D1992" t="s">
        <v>80</v>
      </c>
      <c r="E1992" t="s">
        <v>27</v>
      </c>
      <c r="F1992" s="17">
        <v>1000</v>
      </c>
      <c r="G1992" s="17">
        <v>96000</v>
      </c>
      <c r="H1992" s="17">
        <v>95000</v>
      </c>
      <c r="I1992" s="18">
        <v>0.71</v>
      </c>
      <c r="J1992" s="14">
        <f t="shared" si="0"/>
        <v>95</v>
      </c>
      <c r="K1992" s="15" t="str">
        <f t="shared" si="1"/>
        <v>Exceeds Target</v>
      </c>
    </row>
    <row r="1993" spans="2:11" ht="15" customHeight="1">
      <c r="B1993" t="s">
        <v>123</v>
      </c>
      <c r="C1993" t="s">
        <v>2386</v>
      </c>
      <c r="D1993" t="s">
        <v>80</v>
      </c>
      <c r="E1993" t="s">
        <v>27</v>
      </c>
      <c r="F1993" s="17">
        <v>1000</v>
      </c>
      <c r="G1993" s="17">
        <v>111000</v>
      </c>
      <c r="H1993" s="17">
        <v>110000</v>
      </c>
      <c r="I1993" s="18">
        <v>0.74</v>
      </c>
      <c r="J1993" s="14">
        <f t="shared" si="0"/>
        <v>110</v>
      </c>
      <c r="K1993" s="15" t="str">
        <f t="shared" si="1"/>
        <v>Exceeds Target</v>
      </c>
    </row>
    <row r="1994" spans="2:11" ht="15" customHeight="1">
      <c r="B1994" t="s">
        <v>502</v>
      </c>
      <c r="C1994" t="s">
        <v>2387</v>
      </c>
      <c r="D1994" t="s">
        <v>80</v>
      </c>
      <c r="E1994" t="s">
        <v>27</v>
      </c>
      <c r="F1994" s="17">
        <v>1000</v>
      </c>
      <c r="G1994" s="17">
        <v>63000</v>
      </c>
      <c r="H1994" s="17">
        <v>62000</v>
      </c>
      <c r="I1994" s="18">
        <v>0.61</v>
      </c>
      <c r="J1994" s="14">
        <f t="shared" si="0"/>
        <v>62</v>
      </c>
      <c r="K1994" s="15" t="str">
        <f t="shared" si="1"/>
        <v>Exceeds Target</v>
      </c>
    </row>
    <row r="1995" spans="2:11" ht="15" customHeight="1">
      <c r="B1995" t="s">
        <v>376</v>
      </c>
      <c r="C1995" t="s">
        <v>2388</v>
      </c>
      <c r="D1995" t="s">
        <v>32</v>
      </c>
      <c r="E1995" t="s">
        <v>27</v>
      </c>
      <c r="F1995" s="17">
        <v>1500</v>
      </c>
      <c r="G1995" s="17">
        <v>32000</v>
      </c>
      <c r="H1995" s="17">
        <v>30500</v>
      </c>
      <c r="I1995" s="18">
        <v>0.79</v>
      </c>
      <c r="J1995" s="14">
        <f t="shared" si="0"/>
        <v>20.333333333333332</v>
      </c>
      <c r="K1995" s="15" t="str">
        <f t="shared" si="1"/>
        <v>Exceeds Target</v>
      </c>
    </row>
    <row r="1996" spans="2:11" ht="15" customHeight="1">
      <c r="B1996" t="s">
        <v>24</v>
      </c>
      <c r="C1996" t="s">
        <v>2389</v>
      </c>
      <c r="D1996" t="s">
        <v>26</v>
      </c>
      <c r="E1996" t="s">
        <v>27</v>
      </c>
      <c r="F1996" s="17">
        <v>5000</v>
      </c>
      <c r="G1996" s="17">
        <v>150000</v>
      </c>
      <c r="H1996" s="17">
        <v>145000</v>
      </c>
      <c r="I1996" s="18">
        <v>0.1</v>
      </c>
      <c r="J1996" s="14">
        <f t="shared" si="0"/>
        <v>29</v>
      </c>
      <c r="K1996" s="15" t="str">
        <f t="shared" si="1"/>
        <v>Exceeds Target</v>
      </c>
    </row>
    <row r="1997" spans="2:11" ht="15" customHeight="1">
      <c r="B1997" t="s">
        <v>343</v>
      </c>
      <c r="C1997" t="s">
        <v>2390</v>
      </c>
      <c r="D1997" t="s">
        <v>80</v>
      </c>
      <c r="E1997" t="s">
        <v>27</v>
      </c>
      <c r="F1997" s="17">
        <v>1000</v>
      </c>
      <c r="G1997" s="17">
        <v>111000</v>
      </c>
      <c r="H1997" s="17">
        <v>110000</v>
      </c>
      <c r="I1997" s="18">
        <v>0.83</v>
      </c>
      <c r="J1997" s="14">
        <f t="shared" si="0"/>
        <v>110</v>
      </c>
      <c r="K1997" s="15" t="str">
        <f t="shared" si="1"/>
        <v>Exceeds Target</v>
      </c>
    </row>
    <row r="1998" spans="2:11" ht="15" customHeight="1">
      <c r="B1998" t="s">
        <v>454</v>
      </c>
      <c r="C1998" t="s">
        <v>2391</v>
      </c>
      <c r="D1998" t="s">
        <v>35</v>
      </c>
      <c r="E1998" t="s">
        <v>27</v>
      </c>
      <c r="F1998" s="17">
        <v>3000</v>
      </c>
      <c r="G1998" s="17">
        <v>190000</v>
      </c>
      <c r="H1998" s="17">
        <v>187000</v>
      </c>
      <c r="I1998" s="18">
        <v>0.52</v>
      </c>
      <c r="J1998" s="14">
        <f t="shared" si="0"/>
        <v>62.333333333333336</v>
      </c>
      <c r="K1998" s="15" t="str">
        <f t="shared" si="1"/>
        <v>Exceeds Target</v>
      </c>
    </row>
    <row r="1999" spans="2:11" ht="15" customHeight="1">
      <c r="B1999" t="s">
        <v>514</v>
      </c>
      <c r="C1999" t="s">
        <v>2392</v>
      </c>
      <c r="D1999" t="s">
        <v>80</v>
      </c>
      <c r="E1999" t="s">
        <v>27</v>
      </c>
      <c r="F1999" s="17">
        <v>1000</v>
      </c>
      <c r="G1999" s="17">
        <v>90000</v>
      </c>
      <c r="H1999" s="17">
        <v>89000</v>
      </c>
      <c r="I1999" s="18">
        <v>0.97</v>
      </c>
      <c r="J1999" s="14">
        <f t="shared" si="0"/>
        <v>89</v>
      </c>
      <c r="K1999" s="15" t="str">
        <f t="shared" si="1"/>
        <v>Exceeds Target</v>
      </c>
    </row>
    <row r="2000" spans="2:11" ht="15" customHeight="1">
      <c r="B2000" t="s">
        <v>370</v>
      </c>
      <c r="C2000" t="s">
        <v>2393</v>
      </c>
      <c r="D2000" t="s">
        <v>69</v>
      </c>
      <c r="E2000" t="s">
        <v>70</v>
      </c>
      <c r="F2000" s="17">
        <v>1000</v>
      </c>
      <c r="G2000" s="17">
        <v>125000</v>
      </c>
      <c r="H2000" s="17">
        <v>124000</v>
      </c>
      <c r="I2000" s="18">
        <v>0.44</v>
      </c>
      <c r="J2000" s="14">
        <f t="shared" si="0"/>
        <v>124</v>
      </c>
      <c r="K2000" s="15" t="str">
        <f t="shared" si="1"/>
        <v>Exceeds Target</v>
      </c>
    </row>
    <row r="2001" spans="2:11" ht="15" customHeight="1">
      <c r="B2001" t="s">
        <v>236</v>
      </c>
      <c r="C2001" t="s">
        <v>2394</v>
      </c>
      <c r="D2001" t="s">
        <v>69</v>
      </c>
      <c r="E2001" t="s">
        <v>70</v>
      </c>
      <c r="F2001" s="17">
        <v>1000</v>
      </c>
      <c r="G2001" s="17">
        <v>145000</v>
      </c>
      <c r="H2001" s="17">
        <v>144000</v>
      </c>
      <c r="I2001" s="18">
        <v>0.69</v>
      </c>
      <c r="J2001" s="14">
        <f t="shared" si="0"/>
        <v>144</v>
      </c>
      <c r="K2001" s="15" t="str">
        <f t="shared" si="1"/>
        <v>Exceeds Target</v>
      </c>
    </row>
    <row r="2002" spans="2:11" ht="15" customHeight="1">
      <c r="B2002" t="s">
        <v>81</v>
      </c>
      <c r="C2002" t="s">
        <v>2395</v>
      </c>
      <c r="D2002" t="s">
        <v>26</v>
      </c>
      <c r="E2002" t="s">
        <v>27</v>
      </c>
      <c r="F2002" s="17">
        <v>5000</v>
      </c>
      <c r="G2002" s="17">
        <v>90000</v>
      </c>
      <c r="H2002" s="17">
        <v>85000</v>
      </c>
      <c r="I2002" s="18">
        <v>0.21</v>
      </c>
      <c r="J2002" s="14">
        <f t="shared" si="0"/>
        <v>17</v>
      </c>
      <c r="K2002" s="15" t="str">
        <f t="shared" si="1"/>
        <v>Exceeds Target</v>
      </c>
    </row>
    <row r="2003" spans="2:11" ht="15" customHeight="1">
      <c r="B2003" t="s">
        <v>167</v>
      </c>
      <c r="C2003" t="s">
        <v>2396</v>
      </c>
      <c r="D2003" t="s">
        <v>80</v>
      </c>
      <c r="E2003" t="s">
        <v>27</v>
      </c>
      <c r="F2003" s="17">
        <v>1000</v>
      </c>
      <c r="G2003" s="17">
        <v>111000</v>
      </c>
      <c r="H2003" s="17">
        <v>110000</v>
      </c>
      <c r="I2003" s="18">
        <v>0.84</v>
      </c>
      <c r="J2003" s="14">
        <f t="shared" si="0"/>
        <v>110</v>
      </c>
      <c r="K2003" s="15" t="str">
        <f t="shared" si="1"/>
        <v>Exceeds Target</v>
      </c>
    </row>
    <row r="2004" spans="2:11" ht="15" customHeight="1">
      <c r="B2004" t="s">
        <v>890</v>
      </c>
      <c r="C2004" t="s">
        <v>2397</v>
      </c>
      <c r="D2004" t="s">
        <v>80</v>
      </c>
      <c r="E2004" t="s">
        <v>27</v>
      </c>
      <c r="F2004" s="17">
        <v>1000</v>
      </c>
      <c r="G2004" s="17">
        <v>114000</v>
      </c>
      <c r="H2004" s="17">
        <v>113000</v>
      </c>
      <c r="I2004" s="18">
        <v>0.78</v>
      </c>
      <c r="J2004" s="14">
        <f t="shared" si="0"/>
        <v>113</v>
      </c>
      <c r="K2004" s="15" t="str">
        <f t="shared" si="1"/>
        <v>Exceeds Target</v>
      </c>
    </row>
    <row r="2005" spans="2:11" ht="15" customHeight="1">
      <c r="B2005" t="s">
        <v>509</v>
      </c>
      <c r="C2005" t="s">
        <v>2398</v>
      </c>
      <c r="D2005" t="s">
        <v>32</v>
      </c>
      <c r="E2005" t="s">
        <v>27</v>
      </c>
      <c r="F2005" s="17">
        <v>1500</v>
      </c>
      <c r="G2005" s="17">
        <v>24000</v>
      </c>
      <c r="H2005" s="17">
        <v>22500</v>
      </c>
      <c r="I2005" s="18">
        <v>0.89</v>
      </c>
      <c r="J2005" s="14">
        <f t="shared" si="0"/>
        <v>15</v>
      </c>
      <c r="K2005" s="15" t="str">
        <f t="shared" si="1"/>
        <v>Exceeds Target</v>
      </c>
    </row>
    <row r="2006" spans="2:11" ht="15" customHeight="1">
      <c r="B2006" t="s">
        <v>159</v>
      </c>
      <c r="C2006" t="s">
        <v>2399</v>
      </c>
      <c r="D2006" t="s">
        <v>32</v>
      </c>
      <c r="E2006" t="s">
        <v>27</v>
      </c>
      <c r="F2006" s="17">
        <v>1500</v>
      </c>
      <c r="G2006" s="17">
        <v>52000</v>
      </c>
      <c r="H2006" s="17">
        <v>50500</v>
      </c>
      <c r="I2006" s="18">
        <v>0.51</v>
      </c>
      <c r="J2006" s="14">
        <f t="shared" si="0"/>
        <v>33.666666666666664</v>
      </c>
      <c r="K2006" s="15" t="str">
        <f t="shared" si="1"/>
        <v>Exceeds Target</v>
      </c>
    </row>
    <row r="2007" spans="2:11" ht="15" customHeight="1">
      <c r="B2007" t="s">
        <v>685</v>
      </c>
      <c r="C2007" t="s">
        <v>2400</v>
      </c>
      <c r="D2007" t="s">
        <v>80</v>
      </c>
      <c r="E2007" t="s">
        <v>27</v>
      </c>
      <c r="F2007" s="17">
        <v>1000</v>
      </c>
      <c r="G2007" s="17">
        <v>102000</v>
      </c>
      <c r="H2007" s="17">
        <v>101000</v>
      </c>
      <c r="I2007" s="18">
        <v>0.68</v>
      </c>
      <c r="J2007" s="14">
        <f t="shared" si="0"/>
        <v>101</v>
      </c>
      <c r="K2007" s="15" t="str">
        <f t="shared" si="1"/>
        <v>Exceeds Target</v>
      </c>
    </row>
    <row r="2008" spans="2:11" ht="15" customHeight="1">
      <c r="B2008" t="s">
        <v>399</v>
      </c>
      <c r="C2008" t="s">
        <v>2401</v>
      </c>
      <c r="D2008" t="s">
        <v>35</v>
      </c>
      <c r="E2008" t="s">
        <v>27</v>
      </c>
      <c r="F2008" s="17">
        <v>3000</v>
      </c>
      <c r="G2008" s="17">
        <v>230000</v>
      </c>
      <c r="H2008" s="17">
        <v>227000</v>
      </c>
      <c r="I2008" s="18">
        <v>0.91</v>
      </c>
      <c r="J2008" s="14">
        <f t="shared" si="0"/>
        <v>75.666666666666671</v>
      </c>
      <c r="K2008" s="15" t="str">
        <f t="shared" si="1"/>
        <v>Exceeds Target</v>
      </c>
    </row>
    <row r="2009" spans="2:11" ht="15" customHeight="1">
      <c r="B2009" t="s">
        <v>155</v>
      </c>
      <c r="C2009" t="s">
        <v>2402</v>
      </c>
      <c r="D2009" t="s">
        <v>26</v>
      </c>
      <c r="E2009" t="s">
        <v>27</v>
      </c>
      <c r="F2009" s="17">
        <v>5000</v>
      </c>
      <c r="G2009" s="17">
        <v>90000</v>
      </c>
      <c r="H2009" s="17">
        <v>85000</v>
      </c>
      <c r="I2009" s="18">
        <v>0.3</v>
      </c>
      <c r="J2009" s="14">
        <f t="shared" si="0"/>
        <v>17</v>
      </c>
      <c r="K2009" s="15" t="str">
        <f t="shared" si="1"/>
        <v>Exceeds Target</v>
      </c>
    </row>
    <row r="2010" spans="2:11" ht="15" customHeight="1">
      <c r="B2010" t="s">
        <v>772</v>
      </c>
      <c r="C2010" t="s">
        <v>2403</v>
      </c>
      <c r="D2010" t="s">
        <v>80</v>
      </c>
      <c r="E2010" t="s">
        <v>27</v>
      </c>
      <c r="F2010" s="17">
        <v>1000</v>
      </c>
      <c r="G2010" s="17">
        <v>114000</v>
      </c>
      <c r="H2010" s="17">
        <v>113000</v>
      </c>
      <c r="I2010" s="18">
        <v>0.99</v>
      </c>
      <c r="J2010" s="14">
        <f t="shared" si="0"/>
        <v>113</v>
      </c>
      <c r="K2010" s="15" t="str">
        <f t="shared" si="1"/>
        <v>Exceeds Target</v>
      </c>
    </row>
    <row r="2011" spans="2:11" ht="15" customHeight="1">
      <c r="B2011" t="s">
        <v>494</v>
      </c>
      <c r="C2011" t="s">
        <v>2404</v>
      </c>
      <c r="D2011" t="s">
        <v>80</v>
      </c>
      <c r="E2011" t="s">
        <v>27</v>
      </c>
      <c r="F2011" s="17">
        <v>1000</v>
      </c>
      <c r="G2011" s="17">
        <v>63000</v>
      </c>
      <c r="H2011" s="17">
        <v>62000</v>
      </c>
      <c r="I2011" s="18">
        <v>0.82</v>
      </c>
      <c r="J2011" s="14">
        <f t="shared" si="0"/>
        <v>62</v>
      </c>
      <c r="K2011" s="15" t="str">
        <f t="shared" si="1"/>
        <v>Exceeds Target</v>
      </c>
    </row>
    <row r="2012" spans="2:11" ht="15" customHeight="1">
      <c r="B2012" t="s">
        <v>205</v>
      </c>
      <c r="C2012" t="s">
        <v>2405</v>
      </c>
      <c r="D2012" t="s">
        <v>80</v>
      </c>
      <c r="E2012" t="s">
        <v>27</v>
      </c>
      <c r="F2012" s="17">
        <v>1000</v>
      </c>
      <c r="G2012" s="17">
        <v>102000</v>
      </c>
      <c r="H2012" s="17">
        <v>101000</v>
      </c>
      <c r="I2012" s="18">
        <v>0.78</v>
      </c>
      <c r="J2012" s="14">
        <f t="shared" si="0"/>
        <v>101</v>
      </c>
      <c r="K2012" s="15" t="str">
        <f t="shared" si="1"/>
        <v>Exceeds Target</v>
      </c>
    </row>
    <row r="2013" spans="2:11" ht="15" customHeight="1">
      <c r="B2013" t="s">
        <v>408</v>
      </c>
      <c r="C2013" t="s">
        <v>2406</v>
      </c>
      <c r="D2013" t="s">
        <v>26</v>
      </c>
      <c r="E2013" t="s">
        <v>27</v>
      </c>
      <c r="F2013" s="17">
        <v>5000</v>
      </c>
      <c r="G2013" s="17">
        <v>150000</v>
      </c>
      <c r="H2013" s="17">
        <v>145000</v>
      </c>
      <c r="I2013" s="18">
        <v>0.26</v>
      </c>
      <c r="J2013" s="14">
        <f t="shared" si="0"/>
        <v>29</v>
      </c>
      <c r="K2013" s="15" t="str">
        <f t="shared" si="1"/>
        <v>Exceeds Target</v>
      </c>
    </row>
    <row r="2014" spans="2:11" ht="15" customHeight="1">
      <c r="B2014" t="s">
        <v>496</v>
      </c>
      <c r="C2014" t="s">
        <v>2407</v>
      </c>
      <c r="D2014" t="s">
        <v>69</v>
      </c>
      <c r="E2014" t="s">
        <v>70</v>
      </c>
      <c r="F2014" s="17">
        <v>1000</v>
      </c>
      <c r="G2014" s="17">
        <v>120000</v>
      </c>
      <c r="H2014" s="17">
        <v>119000</v>
      </c>
      <c r="I2014" s="18">
        <v>0.47</v>
      </c>
      <c r="J2014" s="14">
        <f t="shared" si="0"/>
        <v>119</v>
      </c>
      <c r="K2014" s="15" t="str">
        <f t="shared" si="1"/>
        <v>Exceeds Target</v>
      </c>
    </row>
    <row r="2015" spans="2:11" ht="15" customHeight="1">
      <c r="B2015" t="s">
        <v>131</v>
      </c>
      <c r="C2015" t="s">
        <v>2408</v>
      </c>
      <c r="D2015" t="s">
        <v>35</v>
      </c>
      <c r="E2015" t="s">
        <v>27</v>
      </c>
      <c r="F2015" s="17">
        <v>3000</v>
      </c>
      <c r="G2015" s="17">
        <v>280000</v>
      </c>
      <c r="H2015" s="17">
        <v>277000</v>
      </c>
      <c r="I2015" s="18">
        <v>0.69</v>
      </c>
      <c r="J2015" s="14">
        <f t="shared" si="0"/>
        <v>92.333333333333329</v>
      </c>
      <c r="K2015" s="15" t="str">
        <f t="shared" si="1"/>
        <v>Exceeds Target</v>
      </c>
    </row>
    <row r="2016" spans="2:11" ht="15" customHeight="1">
      <c r="B2016" t="s">
        <v>240</v>
      </c>
      <c r="C2016" t="s">
        <v>2409</v>
      </c>
      <c r="D2016" t="s">
        <v>80</v>
      </c>
      <c r="E2016" t="s">
        <v>27</v>
      </c>
      <c r="F2016" s="17">
        <v>1000</v>
      </c>
      <c r="G2016" s="17">
        <v>75000</v>
      </c>
      <c r="H2016" s="17">
        <v>74000</v>
      </c>
      <c r="I2016" s="18">
        <v>0.82</v>
      </c>
      <c r="J2016" s="14">
        <f t="shared" si="0"/>
        <v>74</v>
      </c>
      <c r="K2016" s="15" t="str">
        <f t="shared" si="1"/>
        <v>Exceeds Target</v>
      </c>
    </row>
    <row r="2017" spans="2:11" ht="15" customHeight="1">
      <c r="B2017" t="s">
        <v>169</v>
      </c>
      <c r="C2017" t="s">
        <v>2410</v>
      </c>
      <c r="D2017" t="s">
        <v>69</v>
      </c>
      <c r="E2017" t="s">
        <v>70</v>
      </c>
      <c r="F2017" s="17">
        <v>1000</v>
      </c>
      <c r="G2017" s="17">
        <v>45000</v>
      </c>
      <c r="H2017" s="17">
        <v>44000</v>
      </c>
      <c r="I2017" s="18">
        <v>0.19</v>
      </c>
      <c r="J2017" s="14">
        <f t="shared" si="0"/>
        <v>44</v>
      </c>
      <c r="K2017" s="15" t="str">
        <f t="shared" si="1"/>
        <v>Exceeds Target</v>
      </c>
    </row>
    <row r="2018" spans="2:11" ht="15" customHeight="1">
      <c r="B2018" t="s">
        <v>359</v>
      </c>
      <c r="C2018" t="s">
        <v>2411</v>
      </c>
      <c r="D2018" t="s">
        <v>80</v>
      </c>
      <c r="E2018" t="s">
        <v>27</v>
      </c>
      <c r="F2018" s="17">
        <v>1000</v>
      </c>
      <c r="G2018" s="17">
        <v>66000</v>
      </c>
      <c r="H2018" s="17">
        <v>65000</v>
      </c>
      <c r="I2018" s="18">
        <v>0.9</v>
      </c>
      <c r="J2018" s="14">
        <f t="shared" si="0"/>
        <v>65</v>
      </c>
      <c r="K2018" s="15" t="str">
        <f t="shared" si="1"/>
        <v>Exceeds Target</v>
      </c>
    </row>
    <row r="2019" spans="2:11" ht="15" customHeight="1">
      <c r="B2019" t="s">
        <v>121</v>
      </c>
      <c r="C2019" t="s">
        <v>2412</v>
      </c>
      <c r="D2019" t="s">
        <v>69</v>
      </c>
      <c r="E2019" t="s">
        <v>70</v>
      </c>
      <c r="F2019" s="17">
        <v>1000</v>
      </c>
      <c r="G2019" s="17">
        <v>105000</v>
      </c>
      <c r="H2019" s="17">
        <v>104000</v>
      </c>
      <c r="I2019" s="18">
        <v>0.91</v>
      </c>
      <c r="J2019" s="14">
        <f t="shared" si="0"/>
        <v>104</v>
      </c>
      <c r="K2019" s="15" t="str">
        <f t="shared" si="1"/>
        <v>Exceeds Target</v>
      </c>
    </row>
    <row r="2020" spans="2:11" ht="15" customHeight="1">
      <c r="B2020" t="s">
        <v>882</v>
      </c>
      <c r="C2020" t="s">
        <v>2413</v>
      </c>
      <c r="D2020" t="s">
        <v>32</v>
      </c>
      <c r="E2020" t="s">
        <v>27</v>
      </c>
      <c r="F2020" s="17">
        <v>1500</v>
      </c>
      <c r="G2020" s="17">
        <v>16000</v>
      </c>
      <c r="H2020" s="17">
        <v>14500</v>
      </c>
      <c r="I2020" s="18">
        <v>0.51</v>
      </c>
      <c r="J2020" s="14">
        <f t="shared" si="0"/>
        <v>9.6666666666666661</v>
      </c>
      <c r="K2020" s="15" t="str">
        <f t="shared" si="1"/>
        <v>Exceeds Target</v>
      </c>
    </row>
    <row r="2021" spans="2:11" ht="15" customHeight="1">
      <c r="B2021" t="s">
        <v>535</v>
      </c>
      <c r="C2021" t="s">
        <v>2414</v>
      </c>
      <c r="D2021" t="s">
        <v>69</v>
      </c>
      <c r="E2021" t="s">
        <v>70</v>
      </c>
      <c r="F2021" s="17">
        <v>1000</v>
      </c>
      <c r="G2021" s="17">
        <v>95000</v>
      </c>
      <c r="H2021" s="17">
        <v>94000</v>
      </c>
      <c r="I2021" s="18">
        <v>0.64</v>
      </c>
      <c r="J2021" s="14">
        <f t="shared" si="0"/>
        <v>94</v>
      </c>
      <c r="K2021" s="15" t="str">
        <f t="shared" si="1"/>
        <v>Exceeds Target</v>
      </c>
    </row>
    <row r="2022" spans="2:11" ht="15" customHeight="1">
      <c r="B2022" t="s">
        <v>1644</v>
      </c>
      <c r="C2022" t="s">
        <v>2415</v>
      </c>
      <c r="D2022" t="s">
        <v>69</v>
      </c>
      <c r="E2022" t="s">
        <v>70</v>
      </c>
      <c r="F2022" s="17">
        <v>1000</v>
      </c>
      <c r="G2022" s="17">
        <v>100000</v>
      </c>
      <c r="H2022" s="17">
        <v>99000</v>
      </c>
      <c r="I2022" s="18">
        <v>0.59</v>
      </c>
      <c r="J2022" s="14">
        <f t="shared" si="0"/>
        <v>99</v>
      </c>
      <c r="K2022" s="15" t="str">
        <f t="shared" si="1"/>
        <v>Exceeds Target</v>
      </c>
    </row>
    <row r="2023" spans="2:11" ht="15" customHeight="1">
      <c r="B2023" t="s">
        <v>394</v>
      </c>
      <c r="C2023" t="s">
        <v>2416</v>
      </c>
      <c r="D2023" t="s">
        <v>69</v>
      </c>
      <c r="E2023" t="s">
        <v>70</v>
      </c>
      <c r="F2023" s="17">
        <v>1000</v>
      </c>
      <c r="G2023" s="17">
        <v>95000</v>
      </c>
      <c r="H2023" s="17">
        <v>94000</v>
      </c>
      <c r="I2023" s="18">
        <v>0.66</v>
      </c>
      <c r="J2023" s="14">
        <f t="shared" si="0"/>
        <v>94</v>
      </c>
      <c r="K2023" s="15" t="str">
        <f t="shared" si="1"/>
        <v>Exceeds Target</v>
      </c>
    </row>
    <row r="2024" spans="2:11" ht="15" customHeight="1">
      <c r="B2024" t="s">
        <v>99</v>
      </c>
      <c r="C2024" t="s">
        <v>2417</v>
      </c>
      <c r="D2024" t="s">
        <v>26</v>
      </c>
      <c r="E2024" t="s">
        <v>27</v>
      </c>
      <c r="F2024" s="17">
        <v>5000</v>
      </c>
      <c r="G2024" s="17">
        <v>150000</v>
      </c>
      <c r="H2024" s="17">
        <v>145000</v>
      </c>
      <c r="I2024" s="18">
        <v>0.15</v>
      </c>
      <c r="J2024" s="14">
        <f t="shared" si="0"/>
        <v>29</v>
      </c>
      <c r="K2024" s="15" t="str">
        <f t="shared" si="1"/>
        <v>Exceeds Target</v>
      </c>
    </row>
    <row r="2025" spans="2:11" ht="15" customHeight="1">
      <c r="B2025" t="s">
        <v>471</v>
      </c>
      <c r="C2025" t="s">
        <v>2418</v>
      </c>
      <c r="D2025" t="s">
        <v>35</v>
      </c>
      <c r="E2025" t="s">
        <v>27</v>
      </c>
      <c r="F2025" s="17">
        <v>3000</v>
      </c>
      <c r="G2025" s="17">
        <v>200000</v>
      </c>
      <c r="H2025" s="17">
        <v>197000</v>
      </c>
      <c r="I2025" s="18">
        <v>0.4</v>
      </c>
      <c r="J2025" s="14">
        <f t="shared" si="0"/>
        <v>65.666666666666671</v>
      </c>
      <c r="K2025" s="15" t="str">
        <f t="shared" si="1"/>
        <v>Exceeds Target</v>
      </c>
    </row>
    <row r="2026" spans="2:11" ht="15" customHeight="1">
      <c r="B2026" t="s">
        <v>249</v>
      </c>
      <c r="C2026" t="s">
        <v>2419</v>
      </c>
      <c r="D2026" t="s">
        <v>35</v>
      </c>
      <c r="E2026" t="s">
        <v>27</v>
      </c>
      <c r="F2026" s="17">
        <v>3000</v>
      </c>
      <c r="G2026" s="17">
        <v>120000</v>
      </c>
      <c r="H2026" s="17">
        <v>117000</v>
      </c>
      <c r="I2026" s="18">
        <v>0.62</v>
      </c>
      <c r="J2026" s="14">
        <f t="shared" si="0"/>
        <v>39</v>
      </c>
      <c r="K2026" s="15" t="str">
        <f t="shared" si="1"/>
        <v>Exceeds Target</v>
      </c>
    </row>
    <row r="2027" spans="2:11" ht="15" customHeight="1">
      <c r="B2027" t="s">
        <v>982</v>
      </c>
      <c r="C2027" t="s">
        <v>2420</v>
      </c>
      <c r="D2027" t="s">
        <v>26</v>
      </c>
      <c r="E2027" t="s">
        <v>27</v>
      </c>
      <c r="F2027" s="17">
        <v>5000</v>
      </c>
      <c r="G2027" s="17">
        <v>30000</v>
      </c>
      <c r="H2027" s="17">
        <v>25000</v>
      </c>
      <c r="I2027" s="18">
        <v>0.38</v>
      </c>
      <c r="J2027" s="14">
        <f t="shared" si="0"/>
        <v>5</v>
      </c>
      <c r="K2027" s="15" t="str">
        <f t="shared" si="1"/>
        <v>Exceeds Target</v>
      </c>
    </row>
    <row r="2028" spans="2:11" ht="15" customHeight="1">
      <c r="B2028" t="s">
        <v>133</v>
      </c>
      <c r="C2028" t="s">
        <v>2421</v>
      </c>
      <c r="D2028" t="s">
        <v>69</v>
      </c>
      <c r="E2028" t="s">
        <v>70</v>
      </c>
      <c r="F2028" s="17">
        <v>1000</v>
      </c>
      <c r="G2028" s="17">
        <v>100000</v>
      </c>
      <c r="H2028" s="17">
        <v>99000</v>
      </c>
      <c r="I2028" s="18">
        <v>0.85</v>
      </c>
      <c r="J2028" s="14">
        <f t="shared" si="0"/>
        <v>99</v>
      </c>
      <c r="K2028" s="15" t="str">
        <f t="shared" si="1"/>
        <v>Exceeds Target</v>
      </c>
    </row>
    <row r="2029" spans="2:11" ht="15" customHeight="1">
      <c r="B2029" t="s">
        <v>828</v>
      </c>
      <c r="C2029" t="s">
        <v>2422</v>
      </c>
      <c r="D2029" t="s">
        <v>32</v>
      </c>
      <c r="E2029" t="s">
        <v>27</v>
      </c>
      <c r="F2029" s="17">
        <v>1500</v>
      </c>
      <c r="G2029" s="17">
        <v>58000</v>
      </c>
      <c r="H2029" s="17">
        <v>56500</v>
      </c>
      <c r="I2029" s="18">
        <v>0.85</v>
      </c>
      <c r="J2029" s="14">
        <f t="shared" si="0"/>
        <v>37.666666666666664</v>
      </c>
      <c r="K2029" s="15" t="str">
        <f t="shared" si="1"/>
        <v>Exceeds Target</v>
      </c>
    </row>
    <row r="2030" spans="2:11" ht="15" customHeight="1">
      <c r="B2030" t="s">
        <v>343</v>
      </c>
      <c r="C2030" t="s">
        <v>2423</v>
      </c>
      <c r="D2030" t="s">
        <v>26</v>
      </c>
      <c r="E2030" t="s">
        <v>27</v>
      </c>
      <c r="F2030" s="17">
        <v>5000</v>
      </c>
      <c r="G2030" s="17">
        <v>60000</v>
      </c>
      <c r="H2030" s="17">
        <v>55000</v>
      </c>
      <c r="I2030" s="18">
        <v>0.17</v>
      </c>
      <c r="J2030" s="14">
        <f t="shared" si="0"/>
        <v>11</v>
      </c>
      <c r="K2030" s="15" t="str">
        <f t="shared" si="1"/>
        <v>Exceeds Target</v>
      </c>
    </row>
    <row r="2031" spans="2:11" ht="15" customHeight="1">
      <c r="B2031" t="s">
        <v>471</v>
      </c>
      <c r="C2031" t="s">
        <v>2424</v>
      </c>
      <c r="D2031" t="s">
        <v>35</v>
      </c>
      <c r="E2031" t="s">
        <v>27</v>
      </c>
      <c r="F2031" s="17">
        <v>3000</v>
      </c>
      <c r="G2031" s="17">
        <v>150000</v>
      </c>
      <c r="H2031" s="17">
        <v>147000</v>
      </c>
      <c r="I2031" s="18">
        <v>0.72</v>
      </c>
      <c r="J2031" s="14">
        <f t="shared" si="0"/>
        <v>49</v>
      </c>
      <c r="K2031" s="15" t="str">
        <f t="shared" si="1"/>
        <v>Exceeds Target</v>
      </c>
    </row>
    <row r="2032" spans="2:11" ht="15" customHeight="1">
      <c r="B2032" t="s">
        <v>121</v>
      </c>
      <c r="C2032" t="s">
        <v>2425</v>
      </c>
      <c r="D2032" t="s">
        <v>32</v>
      </c>
      <c r="E2032" t="s">
        <v>27</v>
      </c>
      <c r="F2032" s="17">
        <v>1500</v>
      </c>
      <c r="G2032" s="17">
        <v>24000</v>
      </c>
      <c r="H2032" s="17">
        <v>22500</v>
      </c>
      <c r="I2032" s="18">
        <v>0.66</v>
      </c>
      <c r="J2032" s="14">
        <f t="shared" si="0"/>
        <v>15</v>
      </c>
      <c r="K2032" s="15" t="str">
        <f t="shared" si="1"/>
        <v>Exceeds Target</v>
      </c>
    </row>
    <row r="2033" spans="2:11" ht="15" customHeight="1">
      <c r="B2033" t="s">
        <v>1007</v>
      </c>
      <c r="C2033" t="s">
        <v>2426</v>
      </c>
      <c r="D2033" t="s">
        <v>80</v>
      </c>
      <c r="E2033" t="s">
        <v>27</v>
      </c>
      <c r="F2033" s="17">
        <v>1000</v>
      </c>
      <c r="G2033" s="17">
        <v>57000</v>
      </c>
      <c r="H2033" s="17">
        <v>56000</v>
      </c>
      <c r="I2033" s="18">
        <v>0.81</v>
      </c>
      <c r="J2033" s="14">
        <f t="shared" si="0"/>
        <v>56</v>
      </c>
      <c r="K2033" s="15" t="str">
        <f t="shared" si="1"/>
        <v>Exceeds Target</v>
      </c>
    </row>
    <row r="2034" spans="2:11" ht="15" customHeight="1">
      <c r="B2034" t="s">
        <v>566</v>
      </c>
      <c r="C2034" t="s">
        <v>2427</v>
      </c>
      <c r="D2034" t="s">
        <v>69</v>
      </c>
      <c r="E2034" t="s">
        <v>70</v>
      </c>
      <c r="F2034" s="17">
        <v>1000</v>
      </c>
      <c r="G2034" s="17">
        <v>65000</v>
      </c>
      <c r="H2034" s="17">
        <v>64000</v>
      </c>
      <c r="I2034" s="18">
        <v>0.82</v>
      </c>
      <c r="J2034" s="14">
        <f t="shared" si="0"/>
        <v>64</v>
      </c>
      <c r="K2034" s="15" t="str">
        <f t="shared" si="1"/>
        <v>Exceeds Target</v>
      </c>
    </row>
    <row r="2035" spans="2:11" ht="15" customHeight="1">
      <c r="B2035" t="s">
        <v>418</v>
      </c>
      <c r="C2035" t="s">
        <v>2428</v>
      </c>
      <c r="D2035" t="s">
        <v>35</v>
      </c>
      <c r="E2035" t="s">
        <v>27</v>
      </c>
      <c r="F2035" s="17">
        <v>3000</v>
      </c>
      <c r="G2035" s="17">
        <v>60000</v>
      </c>
      <c r="H2035" s="17">
        <v>57000</v>
      </c>
      <c r="I2035" s="18">
        <v>0.61</v>
      </c>
      <c r="J2035" s="14">
        <f t="shared" si="0"/>
        <v>19</v>
      </c>
      <c r="K2035" s="15" t="str">
        <f t="shared" si="1"/>
        <v>Exceeds Target</v>
      </c>
    </row>
    <row r="2036" spans="2:11" ht="15" customHeight="1">
      <c r="B2036" t="s">
        <v>991</v>
      </c>
      <c r="C2036" t="s">
        <v>2429</v>
      </c>
      <c r="D2036" t="s">
        <v>69</v>
      </c>
      <c r="E2036" t="s">
        <v>70</v>
      </c>
      <c r="F2036" s="17">
        <v>1000</v>
      </c>
      <c r="G2036" s="17">
        <v>80000</v>
      </c>
      <c r="H2036" s="17">
        <v>79000</v>
      </c>
      <c r="I2036" s="18">
        <v>0.41</v>
      </c>
      <c r="J2036" s="14">
        <f t="shared" si="0"/>
        <v>79</v>
      </c>
      <c r="K2036" s="15" t="str">
        <f t="shared" si="1"/>
        <v>Exceeds Target</v>
      </c>
    </row>
    <row r="2037" spans="2:11" ht="15" customHeight="1">
      <c r="B2037" t="s">
        <v>1349</v>
      </c>
      <c r="C2037" t="s">
        <v>2430</v>
      </c>
      <c r="D2037" t="s">
        <v>69</v>
      </c>
      <c r="E2037" t="s">
        <v>70</v>
      </c>
      <c r="F2037" s="17">
        <v>1000</v>
      </c>
      <c r="G2037" s="17">
        <v>130000</v>
      </c>
      <c r="H2037" s="17">
        <v>129000</v>
      </c>
      <c r="I2037" s="18">
        <v>0.39</v>
      </c>
      <c r="J2037" s="14">
        <f t="shared" si="0"/>
        <v>129</v>
      </c>
      <c r="K2037" s="15" t="str">
        <f t="shared" si="1"/>
        <v>Exceeds Target</v>
      </c>
    </row>
    <row r="2038" spans="2:11" ht="15" customHeight="1">
      <c r="B2038" t="s">
        <v>505</v>
      </c>
      <c r="C2038" t="s">
        <v>2431</v>
      </c>
      <c r="D2038" t="s">
        <v>32</v>
      </c>
      <c r="E2038" t="s">
        <v>27</v>
      </c>
      <c r="F2038" s="17">
        <v>1500</v>
      </c>
      <c r="G2038" s="17">
        <v>42000</v>
      </c>
      <c r="H2038" s="17">
        <v>40500</v>
      </c>
      <c r="I2038" s="18">
        <v>0.51</v>
      </c>
      <c r="J2038" s="14">
        <f t="shared" si="0"/>
        <v>27</v>
      </c>
      <c r="K2038" s="15" t="str">
        <f t="shared" si="1"/>
        <v>Exceeds Target</v>
      </c>
    </row>
    <row r="2039" spans="2:11" ht="15" customHeight="1">
      <c r="B2039" t="s">
        <v>837</v>
      </c>
      <c r="C2039" t="s">
        <v>2432</v>
      </c>
      <c r="D2039" t="s">
        <v>26</v>
      </c>
      <c r="E2039" t="s">
        <v>27</v>
      </c>
      <c r="F2039" s="17">
        <v>5000</v>
      </c>
      <c r="G2039" s="17">
        <v>150000</v>
      </c>
      <c r="H2039" s="17">
        <v>145000</v>
      </c>
      <c r="I2039" s="18">
        <v>0.39</v>
      </c>
      <c r="J2039" s="14">
        <f t="shared" si="0"/>
        <v>29</v>
      </c>
      <c r="K2039" s="15" t="str">
        <f t="shared" si="1"/>
        <v>Exceeds Target</v>
      </c>
    </row>
    <row r="2040" spans="2:11" ht="15" customHeight="1">
      <c r="B2040" t="s">
        <v>677</v>
      </c>
      <c r="C2040" t="s">
        <v>2433</v>
      </c>
      <c r="D2040" t="s">
        <v>80</v>
      </c>
      <c r="E2040" t="s">
        <v>27</v>
      </c>
      <c r="F2040" s="17">
        <v>1000</v>
      </c>
      <c r="G2040" s="17">
        <v>117000</v>
      </c>
      <c r="H2040" s="17">
        <v>116000</v>
      </c>
      <c r="I2040" s="18">
        <v>0.82</v>
      </c>
      <c r="J2040" s="14">
        <f t="shared" si="0"/>
        <v>116</v>
      </c>
      <c r="K2040" s="15" t="str">
        <f t="shared" si="1"/>
        <v>Exceeds Target</v>
      </c>
    </row>
    <row r="2041" spans="2:11" ht="15" customHeight="1">
      <c r="B2041" t="s">
        <v>1143</v>
      </c>
      <c r="C2041" t="s">
        <v>2434</v>
      </c>
      <c r="D2041" t="s">
        <v>80</v>
      </c>
      <c r="E2041" t="s">
        <v>27</v>
      </c>
      <c r="F2041" s="17">
        <v>1000</v>
      </c>
      <c r="G2041" s="17">
        <v>54000</v>
      </c>
      <c r="H2041" s="17">
        <v>53000</v>
      </c>
      <c r="I2041" s="18">
        <v>0.69</v>
      </c>
      <c r="J2041" s="14">
        <f t="shared" si="0"/>
        <v>53</v>
      </c>
      <c r="K2041" s="15" t="str">
        <f t="shared" si="1"/>
        <v>Exceeds Target</v>
      </c>
    </row>
    <row r="2042" spans="2:11" ht="15" customHeight="1">
      <c r="B2042" t="s">
        <v>760</v>
      </c>
      <c r="C2042" t="s">
        <v>2435</v>
      </c>
      <c r="D2042" t="s">
        <v>80</v>
      </c>
      <c r="E2042" t="s">
        <v>27</v>
      </c>
      <c r="F2042" s="17">
        <v>1000</v>
      </c>
      <c r="G2042" s="17">
        <v>102000</v>
      </c>
      <c r="H2042" s="17">
        <v>101000</v>
      </c>
      <c r="I2042" s="18">
        <v>0.7</v>
      </c>
      <c r="J2042" s="14">
        <f t="shared" si="0"/>
        <v>101</v>
      </c>
      <c r="K2042" s="15" t="str">
        <f t="shared" si="1"/>
        <v>Exceeds Target</v>
      </c>
    </row>
    <row r="2043" spans="2:11" ht="15" customHeight="1">
      <c r="B2043" t="s">
        <v>376</v>
      </c>
      <c r="C2043" t="s">
        <v>2436</v>
      </c>
      <c r="D2043" t="s">
        <v>69</v>
      </c>
      <c r="E2043" t="s">
        <v>70</v>
      </c>
      <c r="F2043" s="17">
        <v>1000</v>
      </c>
      <c r="G2043" s="17">
        <v>145000</v>
      </c>
      <c r="H2043" s="17">
        <v>144000</v>
      </c>
      <c r="I2043" s="18">
        <v>0.7</v>
      </c>
      <c r="J2043" s="14">
        <f t="shared" si="0"/>
        <v>144</v>
      </c>
      <c r="K2043" s="15" t="str">
        <f t="shared" si="1"/>
        <v>Exceeds Target</v>
      </c>
    </row>
    <row r="2044" spans="2:11" ht="15" customHeight="1">
      <c r="B2044" t="s">
        <v>289</v>
      </c>
      <c r="C2044" t="s">
        <v>2437</v>
      </c>
      <c r="D2044" t="s">
        <v>26</v>
      </c>
      <c r="E2044" t="s">
        <v>27</v>
      </c>
      <c r="F2044" s="17">
        <v>5000</v>
      </c>
      <c r="G2044" s="17">
        <v>60000</v>
      </c>
      <c r="H2044" s="17">
        <v>55000</v>
      </c>
      <c r="I2044" s="18">
        <v>0.08</v>
      </c>
      <c r="J2044" s="14">
        <f t="shared" si="0"/>
        <v>11</v>
      </c>
      <c r="K2044" s="15" t="str">
        <f t="shared" si="1"/>
        <v>Exceeds Target</v>
      </c>
    </row>
    <row r="2045" spans="2:11" ht="15" customHeight="1">
      <c r="B2045" t="s">
        <v>850</v>
      </c>
      <c r="C2045" t="s">
        <v>2438</v>
      </c>
      <c r="D2045" t="s">
        <v>69</v>
      </c>
      <c r="E2045" t="s">
        <v>70</v>
      </c>
      <c r="F2045" s="17">
        <v>1000</v>
      </c>
      <c r="G2045" s="17">
        <v>85000</v>
      </c>
      <c r="H2045" s="17">
        <v>84000</v>
      </c>
      <c r="I2045" s="18">
        <v>0.84</v>
      </c>
      <c r="J2045" s="14">
        <f t="shared" si="0"/>
        <v>84</v>
      </c>
      <c r="K2045" s="15" t="str">
        <f t="shared" si="1"/>
        <v>Exceeds Target</v>
      </c>
    </row>
    <row r="2046" spans="2:11" ht="15" customHeight="1">
      <c r="B2046" t="s">
        <v>782</v>
      </c>
      <c r="C2046" t="s">
        <v>2439</v>
      </c>
      <c r="D2046" t="s">
        <v>69</v>
      </c>
      <c r="E2046" t="s">
        <v>70</v>
      </c>
      <c r="F2046" s="17">
        <v>1000</v>
      </c>
      <c r="G2046" s="17">
        <v>90000</v>
      </c>
      <c r="H2046" s="17">
        <v>89000</v>
      </c>
      <c r="I2046" s="18">
        <v>0.92</v>
      </c>
      <c r="J2046" s="14">
        <f t="shared" si="0"/>
        <v>89</v>
      </c>
      <c r="K2046" s="15" t="str">
        <f t="shared" si="1"/>
        <v>Exceeds Target</v>
      </c>
    </row>
    <row r="2047" spans="2:11" ht="15" customHeight="1">
      <c r="B2047" t="s">
        <v>1018</v>
      </c>
      <c r="C2047" t="s">
        <v>2440</v>
      </c>
      <c r="D2047" t="s">
        <v>69</v>
      </c>
      <c r="E2047" t="s">
        <v>70</v>
      </c>
      <c r="F2047" s="17">
        <v>1000</v>
      </c>
      <c r="G2047" s="17">
        <v>140000</v>
      </c>
      <c r="H2047" s="17">
        <v>139000</v>
      </c>
      <c r="I2047" s="18">
        <v>0.56999999999999995</v>
      </c>
      <c r="J2047" s="14">
        <f t="shared" si="0"/>
        <v>139</v>
      </c>
      <c r="K2047" s="15" t="str">
        <f t="shared" si="1"/>
        <v>Exceeds Target</v>
      </c>
    </row>
    <row r="2048" spans="2:11" ht="15" customHeight="1">
      <c r="B2048" t="s">
        <v>467</v>
      </c>
      <c r="C2048" t="s">
        <v>2441</v>
      </c>
      <c r="D2048" t="s">
        <v>69</v>
      </c>
      <c r="E2048" t="s">
        <v>70</v>
      </c>
      <c r="F2048" s="17">
        <v>1000</v>
      </c>
      <c r="G2048" s="17">
        <v>90000</v>
      </c>
      <c r="H2048" s="17">
        <v>89000</v>
      </c>
      <c r="I2048" s="18">
        <v>0.83</v>
      </c>
      <c r="J2048" s="14">
        <f t="shared" si="0"/>
        <v>89</v>
      </c>
      <c r="K2048" s="15" t="str">
        <f t="shared" si="1"/>
        <v>Exceeds Target</v>
      </c>
    </row>
    <row r="2049" spans="2:11" ht="15" customHeight="1">
      <c r="B2049" t="s">
        <v>99</v>
      </c>
      <c r="C2049" t="s">
        <v>2442</v>
      </c>
      <c r="D2049" t="s">
        <v>26</v>
      </c>
      <c r="E2049" t="s">
        <v>27</v>
      </c>
      <c r="F2049" s="17">
        <v>5000</v>
      </c>
      <c r="G2049" s="17">
        <v>120000</v>
      </c>
      <c r="H2049" s="17">
        <v>115000</v>
      </c>
      <c r="I2049" s="18">
        <v>0.31</v>
      </c>
      <c r="J2049" s="14">
        <f t="shared" si="0"/>
        <v>23</v>
      </c>
      <c r="K2049" s="15" t="str">
        <f t="shared" si="1"/>
        <v>Exceeds Target</v>
      </c>
    </row>
    <row r="2050" spans="2:11" ht="15" customHeight="1">
      <c r="B2050" t="s">
        <v>471</v>
      </c>
      <c r="C2050" t="s">
        <v>2443</v>
      </c>
      <c r="D2050" t="s">
        <v>32</v>
      </c>
      <c r="E2050" t="s">
        <v>27</v>
      </c>
      <c r="F2050" s="17">
        <v>1500</v>
      </c>
      <c r="G2050" s="17">
        <v>36000</v>
      </c>
      <c r="H2050" s="17">
        <v>34500</v>
      </c>
      <c r="I2050" s="18">
        <v>0.55000000000000004</v>
      </c>
      <c r="J2050" s="14">
        <f t="shared" si="0"/>
        <v>23</v>
      </c>
      <c r="K2050" s="15" t="str">
        <f t="shared" si="1"/>
        <v>Exceeds Target</v>
      </c>
    </row>
    <row r="2051" spans="2:11" ht="15" customHeight="1">
      <c r="B2051" t="s">
        <v>776</v>
      </c>
      <c r="C2051" t="s">
        <v>2444</v>
      </c>
      <c r="D2051" t="s">
        <v>80</v>
      </c>
      <c r="E2051" t="s">
        <v>27</v>
      </c>
      <c r="F2051" s="17">
        <v>1000</v>
      </c>
      <c r="G2051" s="17">
        <v>45000</v>
      </c>
      <c r="H2051" s="17">
        <v>44000</v>
      </c>
      <c r="I2051" s="18">
        <v>0.57999999999999996</v>
      </c>
      <c r="J2051" s="14">
        <f t="shared" si="0"/>
        <v>44</v>
      </c>
      <c r="K2051" s="15" t="str">
        <f t="shared" si="1"/>
        <v>Exceeds Target</v>
      </c>
    </row>
    <row r="2052" spans="2:11" ht="15" customHeight="1">
      <c r="B2052" t="s">
        <v>743</v>
      </c>
      <c r="C2052" t="s">
        <v>2445</v>
      </c>
      <c r="D2052" t="s">
        <v>32</v>
      </c>
      <c r="E2052" t="s">
        <v>27</v>
      </c>
      <c r="F2052" s="17">
        <v>1500</v>
      </c>
      <c r="G2052" s="17">
        <v>22000</v>
      </c>
      <c r="H2052" s="17">
        <v>20500</v>
      </c>
      <c r="I2052" s="18">
        <v>0.71</v>
      </c>
      <c r="J2052" s="14">
        <f t="shared" si="0"/>
        <v>13.666666666666666</v>
      </c>
      <c r="K2052" s="15" t="str">
        <f t="shared" si="1"/>
        <v>Exceeds Target</v>
      </c>
    </row>
    <row r="2053" spans="2:11" ht="15" customHeight="1">
      <c r="B2053" t="s">
        <v>471</v>
      </c>
      <c r="C2053" t="s">
        <v>2446</v>
      </c>
      <c r="D2053" t="s">
        <v>26</v>
      </c>
      <c r="E2053" t="s">
        <v>27</v>
      </c>
      <c r="F2053" s="17">
        <v>5000</v>
      </c>
      <c r="G2053" s="17">
        <v>120000</v>
      </c>
      <c r="H2053" s="17">
        <v>115000</v>
      </c>
      <c r="I2053" s="18">
        <v>0.31</v>
      </c>
      <c r="J2053" s="14">
        <f t="shared" si="0"/>
        <v>23</v>
      </c>
      <c r="K2053" s="15" t="str">
        <f t="shared" si="1"/>
        <v>Exceeds Target</v>
      </c>
    </row>
    <row r="2054" spans="2:11" ht="15" customHeight="1">
      <c r="B2054" t="s">
        <v>832</v>
      </c>
      <c r="C2054" t="s">
        <v>2447</v>
      </c>
      <c r="D2054" t="s">
        <v>26</v>
      </c>
      <c r="E2054" t="s">
        <v>27</v>
      </c>
      <c r="F2054" s="17">
        <v>5000</v>
      </c>
      <c r="G2054" s="17">
        <v>60000</v>
      </c>
      <c r="H2054" s="17">
        <v>55000</v>
      </c>
      <c r="I2054" s="18">
        <v>0.12</v>
      </c>
      <c r="J2054" s="14">
        <f t="shared" si="0"/>
        <v>11</v>
      </c>
      <c r="K2054" s="15" t="str">
        <f t="shared" si="1"/>
        <v>Exceeds Target</v>
      </c>
    </row>
    <row r="2055" spans="2:11" ht="15" customHeight="1">
      <c r="B2055" t="s">
        <v>1323</v>
      </c>
      <c r="C2055" t="s">
        <v>2448</v>
      </c>
      <c r="D2055" t="s">
        <v>80</v>
      </c>
      <c r="E2055" t="s">
        <v>27</v>
      </c>
      <c r="F2055" s="17">
        <v>1000</v>
      </c>
      <c r="G2055" s="17">
        <v>54000</v>
      </c>
      <c r="H2055" s="17">
        <v>53000</v>
      </c>
      <c r="I2055" s="18">
        <v>1</v>
      </c>
      <c r="J2055" s="14">
        <f t="shared" si="0"/>
        <v>53</v>
      </c>
      <c r="K2055" s="15" t="str">
        <f t="shared" si="1"/>
        <v>Exceeds Target</v>
      </c>
    </row>
    <row r="2056" spans="2:11" ht="15" customHeight="1">
      <c r="B2056" t="s">
        <v>65</v>
      </c>
      <c r="C2056" t="s">
        <v>2449</v>
      </c>
      <c r="D2056" t="s">
        <v>80</v>
      </c>
      <c r="E2056" t="s">
        <v>27</v>
      </c>
      <c r="F2056" s="17">
        <v>1000</v>
      </c>
      <c r="G2056" s="17">
        <v>45000</v>
      </c>
      <c r="H2056" s="17">
        <v>44000</v>
      </c>
      <c r="I2056" s="18">
        <v>0.92</v>
      </c>
      <c r="J2056" s="14">
        <f t="shared" si="0"/>
        <v>44</v>
      </c>
      <c r="K2056" s="15" t="str">
        <f t="shared" si="1"/>
        <v>Exceeds Target</v>
      </c>
    </row>
    <row r="2057" spans="2:11" ht="15" customHeight="1">
      <c r="B2057" t="s">
        <v>229</v>
      </c>
      <c r="C2057" t="s">
        <v>2450</v>
      </c>
      <c r="D2057" t="s">
        <v>32</v>
      </c>
      <c r="E2057" t="s">
        <v>27</v>
      </c>
      <c r="F2057" s="17">
        <v>1500</v>
      </c>
      <c r="G2057" s="17">
        <v>58000</v>
      </c>
      <c r="H2057" s="17">
        <v>56500</v>
      </c>
      <c r="I2057" s="18">
        <v>0.38</v>
      </c>
      <c r="J2057" s="14">
        <f t="shared" si="0"/>
        <v>37.666666666666664</v>
      </c>
      <c r="K2057" s="15" t="str">
        <f t="shared" si="1"/>
        <v>Exceeds Target</v>
      </c>
    </row>
    <row r="2058" spans="2:11" ht="15" customHeight="1">
      <c r="B2058" t="s">
        <v>303</v>
      </c>
      <c r="C2058" t="s">
        <v>2451</v>
      </c>
      <c r="D2058" t="s">
        <v>80</v>
      </c>
      <c r="E2058" t="s">
        <v>27</v>
      </c>
      <c r="F2058" s="17">
        <v>1000</v>
      </c>
      <c r="G2058" s="17">
        <v>120000</v>
      </c>
      <c r="H2058" s="17">
        <v>119000</v>
      </c>
      <c r="I2058" s="18">
        <v>0.87</v>
      </c>
      <c r="J2058" s="14">
        <f t="shared" si="0"/>
        <v>119</v>
      </c>
      <c r="K2058" s="15" t="str">
        <f t="shared" si="1"/>
        <v>Exceeds Target</v>
      </c>
    </row>
    <row r="2059" spans="2:11" ht="15" customHeight="1">
      <c r="B2059" t="s">
        <v>854</v>
      </c>
      <c r="C2059" t="s">
        <v>2452</v>
      </c>
      <c r="D2059" t="s">
        <v>32</v>
      </c>
      <c r="E2059" t="s">
        <v>27</v>
      </c>
      <c r="F2059" s="17">
        <v>1500</v>
      </c>
      <c r="G2059" s="17">
        <v>56000</v>
      </c>
      <c r="H2059" s="17">
        <v>54500</v>
      </c>
      <c r="I2059" s="18">
        <v>0.86</v>
      </c>
      <c r="J2059" s="14">
        <f t="shared" si="0"/>
        <v>36.333333333333336</v>
      </c>
      <c r="K2059" s="15" t="str">
        <f t="shared" si="1"/>
        <v>Exceeds Target</v>
      </c>
    </row>
    <row r="2060" spans="2:11" ht="15" customHeight="1">
      <c r="B2060" t="s">
        <v>529</v>
      </c>
      <c r="C2060" t="s">
        <v>2453</v>
      </c>
      <c r="D2060" t="s">
        <v>35</v>
      </c>
      <c r="E2060" t="s">
        <v>27</v>
      </c>
      <c r="F2060" s="17">
        <v>3000</v>
      </c>
      <c r="G2060" s="17">
        <v>150000</v>
      </c>
      <c r="H2060" s="17">
        <v>147000</v>
      </c>
      <c r="I2060" s="18">
        <v>0.89</v>
      </c>
      <c r="J2060" s="14">
        <f t="shared" si="0"/>
        <v>49</v>
      </c>
      <c r="K2060" s="15" t="str">
        <f t="shared" si="1"/>
        <v>Exceeds Target</v>
      </c>
    </row>
    <row r="2061" spans="2:11" ht="15" customHeight="1">
      <c r="B2061" t="s">
        <v>568</v>
      </c>
      <c r="C2061" t="s">
        <v>2454</v>
      </c>
      <c r="D2061" t="s">
        <v>26</v>
      </c>
      <c r="E2061" t="s">
        <v>27</v>
      </c>
      <c r="F2061" s="17">
        <v>5000</v>
      </c>
      <c r="G2061" s="17">
        <v>30000</v>
      </c>
      <c r="H2061" s="17">
        <v>25000</v>
      </c>
      <c r="I2061" s="18">
        <v>0.23</v>
      </c>
      <c r="J2061" s="14">
        <f t="shared" si="0"/>
        <v>5</v>
      </c>
      <c r="K2061" s="15" t="str">
        <f t="shared" si="1"/>
        <v>Exceeds Target</v>
      </c>
    </row>
    <row r="2062" spans="2:11" ht="15" customHeight="1">
      <c r="B2062" t="s">
        <v>1516</v>
      </c>
      <c r="C2062" t="s">
        <v>2455</v>
      </c>
      <c r="D2062" t="s">
        <v>69</v>
      </c>
      <c r="E2062" t="s">
        <v>70</v>
      </c>
      <c r="F2062" s="17">
        <v>1000</v>
      </c>
      <c r="G2062" s="17">
        <v>90000</v>
      </c>
      <c r="H2062" s="17">
        <v>89000</v>
      </c>
      <c r="I2062" s="18">
        <v>0.79</v>
      </c>
      <c r="J2062" s="14">
        <f t="shared" si="0"/>
        <v>89</v>
      </c>
      <c r="K2062" s="15" t="str">
        <f t="shared" si="1"/>
        <v>Exceeds Target</v>
      </c>
    </row>
    <row r="2063" spans="2:11" ht="15" customHeight="1">
      <c r="B2063" t="s">
        <v>103</v>
      </c>
      <c r="C2063" t="s">
        <v>2456</v>
      </c>
      <c r="D2063" t="s">
        <v>32</v>
      </c>
      <c r="E2063" t="s">
        <v>27</v>
      </c>
      <c r="F2063" s="17">
        <v>1500</v>
      </c>
      <c r="G2063" s="17">
        <v>20000</v>
      </c>
      <c r="H2063" s="17">
        <v>18500</v>
      </c>
      <c r="I2063" s="18">
        <v>0.74</v>
      </c>
      <c r="J2063" s="14">
        <f t="shared" si="0"/>
        <v>12.333333333333334</v>
      </c>
      <c r="K2063" s="15" t="str">
        <f t="shared" si="1"/>
        <v>Exceeds Target</v>
      </c>
    </row>
    <row r="2064" spans="2:11" ht="15" customHeight="1">
      <c r="B2064" t="s">
        <v>489</v>
      </c>
      <c r="C2064" t="s">
        <v>2457</v>
      </c>
      <c r="D2064" t="s">
        <v>35</v>
      </c>
      <c r="E2064" t="s">
        <v>27</v>
      </c>
      <c r="F2064" s="17">
        <v>3000</v>
      </c>
      <c r="G2064" s="17">
        <v>190000</v>
      </c>
      <c r="H2064" s="17">
        <v>187000</v>
      </c>
      <c r="I2064" s="18">
        <v>0.67</v>
      </c>
      <c r="J2064" s="14">
        <f t="shared" si="0"/>
        <v>62.333333333333336</v>
      </c>
      <c r="K2064" s="15" t="str">
        <f t="shared" si="1"/>
        <v>Exceeds Target</v>
      </c>
    </row>
    <row r="2065" spans="2:11" ht="15" customHeight="1">
      <c r="B2065" t="s">
        <v>252</v>
      </c>
      <c r="C2065" t="s">
        <v>2458</v>
      </c>
      <c r="D2065" t="s">
        <v>80</v>
      </c>
      <c r="E2065" t="s">
        <v>27</v>
      </c>
      <c r="F2065" s="17">
        <v>1000</v>
      </c>
      <c r="G2065" s="17">
        <v>51000</v>
      </c>
      <c r="H2065" s="17">
        <v>50000</v>
      </c>
      <c r="I2065" s="18">
        <v>0.88</v>
      </c>
      <c r="J2065" s="14">
        <f t="shared" si="0"/>
        <v>50</v>
      </c>
      <c r="K2065" s="15" t="str">
        <f t="shared" si="1"/>
        <v>Exceeds Target</v>
      </c>
    </row>
    <row r="2066" spans="2:11" ht="15" customHeight="1">
      <c r="B2066" t="s">
        <v>907</v>
      </c>
      <c r="C2066" t="s">
        <v>2459</v>
      </c>
      <c r="D2066" t="s">
        <v>26</v>
      </c>
      <c r="E2066" t="s">
        <v>27</v>
      </c>
      <c r="F2066" s="17">
        <v>5000</v>
      </c>
      <c r="G2066" s="17">
        <v>150000</v>
      </c>
      <c r="H2066" s="17">
        <v>145000</v>
      </c>
      <c r="I2066" s="18">
        <v>0.08</v>
      </c>
      <c r="J2066" s="14">
        <f t="shared" si="0"/>
        <v>29</v>
      </c>
      <c r="K2066" s="15" t="str">
        <f t="shared" si="1"/>
        <v>Exceeds Target</v>
      </c>
    </row>
    <row r="2067" spans="2:11" ht="15" customHeight="1">
      <c r="B2067" t="s">
        <v>1462</v>
      </c>
      <c r="C2067" t="s">
        <v>2460</v>
      </c>
      <c r="D2067" t="s">
        <v>35</v>
      </c>
      <c r="E2067" t="s">
        <v>27</v>
      </c>
      <c r="F2067" s="17">
        <v>3000</v>
      </c>
      <c r="G2067" s="17">
        <v>70000</v>
      </c>
      <c r="H2067" s="17">
        <v>67000</v>
      </c>
      <c r="I2067" s="18">
        <v>0.66</v>
      </c>
      <c r="J2067" s="14">
        <f t="shared" si="0"/>
        <v>22.333333333333332</v>
      </c>
      <c r="K2067" s="15" t="str">
        <f t="shared" si="1"/>
        <v>Exceeds Target</v>
      </c>
    </row>
    <row r="2068" spans="2:11" ht="15" customHeight="1">
      <c r="B2068" t="s">
        <v>432</v>
      </c>
      <c r="C2068" t="s">
        <v>2461</v>
      </c>
      <c r="D2068" t="s">
        <v>80</v>
      </c>
      <c r="E2068" t="s">
        <v>27</v>
      </c>
      <c r="F2068" s="17">
        <v>1000</v>
      </c>
      <c r="G2068" s="17">
        <v>111000</v>
      </c>
      <c r="H2068" s="17">
        <v>110000</v>
      </c>
      <c r="I2068" s="18">
        <v>0.7</v>
      </c>
      <c r="J2068" s="14">
        <f t="shared" si="0"/>
        <v>110</v>
      </c>
      <c r="K2068" s="15" t="str">
        <f t="shared" si="1"/>
        <v>Exceeds Target</v>
      </c>
    </row>
    <row r="2069" spans="2:11" ht="15" customHeight="1">
      <c r="B2069" t="s">
        <v>880</v>
      </c>
      <c r="C2069" t="s">
        <v>2462</v>
      </c>
      <c r="D2069" t="s">
        <v>26</v>
      </c>
      <c r="E2069" t="s">
        <v>27</v>
      </c>
      <c r="F2069" s="17">
        <v>5000</v>
      </c>
      <c r="G2069" s="17">
        <v>90000</v>
      </c>
      <c r="H2069" s="17">
        <v>85000</v>
      </c>
      <c r="I2069" s="18">
        <v>0.23</v>
      </c>
      <c r="J2069" s="14">
        <f t="shared" si="0"/>
        <v>17</v>
      </c>
      <c r="K2069" s="15" t="str">
        <f t="shared" si="1"/>
        <v>Exceeds Target</v>
      </c>
    </row>
    <row r="2070" spans="2:11" ht="15" customHeight="1">
      <c r="B2070" t="s">
        <v>1305</v>
      </c>
      <c r="C2070" t="s">
        <v>2463</v>
      </c>
      <c r="D2070" t="s">
        <v>69</v>
      </c>
      <c r="E2070" t="s">
        <v>70</v>
      </c>
      <c r="F2070" s="17">
        <v>1000</v>
      </c>
      <c r="G2070" s="17">
        <v>55000</v>
      </c>
      <c r="H2070" s="17">
        <v>54000</v>
      </c>
      <c r="I2070" s="18">
        <v>0.9</v>
      </c>
      <c r="J2070" s="14">
        <f t="shared" si="0"/>
        <v>54</v>
      </c>
      <c r="K2070" s="15" t="str">
        <f t="shared" si="1"/>
        <v>Exceeds Target</v>
      </c>
    </row>
    <row r="2071" spans="2:11" ht="15" customHeight="1">
      <c r="B2071" t="s">
        <v>999</v>
      </c>
      <c r="C2071" t="s">
        <v>2464</v>
      </c>
      <c r="D2071" t="s">
        <v>80</v>
      </c>
      <c r="E2071" t="s">
        <v>27</v>
      </c>
      <c r="F2071" s="17">
        <v>1000</v>
      </c>
      <c r="G2071" s="17">
        <v>105000</v>
      </c>
      <c r="H2071" s="17">
        <v>104000</v>
      </c>
      <c r="I2071" s="18">
        <v>0.94</v>
      </c>
      <c r="J2071" s="14">
        <f t="shared" si="0"/>
        <v>104</v>
      </c>
      <c r="K2071" s="15" t="str">
        <f t="shared" si="1"/>
        <v>Exceeds Target</v>
      </c>
    </row>
    <row r="2072" spans="2:11" ht="15" customHeight="1">
      <c r="B2072" t="s">
        <v>452</v>
      </c>
      <c r="C2072" t="s">
        <v>2465</v>
      </c>
      <c r="D2072" t="s">
        <v>80</v>
      </c>
      <c r="E2072" t="s">
        <v>27</v>
      </c>
      <c r="F2072" s="17">
        <v>1000</v>
      </c>
      <c r="G2072" s="17">
        <v>48000</v>
      </c>
      <c r="H2072" s="17">
        <v>47000</v>
      </c>
      <c r="I2072" s="18">
        <v>0.7</v>
      </c>
      <c r="J2072" s="14">
        <f t="shared" si="0"/>
        <v>47</v>
      </c>
      <c r="K2072" s="15" t="str">
        <f t="shared" si="1"/>
        <v>Exceeds Target</v>
      </c>
    </row>
    <row r="2073" spans="2:11" ht="15" customHeight="1">
      <c r="B2073" t="s">
        <v>993</v>
      </c>
      <c r="C2073" t="s">
        <v>2466</v>
      </c>
      <c r="D2073" t="s">
        <v>69</v>
      </c>
      <c r="E2073" t="s">
        <v>70</v>
      </c>
      <c r="F2073" s="17">
        <v>1000</v>
      </c>
      <c r="G2073" s="17">
        <v>30000</v>
      </c>
      <c r="H2073" s="17">
        <v>29000</v>
      </c>
      <c r="I2073" s="18">
        <v>0.51</v>
      </c>
      <c r="J2073" s="14">
        <f t="shared" si="0"/>
        <v>29</v>
      </c>
      <c r="K2073" s="15" t="str">
        <f t="shared" si="1"/>
        <v>Exceeds Target</v>
      </c>
    </row>
    <row r="2074" spans="2:11" ht="15" customHeight="1">
      <c r="B2074" t="s">
        <v>54</v>
      </c>
      <c r="C2074" t="s">
        <v>2467</v>
      </c>
      <c r="D2074" t="s">
        <v>26</v>
      </c>
      <c r="E2074" t="s">
        <v>27</v>
      </c>
      <c r="F2074" s="17">
        <v>5000</v>
      </c>
      <c r="G2074" s="17">
        <v>90000</v>
      </c>
      <c r="H2074" s="17">
        <v>85000</v>
      </c>
      <c r="I2074" s="18">
        <v>0.33</v>
      </c>
      <c r="J2074" s="14">
        <f t="shared" si="0"/>
        <v>17</v>
      </c>
      <c r="K2074" s="15" t="str">
        <f t="shared" si="1"/>
        <v>Exceeds Target</v>
      </c>
    </row>
    <row r="2075" spans="2:11" ht="15" customHeight="1">
      <c r="B2075" t="s">
        <v>30</v>
      </c>
      <c r="C2075" t="s">
        <v>2468</v>
      </c>
      <c r="D2075" t="s">
        <v>32</v>
      </c>
      <c r="E2075" t="s">
        <v>27</v>
      </c>
      <c r="F2075" s="17">
        <v>1500</v>
      </c>
      <c r="G2075" s="17">
        <v>22000</v>
      </c>
      <c r="H2075" s="17">
        <v>20500</v>
      </c>
      <c r="I2075" s="18">
        <v>0.81</v>
      </c>
      <c r="J2075" s="14">
        <f t="shared" si="0"/>
        <v>13.666666666666666</v>
      </c>
      <c r="K2075" s="15" t="str">
        <f t="shared" si="1"/>
        <v>Exceeds Target</v>
      </c>
    </row>
    <row r="2076" spans="2:11" ht="15" customHeight="1">
      <c r="B2076" t="s">
        <v>639</v>
      </c>
      <c r="C2076" t="s">
        <v>2469</v>
      </c>
      <c r="D2076" t="s">
        <v>80</v>
      </c>
      <c r="E2076" t="s">
        <v>27</v>
      </c>
      <c r="F2076" s="17">
        <v>1000</v>
      </c>
      <c r="G2076" s="17">
        <v>87000</v>
      </c>
      <c r="H2076" s="17">
        <v>86000</v>
      </c>
      <c r="I2076" s="18">
        <v>0.79</v>
      </c>
      <c r="J2076" s="14">
        <f t="shared" si="0"/>
        <v>86</v>
      </c>
      <c r="K2076" s="15" t="str">
        <f t="shared" si="1"/>
        <v>Exceeds Target</v>
      </c>
    </row>
    <row r="2077" spans="2:11" ht="15" customHeight="1">
      <c r="B2077" t="s">
        <v>397</v>
      </c>
      <c r="C2077" t="s">
        <v>2470</v>
      </c>
      <c r="D2077" t="s">
        <v>80</v>
      </c>
      <c r="E2077" t="s">
        <v>27</v>
      </c>
      <c r="F2077" s="17">
        <v>1000</v>
      </c>
      <c r="G2077" s="17">
        <v>99000</v>
      </c>
      <c r="H2077" s="17">
        <v>98000</v>
      </c>
      <c r="I2077" s="18">
        <v>0.69</v>
      </c>
      <c r="J2077" s="14">
        <f t="shared" si="0"/>
        <v>98</v>
      </c>
      <c r="K2077" s="15" t="str">
        <f t="shared" si="1"/>
        <v>Exceeds Target</v>
      </c>
    </row>
    <row r="2078" spans="2:11" ht="15" customHeight="1">
      <c r="B2078" t="s">
        <v>420</v>
      </c>
      <c r="C2078" t="s">
        <v>2471</v>
      </c>
      <c r="D2078" t="s">
        <v>69</v>
      </c>
      <c r="E2078" t="s">
        <v>70</v>
      </c>
      <c r="F2078" s="17">
        <v>1000</v>
      </c>
      <c r="G2078" s="17">
        <v>80000</v>
      </c>
      <c r="H2078" s="17">
        <v>79000</v>
      </c>
      <c r="I2078" s="18">
        <v>0.81</v>
      </c>
      <c r="J2078" s="14">
        <f t="shared" si="0"/>
        <v>79</v>
      </c>
      <c r="K2078" s="15" t="str">
        <f t="shared" si="1"/>
        <v>Exceeds Target</v>
      </c>
    </row>
    <row r="2079" spans="2:11" ht="15" customHeight="1">
      <c r="B2079" t="s">
        <v>613</v>
      </c>
      <c r="C2079" t="s">
        <v>2472</v>
      </c>
      <c r="D2079" t="s">
        <v>32</v>
      </c>
      <c r="E2079" t="s">
        <v>27</v>
      </c>
      <c r="F2079" s="17">
        <v>1500</v>
      </c>
      <c r="G2079" s="17">
        <v>52000</v>
      </c>
      <c r="H2079" s="17">
        <v>50500</v>
      </c>
      <c r="I2079" s="18">
        <v>0.74</v>
      </c>
      <c r="J2079" s="14">
        <f t="shared" si="0"/>
        <v>33.666666666666664</v>
      </c>
      <c r="K2079" s="15" t="str">
        <f t="shared" si="1"/>
        <v>Exceeds Target</v>
      </c>
    </row>
    <row r="2080" spans="2:11" ht="15" customHeight="1">
      <c r="B2080" t="s">
        <v>192</v>
      </c>
      <c r="C2080" t="s">
        <v>2473</v>
      </c>
      <c r="D2080" t="s">
        <v>69</v>
      </c>
      <c r="E2080" t="s">
        <v>70</v>
      </c>
      <c r="F2080" s="17">
        <v>1000</v>
      </c>
      <c r="G2080" s="17">
        <v>65000</v>
      </c>
      <c r="H2080" s="17">
        <v>64000</v>
      </c>
      <c r="I2080" s="18">
        <v>0.95</v>
      </c>
      <c r="J2080" s="14">
        <f t="shared" si="0"/>
        <v>64</v>
      </c>
      <c r="K2080" s="15" t="str">
        <f t="shared" si="1"/>
        <v>Exceeds Target</v>
      </c>
    </row>
    <row r="2081" spans="2:11" ht="15" customHeight="1">
      <c r="B2081" t="s">
        <v>392</v>
      </c>
      <c r="C2081" t="s">
        <v>2474</v>
      </c>
      <c r="D2081" t="s">
        <v>26</v>
      </c>
      <c r="E2081" t="s">
        <v>27</v>
      </c>
      <c r="F2081" s="17">
        <v>5000</v>
      </c>
      <c r="G2081" s="17">
        <v>90000</v>
      </c>
      <c r="H2081" s="17">
        <v>85000</v>
      </c>
      <c r="I2081" s="18">
        <v>0.4</v>
      </c>
      <c r="J2081" s="14">
        <f t="shared" si="0"/>
        <v>17</v>
      </c>
      <c r="K2081" s="15" t="str">
        <f t="shared" si="1"/>
        <v>Exceeds Target</v>
      </c>
    </row>
    <row r="2082" spans="2:11" ht="15" customHeight="1">
      <c r="B2082" t="s">
        <v>907</v>
      </c>
      <c r="C2082" t="s">
        <v>2475</v>
      </c>
      <c r="D2082" t="s">
        <v>80</v>
      </c>
      <c r="E2082" t="s">
        <v>27</v>
      </c>
      <c r="F2082" s="17">
        <v>1000</v>
      </c>
      <c r="G2082" s="17">
        <v>72000</v>
      </c>
      <c r="H2082" s="17">
        <v>71000</v>
      </c>
      <c r="I2082" s="18">
        <v>0.79</v>
      </c>
      <c r="J2082" s="14">
        <f t="shared" si="0"/>
        <v>71</v>
      </c>
      <c r="K2082" s="15" t="str">
        <f t="shared" si="1"/>
        <v>Exceeds Target</v>
      </c>
    </row>
    <row r="2083" spans="2:11" ht="15" customHeight="1">
      <c r="B2083" t="s">
        <v>2157</v>
      </c>
      <c r="C2083" t="s">
        <v>2476</v>
      </c>
      <c r="D2083" t="s">
        <v>32</v>
      </c>
      <c r="E2083" t="s">
        <v>27</v>
      </c>
      <c r="F2083" s="17">
        <v>1500</v>
      </c>
      <c r="G2083" s="17">
        <v>44000</v>
      </c>
      <c r="H2083" s="17">
        <v>42500</v>
      </c>
      <c r="I2083" s="18">
        <v>0.42</v>
      </c>
      <c r="J2083" s="14">
        <f t="shared" si="0"/>
        <v>28.333333333333332</v>
      </c>
      <c r="K2083" s="15" t="str">
        <f t="shared" si="1"/>
        <v>Exceeds Target</v>
      </c>
    </row>
    <row r="2084" spans="2:11" ht="15" customHeight="1">
      <c r="B2084" t="s">
        <v>434</v>
      </c>
      <c r="C2084" t="s">
        <v>2477</v>
      </c>
      <c r="D2084" t="s">
        <v>35</v>
      </c>
      <c r="E2084" t="s">
        <v>27</v>
      </c>
      <c r="F2084" s="17">
        <v>3000</v>
      </c>
      <c r="G2084" s="17">
        <v>90000</v>
      </c>
      <c r="H2084" s="17">
        <v>87000</v>
      </c>
      <c r="I2084" s="18">
        <v>0.36</v>
      </c>
      <c r="J2084" s="14">
        <f t="shared" si="0"/>
        <v>29</v>
      </c>
      <c r="K2084" s="15" t="str">
        <f t="shared" si="1"/>
        <v>Exceeds Target</v>
      </c>
    </row>
    <row r="2085" spans="2:11" ht="15" customHeight="1">
      <c r="B2085" t="s">
        <v>390</v>
      </c>
      <c r="C2085" t="s">
        <v>2478</v>
      </c>
      <c r="D2085" t="s">
        <v>35</v>
      </c>
      <c r="E2085" t="s">
        <v>27</v>
      </c>
      <c r="F2085" s="17">
        <v>3000</v>
      </c>
      <c r="G2085" s="17">
        <v>290000</v>
      </c>
      <c r="H2085" s="17">
        <v>287000</v>
      </c>
      <c r="I2085" s="18">
        <v>0.99</v>
      </c>
      <c r="J2085" s="14">
        <f t="shared" si="0"/>
        <v>95.666666666666671</v>
      </c>
      <c r="K2085" s="15" t="str">
        <f t="shared" si="1"/>
        <v>Exceeds Target</v>
      </c>
    </row>
    <row r="2086" spans="2:11" ht="15" customHeight="1">
      <c r="B2086" t="s">
        <v>392</v>
      </c>
      <c r="C2086" t="s">
        <v>2479</v>
      </c>
      <c r="D2086" t="s">
        <v>69</v>
      </c>
      <c r="E2086" t="s">
        <v>70</v>
      </c>
      <c r="F2086" s="17">
        <v>1000</v>
      </c>
      <c r="G2086" s="17">
        <v>135000</v>
      </c>
      <c r="H2086" s="17">
        <v>134000</v>
      </c>
      <c r="I2086" s="18">
        <v>0.59</v>
      </c>
      <c r="J2086" s="14">
        <f t="shared" si="0"/>
        <v>134</v>
      </c>
      <c r="K2086" s="15" t="str">
        <f t="shared" si="1"/>
        <v>Exceeds Target</v>
      </c>
    </row>
    <row r="2087" spans="2:11" ht="15" customHeight="1">
      <c r="B2087" t="s">
        <v>2480</v>
      </c>
      <c r="C2087" t="s">
        <v>2481</v>
      </c>
      <c r="D2087" t="s">
        <v>32</v>
      </c>
      <c r="E2087" t="s">
        <v>27</v>
      </c>
      <c r="F2087" s="17">
        <v>1500</v>
      </c>
      <c r="G2087" s="17">
        <v>26000</v>
      </c>
      <c r="H2087" s="17">
        <v>24500</v>
      </c>
      <c r="I2087" s="18">
        <v>0.2</v>
      </c>
      <c r="J2087" s="14">
        <f t="shared" si="0"/>
        <v>16.333333333333332</v>
      </c>
      <c r="K2087" s="15" t="str">
        <f t="shared" si="1"/>
        <v>Exceeds Target</v>
      </c>
    </row>
    <row r="2088" spans="2:11" ht="15" customHeight="1">
      <c r="B2088" t="s">
        <v>105</v>
      </c>
      <c r="C2088" t="s">
        <v>2482</v>
      </c>
      <c r="D2088" t="s">
        <v>80</v>
      </c>
      <c r="E2088" t="s">
        <v>27</v>
      </c>
      <c r="F2088" s="17">
        <v>1000</v>
      </c>
      <c r="G2088" s="17">
        <v>96000</v>
      </c>
      <c r="H2088" s="17">
        <v>95000</v>
      </c>
      <c r="I2088" s="18">
        <v>0.82</v>
      </c>
      <c r="J2088" s="14">
        <f t="shared" si="0"/>
        <v>95</v>
      </c>
      <c r="K2088" s="15" t="str">
        <f t="shared" si="1"/>
        <v>Exceeds Target</v>
      </c>
    </row>
    <row r="2089" spans="2:11" ht="15" customHeight="1">
      <c r="B2089" t="s">
        <v>125</v>
      </c>
      <c r="C2089" t="s">
        <v>2483</v>
      </c>
      <c r="D2089" t="s">
        <v>32</v>
      </c>
      <c r="E2089" t="s">
        <v>27</v>
      </c>
      <c r="F2089" s="17">
        <v>1500</v>
      </c>
      <c r="G2089" s="17">
        <v>28000</v>
      </c>
      <c r="H2089" s="17">
        <v>26500</v>
      </c>
      <c r="I2089" s="18">
        <v>1</v>
      </c>
      <c r="J2089" s="14">
        <f t="shared" si="0"/>
        <v>17.666666666666668</v>
      </c>
      <c r="K2089" s="15" t="str">
        <f t="shared" si="1"/>
        <v>Exceeds Target</v>
      </c>
    </row>
    <row r="2090" spans="2:11" ht="15" customHeight="1">
      <c r="B2090" t="s">
        <v>418</v>
      </c>
      <c r="C2090" t="s">
        <v>2484</v>
      </c>
      <c r="D2090" t="s">
        <v>35</v>
      </c>
      <c r="E2090" t="s">
        <v>27</v>
      </c>
      <c r="F2090" s="17">
        <v>3000</v>
      </c>
      <c r="G2090" s="17">
        <v>260000</v>
      </c>
      <c r="H2090" s="17">
        <v>257000</v>
      </c>
      <c r="I2090" s="18">
        <v>0.53</v>
      </c>
      <c r="J2090" s="14">
        <f t="shared" si="0"/>
        <v>85.666666666666671</v>
      </c>
      <c r="K2090" s="15" t="str">
        <f t="shared" si="1"/>
        <v>Exceeds Target</v>
      </c>
    </row>
    <row r="2091" spans="2:11" ht="15" customHeight="1">
      <c r="B2091" t="s">
        <v>912</v>
      </c>
      <c r="C2091" t="s">
        <v>2485</v>
      </c>
      <c r="D2091" t="s">
        <v>69</v>
      </c>
      <c r="E2091" t="s">
        <v>70</v>
      </c>
      <c r="F2091" s="17">
        <v>1000</v>
      </c>
      <c r="G2091" s="17">
        <v>80000</v>
      </c>
      <c r="H2091" s="17">
        <v>79000</v>
      </c>
      <c r="I2091" s="18">
        <v>0.81</v>
      </c>
      <c r="J2091" s="14">
        <f t="shared" si="0"/>
        <v>79</v>
      </c>
      <c r="K2091" s="15" t="str">
        <f t="shared" si="1"/>
        <v>Exceeds Target</v>
      </c>
    </row>
    <row r="2092" spans="2:11" ht="15" customHeight="1">
      <c r="B2092" t="s">
        <v>337</v>
      </c>
      <c r="C2092" t="s">
        <v>2486</v>
      </c>
      <c r="D2092" t="s">
        <v>32</v>
      </c>
      <c r="E2092" t="s">
        <v>27</v>
      </c>
      <c r="F2092" s="17">
        <v>1500</v>
      </c>
      <c r="G2092" s="17">
        <v>52000</v>
      </c>
      <c r="H2092" s="17">
        <v>50500</v>
      </c>
      <c r="I2092" s="18">
        <v>0.71</v>
      </c>
      <c r="J2092" s="14">
        <f t="shared" si="0"/>
        <v>33.666666666666664</v>
      </c>
      <c r="K2092" s="15" t="str">
        <f t="shared" si="1"/>
        <v>Exceeds Target</v>
      </c>
    </row>
    <row r="2093" spans="2:11" ht="15" customHeight="1">
      <c r="B2093" t="s">
        <v>899</v>
      </c>
      <c r="C2093" t="s">
        <v>2487</v>
      </c>
      <c r="D2093" t="s">
        <v>26</v>
      </c>
      <c r="E2093" t="s">
        <v>27</v>
      </c>
      <c r="F2093" s="17">
        <v>5000</v>
      </c>
      <c r="G2093" s="17">
        <v>60000</v>
      </c>
      <c r="H2093" s="17">
        <v>55000</v>
      </c>
      <c r="I2093" s="18">
        <v>0.17</v>
      </c>
      <c r="J2093" s="14">
        <f t="shared" si="0"/>
        <v>11</v>
      </c>
      <c r="K2093" s="15" t="str">
        <f t="shared" si="1"/>
        <v>Exceeds Target</v>
      </c>
    </row>
    <row r="2094" spans="2:11" ht="15" customHeight="1">
      <c r="B2094" t="s">
        <v>659</v>
      </c>
      <c r="C2094" t="s">
        <v>2488</v>
      </c>
      <c r="D2094" t="s">
        <v>26</v>
      </c>
      <c r="E2094" t="s">
        <v>27</v>
      </c>
      <c r="F2094" s="17">
        <v>5000</v>
      </c>
      <c r="G2094" s="17">
        <v>120000</v>
      </c>
      <c r="H2094" s="17">
        <v>115000</v>
      </c>
      <c r="I2094" s="18">
        <v>7.0000000000000007E-2</v>
      </c>
      <c r="J2094" s="14">
        <f t="shared" si="0"/>
        <v>23</v>
      </c>
      <c r="K2094" s="15" t="str">
        <f t="shared" si="1"/>
        <v>Exceeds Target</v>
      </c>
    </row>
    <row r="2095" spans="2:11" ht="15" customHeight="1">
      <c r="B2095" t="s">
        <v>416</v>
      </c>
      <c r="C2095" t="s">
        <v>2489</v>
      </c>
      <c r="D2095" t="s">
        <v>35</v>
      </c>
      <c r="E2095" t="s">
        <v>27</v>
      </c>
      <c r="F2095" s="17">
        <v>3000</v>
      </c>
      <c r="G2095" s="17">
        <v>210000</v>
      </c>
      <c r="H2095" s="17">
        <v>207000</v>
      </c>
      <c r="I2095" s="18">
        <v>0.38</v>
      </c>
      <c r="J2095" s="14">
        <f t="shared" si="0"/>
        <v>69</v>
      </c>
      <c r="K2095" s="15" t="str">
        <f t="shared" si="1"/>
        <v>Exceeds Target</v>
      </c>
    </row>
    <row r="2096" spans="2:11" ht="15" customHeight="1">
      <c r="B2096" t="s">
        <v>782</v>
      </c>
      <c r="C2096" t="s">
        <v>2490</v>
      </c>
      <c r="D2096" t="s">
        <v>69</v>
      </c>
      <c r="E2096" t="s">
        <v>70</v>
      </c>
      <c r="F2096" s="17">
        <v>1000</v>
      </c>
      <c r="G2096" s="17">
        <v>65000</v>
      </c>
      <c r="H2096" s="17">
        <v>64000</v>
      </c>
      <c r="I2096" s="18">
        <v>0.53</v>
      </c>
      <c r="J2096" s="14">
        <f t="shared" si="0"/>
        <v>64</v>
      </c>
      <c r="K2096" s="15" t="str">
        <f t="shared" si="1"/>
        <v>Exceeds Target</v>
      </c>
    </row>
    <row r="2097" spans="2:11" ht="15" customHeight="1">
      <c r="B2097" t="s">
        <v>993</v>
      </c>
      <c r="C2097" t="s">
        <v>2491</v>
      </c>
      <c r="D2097" t="s">
        <v>80</v>
      </c>
      <c r="E2097" t="s">
        <v>27</v>
      </c>
      <c r="F2097" s="17">
        <v>1000</v>
      </c>
      <c r="G2097" s="17">
        <v>120000</v>
      </c>
      <c r="H2097" s="17">
        <v>119000</v>
      </c>
      <c r="I2097" s="18">
        <v>0.98</v>
      </c>
      <c r="J2097" s="14">
        <f t="shared" si="0"/>
        <v>119</v>
      </c>
      <c r="K2097" s="15" t="str">
        <f t="shared" si="1"/>
        <v>Exceeds Target</v>
      </c>
    </row>
    <row r="2098" spans="2:11" ht="15" customHeight="1">
      <c r="B2098" t="s">
        <v>899</v>
      </c>
      <c r="C2098" t="s">
        <v>2492</v>
      </c>
      <c r="D2098" t="s">
        <v>35</v>
      </c>
      <c r="E2098" t="s">
        <v>27</v>
      </c>
      <c r="F2098" s="17">
        <v>3000</v>
      </c>
      <c r="G2098" s="17">
        <v>300000</v>
      </c>
      <c r="H2098" s="17">
        <v>297000</v>
      </c>
      <c r="I2098" s="18">
        <v>0.77</v>
      </c>
      <c r="J2098" s="14">
        <f t="shared" si="0"/>
        <v>99</v>
      </c>
      <c r="K2098" s="15" t="str">
        <f t="shared" si="1"/>
        <v>Exceeds Target</v>
      </c>
    </row>
    <row r="2099" spans="2:11" ht="15" customHeight="1">
      <c r="B2099" t="s">
        <v>72</v>
      </c>
      <c r="C2099" t="s">
        <v>2493</v>
      </c>
      <c r="D2099" t="s">
        <v>69</v>
      </c>
      <c r="E2099" t="s">
        <v>70</v>
      </c>
      <c r="F2099" s="17">
        <v>1000</v>
      </c>
      <c r="G2099" s="17">
        <v>135000</v>
      </c>
      <c r="H2099" s="17">
        <v>134000</v>
      </c>
      <c r="I2099" s="18">
        <v>0.54</v>
      </c>
      <c r="J2099" s="14">
        <f t="shared" si="0"/>
        <v>134</v>
      </c>
      <c r="K2099" s="15" t="str">
        <f t="shared" si="1"/>
        <v>Exceeds Target</v>
      </c>
    </row>
    <row r="2100" spans="2:11" ht="15" customHeight="1">
      <c r="B2100" t="s">
        <v>459</v>
      </c>
      <c r="C2100" t="s">
        <v>2494</v>
      </c>
      <c r="D2100" t="s">
        <v>69</v>
      </c>
      <c r="E2100" t="s">
        <v>70</v>
      </c>
      <c r="F2100" s="17">
        <v>1000</v>
      </c>
      <c r="G2100" s="17">
        <v>110000</v>
      </c>
      <c r="H2100" s="17">
        <v>109000</v>
      </c>
      <c r="I2100" s="18">
        <v>0.64</v>
      </c>
      <c r="J2100" s="14">
        <f t="shared" si="0"/>
        <v>109</v>
      </c>
      <c r="K2100" s="15" t="str">
        <f t="shared" si="1"/>
        <v>Exceeds Target</v>
      </c>
    </row>
    <row r="2101" spans="2:11" ht="15" customHeight="1">
      <c r="B2101" t="s">
        <v>227</v>
      </c>
      <c r="C2101" t="s">
        <v>2495</v>
      </c>
      <c r="D2101" t="s">
        <v>26</v>
      </c>
      <c r="E2101" t="s">
        <v>27</v>
      </c>
      <c r="F2101" s="17">
        <v>5000</v>
      </c>
      <c r="G2101" s="17">
        <v>120000</v>
      </c>
      <c r="H2101" s="17">
        <v>115000</v>
      </c>
      <c r="I2101" s="18">
        <v>0.13</v>
      </c>
      <c r="J2101" s="14">
        <f t="shared" si="0"/>
        <v>23</v>
      </c>
      <c r="K2101" s="15" t="str">
        <f t="shared" si="1"/>
        <v>Exceeds Target</v>
      </c>
    </row>
    <row r="2102" spans="2:11" ht="15" customHeight="1">
      <c r="B2102" t="s">
        <v>113</v>
      </c>
      <c r="C2102" t="s">
        <v>2496</v>
      </c>
      <c r="D2102" t="s">
        <v>26</v>
      </c>
      <c r="E2102" t="s">
        <v>27</v>
      </c>
      <c r="F2102" s="17">
        <v>5000</v>
      </c>
      <c r="G2102" s="17">
        <v>60000</v>
      </c>
      <c r="H2102" s="17">
        <v>55000</v>
      </c>
      <c r="I2102" s="18">
        <v>0.11</v>
      </c>
      <c r="J2102" s="14">
        <f t="shared" si="0"/>
        <v>11</v>
      </c>
      <c r="K2102" s="15" t="str">
        <f t="shared" si="1"/>
        <v>Exceeds Target</v>
      </c>
    </row>
    <row r="2103" spans="2:11" ht="15" customHeight="1">
      <c r="B2103" t="s">
        <v>1055</v>
      </c>
      <c r="C2103" t="s">
        <v>2497</v>
      </c>
      <c r="D2103" t="s">
        <v>32</v>
      </c>
      <c r="E2103" t="s">
        <v>27</v>
      </c>
      <c r="F2103" s="17">
        <v>1500</v>
      </c>
      <c r="G2103" s="17">
        <v>26000</v>
      </c>
      <c r="H2103" s="17">
        <v>24500</v>
      </c>
      <c r="I2103" s="18">
        <v>0.44</v>
      </c>
      <c r="J2103" s="14">
        <f t="shared" si="0"/>
        <v>16.333333333333332</v>
      </c>
      <c r="K2103" s="15" t="str">
        <f t="shared" si="1"/>
        <v>Exceeds Target</v>
      </c>
    </row>
    <row r="2104" spans="2:11" ht="15" customHeight="1">
      <c r="B2104" t="s">
        <v>1516</v>
      </c>
      <c r="C2104" t="s">
        <v>2498</v>
      </c>
      <c r="D2104" t="s">
        <v>35</v>
      </c>
      <c r="E2104" t="s">
        <v>27</v>
      </c>
      <c r="F2104" s="17">
        <v>3000</v>
      </c>
      <c r="G2104" s="17">
        <v>230000</v>
      </c>
      <c r="H2104" s="17">
        <v>227000</v>
      </c>
      <c r="I2104" s="18">
        <v>0.66</v>
      </c>
      <c r="J2104" s="14">
        <f t="shared" si="0"/>
        <v>75.666666666666671</v>
      </c>
      <c r="K2104" s="15" t="str">
        <f t="shared" si="1"/>
        <v>Exceeds Target</v>
      </c>
    </row>
    <row r="2105" spans="2:11" ht="15" customHeight="1">
      <c r="B2105" t="s">
        <v>608</v>
      </c>
      <c r="C2105" t="s">
        <v>2499</v>
      </c>
      <c r="D2105" t="s">
        <v>69</v>
      </c>
      <c r="E2105" t="s">
        <v>70</v>
      </c>
      <c r="F2105" s="17">
        <v>1000</v>
      </c>
      <c r="G2105" s="17">
        <v>135000</v>
      </c>
      <c r="H2105" s="17">
        <v>134000</v>
      </c>
      <c r="I2105" s="18">
        <v>0.44</v>
      </c>
      <c r="J2105" s="14">
        <f t="shared" si="0"/>
        <v>134</v>
      </c>
      <c r="K2105" s="15" t="str">
        <f t="shared" si="1"/>
        <v>Exceeds Target</v>
      </c>
    </row>
    <row r="2106" spans="2:11" ht="15" customHeight="1">
      <c r="B2106" t="s">
        <v>736</v>
      </c>
      <c r="C2106" t="s">
        <v>2500</v>
      </c>
      <c r="D2106" t="s">
        <v>80</v>
      </c>
      <c r="E2106" t="s">
        <v>27</v>
      </c>
      <c r="F2106" s="17">
        <v>1000</v>
      </c>
      <c r="G2106" s="17">
        <v>105000</v>
      </c>
      <c r="H2106" s="17">
        <v>104000</v>
      </c>
      <c r="I2106" s="18">
        <v>0.85</v>
      </c>
      <c r="J2106" s="14">
        <f t="shared" si="0"/>
        <v>104</v>
      </c>
      <c r="K2106" s="15" t="str">
        <f t="shared" si="1"/>
        <v>Exceeds Target</v>
      </c>
    </row>
    <row r="2107" spans="2:11" ht="15" customHeight="1">
      <c r="B2107" t="s">
        <v>958</v>
      </c>
      <c r="C2107" t="s">
        <v>2501</v>
      </c>
      <c r="D2107" t="s">
        <v>26</v>
      </c>
      <c r="E2107" t="s">
        <v>27</v>
      </c>
      <c r="F2107" s="17">
        <v>5000</v>
      </c>
      <c r="G2107" s="17">
        <v>120000</v>
      </c>
      <c r="H2107" s="17">
        <v>115000</v>
      </c>
      <c r="I2107" s="18">
        <v>0.15</v>
      </c>
      <c r="J2107" s="14">
        <f t="shared" si="0"/>
        <v>23</v>
      </c>
      <c r="K2107" s="15" t="str">
        <f t="shared" si="1"/>
        <v>Exceeds Target</v>
      </c>
    </row>
    <row r="2108" spans="2:11" ht="15" customHeight="1">
      <c r="B2108" t="s">
        <v>345</v>
      </c>
      <c r="C2108" t="s">
        <v>2502</v>
      </c>
      <c r="D2108" t="s">
        <v>80</v>
      </c>
      <c r="E2108" t="s">
        <v>27</v>
      </c>
      <c r="F2108" s="17">
        <v>1000</v>
      </c>
      <c r="G2108" s="17">
        <v>114000</v>
      </c>
      <c r="H2108" s="17">
        <v>113000</v>
      </c>
      <c r="I2108" s="18">
        <v>0.86</v>
      </c>
      <c r="J2108" s="14">
        <f t="shared" si="0"/>
        <v>113</v>
      </c>
      <c r="K2108" s="15" t="str">
        <f t="shared" si="1"/>
        <v>Exceeds Target</v>
      </c>
    </row>
    <row r="2109" spans="2:11" ht="15" customHeight="1">
      <c r="B2109" t="s">
        <v>1016</v>
      </c>
      <c r="C2109" t="s">
        <v>2503</v>
      </c>
      <c r="D2109" t="s">
        <v>69</v>
      </c>
      <c r="E2109" t="s">
        <v>70</v>
      </c>
      <c r="F2109" s="17">
        <v>1000</v>
      </c>
      <c r="G2109" s="17">
        <v>30000</v>
      </c>
      <c r="H2109" s="17">
        <v>29000</v>
      </c>
      <c r="I2109" s="18">
        <v>0.92</v>
      </c>
      <c r="J2109" s="14">
        <f t="shared" si="0"/>
        <v>29</v>
      </c>
      <c r="K2109" s="15" t="str">
        <f t="shared" si="1"/>
        <v>Exceeds Target</v>
      </c>
    </row>
    <row r="2110" spans="2:11" ht="15" customHeight="1">
      <c r="B2110" t="s">
        <v>411</v>
      </c>
      <c r="C2110" t="s">
        <v>2504</v>
      </c>
      <c r="D2110" t="s">
        <v>32</v>
      </c>
      <c r="E2110" t="s">
        <v>27</v>
      </c>
      <c r="F2110" s="17">
        <v>1500</v>
      </c>
      <c r="G2110" s="17">
        <v>28000</v>
      </c>
      <c r="H2110" s="17">
        <v>26500</v>
      </c>
      <c r="I2110" s="18">
        <v>0.49</v>
      </c>
      <c r="J2110" s="14">
        <f t="shared" si="0"/>
        <v>17.666666666666668</v>
      </c>
      <c r="K2110" s="15" t="str">
        <f t="shared" si="1"/>
        <v>Exceeds Target</v>
      </c>
    </row>
    <row r="2111" spans="2:11" ht="15" customHeight="1">
      <c r="B2111" t="s">
        <v>54</v>
      </c>
      <c r="C2111" t="s">
        <v>2505</v>
      </c>
      <c r="D2111" t="s">
        <v>80</v>
      </c>
      <c r="E2111" t="s">
        <v>27</v>
      </c>
      <c r="F2111" s="17">
        <v>1000</v>
      </c>
      <c r="G2111" s="17">
        <v>66000</v>
      </c>
      <c r="H2111" s="17">
        <v>65000</v>
      </c>
      <c r="I2111" s="18">
        <v>0.62</v>
      </c>
      <c r="J2111" s="14">
        <f t="shared" si="0"/>
        <v>65</v>
      </c>
      <c r="K2111" s="15" t="str">
        <f t="shared" si="1"/>
        <v>Exceeds Target</v>
      </c>
    </row>
    <row r="2112" spans="2:11" ht="15" customHeight="1">
      <c r="B2112" t="s">
        <v>1937</v>
      </c>
      <c r="C2112" t="s">
        <v>2506</v>
      </c>
      <c r="D2112" t="s">
        <v>26</v>
      </c>
      <c r="E2112" t="s">
        <v>27</v>
      </c>
      <c r="F2112" s="17">
        <v>5000</v>
      </c>
      <c r="G2112" s="17">
        <v>90000</v>
      </c>
      <c r="H2112" s="17">
        <v>85000</v>
      </c>
      <c r="I2112" s="18">
        <v>0.21</v>
      </c>
      <c r="J2112" s="14">
        <f t="shared" si="0"/>
        <v>17</v>
      </c>
      <c r="K2112" s="15" t="str">
        <f t="shared" si="1"/>
        <v>Exceeds Target</v>
      </c>
    </row>
    <row r="2113" spans="2:11" ht="15" customHeight="1">
      <c r="B2113" t="s">
        <v>730</v>
      </c>
      <c r="C2113" t="s">
        <v>2507</v>
      </c>
      <c r="D2113" t="s">
        <v>35</v>
      </c>
      <c r="E2113" t="s">
        <v>27</v>
      </c>
      <c r="F2113" s="17">
        <v>3000</v>
      </c>
      <c r="G2113" s="17">
        <v>160000</v>
      </c>
      <c r="H2113" s="17">
        <v>157000</v>
      </c>
      <c r="I2113" s="18">
        <v>0.7</v>
      </c>
      <c r="J2113" s="14">
        <f t="shared" si="0"/>
        <v>52.333333333333336</v>
      </c>
      <c r="K2113" s="15" t="str">
        <f t="shared" si="1"/>
        <v>Exceeds Target</v>
      </c>
    </row>
    <row r="2114" spans="2:11" ht="15" customHeight="1">
      <c r="B2114" t="s">
        <v>97</v>
      </c>
      <c r="C2114" t="s">
        <v>2508</v>
      </c>
      <c r="D2114" t="s">
        <v>35</v>
      </c>
      <c r="E2114" t="s">
        <v>27</v>
      </c>
      <c r="F2114" s="17">
        <v>3000</v>
      </c>
      <c r="G2114" s="17">
        <v>300000</v>
      </c>
      <c r="H2114" s="17">
        <v>297000</v>
      </c>
      <c r="I2114" s="18">
        <v>0.37</v>
      </c>
      <c r="J2114" s="14">
        <f t="shared" si="0"/>
        <v>99</v>
      </c>
      <c r="K2114" s="15" t="str">
        <f t="shared" si="1"/>
        <v>Exceeds Target</v>
      </c>
    </row>
    <row r="2115" spans="2:11" ht="15" customHeight="1">
      <c r="B2115" t="s">
        <v>359</v>
      </c>
      <c r="C2115" t="s">
        <v>2509</v>
      </c>
      <c r="D2115" t="s">
        <v>32</v>
      </c>
      <c r="E2115" t="s">
        <v>27</v>
      </c>
      <c r="F2115" s="17">
        <v>1500</v>
      </c>
      <c r="G2115" s="17">
        <v>60000</v>
      </c>
      <c r="H2115" s="17">
        <v>58500</v>
      </c>
      <c r="I2115" s="18">
        <v>0.71</v>
      </c>
      <c r="J2115" s="14">
        <f t="shared" si="0"/>
        <v>39</v>
      </c>
      <c r="K2115" s="15" t="str">
        <f t="shared" si="1"/>
        <v>Exceeds Target</v>
      </c>
    </row>
    <row r="2116" spans="2:11" ht="15" customHeight="1">
      <c r="B2116" t="s">
        <v>1346</v>
      </c>
      <c r="C2116" t="s">
        <v>2510</v>
      </c>
      <c r="D2116" t="s">
        <v>26</v>
      </c>
      <c r="E2116" t="s">
        <v>27</v>
      </c>
      <c r="F2116" s="17">
        <v>5000</v>
      </c>
      <c r="G2116" s="17">
        <v>90000</v>
      </c>
      <c r="H2116" s="17">
        <v>85000</v>
      </c>
      <c r="I2116" s="18">
        <v>0.2</v>
      </c>
      <c r="J2116" s="14">
        <f t="shared" si="0"/>
        <v>17</v>
      </c>
      <c r="K2116" s="15" t="str">
        <f t="shared" si="1"/>
        <v>Exceeds Target</v>
      </c>
    </row>
    <row r="2117" spans="2:11" ht="15" customHeight="1">
      <c r="B2117" t="s">
        <v>538</v>
      </c>
      <c r="C2117" t="s">
        <v>2511</v>
      </c>
      <c r="D2117" t="s">
        <v>35</v>
      </c>
      <c r="E2117" t="s">
        <v>27</v>
      </c>
      <c r="F2117" s="17">
        <v>3000</v>
      </c>
      <c r="G2117" s="17">
        <v>130000</v>
      </c>
      <c r="H2117" s="17">
        <v>127000</v>
      </c>
      <c r="I2117" s="18">
        <v>0.83</v>
      </c>
      <c r="J2117" s="14">
        <f t="shared" si="0"/>
        <v>42.333333333333336</v>
      </c>
      <c r="K2117" s="15" t="str">
        <f t="shared" si="1"/>
        <v>Exceeds Target</v>
      </c>
    </row>
    <row r="2118" spans="2:11" ht="15" customHeight="1">
      <c r="B2118" t="s">
        <v>804</v>
      </c>
      <c r="C2118" t="s">
        <v>2512</v>
      </c>
      <c r="D2118" t="s">
        <v>32</v>
      </c>
      <c r="E2118" t="s">
        <v>27</v>
      </c>
      <c r="F2118" s="17">
        <v>1500</v>
      </c>
      <c r="G2118" s="17">
        <v>36000</v>
      </c>
      <c r="H2118" s="17">
        <v>34500</v>
      </c>
      <c r="I2118" s="18">
        <v>0.56999999999999995</v>
      </c>
      <c r="J2118" s="14">
        <f t="shared" si="0"/>
        <v>23</v>
      </c>
      <c r="K2118" s="15" t="str">
        <f t="shared" si="1"/>
        <v>Exceeds Target</v>
      </c>
    </row>
    <row r="2119" spans="2:11" ht="15" customHeight="1">
      <c r="B2119" t="s">
        <v>610</v>
      </c>
      <c r="C2119" t="s">
        <v>2513</v>
      </c>
      <c r="D2119" t="s">
        <v>35</v>
      </c>
      <c r="E2119" t="s">
        <v>27</v>
      </c>
      <c r="F2119" s="17">
        <v>3000</v>
      </c>
      <c r="G2119" s="17">
        <v>250000</v>
      </c>
      <c r="H2119" s="17">
        <v>247000</v>
      </c>
      <c r="I2119" s="18">
        <v>0.28999999999999998</v>
      </c>
      <c r="J2119" s="14">
        <f t="shared" si="0"/>
        <v>82.333333333333329</v>
      </c>
      <c r="K2119" s="15" t="str">
        <f t="shared" si="1"/>
        <v>Exceeds Target</v>
      </c>
    </row>
    <row r="2120" spans="2:11" ht="15" customHeight="1">
      <c r="B2120" t="s">
        <v>810</v>
      </c>
      <c r="C2120" t="s">
        <v>2514</v>
      </c>
      <c r="D2120" t="s">
        <v>80</v>
      </c>
      <c r="E2120" t="s">
        <v>27</v>
      </c>
      <c r="F2120" s="17">
        <v>1000</v>
      </c>
      <c r="G2120" s="17">
        <v>78000</v>
      </c>
      <c r="H2120" s="17">
        <v>77000</v>
      </c>
      <c r="I2120" s="18">
        <v>0.69</v>
      </c>
      <c r="J2120" s="14">
        <f t="shared" si="0"/>
        <v>77</v>
      </c>
      <c r="K2120" s="15" t="str">
        <f t="shared" si="1"/>
        <v>Exceeds Target</v>
      </c>
    </row>
    <row r="2121" spans="2:11" ht="15" customHeight="1">
      <c r="B2121" t="s">
        <v>804</v>
      </c>
      <c r="C2121" t="s">
        <v>2515</v>
      </c>
      <c r="D2121" t="s">
        <v>80</v>
      </c>
      <c r="E2121" t="s">
        <v>27</v>
      </c>
      <c r="F2121" s="17">
        <v>1000</v>
      </c>
      <c r="G2121" s="17">
        <v>69000</v>
      </c>
      <c r="H2121" s="17">
        <v>68000</v>
      </c>
      <c r="I2121" s="18">
        <v>0.85</v>
      </c>
      <c r="J2121" s="14">
        <f t="shared" si="0"/>
        <v>68</v>
      </c>
      <c r="K2121" s="15" t="str">
        <f t="shared" si="1"/>
        <v>Exceeds Target</v>
      </c>
    </row>
    <row r="2122" spans="2:11" ht="15" customHeight="1">
      <c r="B2122" t="s">
        <v>54</v>
      </c>
      <c r="C2122" t="s">
        <v>2516</v>
      </c>
      <c r="D2122" t="s">
        <v>26</v>
      </c>
      <c r="E2122" t="s">
        <v>27</v>
      </c>
      <c r="F2122" s="17">
        <v>5000</v>
      </c>
      <c r="G2122" s="17">
        <v>90000</v>
      </c>
      <c r="H2122" s="17">
        <v>85000</v>
      </c>
      <c r="I2122" s="18">
        <v>0.14000000000000001</v>
      </c>
      <c r="J2122" s="14">
        <f t="shared" si="0"/>
        <v>17</v>
      </c>
      <c r="K2122" s="15" t="str">
        <f t="shared" si="1"/>
        <v>Exceeds Target</v>
      </c>
    </row>
    <row r="2123" spans="2:11" ht="15" customHeight="1">
      <c r="B2123" t="s">
        <v>428</v>
      </c>
      <c r="C2123" t="s">
        <v>2517</v>
      </c>
      <c r="D2123" t="s">
        <v>26</v>
      </c>
      <c r="E2123" t="s">
        <v>27</v>
      </c>
      <c r="F2123" s="17">
        <v>5000</v>
      </c>
      <c r="G2123" s="17">
        <v>90000</v>
      </c>
      <c r="H2123" s="17">
        <v>85000</v>
      </c>
      <c r="I2123" s="18">
        <v>0.28999999999999998</v>
      </c>
      <c r="J2123" s="14">
        <f t="shared" si="0"/>
        <v>17</v>
      </c>
      <c r="K2123" s="15" t="str">
        <f t="shared" si="1"/>
        <v>Exceeds Target</v>
      </c>
    </row>
    <row r="2124" spans="2:11" ht="15" customHeight="1">
      <c r="B2124" t="s">
        <v>685</v>
      </c>
      <c r="C2124" t="s">
        <v>2518</v>
      </c>
      <c r="D2124" t="s">
        <v>26</v>
      </c>
      <c r="E2124" t="s">
        <v>27</v>
      </c>
      <c r="F2124" s="17">
        <v>5000</v>
      </c>
      <c r="G2124" s="17">
        <v>90000</v>
      </c>
      <c r="H2124" s="17">
        <v>85000</v>
      </c>
      <c r="I2124" s="18">
        <v>0.09</v>
      </c>
      <c r="J2124" s="14">
        <f t="shared" si="0"/>
        <v>17</v>
      </c>
      <c r="K2124" s="15" t="str">
        <f t="shared" si="1"/>
        <v>Exceeds Target</v>
      </c>
    </row>
    <row r="2125" spans="2:11" ht="15" customHeight="1">
      <c r="B2125" t="s">
        <v>424</v>
      </c>
      <c r="C2125" t="s">
        <v>2519</v>
      </c>
      <c r="D2125" t="s">
        <v>80</v>
      </c>
      <c r="E2125" t="s">
        <v>27</v>
      </c>
      <c r="F2125" s="17">
        <v>1000</v>
      </c>
      <c r="G2125" s="17">
        <v>78000</v>
      </c>
      <c r="H2125" s="17">
        <v>77000</v>
      </c>
      <c r="I2125" s="18">
        <v>0.82</v>
      </c>
      <c r="J2125" s="14">
        <f t="shared" si="0"/>
        <v>77</v>
      </c>
      <c r="K2125" s="15" t="str">
        <f t="shared" si="1"/>
        <v>Exceeds Target</v>
      </c>
    </row>
    <row r="2126" spans="2:11" ht="15" customHeight="1">
      <c r="B2126" t="s">
        <v>89</v>
      </c>
      <c r="C2126" t="s">
        <v>2520</v>
      </c>
      <c r="D2126" t="s">
        <v>80</v>
      </c>
      <c r="E2126" t="s">
        <v>27</v>
      </c>
      <c r="F2126" s="17">
        <v>1000</v>
      </c>
      <c r="G2126" s="17">
        <v>69000</v>
      </c>
      <c r="H2126" s="17">
        <v>68000</v>
      </c>
      <c r="I2126" s="18">
        <v>0.96</v>
      </c>
      <c r="J2126" s="14">
        <f t="shared" si="0"/>
        <v>68</v>
      </c>
      <c r="K2126" s="15" t="str">
        <f t="shared" si="1"/>
        <v>Exceeds Target</v>
      </c>
    </row>
    <row r="2127" spans="2:11" ht="15" customHeight="1">
      <c r="B2127" t="s">
        <v>293</v>
      </c>
      <c r="C2127" t="s">
        <v>2521</v>
      </c>
      <c r="D2127" t="s">
        <v>69</v>
      </c>
      <c r="E2127" t="s">
        <v>70</v>
      </c>
      <c r="F2127" s="17">
        <v>1000</v>
      </c>
      <c r="G2127" s="17">
        <v>45000</v>
      </c>
      <c r="H2127" s="17">
        <v>44000</v>
      </c>
      <c r="I2127" s="18">
        <v>0.88</v>
      </c>
      <c r="J2127" s="14">
        <f t="shared" si="0"/>
        <v>44</v>
      </c>
      <c r="K2127" s="15" t="str">
        <f t="shared" si="1"/>
        <v>Exceeds Target</v>
      </c>
    </row>
    <row r="2128" spans="2:11" ht="15" customHeight="1">
      <c r="B2128" t="s">
        <v>137</v>
      </c>
      <c r="C2128" t="s">
        <v>2522</v>
      </c>
      <c r="D2128" t="s">
        <v>80</v>
      </c>
      <c r="E2128" t="s">
        <v>27</v>
      </c>
      <c r="F2128" s="17">
        <v>1000</v>
      </c>
      <c r="G2128" s="17">
        <v>108000</v>
      </c>
      <c r="H2128" s="17">
        <v>107000</v>
      </c>
      <c r="I2128" s="18">
        <v>0.94</v>
      </c>
      <c r="J2128" s="14">
        <f t="shared" si="0"/>
        <v>107</v>
      </c>
      <c r="K2128" s="15" t="str">
        <f t="shared" si="1"/>
        <v>Exceeds Target</v>
      </c>
    </row>
    <row r="2129" spans="2:11" ht="15" customHeight="1">
      <c r="B2129" t="s">
        <v>457</v>
      </c>
      <c r="C2129" t="s">
        <v>2523</v>
      </c>
      <c r="D2129" t="s">
        <v>35</v>
      </c>
      <c r="E2129" t="s">
        <v>27</v>
      </c>
      <c r="F2129" s="17">
        <v>3000</v>
      </c>
      <c r="G2129" s="17">
        <v>140000</v>
      </c>
      <c r="H2129" s="17">
        <v>137000</v>
      </c>
      <c r="I2129" s="18">
        <v>0.93</v>
      </c>
      <c r="J2129" s="14">
        <f t="shared" si="0"/>
        <v>45.666666666666664</v>
      </c>
      <c r="K2129" s="15" t="str">
        <f t="shared" si="1"/>
        <v>Exceeds Target</v>
      </c>
    </row>
    <row r="2130" spans="2:11" ht="15" customHeight="1">
      <c r="B2130" t="s">
        <v>216</v>
      </c>
      <c r="C2130" t="s">
        <v>2524</v>
      </c>
      <c r="D2130" t="s">
        <v>35</v>
      </c>
      <c r="E2130" t="s">
        <v>27</v>
      </c>
      <c r="F2130" s="17">
        <v>3000</v>
      </c>
      <c r="G2130" s="17">
        <v>80000</v>
      </c>
      <c r="H2130" s="17">
        <v>77000</v>
      </c>
      <c r="I2130" s="18">
        <v>0.71</v>
      </c>
      <c r="J2130" s="14">
        <f t="shared" si="0"/>
        <v>25.666666666666668</v>
      </c>
      <c r="K2130" s="15" t="str">
        <f t="shared" si="1"/>
        <v>Exceeds Target</v>
      </c>
    </row>
    <row r="2131" spans="2:11" ht="15" customHeight="1">
      <c r="B2131" t="s">
        <v>180</v>
      </c>
      <c r="C2131" t="s">
        <v>2525</v>
      </c>
      <c r="D2131" t="s">
        <v>26</v>
      </c>
      <c r="E2131" t="s">
        <v>27</v>
      </c>
      <c r="F2131" s="17">
        <v>5000</v>
      </c>
      <c r="G2131" s="17">
        <v>150000</v>
      </c>
      <c r="H2131" s="17">
        <v>145000</v>
      </c>
      <c r="I2131" s="18">
        <v>0.3</v>
      </c>
      <c r="J2131" s="14">
        <f t="shared" si="0"/>
        <v>29</v>
      </c>
      <c r="K2131" s="15" t="str">
        <f t="shared" si="1"/>
        <v>Exceeds Target</v>
      </c>
    </row>
    <row r="2132" spans="2:11" ht="15" customHeight="1">
      <c r="B2132" t="s">
        <v>107</v>
      </c>
      <c r="C2132" t="s">
        <v>2526</v>
      </c>
      <c r="D2132" t="s">
        <v>32</v>
      </c>
      <c r="E2132" t="s">
        <v>27</v>
      </c>
      <c r="F2132" s="17">
        <v>1500</v>
      </c>
      <c r="G2132" s="17">
        <v>48000</v>
      </c>
      <c r="H2132" s="17">
        <v>46500</v>
      </c>
      <c r="I2132" s="18">
        <v>0.65</v>
      </c>
      <c r="J2132" s="14">
        <f t="shared" si="0"/>
        <v>31</v>
      </c>
      <c r="K2132" s="15" t="str">
        <f t="shared" si="1"/>
        <v>Exceeds Target</v>
      </c>
    </row>
    <row r="2133" spans="2:11" ht="15" customHeight="1">
      <c r="B2133" t="s">
        <v>72</v>
      </c>
      <c r="C2133" t="s">
        <v>2527</v>
      </c>
      <c r="D2133" t="s">
        <v>32</v>
      </c>
      <c r="E2133" t="s">
        <v>27</v>
      </c>
      <c r="F2133" s="17">
        <v>1500</v>
      </c>
      <c r="G2133" s="17">
        <v>48000</v>
      </c>
      <c r="H2133" s="17">
        <v>46500</v>
      </c>
      <c r="I2133" s="18">
        <v>0.78</v>
      </c>
      <c r="J2133" s="14">
        <f t="shared" si="0"/>
        <v>31</v>
      </c>
      <c r="K2133" s="15" t="str">
        <f t="shared" si="1"/>
        <v>Exceeds Target</v>
      </c>
    </row>
    <row r="2134" spans="2:11" ht="15" customHeight="1">
      <c r="B2134" t="s">
        <v>1536</v>
      </c>
      <c r="C2134" t="s">
        <v>2528</v>
      </c>
      <c r="D2134" t="s">
        <v>32</v>
      </c>
      <c r="E2134" t="s">
        <v>27</v>
      </c>
      <c r="F2134" s="17">
        <v>1500</v>
      </c>
      <c r="G2134" s="17">
        <v>20000</v>
      </c>
      <c r="H2134" s="17">
        <v>18500</v>
      </c>
      <c r="I2134" s="18">
        <v>0.61</v>
      </c>
      <c r="J2134" s="14">
        <f t="shared" si="0"/>
        <v>12.333333333333334</v>
      </c>
      <c r="K2134" s="15" t="str">
        <f t="shared" si="1"/>
        <v>Exceeds Target</v>
      </c>
    </row>
    <row r="2135" spans="2:11" ht="15" customHeight="1">
      <c r="B2135" t="s">
        <v>205</v>
      </c>
      <c r="C2135" t="s">
        <v>2529</v>
      </c>
      <c r="D2135" t="s">
        <v>69</v>
      </c>
      <c r="E2135" t="s">
        <v>70</v>
      </c>
      <c r="F2135" s="17">
        <v>1000</v>
      </c>
      <c r="G2135" s="17">
        <v>45000</v>
      </c>
      <c r="H2135" s="17">
        <v>44000</v>
      </c>
      <c r="I2135" s="18">
        <v>0.35</v>
      </c>
      <c r="J2135" s="14">
        <f t="shared" si="0"/>
        <v>44</v>
      </c>
      <c r="K2135" s="15" t="str">
        <f t="shared" si="1"/>
        <v>Exceeds Target</v>
      </c>
    </row>
    <row r="2136" spans="2:11" ht="15" customHeight="1">
      <c r="B2136" t="s">
        <v>317</v>
      </c>
      <c r="C2136" t="s">
        <v>2530</v>
      </c>
      <c r="D2136" t="s">
        <v>69</v>
      </c>
      <c r="E2136" t="s">
        <v>70</v>
      </c>
      <c r="F2136" s="17">
        <v>1000</v>
      </c>
      <c r="G2136" s="17">
        <v>145000</v>
      </c>
      <c r="H2136" s="17">
        <v>144000</v>
      </c>
      <c r="I2136" s="18">
        <v>0.55000000000000004</v>
      </c>
      <c r="J2136" s="14">
        <f t="shared" si="0"/>
        <v>144</v>
      </c>
      <c r="K2136" s="15" t="str">
        <f t="shared" si="1"/>
        <v>Exceeds Target</v>
      </c>
    </row>
    <row r="2137" spans="2:11" ht="15" customHeight="1">
      <c r="B2137" t="s">
        <v>459</v>
      </c>
      <c r="C2137" t="s">
        <v>2531</v>
      </c>
      <c r="D2137" t="s">
        <v>69</v>
      </c>
      <c r="E2137" t="s">
        <v>70</v>
      </c>
      <c r="F2137" s="17">
        <v>1000</v>
      </c>
      <c r="G2137" s="17">
        <v>140000</v>
      </c>
      <c r="H2137" s="17">
        <v>139000</v>
      </c>
      <c r="I2137" s="18">
        <v>0.75</v>
      </c>
      <c r="J2137" s="14">
        <f t="shared" si="0"/>
        <v>139</v>
      </c>
      <c r="K2137" s="15" t="str">
        <f t="shared" si="1"/>
        <v>Exceeds Target</v>
      </c>
    </row>
    <row r="2138" spans="2:11" ht="15" customHeight="1">
      <c r="B2138" t="s">
        <v>218</v>
      </c>
      <c r="C2138" t="s">
        <v>2532</v>
      </c>
      <c r="D2138" t="s">
        <v>80</v>
      </c>
      <c r="E2138" t="s">
        <v>27</v>
      </c>
      <c r="F2138" s="17">
        <v>1000</v>
      </c>
      <c r="G2138" s="17">
        <v>48000</v>
      </c>
      <c r="H2138" s="17">
        <v>47000</v>
      </c>
      <c r="I2138" s="18">
        <v>0.99</v>
      </c>
      <c r="J2138" s="14">
        <f t="shared" si="0"/>
        <v>47</v>
      </c>
      <c r="K2138" s="15" t="str">
        <f t="shared" si="1"/>
        <v>Exceeds Target</v>
      </c>
    </row>
    <row r="2139" spans="2:11" ht="15" customHeight="1">
      <c r="B2139" t="s">
        <v>1018</v>
      </c>
      <c r="C2139" t="s">
        <v>2533</v>
      </c>
      <c r="D2139" t="s">
        <v>69</v>
      </c>
      <c r="E2139" t="s">
        <v>70</v>
      </c>
      <c r="F2139" s="17">
        <v>1000</v>
      </c>
      <c r="G2139" s="17">
        <v>100000</v>
      </c>
      <c r="H2139" s="17">
        <v>99000</v>
      </c>
      <c r="I2139" s="18">
        <v>0.59</v>
      </c>
      <c r="J2139" s="14">
        <f t="shared" si="0"/>
        <v>99</v>
      </c>
      <c r="K2139" s="15" t="str">
        <f t="shared" si="1"/>
        <v>Exceeds Target</v>
      </c>
    </row>
    <row r="2140" spans="2:11" ht="15" customHeight="1">
      <c r="B2140" t="s">
        <v>1115</v>
      </c>
      <c r="C2140" t="s">
        <v>2534</v>
      </c>
      <c r="D2140" t="s">
        <v>32</v>
      </c>
      <c r="E2140" t="s">
        <v>27</v>
      </c>
      <c r="F2140" s="17">
        <v>1500</v>
      </c>
      <c r="G2140" s="17">
        <v>12000</v>
      </c>
      <c r="H2140" s="17">
        <v>10500</v>
      </c>
      <c r="I2140" s="18">
        <v>1</v>
      </c>
      <c r="J2140" s="14">
        <f t="shared" si="0"/>
        <v>7</v>
      </c>
      <c r="K2140" s="15" t="str">
        <f t="shared" si="1"/>
        <v>Exceeds Target</v>
      </c>
    </row>
    <row r="2141" spans="2:11" ht="15" customHeight="1">
      <c r="B2141" t="s">
        <v>103</v>
      </c>
      <c r="C2141" t="s">
        <v>2535</v>
      </c>
      <c r="D2141" t="s">
        <v>80</v>
      </c>
      <c r="E2141" t="s">
        <v>27</v>
      </c>
      <c r="F2141" s="17">
        <v>1000</v>
      </c>
      <c r="G2141" s="17">
        <v>114000</v>
      </c>
      <c r="H2141" s="17">
        <v>113000</v>
      </c>
      <c r="I2141" s="18">
        <v>0.93</v>
      </c>
      <c r="J2141" s="14">
        <f t="shared" si="0"/>
        <v>113</v>
      </c>
      <c r="K2141" s="15" t="str">
        <f t="shared" si="1"/>
        <v>Exceeds Target</v>
      </c>
    </row>
    <row r="2142" spans="2:11" ht="15" customHeight="1">
      <c r="B2142" t="s">
        <v>274</v>
      </c>
      <c r="C2142" t="s">
        <v>2536</v>
      </c>
      <c r="D2142" t="s">
        <v>80</v>
      </c>
      <c r="E2142" t="s">
        <v>27</v>
      </c>
      <c r="F2142" s="17">
        <v>1000</v>
      </c>
      <c r="G2142" s="17">
        <v>102000</v>
      </c>
      <c r="H2142" s="17">
        <v>101000</v>
      </c>
      <c r="I2142" s="18">
        <v>0.64</v>
      </c>
      <c r="J2142" s="14">
        <f t="shared" si="0"/>
        <v>101</v>
      </c>
      <c r="K2142" s="15" t="str">
        <f t="shared" si="1"/>
        <v>Exceeds Target</v>
      </c>
    </row>
    <row r="2143" spans="2:11" ht="15" customHeight="1">
      <c r="B2143" t="s">
        <v>648</v>
      </c>
      <c r="C2143" t="s">
        <v>2537</v>
      </c>
      <c r="D2143" t="s">
        <v>32</v>
      </c>
      <c r="E2143" t="s">
        <v>27</v>
      </c>
      <c r="F2143" s="17">
        <v>1500</v>
      </c>
      <c r="G2143" s="17">
        <v>20000</v>
      </c>
      <c r="H2143" s="17">
        <v>18500</v>
      </c>
      <c r="I2143" s="18">
        <v>0.23</v>
      </c>
      <c r="J2143" s="14">
        <f t="shared" si="0"/>
        <v>12.333333333333334</v>
      </c>
      <c r="K2143" s="15" t="str">
        <f t="shared" si="1"/>
        <v>Exceeds Target</v>
      </c>
    </row>
    <row r="2144" spans="2:11" ht="15" customHeight="1">
      <c r="B2144" t="s">
        <v>577</v>
      </c>
      <c r="C2144" t="s">
        <v>2538</v>
      </c>
      <c r="D2144" t="s">
        <v>80</v>
      </c>
      <c r="E2144" t="s">
        <v>27</v>
      </c>
      <c r="F2144" s="17">
        <v>1000</v>
      </c>
      <c r="G2144" s="17">
        <v>69000</v>
      </c>
      <c r="H2144" s="17">
        <v>68000</v>
      </c>
      <c r="I2144" s="18">
        <v>0.68</v>
      </c>
      <c r="J2144" s="14">
        <f t="shared" si="0"/>
        <v>68</v>
      </c>
      <c r="K2144" s="15" t="str">
        <f t="shared" si="1"/>
        <v>Exceeds Target</v>
      </c>
    </row>
    <row r="2145" spans="2:11" ht="15" customHeight="1">
      <c r="B2145" t="s">
        <v>514</v>
      </c>
      <c r="C2145" t="s">
        <v>2539</v>
      </c>
      <c r="D2145" t="s">
        <v>32</v>
      </c>
      <c r="E2145" t="s">
        <v>27</v>
      </c>
      <c r="F2145" s="17">
        <v>1500</v>
      </c>
      <c r="G2145" s="17">
        <v>46000</v>
      </c>
      <c r="H2145" s="17">
        <v>44500</v>
      </c>
      <c r="I2145" s="18">
        <v>0.23</v>
      </c>
      <c r="J2145" s="14">
        <f t="shared" si="0"/>
        <v>29.666666666666668</v>
      </c>
      <c r="K2145" s="15" t="str">
        <f t="shared" si="1"/>
        <v>Exceeds Target</v>
      </c>
    </row>
    <row r="2146" spans="2:11" ht="15" customHeight="1">
      <c r="B2146" t="s">
        <v>610</v>
      </c>
      <c r="C2146" t="s">
        <v>2540</v>
      </c>
      <c r="D2146" t="s">
        <v>69</v>
      </c>
      <c r="E2146" t="s">
        <v>70</v>
      </c>
      <c r="F2146" s="17">
        <v>1000</v>
      </c>
      <c r="G2146" s="17">
        <v>30000</v>
      </c>
      <c r="H2146" s="17">
        <v>29000</v>
      </c>
      <c r="I2146" s="18">
        <v>0.93</v>
      </c>
      <c r="J2146" s="14">
        <f t="shared" si="0"/>
        <v>29</v>
      </c>
      <c r="K2146" s="15" t="str">
        <f t="shared" si="1"/>
        <v>Exceeds Target</v>
      </c>
    </row>
    <row r="2147" spans="2:11" ht="15" customHeight="1">
      <c r="B2147" t="s">
        <v>701</v>
      </c>
      <c r="C2147" t="s">
        <v>2541</v>
      </c>
      <c r="D2147" t="s">
        <v>69</v>
      </c>
      <c r="E2147" t="s">
        <v>70</v>
      </c>
      <c r="F2147" s="17">
        <v>1000</v>
      </c>
      <c r="G2147" s="17">
        <v>40000</v>
      </c>
      <c r="H2147" s="17">
        <v>39000</v>
      </c>
      <c r="I2147" s="18">
        <v>0.49</v>
      </c>
      <c r="J2147" s="14">
        <f t="shared" si="0"/>
        <v>39</v>
      </c>
      <c r="K2147" s="15" t="str">
        <f t="shared" si="1"/>
        <v>Exceeds Target</v>
      </c>
    </row>
    <row r="2148" spans="2:11" ht="15" customHeight="1">
      <c r="B2148" t="s">
        <v>1113</v>
      </c>
      <c r="C2148" t="s">
        <v>2542</v>
      </c>
      <c r="D2148" t="s">
        <v>26</v>
      </c>
      <c r="E2148" t="s">
        <v>27</v>
      </c>
      <c r="F2148" s="17">
        <v>5000</v>
      </c>
      <c r="G2148" s="17">
        <v>60000</v>
      </c>
      <c r="H2148" s="17">
        <v>55000</v>
      </c>
      <c r="I2148" s="18">
        <v>0.1</v>
      </c>
      <c r="J2148" s="14">
        <f t="shared" si="0"/>
        <v>11</v>
      </c>
      <c r="K2148" s="15" t="str">
        <f t="shared" si="1"/>
        <v>Exceeds Target</v>
      </c>
    </row>
    <row r="2149" spans="2:11" ht="15" customHeight="1">
      <c r="B2149" t="s">
        <v>95</v>
      </c>
      <c r="C2149" t="s">
        <v>2543</v>
      </c>
      <c r="D2149" t="s">
        <v>35</v>
      </c>
      <c r="E2149" t="s">
        <v>27</v>
      </c>
      <c r="F2149" s="17">
        <v>3000</v>
      </c>
      <c r="G2149" s="17">
        <v>130000</v>
      </c>
      <c r="H2149" s="17">
        <v>127000</v>
      </c>
      <c r="I2149" s="18">
        <v>0.71</v>
      </c>
      <c r="J2149" s="14">
        <f t="shared" si="0"/>
        <v>42.333333333333336</v>
      </c>
      <c r="K2149" s="15" t="str">
        <f t="shared" si="1"/>
        <v>Exceeds Target</v>
      </c>
    </row>
    <row r="2150" spans="2:11" ht="15" customHeight="1">
      <c r="B2150" t="s">
        <v>1285</v>
      </c>
      <c r="C2150" t="s">
        <v>2544</v>
      </c>
      <c r="D2150" t="s">
        <v>69</v>
      </c>
      <c r="E2150" t="s">
        <v>70</v>
      </c>
      <c r="F2150" s="17">
        <v>1000</v>
      </c>
      <c r="G2150" s="17">
        <v>60000</v>
      </c>
      <c r="H2150" s="17">
        <v>59000</v>
      </c>
      <c r="I2150" s="18">
        <v>0.39</v>
      </c>
      <c r="J2150" s="14">
        <f t="shared" si="0"/>
        <v>59</v>
      </c>
      <c r="K2150" s="15" t="str">
        <f t="shared" si="1"/>
        <v>Exceeds Target</v>
      </c>
    </row>
    <row r="2151" spans="2:11" ht="15" customHeight="1">
      <c r="B2151" t="s">
        <v>83</v>
      </c>
      <c r="C2151" t="s">
        <v>2545</v>
      </c>
      <c r="D2151" t="s">
        <v>80</v>
      </c>
      <c r="E2151" t="s">
        <v>27</v>
      </c>
      <c r="F2151" s="17">
        <v>1000</v>
      </c>
      <c r="G2151" s="17">
        <v>45000</v>
      </c>
      <c r="H2151" s="17">
        <v>44000</v>
      </c>
      <c r="I2151" s="18">
        <v>0.79</v>
      </c>
      <c r="J2151" s="14">
        <f t="shared" si="0"/>
        <v>44</v>
      </c>
      <c r="K2151" s="15" t="str">
        <f t="shared" si="1"/>
        <v>Exceeds Target</v>
      </c>
    </row>
    <row r="2152" spans="2:11" ht="15" customHeight="1">
      <c r="B2152" t="s">
        <v>615</v>
      </c>
      <c r="C2152" t="s">
        <v>2546</v>
      </c>
      <c r="D2152" t="s">
        <v>32</v>
      </c>
      <c r="E2152" t="s">
        <v>27</v>
      </c>
      <c r="F2152" s="17">
        <v>1500</v>
      </c>
      <c r="G2152" s="17">
        <v>26000</v>
      </c>
      <c r="H2152" s="17">
        <v>24500</v>
      </c>
      <c r="I2152" s="18">
        <v>0.41</v>
      </c>
      <c r="J2152" s="14">
        <f t="shared" si="0"/>
        <v>16.333333333333332</v>
      </c>
      <c r="K2152" s="15" t="str">
        <f t="shared" si="1"/>
        <v>Exceeds Target</v>
      </c>
    </row>
    <row r="2153" spans="2:11" ht="15" customHeight="1">
      <c r="B2153" t="s">
        <v>161</v>
      </c>
      <c r="C2153" t="s">
        <v>2547</v>
      </c>
      <c r="D2153" t="s">
        <v>69</v>
      </c>
      <c r="E2153" t="s">
        <v>70</v>
      </c>
      <c r="F2153" s="17">
        <v>1000</v>
      </c>
      <c r="G2153" s="17">
        <v>105000</v>
      </c>
      <c r="H2153" s="17">
        <v>104000</v>
      </c>
      <c r="I2153" s="18">
        <v>0.65</v>
      </c>
      <c r="J2153" s="14">
        <f t="shared" si="0"/>
        <v>104</v>
      </c>
      <c r="K2153" s="15" t="str">
        <f t="shared" si="1"/>
        <v>Exceeds Target</v>
      </c>
    </row>
    <row r="2154" spans="2:11" ht="15" customHeight="1">
      <c r="B2154" t="s">
        <v>1285</v>
      </c>
      <c r="C2154" t="s">
        <v>2548</v>
      </c>
      <c r="D2154" t="s">
        <v>35</v>
      </c>
      <c r="E2154" t="s">
        <v>27</v>
      </c>
      <c r="F2154" s="17">
        <v>3000</v>
      </c>
      <c r="G2154" s="17">
        <v>250000</v>
      </c>
      <c r="H2154" s="17">
        <v>247000</v>
      </c>
      <c r="I2154" s="18">
        <v>0.61</v>
      </c>
      <c r="J2154" s="14">
        <f t="shared" si="0"/>
        <v>82.333333333333329</v>
      </c>
      <c r="K2154" s="15" t="str">
        <f t="shared" si="1"/>
        <v>Exceeds Target</v>
      </c>
    </row>
    <row r="2155" spans="2:11" ht="15" customHeight="1">
      <c r="B2155" t="s">
        <v>259</v>
      </c>
      <c r="C2155" t="s">
        <v>2549</v>
      </c>
      <c r="D2155" t="s">
        <v>32</v>
      </c>
      <c r="E2155" t="s">
        <v>27</v>
      </c>
      <c r="F2155" s="17">
        <v>1500</v>
      </c>
      <c r="G2155" s="17">
        <v>44000</v>
      </c>
      <c r="H2155" s="17">
        <v>42500</v>
      </c>
      <c r="I2155" s="18">
        <v>0.46</v>
      </c>
      <c r="J2155" s="14">
        <f t="shared" si="0"/>
        <v>28.333333333333332</v>
      </c>
      <c r="K2155" s="15" t="str">
        <f t="shared" si="1"/>
        <v>Exceeds Target</v>
      </c>
    </row>
    <row r="2156" spans="2:11" ht="15" customHeight="1">
      <c r="B2156" t="s">
        <v>1013</v>
      </c>
      <c r="C2156" t="s">
        <v>2550</v>
      </c>
      <c r="D2156" t="s">
        <v>69</v>
      </c>
      <c r="E2156" t="s">
        <v>70</v>
      </c>
      <c r="F2156" s="17">
        <v>1000</v>
      </c>
      <c r="G2156" s="17">
        <v>85000</v>
      </c>
      <c r="H2156" s="17">
        <v>84000</v>
      </c>
      <c r="I2156" s="18">
        <v>0.79</v>
      </c>
      <c r="J2156" s="14">
        <f t="shared" si="0"/>
        <v>84</v>
      </c>
      <c r="K2156" s="15" t="str">
        <f t="shared" si="1"/>
        <v>Exceeds Target</v>
      </c>
    </row>
    <row r="2157" spans="2:11" ht="15" customHeight="1">
      <c r="B2157" t="s">
        <v>137</v>
      </c>
      <c r="C2157" t="s">
        <v>2551</v>
      </c>
      <c r="D2157" t="s">
        <v>80</v>
      </c>
      <c r="E2157" t="s">
        <v>27</v>
      </c>
      <c r="F2157" s="17">
        <v>1000</v>
      </c>
      <c r="G2157" s="17">
        <v>48000</v>
      </c>
      <c r="H2157" s="17">
        <v>47000</v>
      </c>
      <c r="I2157" s="18">
        <v>0.88</v>
      </c>
      <c r="J2157" s="14">
        <f t="shared" si="0"/>
        <v>47</v>
      </c>
      <c r="K2157" s="15" t="str">
        <f t="shared" si="1"/>
        <v>Exceeds Target</v>
      </c>
    </row>
    <row r="2158" spans="2:11" ht="15" customHeight="1">
      <c r="B2158" t="s">
        <v>1305</v>
      </c>
      <c r="C2158" t="s">
        <v>2552</v>
      </c>
      <c r="D2158" t="s">
        <v>80</v>
      </c>
      <c r="E2158" t="s">
        <v>27</v>
      </c>
      <c r="F2158" s="17">
        <v>1000</v>
      </c>
      <c r="G2158" s="17">
        <v>120000</v>
      </c>
      <c r="H2158" s="17">
        <v>119000</v>
      </c>
      <c r="I2158" s="18">
        <v>0.98</v>
      </c>
      <c r="J2158" s="14">
        <f t="shared" si="0"/>
        <v>119</v>
      </c>
      <c r="K2158" s="15" t="str">
        <f t="shared" si="1"/>
        <v>Exceeds Target</v>
      </c>
    </row>
    <row r="2159" spans="2:11" ht="15" customHeight="1">
      <c r="B2159" t="s">
        <v>973</v>
      </c>
      <c r="C2159" t="s">
        <v>2553</v>
      </c>
      <c r="D2159" t="s">
        <v>69</v>
      </c>
      <c r="E2159" t="s">
        <v>70</v>
      </c>
      <c r="F2159" s="17">
        <v>1000</v>
      </c>
      <c r="G2159" s="17">
        <v>35000</v>
      </c>
      <c r="H2159" s="17">
        <v>34000</v>
      </c>
      <c r="I2159" s="18">
        <v>0.67</v>
      </c>
      <c r="J2159" s="14">
        <f t="shared" si="0"/>
        <v>34</v>
      </c>
      <c r="K2159" s="15" t="str">
        <f t="shared" si="1"/>
        <v>Exceeds Target</v>
      </c>
    </row>
    <row r="2160" spans="2:11" ht="15" customHeight="1">
      <c r="B2160" t="s">
        <v>378</v>
      </c>
      <c r="C2160" t="s">
        <v>2554</v>
      </c>
      <c r="D2160" t="s">
        <v>26</v>
      </c>
      <c r="E2160" t="s">
        <v>27</v>
      </c>
      <c r="F2160" s="17">
        <v>5000</v>
      </c>
      <c r="G2160" s="17">
        <v>90000</v>
      </c>
      <c r="H2160" s="17">
        <v>85000</v>
      </c>
      <c r="I2160" s="18">
        <v>0.16</v>
      </c>
      <c r="J2160" s="14">
        <f t="shared" si="0"/>
        <v>17</v>
      </c>
      <c r="K2160" s="15" t="str">
        <f t="shared" si="1"/>
        <v>Exceeds Target</v>
      </c>
    </row>
    <row r="2161" spans="2:11" ht="15" customHeight="1">
      <c r="B2161" t="s">
        <v>772</v>
      </c>
      <c r="C2161" t="s">
        <v>2555</v>
      </c>
      <c r="D2161" t="s">
        <v>26</v>
      </c>
      <c r="E2161" t="s">
        <v>27</v>
      </c>
      <c r="F2161" s="17">
        <v>5000</v>
      </c>
      <c r="G2161" s="17">
        <v>120000</v>
      </c>
      <c r="H2161" s="17">
        <v>115000</v>
      </c>
      <c r="I2161" s="18">
        <v>0.1</v>
      </c>
      <c r="J2161" s="14">
        <f t="shared" si="0"/>
        <v>23</v>
      </c>
      <c r="K2161" s="15" t="str">
        <f t="shared" si="1"/>
        <v>Exceeds Target</v>
      </c>
    </row>
    <row r="2162" spans="2:11" ht="15" customHeight="1">
      <c r="B2162" t="s">
        <v>364</v>
      </c>
      <c r="C2162" t="s">
        <v>2556</v>
      </c>
      <c r="D2162" t="s">
        <v>69</v>
      </c>
      <c r="E2162" t="s">
        <v>70</v>
      </c>
      <c r="F2162" s="17">
        <v>1000</v>
      </c>
      <c r="G2162" s="17">
        <v>125000</v>
      </c>
      <c r="H2162" s="17">
        <v>124000</v>
      </c>
      <c r="I2162" s="18">
        <v>0.92</v>
      </c>
      <c r="J2162" s="14">
        <f t="shared" si="0"/>
        <v>124</v>
      </c>
      <c r="K2162" s="15" t="str">
        <f t="shared" si="1"/>
        <v>Exceeds Target</v>
      </c>
    </row>
    <row r="2163" spans="2:11" ht="15" customHeight="1">
      <c r="B2163" t="s">
        <v>585</v>
      </c>
      <c r="C2163" t="s">
        <v>2557</v>
      </c>
      <c r="D2163" t="s">
        <v>26</v>
      </c>
      <c r="E2163" t="s">
        <v>27</v>
      </c>
      <c r="F2163" s="17">
        <v>5000</v>
      </c>
      <c r="G2163" s="17">
        <v>60000</v>
      </c>
      <c r="H2163" s="17">
        <v>55000</v>
      </c>
      <c r="I2163" s="18">
        <v>7.0000000000000007E-2</v>
      </c>
      <c r="J2163" s="14">
        <f t="shared" si="0"/>
        <v>11</v>
      </c>
      <c r="K2163" s="15" t="str">
        <f t="shared" si="1"/>
        <v>Exceeds Target</v>
      </c>
    </row>
    <row r="2164" spans="2:11" ht="15" customHeight="1">
      <c r="B2164" t="s">
        <v>397</v>
      </c>
      <c r="C2164" t="s">
        <v>2558</v>
      </c>
      <c r="D2164" t="s">
        <v>26</v>
      </c>
      <c r="E2164" t="s">
        <v>27</v>
      </c>
      <c r="F2164" s="17">
        <v>5000</v>
      </c>
      <c r="G2164" s="17">
        <v>30000</v>
      </c>
      <c r="H2164" s="17">
        <v>25000</v>
      </c>
      <c r="I2164" s="18">
        <v>0.31</v>
      </c>
      <c r="J2164" s="14">
        <f t="shared" si="0"/>
        <v>5</v>
      </c>
      <c r="K2164" s="15" t="str">
        <f t="shared" si="1"/>
        <v>Exceeds Target</v>
      </c>
    </row>
    <row r="2165" spans="2:11" ht="15" customHeight="1">
      <c r="B2165" t="s">
        <v>238</v>
      </c>
      <c r="C2165" t="s">
        <v>2559</v>
      </c>
      <c r="D2165" t="s">
        <v>69</v>
      </c>
      <c r="E2165" t="s">
        <v>70</v>
      </c>
      <c r="F2165" s="17">
        <v>1000</v>
      </c>
      <c r="G2165" s="17">
        <v>135000</v>
      </c>
      <c r="H2165" s="17">
        <v>134000</v>
      </c>
      <c r="I2165" s="18">
        <v>0.72</v>
      </c>
      <c r="J2165" s="14">
        <f t="shared" si="0"/>
        <v>134</v>
      </c>
      <c r="K2165" s="15" t="str">
        <f t="shared" si="1"/>
        <v>Exceeds Target</v>
      </c>
    </row>
    <row r="2166" spans="2:11" ht="15" customHeight="1">
      <c r="B2166" t="s">
        <v>413</v>
      </c>
      <c r="C2166" t="s">
        <v>2560</v>
      </c>
      <c r="D2166" t="s">
        <v>35</v>
      </c>
      <c r="E2166" t="s">
        <v>27</v>
      </c>
      <c r="F2166" s="17">
        <v>3000</v>
      </c>
      <c r="G2166" s="17">
        <v>220000</v>
      </c>
      <c r="H2166" s="17">
        <v>217000</v>
      </c>
      <c r="I2166" s="18">
        <v>0.53</v>
      </c>
      <c r="J2166" s="14">
        <f t="shared" si="0"/>
        <v>72.333333333333329</v>
      </c>
      <c r="K2166" s="15" t="str">
        <f t="shared" si="1"/>
        <v>Exceeds Target</v>
      </c>
    </row>
    <row r="2167" spans="2:11" ht="15" customHeight="1">
      <c r="B2167" t="s">
        <v>103</v>
      </c>
      <c r="C2167" t="s">
        <v>2561</v>
      </c>
      <c r="D2167" t="s">
        <v>32</v>
      </c>
      <c r="E2167" t="s">
        <v>27</v>
      </c>
      <c r="F2167" s="17">
        <v>1500</v>
      </c>
      <c r="G2167" s="17">
        <v>26000</v>
      </c>
      <c r="H2167" s="17">
        <v>24500</v>
      </c>
      <c r="I2167" s="18">
        <v>0.35</v>
      </c>
      <c r="J2167" s="14">
        <f t="shared" si="0"/>
        <v>16.333333333333332</v>
      </c>
      <c r="K2167" s="15" t="str">
        <f t="shared" si="1"/>
        <v>Exceeds Target</v>
      </c>
    </row>
    <row r="2168" spans="2:11" ht="15" customHeight="1">
      <c r="B2168" t="s">
        <v>496</v>
      </c>
      <c r="C2168" t="s">
        <v>2562</v>
      </c>
      <c r="D2168" t="s">
        <v>69</v>
      </c>
      <c r="E2168" t="s">
        <v>70</v>
      </c>
      <c r="F2168" s="17">
        <v>1000</v>
      </c>
      <c r="G2168" s="17">
        <v>50000</v>
      </c>
      <c r="H2168" s="17">
        <v>49000</v>
      </c>
      <c r="I2168" s="18">
        <v>0.96</v>
      </c>
      <c r="J2168" s="14">
        <f t="shared" si="0"/>
        <v>49</v>
      </c>
      <c r="K2168" s="15" t="str">
        <f t="shared" si="1"/>
        <v>Exceeds Target</v>
      </c>
    </row>
    <row r="2169" spans="2:11" ht="15" customHeight="1">
      <c r="B2169" t="s">
        <v>646</v>
      </c>
      <c r="C2169" t="s">
        <v>2563</v>
      </c>
      <c r="D2169" t="s">
        <v>35</v>
      </c>
      <c r="E2169" t="s">
        <v>27</v>
      </c>
      <c r="F2169" s="17">
        <v>3000</v>
      </c>
      <c r="G2169" s="17">
        <v>150000</v>
      </c>
      <c r="H2169" s="17">
        <v>147000</v>
      </c>
      <c r="I2169" s="18">
        <v>0.98</v>
      </c>
      <c r="J2169" s="14">
        <f t="shared" si="0"/>
        <v>49</v>
      </c>
      <c r="K2169" s="15" t="str">
        <f t="shared" si="1"/>
        <v>Exceeds Target</v>
      </c>
    </row>
    <row r="2170" spans="2:11" ht="15" customHeight="1">
      <c r="B2170" t="s">
        <v>420</v>
      </c>
      <c r="C2170" t="s">
        <v>2564</v>
      </c>
      <c r="D2170" t="s">
        <v>35</v>
      </c>
      <c r="E2170" t="s">
        <v>27</v>
      </c>
      <c r="F2170" s="17">
        <v>3000</v>
      </c>
      <c r="G2170" s="17">
        <v>70000</v>
      </c>
      <c r="H2170" s="17">
        <v>67000</v>
      </c>
      <c r="I2170" s="18">
        <v>0.99</v>
      </c>
      <c r="J2170" s="14">
        <f t="shared" si="0"/>
        <v>22.333333333333332</v>
      </c>
      <c r="K2170" s="15" t="str">
        <f t="shared" si="1"/>
        <v>Exceeds Target</v>
      </c>
    </row>
    <row r="2171" spans="2:11" ht="15" customHeight="1">
      <c r="B2171" t="s">
        <v>111</v>
      </c>
      <c r="C2171" t="s">
        <v>2565</v>
      </c>
      <c r="D2171" t="s">
        <v>32</v>
      </c>
      <c r="E2171" t="s">
        <v>27</v>
      </c>
      <c r="F2171" s="17">
        <v>1500</v>
      </c>
      <c r="G2171" s="17">
        <v>36000</v>
      </c>
      <c r="H2171" s="17">
        <v>34500</v>
      </c>
      <c r="I2171" s="18">
        <v>0.84</v>
      </c>
      <c r="J2171" s="14">
        <f t="shared" si="0"/>
        <v>23</v>
      </c>
      <c r="K2171" s="15" t="str">
        <f t="shared" si="1"/>
        <v>Exceeds Target</v>
      </c>
    </row>
    <row r="2172" spans="2:11" ht="15" customHeight="1">
      <c r="B2172" t="s">
        <v>422</v>
      </c>
      <c r="C2172" t="s">
        <v>2566</v>
      </c>
      <c r="D2172" t="s">
        <v>35</v>
      </c>
      <c r="E2172" t="s">
        <v>27</v>
      </c>
      <c r="F2172" s="17">
        <v>3000</v>
      </c>
      <c r="G2172" s="17">
        <v>180000</v>
      </c>
      <c r="H2172" s="17">
        <v>177000</v>
      </c>
      <c r="I2172" s="18">
        <v>0.32</v>
      </c>
      <c r="J2172" s="14">
        <f t="shared" si="0"/>
        <v>59</v>
      </c>
      <c r="K2172" s="15" t="str">
        <f t="shared" si="1"/>
        <v>Exceeds Target</v>
      </c>
    </row>
    <row r="2173" spans="2:11" ht="15" customHeight="1">
      <c r="B2173" t="s">
        <v>307</v>
      </c>
      <c r="C2173" t="s">
        <v>2567</v>
      </c>
      <c r="D2173" t="s">
        <v>35</v>
      </c>
      <c r="E2173" t="s">
        <v>27</v>
      </c>
      <c r="F2173" s="17">
        <v>3000</v>
      </c>
      <c r="G2173" s="17">
        <v>140000</v>
      </c>
      <c r="H2173" s="17">
        <v>137000</v>
      </c>
      <c r="I2173" s="18">
        <v>0.56999999999999995</v>
      </c>
      <c r="J2173" s="14">
        <f t="shared" si="0"/>
        <v>45.666666666666664</v>
      </c>
      <c r="K2173" s="15" t="str">
        <f t="shared" si="1"/>
        <v>Exceeds Target</v>
      </c>
    </row>
    <row r="2174" spans="2:11" ht="15" customHeight="1">
      <c r="B2174" t="s">
        <v>832</v>
      </c>
      <c r="C2174" t="s">
        <v>2568</v>
      </c>
      <c r="D2174" t="s">
        <v>26</v>
      </c>
      <c r="E2174" t="s">
        <v>27</v>
      </c>
      <c r="F2174" s="17">
        <v>5000</v>
      </c>
      <c r="G2174" s="17">
        <v>150000</v>
      </c>
      <c r="H2174" s="17">
        <v>145000</v>
      </c>
      <c r="I2174" s="18">
        <v>0.18</v>
      </c>
      <c r="J2174" s="14">
        <f t="shared" si="0"/>
        <v>29</v>
      </c>
      <c r="K2174" s="15" t="str">
        <f t="shared" si="1"/>
        <v>Exceeds Target</v>
      </c>
    </row>
    <row r="2175" spans="2:11" ht="15" customHeight="1">
      <c r="B2175" t="s">
        <v>95</v>
      </c>
      <c r="C2175" t="s">
        <v>2569</v>
      </c>
      <c r="D2175" t="s">
        <v>69</v>
      </c>
      <c r="E2175" t="s">
        <v>70</v>
      </c>
      <c r="F2175" s="17">
        <v>1000</v>
      </c>
      <c r="G2175" s="17">
        <v>105000</v>
      </c>
      <c r="H2175" s="17">
        <v>104000</v>
      </c>
      <c r="I2175" s="18">
        <v>0.98</v>
      </c>
      <c r="J2175" s="14">
        <f t="shared" si="0"/>
        <v>104</v>
      </c>
      <c r="K2175" s="15" t="str">
        <f t="shared" si="1"/>
        <v>Exceeds Target</v>
      </c>
    </row>
    <row r="2176" spans="2:11" ht="15" customHeight="1">
      <c r="B2176" t="s">
        <v>173</v>
      </c>
      <c r="C2176" t="s">
        <v>2570</v>
      </c>
      <c r="D2176" t="s">
        <v>35</v>
      </c>
      <c r="E2176" t="s">
        <v>27</v>
      </c>
      <c r="F2176" s="17">
        <v>3000</v>
      </c>
      <c r="G2176" s="17">
        <v>150000</v>
      </c>
      <c r="H2176" s="17">
        <v>147000</v>
      </c>
      <c r="I2176" s="18">
        <v>0.59</v>
      </c>
      <c r="J2176" s="14">
        <f t="shared" si="0"/>
        <v>49</v>
      </c>
      <c r="K2176" s="15" t="str">
        <f t="shared" si="1"/>
        <v>Exceeds Target</v>
      </c>
    </row>
    <row r="2177" spans="2:11" ht="15" customHeight="1">
      <c r="B2177" t="s">
        <v>279</v>
      </c>
      <c r="C2177" t="s">
        <v>2571</v>
      </c>
      <c r="D2177" t="s">
        <v>80</v>
      </c>
      <c r="E2177" t="s">
        <v>27</v>
      </c>
      <c r="F2177" s="17">
        <v>1000</v>
      </c>
      <c r="G2177" s="17">
        <v>51000</v>
      </c>
      <c r="H2177" s="17">
        <v>50000</v>
      </c>
      <c r="I2177" s="18">
        <v>0.79</v>
      </c>
      <c r="J2177" s="14">
        <f t="shared" si="0"/>
        <v>50</v>
      </c>
      <c r="K2177" s="15" t="str">
        <f t="shared" si="1"/>
        <v>Exceeds Target</v>
      </c>
    </row>
    <row r="2178" spans="2:11" ht="15" customHeight="1">
      <c r="B2178" t="s">
        <v>929</v>
      </c>
      <c r="C2178" t="s">
        <v>2572</v>
      </c>
      <c r="D2178" t="s">
        <v>26</v>
      </c>
      <c r="E2178" t="s">
        <v>27</v>
      </c>
      <c r="F2178" s="17">
        <v>5000</v>
      </c>
      <c r="G2178" s="17">
        <v>120000</v>
      </c>
      <c r="H2178" s="17">
        <v>115000</v>
      </c>
      <c r="I2178" s="18">
        <v>0.1</v>
      </c>
      <c r="J2178" s="14">
        <f t="shared" si="0"/>
        <v>23</v>
      </c>
      <c r="K2178" s="15" t="str">
        <f t="shared" si="1"/>
        <v>Exceeds Target</v>
      </c>
    </row>
    <row r="2179" spans="2:11" ht="15" customHeight="1">
      <c r="B2179" t="s">
        <v>815</v>
      </c>
      <c r="C2179" t="s">
        <v>2573</v>
      </c>
      <c r="D2179" t="s">
        <v>26</v>
      </c>
      <c r="E2179" t="s">
        <v>27</v>
      </c>
      <c r="F2179" s="17">
        <v>5000</v>
      </c>
      <c r="G2179" s="17">
        <v>150000</v>
      </c>
      <c r="H2179" s="17">
        <v>145000</v>
      </c>
      <c r="I2179" s="18">
        <v>7.0000000000000007E-2</v>
      </c>
      <c r="J2179" s="14">
        <f t="shared" si="0"/>
        <v>29</v>
      </c>
      <c r="K2179" s="15" t="str">
        <f t="shared" si="1"/>
        <v>Exceeds Target</v>
      </c>
    </row>
    <row r="2180" spans="2:11" ht="15" customHeight="1">
      <c r="B2180" t="s">
        <v>769</v>
      </c>
      <c r="C2180" t="s">
        <v>2574</v>
      </c>
      <c r="D2180" t="s">
        <v>26</v>
      </c>
      <c r="E2180" t="s">
        <v>27</v>
      </c>
      <c r="F2180" s="17">
        <v>5000</v>
      </c>
      <c r="G2180" s="17">
        <v>120000</v>
      </c>
      <c r="H2180" s="17">
        <v>115000</v>
      </c>
      <c r="I2180" s="18">
        <v>0.22</v>
      </c>
      <c r="J2180" s="14">
        <f t="shared" si="0"/>
        <v>23</v>
      </c>
      <c r="K2180" s="15" t="str">
        <f t="shared" si="1"/>
        <v>Exceeds Target</v>
      </c>
    </row>
    <row r="2181" spans="2:11" ht="15" customHeight="1">
      <c r="B2181" t="s">
        <v>882</v>
      </c>
      <c r="C2181" t="s">
        <v>2575</v>
      </c>
      <c r="D2181" t="s">
        <v>69</v>
      </c>
      <c r="E2181" t="s">
        <v>70</v>
      </c>
      <c r="F2181" s="17">
        <v>1000</v>
      </c>
      <c r="G2181" s="17">
        <v>85000</v>
      </c>
      <c r="H2181" s="17">
        <v>84000</v>
      </c>
      <c r="I2181" s="18">
        <v>0.33</v>
      </c>
      <c r="J2181" s="14">
        <f t="shared" si="0"/>
        <v>84</v>
      </c>
      <c r="K2181" s="15" t="str">
        <f t="shared" si="1"/>
        <v>Exceeds Target</v>
      </c>
    </row>
    <row r="2182" spans="2:11" ht="15" customHeight="1">
      <c r="B2182" t="s">
        <v>548</v>
      </c>
      <c r="C2182" t="s">
        <v>2576</v>
      </c>
      <c r="D2182" t="s">
        <v>80</v>
      </c>
      <c r="E2182" t="s">
        <v>27</v>
      </c>
      <c r="F2182" s="17">
        <v>1000</v>
      </c>
      <c r="G2182" s="17">
        <v>45000</v>
      </c>
      <c r="H2182" s="17">
        <v>44000</v>
      </c>
      <c r="I2182" s="18">
        <v>0.59</v>
      </c>
      <c r="J2182" s="14">
        <f t="shared" si="0"/>
        <v>44</v>
      </c>
      <c r="K2182" s="15" t="str">
        <f t="shared" si="1"/>
        <v>Exceeds Target</v>
      </c>
    </row>
    <row r="2183" spans="2:11" ht="15" customHeight="1">
      <c r="B2183" t="s">
        <v>190</v>
      </c>
      <c r="C2183" t="s">
        <v>2577</v>
      </c>
      <c r="D2183" t="s">
        <v>32</v>
      </c>
      <c r="E2183" t="s">
        <v>27</v>
      </c>
      <c r="F2183" s="17">
        <v>1500</v>
      </c>
      <c r="G2183" s="17">
        <v>46000</v>
      </c>
      <c r="H2183" s="17">
        <v>44500</v>
      </c>
      <c r="I2183" s="18">
        <v>0.26</v>
      </c>
      <c r="J2183" s="14">
        <f t="shared" si="0"/>
        <v>29.666666666666668</v>
      </c>
      <c r="K2183" s="15" t="str">
        <f t="shared" si="1"/>
        <v>Exceeds Target</v>
      </c>
    </row>
    <row r="2184" spans="2:11" ht="15" customHeight="1">
      <c r="B2184" t="s">
        <v>804</v>
      </c>
      <c r="C2184" t="s">
        <v>2578</v>
      </c>
      <c r="D2184" t="s">
        <v>26</v>
      </c>
      <c r="E2184" t="s">
        <v>27</v>
      </c>
      <c r="F2184" s="17">
        <v>5000</v>
      </c>
      <c r="G2184" s="17">
        <v>150000</v>
      </c>
      <c r="H2184" s="17">
        <v>145000</v>
      </c>
      <c r="I2184" s="18">
        <v>0.16</v>
      </c>
      <c r="J2184" s="14">
        <f t="shared" si="0"/>
        <v>29</v>
      </c>
      <c r="K2184" s="15" t="str">
        <f t="shared" si="1"/>
        <v>Exceeds Target</v>
      </c>
    </row>
    <row r="2185" spans="2:11" ht="15" customHeight="1">
      <c r="B2185" t="s">
        <v>321</v>
      </c>
      <c r="C2185" t="s">
        <v>2579</v>
      </c>
      <c r="D2185" t="s">
        <v>26</v>
      </c>
      <c r="E2185" t="s">
        <v>27</v>
      </c>
      <c r="F2185" s="17">
        <v>5000</v>
      </c>
      <c r="G2185" s="17">
        <v>150000</v>
      </c>
      <c r="H2185" s="17">
        <v>145000</v>
      </c>
      <c r="I2185" s="18">
        <v>0.05</v>
      </c>
      <c r="J2185" s="14">
        <f t="shared" si="0"/>
        <v>29</v>
      </c>
      <c r="K2185" s="15" t="str">
        <f t="shared" si="1"/>
        <v>Exceeds Target</v>
      </c>
    </row>
    <row r="2186" spans="2:11" ht="15" customHeight="1">
      <c r="B2186" t="s">
        <v>81</v>
      </c>
      <c r="C2186" t="s">
        <v>2580</v>
      </c>
      <c r="D2186" t="s">
        <v>35</v>
      </c>
      <c r="E2186" t="s">
        <v>27</v>
      </c>
      <c r="F2186" s="17">
        <v>3000</v>
      </c>
      <c r="G2186" s="17">
        <v>90000</v>
      </c>
      <c r="H2186" s="17">
        <v>87000</v>
      </c>
      <c r="I2186" s="18">
        <v>0.6</v>
      </c>
      <c r="J2186" s="14">
        <f t="shared" si="0"/>
        <v>29</v>
      </c>
      <c r="K2186" s="15" t="str">
        <f t="shared" si="1"/>
        <v>Exceeds Target</v>
      </c>
    </row>
    <row r="2187" spans="2:11" ht="15" customHeight="1">
      <c r="B2187" t="s">
        <v>93</v>
      </c>
      <c r="C2187" t="s">
        <v>2581</v>
      </c>
      <c r="D2187" t="s">
        <v>32</v>
      </c>
      <c r="E2187" t="s">
        <v>27</v>
      </c>
      <c r="F2187" s="17">
        <v>1500</v>
      </c>
      <c r="G2187" s="17">
        <v>16000</v>
      </c>
      <c r="H2187" s="17">
        <v>14500</v>
      </c>
      <c r="I2187" s="18">
        <v>0.68</v>
      </c>
      <c r="J2187" s="14">
        <f t="shared" si="0"/>
        <v>9.6666666666666661</v>
      </c>
      <c r="K2187" s="15" t="str">
        <f t="shared" si="1"/>
        <v>Exceeds Target</v>
      </c>
    </row>
    <row r="2188" spans="2:11" ht="15" customHeight="1">
      <c r="B2188" t="s">
        <v>234</v>
      </c>
      <c r="C2188" t="s">
        <v>2582</v>
      </c>
      <c r="D2188" t="s">
        <v>35</v>
      </c>
      <c r="E2188" t="s">
        <v>27</v>
      </c>
      <c r="F2188" s="17">
        <v>3000</v>
      </c>
      <c r="G2188" s="17">
        <v>210000</v>
      </c>
      <c r="H2188" s="17">
        <v>207000</v>
      </c>
      <c r="I2188" s="18">
        <v>0.32</v>
      </c>
      <c r="J2188" s="14">
        <f t="shared" si="0"/>
        <v>69</v>
      </c>
      <c r="K2188" s="15" t="str">
        <f t="shared" si="1"/>
        <v>Exceeds Target</v>
      </c>
    </row>
    <row r="2189" spans="2:11" ht="15" customHeight="1">
      <c r="B2189" t="s">
        <v>265</v>
      </c>
      <c r="C2189" t="s">
        <v>2583</v>
      </c>
      <c r="D2189" t="s">
        <v>69</v>
      </c>
      <c r="E2189" t="s">
        <v>70</v>
      </c>
      <c r="F2189" s="17">
        <v>1000</v>
      </c>
      <c r="G2189" s="17">
        <v>85000</v>
      </c>
      <c r="H2189" s="17">
        <v>84000</v>
      </c>
      <c r="I2189" s="18">
        <v>0.51</v>
      </c>
      <c r="J2189" s="14">
        <f t="shared" si="0"/>
        <v>84</v>
      </c>
      <c r="K2189" s="15" t="str">
        <f t="shared" si="1"/>
        <v>Exceeds Target</v>
      </c>
    </row>
    <row r="2190" spans="2:11" ht="15" customHeight="1">
      <c r="B2190" t="s">
        <v>1337</v>
      </c>
      <c r="C2190" t="s">
        <v>2584</v>
      </c>
      <c r="D2190" t="s">
        <v>69</v>
      </c>
      <c r="E2190" t="s">
        <v>70</v>
      </c>
      <c r="F2190" s="17">
        <v>1000</v>
      </c>
      <c r="G2190" s="17">
        <v>60000</v>
      </c>
      <c r="H2190" s="17">
        <v>59000</v>
      </c>
      <c r="I2190" s="18">
        <v>0.45</v>
      </c>
      <c r="J2190" s="14">
        <f t="shared" si="0"/>
        <v>59</v>
      </c>
      <c r="K2190" s="15" t="str">
        <f t="shared" si="1"/>
        <v>Exceeds Target</v>
      </c>
    </row>
    <row r="2191" spans="2:11" ht="15" customHeight="1">
      <c r="B2191" t="s">
        <v>582</v>
      </c>
      <c r="C2191" t="s">
        <v>2585</v>
      </c>
      <c r="D2191" t="s">
        <v>32</v>
      </c>
      <c r="E2191" t="s">
        <v>27</v>
      </c>
      <c r="F2191" s="17">
        <v>1500</v>
      </c>
      <c r="G2191" s="17">
        <v>34000</v>
      </c>
      <c r="H2191" s="17">
        <v>32500</v>
      </c>
      <c r="I2191" s="18">
        <v>0.65</v>
      </c>
      <c r="J2191" s="14">
        <f t="shared" si="0"/>
        <v>21.666666666666668</v>
      </c>
      <c r="K2191" s="15" t="str">
        <f t="shared" si="1"/>
        <v>Exceeds Target</v>
      </c>
    </row>
    <row r="2192" spans="2:11" ht="15" customHeight="1">
      <c r="B2192" t="s">
        <v>505</v>
      </c>
      <c r="C2192" t="s">
        <v>2586</v>
      </c>
      <c r="D2192" t="s">
        <v>69</v>
      </c>
      <c r="E2192" t="s">
        <v>70</v>
      </c>
      <c r="F2192" s="17">
        <v>1000</v>
      </c>
      <c r="G2192" s="17">
        <v>30000</v>
      </c>
      <c r="H2192" s="17">
        <v>29000</v>
      </c>
      <c r="I2192" s="18">
        <v>0.96</v>
      </c>
      <c r="J2192" s="14">
        <f t="shared" si="0"/>
        <v>29</v>
      </c>
      <c r="K2192" s="15" t="str">
        <f t="shared" si="1"/>
        <v>Exceeds Target</v>
      </c>
    </row>
    <row r="2193" spans="2:11" ht="15" customHeight="1">
      <c r="B2193" t="s">
        <v>613</v>
      </c>
      <c r="C2193" t="s">
        <v>2587</v>
      </c>
      <c r="D2193" t="s">
        <v>32</v>
      </c>
      <c r="E2193" t="s">
        <v>27</v>
      </c>
      <c r="F2193" s="17">
        <v>1500</v>
      </c>
      <c r="G2193" s="17">
        <v>52000</v>
      </c>
      <c r="H2193" s="17">
        <v>50500</v>
      </c>
      <c r="I2193" s="18">
        <v>0.45</v>
      </c>
      <c r="J2193" s="14">
        <f t="shared" si="0"/>
        <v>33.666666666666664</v>
      </c>
      <c r="K2193" s="15" t="str">
        <f t="shared" si="1"/>
        <v>Exceeds Target</v>
      </c>
    </row>
    <row r="2194" spans="2:11" ht="15" customHeight="1">
      <c r="B2194" t="s">
        <v>329</v>
      </c>
      <c r="C2194" t="s">
        <v>2588</v>
      </c>
      <c r="D2194" t="s">
        <v>80</v>
      </c>
      <c r="E2194" t="s">
        <v>27</v>
      </c>
      <c r="F2194" s="17">
        <v>1000</v>
      </c>
      <c r="G2194" s="17">
        <v>111000</v>
      </c>
      <c r="H2194" s="17">
        <v>110000</v>
      </c>
      <c r="I2194" s="18">
        <v>0.54</v>
      </c>
      <c r="J2194" s="14">
        <f t="shared" si="0"/>
        <v>110</v>
      </c>
      <c r="K2194" s="15" t="str">
        <f t="shared" si="1"/>
        <v>Exceeds Target</v>
      </c>
    </row>
    <row r="2195" spans="2:11" ht="15" customHeight="1">
      <c r="B2195" t="s">
        <v>307</v>
      </c>
      <c r="C2195" t="s">
        <v>2589</v>
      </c>
      <c r="D2195" t="s">
        <v>26</v>
      </c>
      <c r="E2195" t="s">
        <v>27</v>
      </c>
      <c r="F2195" s="17">
        <v>5000</v>
      </c>
      <c r="G2195" s="17">
        <v>60000</v>
      </c>
      <c r="H2195" s="17">
        <v>55000</v>
      </c>
      <c r="I2195" s="18">
        <v>0.26</v>
      </c>
      <c r="J2195" s="14">
        <f t="shared" si="0"/>
        <v>11</v>
      </c>
      <c r="K2195" s="15" t="str">
        <f t="shared" si="1"/>
        <v>Exceeds Target</v>
      </c>
    </row>
    <row r="2196" spans="2:11" ht="15" customHeight="1">
      <c r="B2196" t="s">
        <v>321</v>
      </c>
      <c r="C2196" t="s">
        <v>2590</v>
      </c>
      <c r="D2196" t="s">
        <v>80</v>
      </c>
      <c r="E2196" t="s">
        <v>27</v>
      </c>
      <c r="F2196" s="17">
        <v>1000</v>
      </c>
      <c r="G2196" s="17">
        <v>51000</v>
      </c>
      <c r="H2196" s="17">
        <v>50000</v>
      </c>
      <c r="I2196" s="18">
        <v>0.97</v>
      </c>
      <c r="J2196" s="14">
        <f t="shared" si="0"/>
        <v>50</v>
      </c>
      <c r="K2196" s="15" t="str">
        <f t="shared" si="1"/>
        <v>Exceeds Target</v>
      </c>
    </row>
    <row r="2197" spans="2:11" ht="15" customHeight="1">
      <c r="B2197" t="s">
        <v>238</v>
      </c>
      <c r="C2197" t="s">
        <v>2591</v>
      </c>
      <c r="D2197" t="s">
        <v>32</v>
      </c>
      <c r="E2197" t="s">
        <v>27</v>
      </c>
      <c r="F2197" s="17">
        <v>1500</v>
      </c>
      <c r="G2197" s="17">
        <v>48000</v>
      </c>
      <c r="H2197" s="17">
        <v>46500</v>
      </c>
      <c r="I2197" s="18">
        <v>0.36</v>
      </c>
      <c r="J2197" s="14">
        <f t="shared" si="0"/>
        <v>31</v>
      </c>
      <c r="K2197" s="15" t="str">
        <f t="shared" si="1"/>
        <v>Exceeds Target</v>
      </c>
    </row>
    <row r="2198" spans="2:11" ht="15" customHeight="1">
      <c r="B2198" t="s">
        <v>659</v>
      </c>
      <c r="C2198" t="s">
        <v>2592</v>
      </c>
      <c r="D2198" t="s">
        <v>32</v>
      </c>
      <c r="E2198" t="s">
        <v>27</v>
      </c>
      <c r="F2198" s="17">
        <v>1500</v>
      </c>
      <c r="G2198" s="17">
        <v>46000</v>
      </c>
      <c r="H2198" s="17">
        <v>44500</v>
      </c>
      <c r="I2198" s="18">
        <v>0.91</v>
      </c>
      <c r="J2198" s="14">
        <f t="shared" si="0"/>
        <v>29.666666666666668</v>
      </c>
      <c r="K2198" s="15" t="str">
        <f t="shared" si="1"/>
        <v>Exceeds Target</v>
      </c>
    </row>
    <row r="2199" spans="2:11" ht="15" customHeight="1">
      <c r="B2199" t="s">
        <v>762</v>
      </c>
      <c r="C2199" t="s">
        <v>2593</v>
      </c>
      <c r="D2199" t="s">
        <v>32</v>
      </c>
      <c r="E2199" t="s">
        <v>27</v>
      </c>
      <c r="F2199" s="17">
        <v>1500</v>
      </c>
      <c r="G2199" s="17">
        <v>30000</v>
      </c>
      <c r="H2199" s="17">
        <v>28500</v>
      </c>
      <c r="I2199" s="18">
        <v>0.86</v>
      </c>
      <c r="J2199" s="14">
        <f t="shared" si="0"/>
        <v>19</v>
      </c>
      <c r="K2199" s="15" t="str">
        <f t="shared" si="1"/>
        <v>Exceeds Target</v>
      </c>
    </row>
    <row r="2200" spans="2:11" ht="15" customHeight="1">
      <c r="B2200" t="s">
        <v>99</v>
      </c>
      <c r="C2200" t="s">
        <v>2594</v>
      </c>
      <c r="D2200" t="s">
        <v>35</v>
      </c>
      <c r="E2200" t="s">
        <v>27</v>
      </c>
      <c r="F2200" s="17">
        <v>3000</v>
      </c>
      <c r="G2200" s="17">
        <v>60000</v>
      </c>
      <c r="H2200" s="17">
        <v>57000</v>
      </c>
      <c r="I2200" s="18">
        <v>0.43</v>
      </c>
      <c r="J2200" s="14">
        <f t="shared" si="0"/>
        <v>19</v>
      </c>
      <c r="K2200" s="15" t="str">
        <f t="shared" si="1"/>
        <v>Exceeds Target</v>
      </c>
    </row>
    <row r="2201" spans="2:11" ht="15" customHeight="1">
      <c r="B2201" t="s">
        <v>1323</v>
      </c>
      <c r="C2201" t="s">
        <v>2595</v>
      </c>
      <c r="D2201" t="s">
        <v>80</v>
      </c>
      <c r="E2201" t="s">
        <v>27</v>
      </c>
      <c r="F2201" s="17">
        <v>1000</v>
      </c>
      <c r="G2201" s="17">
        <v>45000</v>
      </c>
      <c r="H2201" s="17">
        <v>44000</v>
      </c>
      <c r="I2201" s="18">
        <v>0.97</v>
      </c>
      <c r="J2201" s="14">
        <f t="shared" si="0"/>
        <v>44</v>
      </c>
      <c r="K2201" s="15" t="str">
        <f t="shared" si="1"/>
        <v>Exceeds Target</v>
      </c>
    </row>
    <row r="2202" spans="2:11" ht="15" customHeight="1">
      <c r="B2202" t="s">
        <v>850</v>
      </c>
      <c r="C2202" t="s">
        <v>2596</v>
      </c>
      <c r="D2202" t="s">
        <v>32</v>
      </c>
      <c r="E2202" t="s">
        <v>27</v>
      </c>
      <c r="F2202" s="17">
        <v>1500</v>
      </c>
      <c r="G2202" s="17">
        <v>40000</v>
      </c>
      <c r="H2202" s="17">
        <v>38500</v>
      </c>
      <c r="I2202" s="18">
        <v>0.18</v>
      </c>
      <c r="J2202" s="14">
        <f t="shared" si="0"/>
        <v>25.666666666666668</v>
      </c>
      <c r="K2202" s="15" t="str">
        <f t="shared" si="1"/>
        <v>Exceeds Target</v>
      </c>
    </row>
    <row r="2203" spans="2:11" ht="15" customHeight="1">
      <c r="B2203" t="s">
        <v>1320</v>
      </c>
      <c r="C2203" t="s">
        <v>2597</v>
      </c>
      <c r="D2203" t="s">
        <v>32</v>
      </c>
      <c r="E2203" t="s">
        <v>27</v>
      </c>
      <c r="F2203" s="17">
        <v>1500</v>
      </c>
      <c r="G2203" s="17">
        <v>38000</v>
      </c>
      <c r="H2203" s="17">
        <v>36500</v>
      </c>
      <c r="I2203" s="18">
        <v>0.75</v>
      </c>
      <c r="J2203" s="14">
        <f t="shared" si="0"/>
        <v>24.333333333333332</v>
      </c>
      <c r="K2203" s="15" t="str">
        <f t="shared" si="1"/>
        <v>Exceeds Target</v>
      </c>
    </row>
    <row r="2204" spans="2:11" ht="15" customHeight="1">
      <c r="B2204" t="s">
        <v>561</v>
      </c>
      <c r="C2204" t="s">
        <v>2598</v>
      </c>
      <c r="D2204" t="s">
        <v>32</v>
      </c>
      <c r="E2204" t="s">
        <v>27</v>
      </c>
      <c r="F2204" s="17">
        <v>1500</v>
      </c>
      <c r="G2204" s="17">
        <v>42000</v>
      </c>
      <c r="H2204" s="17">
        <v>40500</v>
      </c>
      <c r="I2204" s="18">
        <v>0.92</v>
      </c>
      <c r="J2204" s="14">
        <f t="shared" si="0"/>
        <v>27</v>
      </c>
      <c r="K2204" s="15" t="str">
        <f t="shared" si="1"/>
        <v>Exceeds Target</v>
      </c>
    </row>
    <row r="2205" spans="2:11" ht="15" customHeight="1">
      <c r="B2205" t="s">
        <v>613</v>
      </c>
      <c r="C2205" t="s">
        <v>2599</v>
      </c>
      <c r="D2205" t="s">
        <v>35</v>
      </c>
      <c r="E2205" t="s">
        <v>27</v>
      </c>
      <c r="F2205" s="17">
        <v>3000</v>
      </c>
      <c r="G2205" s="17">
        <v>240000</v>
      </c>
      <c r="H2205" s="17">
        <v>237000</v>
      </c>
      <c r="I2205" s="18">
        <v>0.99</v>
      </c>
      <c r="J2205" s="14">
        <f t="shared" si="0"/>
        <v>79</v>
      </c>
      <c r="K2205" s="15" t="str">
        <f t="shared" si="1"/>
        <v>Exceeds Target</v>
      </c>
    </row>
    <row r="2206" spans="2:11" ht="15" customHeight="1">
      <c r="B2206" t="s">
        <v>664</v>
      </c>
      <c r="C2206" t="s">
        <v>2600</v>
      </c>
      <c r="D2206" t="s">
        <v>69</v>
      </c>
      <c r="E2206" t="s">
        <v>70</v>
      </c>
      <c r="F2206" s="17">
        <v>1000</v>
      </c>
      <c r="G2206" s="17">
        <v>110000</v>
      </c>
      <c r="H2206" s="17">
        <v>109000</v>
      </c>
      <c r="I2206" s="18">
        <v>0.86</v>
      </c>
      <c r="J2206" s="14">
        <f t="shared" si="0"/>
        <v>109</v>
      </c>
      <c r="K2206" s="15" t="str">
        <f t="shared" si="1"/>
        <v>Exceeds Target</v>
      </c>
    </row>
    <row r="2207" spans="2:11" ht="15" customHeight="1">
      <c r="B2207" t="s">
        <v>679</v>
      </c>
      <c r="C2207" t="s">
        <v>2601</v>
      </c>
      <c r="D2207" t="s">
        <v>35</v>
      </c>
      <c r="E2207" t="s">
        <v>27</v>
      </c>
      <c r="F2207" s="17">
        <v>3000</v>
      </c>
      <c r="G2207" s="17">
        <v>160000</v>
      </c>
      <c r="H2207" s="17">
        <v>157000</v>
      </c>
      <c r="I2207" s="18">
        <v>0.53</v>
      </c>
      <c r="J2207" s="14">
        <f t="shared" si="0"/>
        <v>52.333333333333336</v>
      </c>
      <c r="K2207" s="15" t="str">
        <f t="shared" si="1"/>
        <v>Exceeds Target</v>
      </c>
    </row>
    <row r="2208" spans="2:11" ht="15" customHeight="1">
      <c r="B2208" t="s">
        <v>323</v>
      </c>
      <c r="C2208" t="s">
        <v>2602</v>
      </c>
      <c r="D2208" t="s">
        <v>69</v>
      </c>
      <c r="E2208" t="s">
        <v>70</v>
      </c>
      <c r="F2208" s="17">
        <v>1000</v>
      </c>
      <c r="G2208" s="17">
        <v>40000</v>
      </c>
      <c r="H2208" s="17">
        <v>39000</v>
      </c>
      <c r="I2208" s="18">
        <v>0.42</v>
      </c>
      <c r="J2208" s="14">
        <f t="shared" si="0"/>
        <v>39</v>
      </c>
      <c r="K2208" s="15" t="str">
        <f t="shared" si="1"/>
        <v>Exceeds Target</v>
      </c>
    </row>
    <row r="2209" spans="2:11" ht="15" customHeight="1">
      <c r="B2209" t="s">
        <v>428</v>
      </c>
      <c r="C2209" t="s">
        <v>2603</v>
      </c>
      <c r="D2209" t="s">
        <v>69</v>
      </c>
      <c r="E2209" t="s">
        <v>70</v>
      </c>
      <c r="F2209" s="17">
        <v>1000</v>
      </c>
      <c r="G2209" s="17">
        <v>40000</v>
      </c>
      <c r="H2209" s="17">
        <v>39000</v>
      </c>
      <c r="I2209" s="18">
        <v>0.88</v>
      </c>
      <c r="J2209" s="14">
        <f t="shared" si="0"/>
        <v>39</v>
      </c>
      <c r="K2209" s="15" t="str">
        <f t="shared" si="1"/>
        <v>Exceeds Target</v>
      </c>
    </row>
    <row r="2210" spans="2:11" ht="15" customHeight="1">
      <c r="B2210" t="s">
        <v>424</v>
      </c>
      <c r="C2210" t="s">
        <v>2604</v>
      </c>
      <c r="D2210" t="s">
        <v>69</v>
      </c>
      <c r="E2210" t="s">
        <v>70</v>
      </c>
      <c r="F2210" s="17">
        <v>1000</v>
      </c>
      <c r="G2210" s="17">
        <v>55000</v>
      </c>
      <c r="H2210" s="17">
        <v>54000</v>
      </c>
      <c r="I2210" s="18">
        <v>0.42</v>
      </c>
      <c r="J2210" s="14">
        <f t="shared" si="0"/>
        <v>54</v>
      </c>
      <c r="K2210" s="15" t="str">
        <f t="shared" si="1"/>
        <v>Exceeds Target</v>
      </c>
    </row>
    <row r="2211" spans="2:11" ht="15" customHeight="1">
      <c r="B2211" t="s">
        <v>657</v>
      </c>
      <c r="C2211" t="s">
        <v>2605</v>
      </c>
      <c r="D2211" t="s">
        <v>69</v>
      </c>
      <c r="E2211" t="s">
        <v>70</v>
      </c>
      <c r="F2211" s="17">
        <v>1000</v>
      </c>
      <c r="G2211" s="17">
        <v>55000</v>
      </c>
      <c r="H2211" s="17">
        <v>54000</v>
      </c>
      <c r="I2211" s="18">
        <v>0.32</v>
      </c>
      <c r="J2211" s="14">
        <f t="shared" si="0"/>
        <v>54</v>
      </c>
      <c r="K2211" s="15" t="str">
        <f t="shared" si="1"/>
        <v>Exceeds Target</v>
      </c>
    </row>
    <row r="2212" spans="2:11" ht="15" customHeight="1">
      <c r="B2212" t="s">
        <v>1065</v>
      </c>
      <c r="C2212" t="s">
        <v>2606</v>
      </c>
      <c r="D2212" t="s">
        <v>32</v>
      </c>
      <c r="E2212" t="s">
        <v>27</v>
      </c>
      <c r="F2212" s="17">
        <v>1500</v>
      </c>
      <c r="G2212" s="17">
        <v>52000</v>
      </c>
      <c r="H2212" s="17">
        <v>50500</v>
      </c>
      <c r="I2212" s="18">
        <v>0.74</v>
      </c>
      <c r="J2212" s="14">
        <f t="shared" si="0"/>
        <v>33.666666666666664</v>
      </c>
      <c r="K2212" s="15" t="str">
        <f t="shared" si="1"/>
        <v>Exceeds Target</v>
      </c>
    </row>
    <row r="2213" spans="2:11" ht="15" customHeight="1">
      <c r="B2213" t="s">
        <v>183</v>
      </c>
      <c r="C2213" t="s">
        <v>2607</v>
      </c>
      <c r="D2213" t="s">
        <v>69</v>
      </c>
      <c r="E2213" t="s">
        <v>70</v>
      </c>
      <c r="F2213" s="17">
        <v>1000</v>
      </c>
      <c r="G2213" s="17">
        <v>130000</v>
      </c>
      <c r="H2213" s="17">
        <v>129000</v>
      </c>
      <c r="I2213" s="18">
        <v>0.74</v>
      </c>
      <c r="J2213" s="14">
        <f t="shared" si="0"/>
        <v>129</v>
      </c>
      <c r="K2213" s="15" t="str">
        <f t="shared" si="1"/>
        <v>Exceeds Target</v>
      </c>
    </row>
    <row r="2214" spans="2:11" ht="15" customHeight="1">
      <c r="B2214" t="s">
        <v>225</v>
      </c>
      <c r="C2214" t="s">
        <v>2608</v>
      </c>
      <c r="D2214" t="s">
        <v>80</v>
      </c>
      <c r="E2214" t="s">
        <v>27</v>
      </c>
      <c r="F2214" s="17">
        <v>1000</v>
      </c>
      <c r="G2214" s="17">
        <v>99000</v>
      </c>
      <c r="H2214" s="17">
        <v>98000</v>
      </c>
      <c r="I2214" s="18">
        <v>0.91</v>
      </c>
      <c r="J2214" s="14">
        <f t="shared" si="0"/>
        <v>98</v>
      </c>
      <c r="K2214" s="15" t="str">
        <f t="shared" si="1"/>
        <v>Exceeds Target</v>
      </c>
    </row>
    <row r="2215" spans="2:11" ht="15" customHeight="1">
      <c r="B2215" t="s">
        <v>190</v>
      </c>
      <c r="C2215" t="s">
        <v>2609</v>
      </c>
      <c r="D2215" t="s">
        <v>32</v>
      </c>
      <c r="E2215" t="s">
        <v>27</v>
      </c>
      <c r="F2215" s="17">
        <v>1500</v>
      </c>
      <c r="G2215" s="17">
        <v>44000</v>
      </c>
      <c r="H2215" s="17">
        <v>42500</v>
      </c>
      <c r="I2215" s="18">
        <v>0.21</v>
      </c>
      <c r="J2215" s="14">
        <f t="shared" si="0"/>
        <v>28.333333333333332</v>
      </c>
      <c r="K2215" s="15" t="str">
        <f t="shared" si="1"/>
        <v>Exceeds Target</v>
      </c>
    </row>
    <row r="2216" spans="2:11" ht="15" customHeight="1">
      <c r="B2216" t="s">
        <v>450</v>
      </c>
      <c r="C2216" t="s">
        <v>2610</v>
      </c>
      <c r="D2216" t="s">
        <v>80</v>
      </c>
      <c r="E2216" t="s">
        <v>27</v>
      </c>
      <c r="F2216" s="17">
        <v>1000</v>
      </c>
      <c r="G2216" s="17">
        <v>99000</v>
      </c>
      <c r="H2216" s="17">
        <v>98000</v>
      </c>
      <c r="I2216" s="18">
        <v>0.89</v>
      </c>
      <c r="J2216" s="14">
        <f t="shared" si="0"/>
        <v>98</v>
      </c>
      <c r="K2216" s="15" t="str">
        <f t="shared" si="1"/>
        <v>Exceeds Target</v>
      </c>
    </row>
    <row r="2217" spans="2:11" ht="15" customHeight="1">
      <c r="B2217" t="s">
        <v>337</v>
      </c>
      <c r="C2217" t="s">
        <v>2611</v>
      </c>
      <c r="D2217" t="s">
        <v>69</v>
      </c>
      <c r="E2217" t="s">
        <v>70</v>
      </c>
      <c r="F2217" s="17">
        <v>1000</v>
      </c>
      <c r="G2217" s="17">
        <v>35000</v>
      </c>
      <c r="H2217" s="17">
        <v>34000</v>
      </c>
      <c r="I2217" s="18">
        <v>0.83</v>
      </c>
      <c r="J2217" s="14">
        <f t="shared" si="0"/>
        <v>34</v>
      </c>
      <c r="K2217" s="15" t="str">
        <f t="shared" si="1"/>
        <v>Exceeds Target</v>
      </c>
    </row>
    <row r="2218" spans="2:11" ht="15" customHeight="1">
      <c r="B2218" t="s">
        <v>1337</v>
      </c>
      <c r="C2218" t="s">
        <v>2612</v>
      </c>
      <c r="D2218" t="s">
        <v>32</v>
      </c>
      <c r="E2218" t="s">
        <v>27</v>
      </c>
      <c r="F2218" s="17">
        <v>1500</v>
      </c>
      <c r="G2218" s="17">
        <v>42000</v>
      </c>
      <c r="H2218" s="17">
        <v>40500</v>
      </c>
      <c r="I2218" s="18">
        <v>0.74</v>
      </c>
      <c r="J2218" s="14">
        <f t="shared" si="0"/>
        <v>27</v>
      </c>
      <c r="K2218" s="15" t="str">
        <f t="shared" si="1"/>
        <v>Exceeds Target</v>
      </c>
    </row>
    <row r="2219" spans="2:11" ht="15" customHeight="1">
      <c r="B2219" t="s">
        <v>553</v>
      </c>
      <c r="C2219" t="s">
        <v>2613</v>
      </c>
      <c r="D2219" t="s">
        <v>80</v>
      </c>
      <c r="E2219" t="s">
        <v>27</v>
      </c>
      <c r="F2219" s="17">
        <v>1000</v>
      </c>
      <c r="G2219" s="17">
        <v>72000</v>
      </c>
      <c r="H2219" s="17">
        <v>71000</v>
      </c>
      <c r="I2219" s="18">
        <v>0.74</v>
      </c>
      <c r="J2219" s="14">
        <f t="shared" si="0"/>
        <v>71</v>
      </c>
      <c r="K2219" s="15" t="str">
        <f t="shared" si="1"/>
        <v>Exceeds Target</v>
      </c>
    </row>
    <row r="2220" spans="2:11" ht="15" customHeight="1">
      <c r="B2220" t="s">
        <v>1510</v>
      </c>
      <c r="C2220" t="s">
        <v>2614</v>
      </c>
      <c r="D2220" t="s">
        <v>80</v>
      </c>
      <c r="E2220" t="s">
        <v>27</v>
      </c>
      <c r="F2220" s="17">
        <v>1000</v>
      </c>
      <c r="G2220" s="17">
        <v>75000</v>
      </c>
      <c r="H2220" s="17">
        <v>74000</v>
      </c>
      <c r="I2220" s="18">
        <v>0.61</v>
      </c>
      <c r="J2220" s="14">
        <f t="shared" si="0"/>
        <v>74</v>
      </c>
      <c r="K2220" s="15" t="str">
        <f t="shared" si="1"/>
        <v>Exceeds Target</v>
      </c>
    </row>
    <row r="2221" spans="2:11" ht="15" customHeight="1">
      <c r="B2221" t="s">
        <v>63</v>
      </c>
      <c r="C2221" t="s">
        <v>2615</v>
      </c>
      <c r="D2221" t="s">
        <v>69</v>
      </c>
      <c r="E2221" t="s">
        <v>70</v>
      </c>
      <c r="F2221" s="17">
        <v>1000</v>
      </c>
      <c r="G2221" s="17">
        <v>40000</v>
      </c>
      <c r="H2221" s="17">
        <v>39000</v>
      </c>
      <c r="I2221" s="18">
        <v>0.22</v>
      </c>
      <c r="J2221" s="14">
        <f t="shared" si="0"/>
        <v>39</v>
      </c>
      <c r="K2221" s="15" t="str">
        <f t="shared" si="1"/>
        <v>Exceeds Target</v>
      </c>
    </row>
    <row r="2222" spans="2:11" ht="15" customHeight="1">
      <c r="B2222" t="s">
        <v>218</v>
      </c>
      <c r="C2222" t="s">
        <v>2616</v>
      </c>
      <c r="D2222" t="s">
        <v>80</v>
      </c>
      <c r="E2222" t="s">
        <v>27</v>
      </c>
      <c r="F2222" s="17">
        <v>1000</v>
      </c>
      <c r="G2222" s="17">
        <v>84000</v>
      </c>
      <c r="H2222" s="17">
        <v>83000</v>
      </c>
      <c r="I2222" s="18">
        <v>0.84</v>
      </c>
      <c r="J2222" s="14">
        <f t="shared" si="0"/>
        <v>83</v>
      </c>
      <c r="K2222" s="15" t="str">
        <f t="shared" si="1"/>
        <v>Exceeds Target</v>
      </c>
    </row>
    <row r="2223" spans="2:11" ht="15" customHeight="1">
      <c r="B2223" t="s">
        <v>83</v>
      </c>
      <c r="C2223" t="s">
        <v>2617</v>
      </c>
      <c r="D2223" t="s">
        <v>69</v>
      </c>
      <c r="E2223" t="s">
        <v>70</v>
      </c>
      <c r="F2223" s="17">
        <v>1000</v>
      </c>
      <c r="G2223" s="17">
        <v>105000</v>
      </c>
      <c r="H2223" s="17">
        <v>104000</v>
      </c>
      <c r="I2223" s="18">
        <v>0.59</v>
      </c>
      <c r="J2223" s="14">
        <f t="shared" si="0"/>
        <v>104</v>
      </c>
      <c r="K2223" s="15" t="str">
        <f t="shared" si="1"/>
        <v>Exceeds Target</v>
      </c>
    </row>
    <row r="2224" spans="2:11" ht="15" customHeight="1">
      <c r="B2224" t="s">
        <v>285</v>
      </c>
      <c r="C2224" t="s">
        <v>2618</v>
      </c>
      <c r="D2224" t="s">
        <v>32</v>
      </c>
      <c r="E2224" t="s">
        <v>27</v>
      </c>
      <c r="F2224" s="17">
        <v>1500</v>
      </c>
      <c r="G2224" s="17">
        <v>12000</v>
      </c>
      <c r="H2224" s="17">
        <v>10500</v>
      </c>
      <c r="I2224" s="18">
        <v>0.44</v>
      </c>
      <c r="J2224" s="14">
        <f t="shared" si="0"/>
        <v>7</v>
      </c>
      <c r="K2224" s="15" t="str">
        <f t="shared" si="1"/>
        <v>Exceeds Target</v>
      </c>
    </row>
    <row r="2225" spans="2:11" ht="15" customHeight="1">
      <c r="B2225" t="s">
        <v>916</v>
      </c>
      <c r="C2225" t="s">
        <v>2619</v>
      </c>
      <c r="D2225" t="s">
        <v>32</v>
      </c>
      <c r="E2225" t="s">
        <v>27</v>
      </c>
      <c r="F2225" s="17">
        <v>1500</v>
      </c>
      <c r="G2225" s="17">
        <v>36000</v>
      </c>
      <c r="H2225" s="17">
        <v>34500</v>
      </c>
      <c r="I2225" s="18">
        <v>0.55000000000000004</v>
      </c>
      <c r="J2225" s="14">
        <f t="shared" si="0"/>
        <v>23</v>
      </c>
      <c r="K2225" s="15" t="str">
        <f t="shared" si="1"/>
        <v>Exceeds Target</v>
      </c>
    </row>
    <row r="2226" spans="2:11" ht="15" customHeight="1">
      <c r="B2226" t="s">
        <v>2157</v>
      </c>
      <c r="C2226" t="s">
        <v>2620</v>
      </c>
      <c r="D2226" t="s">
        <v>32</v>
      </c>
      <c r="E2226" t="s">
        <v>27</v>
      </c>
      <c r="F2226" s="17">
        <v>1500</v>
      </c>
      <c r="G2226" s="17">
        <v>24000</v>
      </c>
      <c r="H2226" s="17">
        <v>22500</v>
      </c>
      <c r="I2226" s="18">
        <v>0.35</v>
      </c>
      <c r="J2226" s="14">
        <f t="shared" si="0"/>
        <v>15</v>
      </c>
      <c r="K2226" s="15" t="str">
        <f t="shared" si="1"/>
        <v>Exceeds Target</v>
      </c>
    </row>
    <row r="2227" spans="2:11" ht="15" customHeight="1">
      <c r="B2227" t="s">
        <v>502</v>
      </c>
      <c r="C2227" t="s">
        <v>2621</v>
      </c>
      <c r="D2227" t="s">
        <v>35</v>
      </c>
      <c r="E2227" t="s">
        <v>27</v>
      </c>
      <c r="F2227" s="17">
        <v>3000</v>
      </c>
      <c r="G2227" s="17">
        <v>280000</v>
      </c>
      <c r="H2227" s="17">
        <v>277000</v>
      </c>
      <c r="I2227" s="18">
        <v>0.31</v>
      </c>
      <c r="J2227" s="14">
        <f t="shared" si="0"/>
        <v>92.333333333333329</v>
      </c>
      <c r="K2227" s="15" t="str">
        <f t="shared" si="1"/>
        <v>Exceeds Target</v>
      </c>
    </row>
    <row r="2228" spans="2:11" ht="15" customHeight="1">
      <c r="B2228" t="s">
        <v>190</v>
      </c>
      <c r="C2228" t="s">
        <v>2622</v>
      </c>
      <c r="D2228" t="s">
        <v>69</v>
      </c>
      <c r="E2228" t="s">
        <v>70</v>
      </c>
      <c r="F2228" s="17">
        <v>1000</v>
      </c>
      <c r="G2228" s="17">
        <v>40000</v>
      </c>
      <c r="H2228" s="17">
        <v>39000</v>
      </c>
      <c r="I2228" s="18">
        <v>0.76</v>
      </c>
      <c r="J2228" s="14">
        <f t="shared" si="0"/>
        <v>39</v>
      </c>
      <c r="K2228" s="15" t="str">
        <f t="shared" si="1"/>
        <v>Exceeds Target</v>
      </c>
    </row>
    <row r="2229" spans="2:11" ht="15" customHeight="1">
      <c r="B2229" t="s">
        <v>448</v>
      </c>
      <c r="C2229" t="s">
        <v>2623</v>
      </c>
      <c r="D2229" t="s">
        <v>26</v>
      </c>
      <c r="E2229" t="s">
        <v>27</v>
      </c>
      <c r="F2229" s="17">
        <v>5000</v>
      </c>
      <c r="G2229" s="17">
        <v>60000</v>
      </c>
      <c r="H2229" s="17">
        <v>55000</v>
      </c>
      <c r="I2229" s="18">
        <v>0.36</v>
      </c>
      <c r="J2229" s="14">
        <f t="shared" si="0"/>
        <v>11</v>
      </c>
      <c r="K2229" s="15" t="str">
        <f t="shared" si="1"/>
        <v>Exceeds Target</v>
      </c>
    </row>
    <row r="2230" spans="2:11" ht="15" customHeight="1">
      <c r="B2230" t="s">
        <v>30</v>
      </c>
      <c r="C2230" t="s">
        <v>2624</v>
      </c>
      <c r="D2230" t="s">
        <v>80</v>
      </c>
      <c r="E2230" t="s">
        <v>27</v>
      </c>
      <c r="F2230" s="17">
        <v>1000</v>
      </c>
      <c r="G2230" s="17">
        <v>99000</v>
      </c>
      <c r="H2230" s="17">
        <v>98000</v>
      </c>
      <c r="I2230" s="18">
        <v>0.73</v>
      </c>
      <c r="J2230" s="14">
        <f t="shared" si="0"/>
        <v>98</v>
      </c>
      <c r="K2230" s="15" t="str">
        <f t="shared" si="1"/>
        <v>Exceeds Target</v>
      </c>
    </row>
    <row r="2231" spans="2:11" ht="15" customHeight="1">
      <c r="B2231" t="s">
        <v>618</v>
      </c>
      <c r="C2231" t="s">
        <v>2625</v>
      </c>
      <c r="D2231" t="s">
        <v>69</v>
      </c>
      <c r="E2231" t="s">
        <v>70</v>
      </c>
      <c r="F2231" s="17">
        <v>1000</v>
      </c>
      <c r="G2231" s="17">
        <v>150000</v>
      </c>
      <c r="H2231" s="17">
        <v>149000</v>
      </c>
      <c r="I2231" s="18">
        <v>0.75</v>
      </c>
      <c r="J2231" s="14">
        <f t="shared" si="0"/>
        <v>149</v>
      </c>
      <c r="K2231" s="15" t="str">
        <f t="shared" si="1"/>
        <v>Exceeds Target</v>
      </c>
    </row>
    <row r="2232" spans="2:11" ht="15" customHeight="1">
      <c r="B2232" t="s">
        <v>542</v>
      </c>
      <c r="C2232" t="s">
        <v>2626</v>
      </c>
      <c r="D2232" t="s">
        <v>26</v>
      </c>
      <c r="E2232" t="s">
        <v>27</v>
      </c>
      <c r="F2232" s="17">
        <v>5000</v>
      </c>
      <c r="G2232" s="17">
        <v>90000</v>
      </c>
      <c r="H2232" s="17">
        <v>85000</v>
      </c>
      <c r="I2232" s="18">
        <v>0.16</v>
      </c>
      <c r="J2232" s="14">
        <f t="shared" si="0"/>
        <v>17</v>
      </c>
      <c r="K2232" s="15" t="str">
        <f t="shared" si="1"/>
        <v>Exceeds Target</v>
      </c>
    </row>
    <row r="2233" spans="2:11" ht="15" customHeight="1">
      <c r="B2233" t="s">
        <v>293</v>
      </c>
      <c r="C2233" t="s">
        <v>2627</v>
      </c>
      <c r="D2233" t="s">
        <v>35</v>
      </c>
      <c r="E2233" t="s">
        <v>27</v>
      </c>
      <c r="F2233" s="17">
        <v>3000</v>
      </c>
      <c r="G2233" s="17">
        <v>300000</v>
      </c>
      <c r="H2233" s="17">
        <v>297000</v>
      </c>
      <c r="I2233" s="18">
        <v>0.38</v>
      </c>
      <c r="J2233" s="14">
        <f t="shared" si="0"/>
        <v>99</v>
      </c>
      <c r="K2233" s="15" t="str">
        <f t="shared" si="1"/>
        <v>Exceeds Target</v>
      </c>
    </row>
    <row r="2234" spans="2:11" ht="15" customHeight="1">
      <c r="B2234" t="s">
        <v>1510</v>
      </c>
      <c r="C2234" t="s">
        <v>2628</v>
      </c>
      <c r="D2234" t="s">
        <v>32</v>
      </c>
      <c r="E2234" t="s">
        <v>27</v>
      </c>
      <c r="F2234" s="17">
        <v>1500</v>
      </c>
      <c r="G2234" s="17">
        <v>24000</v>
      </c>
      <c r="H2234" s="17">
        <v>22500</v>
      </c>
      <c r="I2234" s="18">
        <v>0.85</v>
      </c>
      <c r="J2234" s="14">
        <f t="shared" si="0"/>
        <v>15</v>
      </c>
      <c r="K2234" s="15" t="str">
        <f t="shared" si="1"/>
        <v>Exceeds Target</v>
      </c>
    </row>
    <row r="2235" spans="2:11" ht="15" customHeight="1">
      <c r="B2235" t="s">
        <v>568</v>
      </c>
      <c r="C2235" t="s">
        <v>2629</v>
      </c>
      <c r="D2235" t="s">
        <v>69</v>
      </c>
      <c r="E2235" t="s">
        <v>70</v>
      </c>
      <c r="F2235" s="17">
        <v>1000</v>
      </c>
      <c r="G2235" s="17">
        <v>110000</v>
      </c>
      <c r="H2235" s="17">
        <v>109000</v>
      </c>
      <c r="I2235" s="18">
        <v>0.65</v>
      </c>
      <c r="J2235" s="14">
        <f t="shared" si="0"/>
        <v>109</v>
      </c>
      <c r="K2235" s="15" t="str">
        <f t="shared" si="1"/>
        <v>Exceeds Target</v>
      </c>
    </row>
    <row r="2236" spans="2:11" ht="15" customHeight="1">
      <c r="B2236" t="s">
        <v>1477</v>
      </c>
      <c r="C2236" t="s">
        <v>2630</v>
      </c>
      <c r="D2236" t="s">
        <v>80</v>
      </c>
      <c r="E2236" t="s">
        <v>27</v>
      </c>
      <c r="F2236" s="17">
        <v>1000</v>
      </c>
      <c r="G2236" s="17">
        <v>66000</v>
      </c>
      <c r="H2236" s="17">
        <v>65000</v>
      </c>
      <c r="I2236" s="18">
        <v>0.75</v>
      </c>
      <c r="J2236" s="14">
        <f t="shared" si="0"/>
        <v>65</v>
      </c>
      <c r="K2236" s="15" t="str">
        <f t="shared" si="1"/>
        <v>Exceeds Target</v>
      </c>
    </row>
    <row r="2237" spans="2:11" ht="15" customHeight="1">
      <c r="B2237" t="s">
        <v>559</v>
      </c>
      <c r="C2237" t="s">
        <v>2631</v>
      </c>
      <c r="D2237" t="s">
        <v>32</v>
      </c>
      <c r="E2237" t="s">
        <v>27</v>
      </c>
      <c r="F2237" s="17">
        <v>1500</v>
      </c>
      <c r="G2237" s="17">
        <v>56000</v>
      </c>
      <c r="H2237" s="17">
        <v>54500</v>
      </c>
      <c r="I2237" s="18">
        <v>0.56000000000000005</v>
      </c>
      <c r="J2237" s="14">
        <f t="shared" si="0"/>
        <v>36.333333333333336</v>
      </c>
      <c r="K2237" s="15" t="str">
        <f t="shared" si="1"/>
        <v>Exceeds Target</v>
      </c>
    </row>
    <row r="2238" spans="2:11" ht="15" customHeight="1">
      <c r="B2238" t="s">
        <v>1063</v>
      </c>
      <c r="C2238" t="s">
        <v>2632</v>
      </c>
      <c r="D2238" t="s">
        <v>80</v>
      </c>
      <c r="E2238" t="s">
        <v>27</v>
      </c>
      <c r="F2238" s="17">
        <v>1000</v>
      </c>
      <c r="G2238" s="17">
        <v>54000</v>
      </c>
      <c r="H2238" s="17">
        <v>53000</v>
      </c>
      <c r="I2238" s="18">
        <v>0.77</v>
      </c>
      <c r="J2238" s="14">
        <f t="shared" si="0"/>
        <v>53</v>
      </c>
      <c r="K2238" s="15" t="str">
        <f t="shared" si="1"/>
        <v>Exceeds Target</v>
      </c>
    </row>
    <row r="2239" spans="2:11" ht="15" customHeight="1">
      <c r="B2239" t="s">
        <v>430</v>
      </c>
      <c r="C2239" t="s">
        <v>2633</v>
      </c>
      <c r="D2239" t="s">
        <v>35</v>
      </c>
      <c r="E2239" t="s">
        <v>27</v>
      </c>
      <c r="F2239" s="17">
        <v>3000</v>
      </c>
      <c r="G2239" s="17">
        <v>70000</v>
      </c>
      <c r="H2239" s="17">
        <v>67000</v>
      </c>
      <c r="I2239" s="18">
        <v>0.98</v>
      </c>
      <c r="J2239" s="14">
        <f t="shared" si="0"/>
        <v>22.333333333333332</v>
      </c>
      <c r="K2239" s="15" t="str">
        <f t="shared" si="1"/>
        <v>Exceeds Target</v>
      </c>
    </row>
    <row r="2240" spans="2:11" ht="15" customHeight="1">
      <c r="B2240" t="s">
        <v>216</v>
      </c>
      <c r="C2240" t="s">
        <v>2634</v>
      </c>
      <c r="D2240" t="s">
        <v>80</v>
      </c>
      <c r="E2240" t="s">
        <v>27</v>
      </c>
      <c r="F2240" s="17">
        <v>1000</v>
      </c>
      <c r="G2240" s="17">
        <v>81000</v>
      </c>
      <c r="H2240" s="17">
        <v>80000</v>
      </c>
      <c r="I2240" s="18">
        <v>0.82</v>
      </c>
      <c r="J2240" s="14">
        <f t="shared" si="0"/>
        <v>80</v>
      </c>
      <c r="K2240" s="15" t="str">
        <f t="shared" si="1"/>
        <v>Exceeds Target</v>
      </c>
    </row>
    <row r="2241" spans="2:11" ht="15" customHeight="1">
      <c r="B2241" t="s">
        <v>430</v>
      </c>
      <c r="C2241" t="s">
        <v>2635</v>
      </c>
      <c r="D2241" t="s">
        <v>69</v>
      </c>
      <c r="E2241" t="s">
        <v>70</v>
      </c>
      <c r="F2241" s="17">
        <v>1000</v>
      </c>
      <c r="G2241" s="17">
        <v>100000</v>
      </c>
      <c r="H2241" s="17">
        <v>99000</v>
      </c>
      <c r="I2241" s="18">
        <v>0.91</v>
      </c>
      <c r="J2241" s="14">
        <f t="shared" si="0"/>
        <v>99</v>
      </c>
      <c r="K2241" s="15" t="str">
        <f t="shared" si="1"/>
        <v>Exceeds Target</v>
      </c>
    </row>
    <row r="2242" spans="2:11" ht="15" customHeight="1">
      <c r="B2242" t="s">
        <v>1016</v>
      </c>
      <c r="C2242" t="s">
        <v>2636</v>
      </c>
      <c r="D2242" t="s">
        <v>35</v>
      </c>
      <c r="E2242" t="s">
        <v>27</v>
      </c>
      <c r="F2242" s="17">
        <v>3000</v>
      </c>
      <c r="G2242" s="17">
        <v>170000</v>
      </c>
      <c r="H2242" s="17">
        <v>167000</v>
      </c>
      <c r="I2242" s="18">
        <v>0.42</v>
      </c>
      <c r="J2242" s="14">
        <f t="shared" si="0"/>
        <v>55.666666666666664</v>
      </c>
      <c r="K2242" s="15" t="str">
        <f t="shared" si="1"/>
        <v>Exceeds Target</v>
      </c>
    </row>
    <row r="2243" spans="2:11" ht="15" customHeight="1">
      <c r="B2243" t="s">
        <v>892</v>
      </c>
      <c r="C2243" t="s">
        <v>2637</v>
      </c>
      <c r="D2243" t="s">
        <v>80</v>
      </c>
      <c r="E2243" t="s">
        <v>27</v>
      </c>
      <c r="F2243" s="17">
        <v>1000</v>
      </c>
      <c r="G2243" s="17">
        <v>114000</v>
      </c>
      <c r="H2243" s="17">
        <v>113000</v>
      </c>
      <c r="I2243" s="18">
        <v>0.67</v>
      </c>
      <c r="J2243" s="14">
        <f t="shared" si="0"/>
        <v>113</v>
      </c>
      <c r="K2243" s="15" t="str">
        <f t="shared" si="1"/>
        <v>Exceeds Target</v>
      </c>
    </row>
    <row r="2244" spans="2:11" ht="15" customHeight="1">
      <c r="B2244" t="s">
        <v>218</v>
      </c>
      <c r="C2244" t="s">
        <v>2638</v>
      </c>
      <c r="D2244" t="s">
        <v>80</v>
      </c>
      <c r="E2244" t="s">
        <v>27</v>
      </c>
      <c r="F2244" s="17">
        <v>1000</v>
      </c>
      <c r="G2244" s="17">
        <v>87000</v>
      </c>
      <c r="H2244" s="17">
        <v>86000</v>
      </c>
      <c r="I2244" s="18">
        <v>0.72</v>
      </c>
      <c r="J2244" s="14">
        <f t="shared" si="0"/>
        <v>86</v>
      </c>
      <c r="K2244" s="15" t="str">
        <f t="shared" si="1"/>
        <v>Exceeds Target</v>
      </c>
    </row>
    <row r="2245" spans="2:11" ht="15" customHeight="1">
      <c r="B2245" t="s">
        <v>72</v>
      </c>
      <c r="C2245" t="s">
        <v>2639</v>
      </c>
      <c r="D2245" t="s">
        <v>80</v>
      </c>
      <c r="E2245" t="s">
        <v>27</v>
      </c>
      <c r="F2245" s="17">
        <v>1000</v>
      </c>
      <c r="G2245" s="17">
        <v>63000</v>
      </c>
      <c r="H2245" s="17">
        <v>62000</v>
      </c>
      <c r="I2245" s="18">
        <v>0.72</v>
      </c>
      <c r="J2245" s="14">
        <f t="shared" si="0"/>
        <v>62</v>
      </c>
      <c r="K2245" s="15" t="str">
        <f t="shared" si="1"/>
        <v>Exceeds Target</v>
      </c>
    </row>
    <row r="2246" spans="2:11" ht="15" customHeight="1">
      <c r="B2246" t="s">
        <v>1063</v>
      </c>
      <c r="C2246" t="s">
        <v>2640</v>
      </c>
      <c r="D2246" t="s">
        <v>80</v>
      </c>
      <c r="E2246" t="s">
        <v>27</v>
      </c>
      <c r="F2246" s="17">
        <v>1000</v>
      </c>
      <c r="G2246" s="17">
        <v>96000</v>
      </c>
      <c r="H2246" s="17">
        <v>95000</v>
      </c>
      <c r="I2246" s="18">
        <v>0.88</v>
      </c>
      <c r="J2246" s="14">
        <f t="shared" si="0"/>
        <v>95</v>
      </c>
      <c r="K2246" s="15" t="str">
        <f t="shared" si="1"/>
        <v>Exceeds Target</v>
      </c>
    </row>
    <row r="2247" spans="2:11" ht="15" customHeight="1">
      <c r="B2247" t="s">
        <v>272</v>
      </c>
      <c r="C2247" t="s">
        <v>2641</v>
      </c>
      <c r="D2247" t="s">
        <v>26</v>
      </c>
      <c r="E2247" t="s">
        <v>27</v>
      </c>
      <c r="F2247" s="17">
        <v>5000</v>
      </c>
      <c r="G2247" s="17">
        <v>150000</v>
      </c>
      <c r="H2247" s="17">
        <v>145000</v>
      </c>
      <c r="I2247" s="18">
        <v>0.09</v>
      </c>
      <c r="J2247" s="14">
        <f t="shared" si="0"/>
        <v>29</v>
      </c>
      <c r="K2247" s="15" t="str">
        <f t="shared" si="1"/>
        <v>Exceeds Target</v>
      </c>
    </row>
    <row r="2248" spans="2:11" ht="15" customHeight="1">
      <c r="B2248" t="s">
        <v>462</v>
      </c>
      <c r="C2248" t="s">
        <v>2642</v>
      </c>
      <c r="D2248" t="s">
        <v>69</v>
      </c>
      <c r="E2248" t="s">
        <v>70</v>
      </c>
      <c r="F2248" s="17">
        <v>1000</v>
      </c>
      <c r="G2248" s="17">
        <v>80000</v>
      </c>
      <c r="H2248" s="17">
        <v>79000</v>
      </c>
      <c r="I2248" s="18">
        <v>0.21</v>
      </c>
      <c r="J2248" s="14">
        <f t="shared" si="0"/>
        <v>79</v>
      </c>
      <c r="K2248" s="15" t="str">
        <f t="shared" si="1"/>
        <v>Exceeds Target</v>
      </c>
    </row>
    <row r="2249" spans="2:11" ht="15" customHeight="1">
      <c r="B2249" t="s">
        <v>390</v>
      </c>
      <c r="C2249" t="s">
        <v>2643</v>
      </c>
      <c r="D2249" t="s">
        <v>26</v>
      </c>
      <c r="E2249" t="s">
        <v>27</v>
      </c>
      <c r="F2249" s="17">
        <v>5000</v>
      </c>
      <c r="G2249" s="17">
        <v>150000</v>
      </c>
      <c r="H2249" s="17">
        <v>145000</v>
      </c>
      <c r="I2249" s="18">
        <v>0.38</v>
      </c>
      <c r="J2249" s="14">
        <f t="shared" si="0"/>
        <v>29</v>
      </c>
      <c r="K2249" s="15" t="str">
        <f t="shared" si="1"/>
        <v>Exceeds Target</v>
      </c>
    </row>
    <row r="2250" spans="2:11" ht="15" customHeight="1">
      <c r="B2250" t="s">
        <v>507</v>
      </c>
      <c r="C2250" t="s">
        <v>2644</v>
      </c>
      <c r="D2250" t="s">
        <v>69</v>
      </c>
      <c r="E2250" t="s">
        <v>70</v>
      </c>
      <c r="F2250" s="17">
        <v>1000</v>
      </c>
      <c r="G2250" s="17">
        <v>60000</v>
      </c>
      <c r="H2250" s="17">
        <v>59000</v>
      </c>
      <c r="I2250" s="18">
        <v>0.63</v>
      </c>
      <c r="J2250" s="14">
        <f t="shared" si="0"/>
        <v>59</v>
      </c>
      <c r="K2250" s="15" t="str">
        <f t="shared" si="1"/>
        <v>Exceeds Target</v>
      </c>
    </row>
    <row r="2251" spans="2:11" ht="15" customHeight="1">
      <c r="B2251" t="s">
        <v>1241</v>
      </c>
      <c r="C2251" t="s">
        <v>2645</v>
      </c>
      <c r="D2251" t="s">
        <v>32</v>
      </c>
      <c r="E2251" t="s">
        <v>27</v>
      </c>
      <c r="F2251" s="17">
        <v>1500</v>
      </c>
      <c r="G2251" s="17">
        <v>36000</v>
      </c>
      <c r="H2251" s="17">
        <v>34500</v>
      </c>
      <c r="I2251" s="18">
        <v>0.41</v>
      </c>
      <c r="J2251" s="14">
        <f t="shared" si="0"/>
        <v>23</v>
      </c>
      <c r="K2251" s="15" t="str">
        <f t="shared" si="1"/>
        <v>Exceeds Target</v>
      </c>
    </row>
    <row r="2252" spans="2:11" ht="15" customHeight="1">
      <c r="B2252" t="s">
        <v>1143</v>
      </c>
      <c r="C2252" t="s">
        <v>2646</v>
      </c>
      <c r="D2252" t="s">
        <v>80</v>
      </c>
      <c r="E2252" t="s">
        <v>27</v>
      </c>
      <c r="F2252" s="17">
        <v>1000</v>
      </c>
      <c r="G2252" s="17">
        <v>111000</v>
      </c>
      <c r="H2252" s="17">
        <v>110000</v>
      </c>
      <c r="I2252" s="18">
        <v>0.88</v>
      </c>
      <c r="J2252" s="14">
        <f t="shared" si="0"/>
        <v>110</v>
      </c>
      <c r="K2252" s="15" t="str">
        <f t="shared" si="1"/>
        <v>Exceeds Target</v>
      </c>
    </row>
    <row r="2253" spans="2:11" ht="15" customHeight="1">
      <c r="B2253" t="s">
        <v>137</v>
      </c>
      <c r="C2253" t="s">
        <v>2647</v>
      </c>
      <c r="D2253" t="s">
        <v>69</v>
      </c>
      <c r="E2253" t="s">
        <v>70</v>
      </c>
      <c r="F2253" s="17">
        <v>1000</v>
      </c>
      <c r="G2253" s="17">
        <v>140000</v>
      </c>
      <c r="H2253" s="17">
        <v>139000</v>
      </c>
      <c r="I2253" s="18">
        <v>0.95</v>
      </c>
      <c r="J2253" s="14">
        <f t="shared" si="0"/>
        <v>139</v>
      </c>
      <c r="K2253" s="15" t="str">
        <f t="shared" si="1"/>
        <v>Exceeds Target</v>
      </c>
    </row>
    <row r="2254" spans="2:11" ht="15" customHeight="1">
      <c r="B2254" t="s">
        <v>386</v>
      </c>
      <c r="C2254" t="s">
        <v>2648</v>
      </c>
      <c r="D2254" t="s">
        <v>35</v>
      </c>
      <c r="E2254" t="s">
        <v>27</v>
      </c>
      <c r="F2254" s="17">
        <v>3000</v>
      </c>
      <c r="G2254" s="17">
        <v>260000</v>
      </c>
      <c r="H2254" s="17">
        <v>257000</v>
      </c>
      <c r="I2254" s="18">
        <v>0.74</v>
      </c>
      <c r="J2254" s="14">
        <f t="shared" si="0"/>
        <v>85.666666666666671</v>
      </c>
      <c r="K2254" s="15" t="str">
        <f t="shared" si="1"/>
        <v>Exceeds Target</v>
      </c>
    </row>
    <row r="2255" spans="2:11" ht="15" customHeight="1">
      <c r="B2255" t="s">
        <v>61</v>
      </c>
      <c r="C2255" t="s">
        <v>2649</v>
      </c>
      <c r="D2255" t="s">
        <v>80</v>
      </c>
      <c r="E2255" t="s">
        <v>27</v>
      </c>
      <c r="F2255" s="17">
        <v>1000</v>
      </c>
      <c r="G2255" s="17">
        <v>102000</v>
      </c>
      <c r="H2255" s="17">
        <v>101000</v>
      </c>
      <c r="I2255" s="18">
        <v>0.61</v>
      </c>
      <c r="J2255" s="14">
        <f t="shared" si="0"/>
        <v>101</v>
      </c>
      <c r="K2255" s="15" t="str">
        <f t="shared" si="1"/>
        <v>Exceeds Target</v>
      </c>
    </row>
    <row r="2256" spans="2:11" ht="15" customHeight="1">
      <c r="B2256" t="s">
        <v>601</v>
      </c>
      <c r="C2256" t="s">
        <v>2650</v>
      </c>
      <c r="D2256" t="s">
        <v>69</v>
      </c>
      <c r="E2256" t="s">
        <v>70</v>
      </c>
      <c r="F2256" s="17">
        <v>1000</v>
      </c>
      <c r="G2256" s="17">
        <v>95000</v>
      </c>
      <c r="H2256" s="17">
        <v>94000</v>
      </c>
      <c r="I2256" s="18">
        <v>0.54</v>
      </c>
      <c r="J2256" s="14">
        <f t="shared" si="0"/>
        <v>94</v>
      </c>
      <c r="K2256" s="15" t="str">
        <f t="shared" si="1"/>
        <v>Exceeds Target</v>
      </c>
    </row>
    <row r="2257" spans="2:11" ht="15" customHeight="1">
      <c r="B2257" t="s">
        <v>394</v>
      </c>
      <c r="C2257" t="s">
        <v>2651</v>
      </c>
      <c r="D2257" t="s">
        <v>32</v>
      </c>
      <c r="E2257" t="s">
        <v>27</v>
      </c>
      <c r="F2257" s="17">
        <v>1500</v>
      </c>
      <c r="G2257" s="17">
        <v>30000</v>
      </c>
      <c r="H2257" s="17">
        <v>28500</v>
      </c>
      <c r="I2257" s="18">
        <v>0.46</v>
      </c>
      <c r="J2257" s="14">
        <f t="shared" si="0"/>
        <v>19</v>
      </c>
      <c r="K2257" s="15" t="str">
        <f t="shared" si="1"/>
        <v>Exceeds Target</v>
      </c>
    </row>
    <row r="2258" spans="2:11" ht="15" customHeight="1">
      <c r="B2258" t="s">
        <v>261</v>
      </c>
      <c r="C2258" t="s">
        <v>2652</v>
      </c>
      <c r="D2258" t="s">
        <v>32</v>
      </c>
      <c r="E2258" t="s">
        <v>27</v>
      </c>
      <c r="F2258" s="17">
        <v>1500</v>
      </c>
      <c r="G2258" s="17">
        <v>14000</v>
      </c>
      <c r="H2258" s="17">
        <v>12500</v>
      </c>
      <c r="I2258" s="18">
        <v>0.71</v>
      </c>
      <c r="J2258" s="14">
        <f t="shared" si="0"/>
        <v>8.3333333333333339</v>
      </c>
      <c r="K2258" s="15" t="str">
        <f t="shared" si="1"/>
        <v>Exceeds Target</v>
      </c>
    </row>
    <row r="2259" spans="2:11" ht="15" customHeight="1">
      <c r="B2259" t="s">
        <v>265</v>
      </c>
      <c r="C2259" t="s">
        <v>2653</v>
      </c>
      <c r="D2259" t="s">
        <v>80</v>
      </c>
      <c r="E2259" t="s">
        <v>27</v>
      </c>
      <c r="F2259" s="17">
        <v>1000</v>
      </c>
      <c r="G2259" s="17">
        <v>120000</v>
      </c>
      <c r="H2259" s="17">
        <v>119000</v>
      </c>
      <c r="I2259" s="18">
        <v>0.59</v>
      </c>
      <c r="J2259" s="14">
        <f t="shared" si="0"/>
        <v>119</v>
      </c>
      <c r="K2259" s="15" t="str">
        <f t="shared" si="1"/>
        <v>Exceeds Target</v>
      </c>
    </row>
    <row r="2260" spans="2:11" ht="15" customHeight="1">
      <c r="B2260" t="s">
        <v>319</v>
      </c>
      <c r="C2260" t="s">
        <v>2654</v>
      </c>
      <c r="D2260" t="s">
        <v>69</v>
      </c>
      <c r="E2260" t="s">
        <v>70</v>
      </c>
      <c r="F2260" s="17">
        <v>1000</v>
      </c>
      <c r="G2260" s="17">
        <v>45000</v>
      </c>
      <c r="H2260" s="17">
        <v>44000</v>
      </c>
      <c r="I2260" s="18">
        <v>0.97</v>
      </c>
      <c r="J2260" s="14">
        <f t="shared" si="0"/>
        <v>44</v>
      </c>
      <c r="K2260" s="15" t="str">
        <f t="shared" si="1"/>
        <v>Exceeds Target</v>
      </c>
    </row>
    <row r="2261" spans="2:11" ht="15" customHeight="1">
      <c r="B2261" t="s">
        <v>860</v>
      </c>
      <c r="C2261" t="s">
        <v>2655</v>
      </c>
      <c r="D2261" t="s">
        <v>69</v>
      </c>
      <c r="E2261" t="s">
        <v>70</v>
      </c>
      <c r="F2261" s="17">
        <v>1000</v>
      </c>
      <c r="G2261" s="17">
        <v>55000</v>
      </c>
      <c r="H2261" s="17">
        <v>54000</v>
      </c>
      <c r="I2261" s="18">
        <v>0.35</v>
      </c>
      <c r="J2261" s="14">
        <f t="shared" si="0"/>
        <v>54</v>
      </c>
      <c r="K2261" s="15" t="str">
        <f t="shared" si="1"/>
        <v>Exceeds Target</v>
      </c>
    </row>
    <row r="2262" spans="2:11" ht="15" customHeight="1">
      <c r="B2262" t="s">
        <v>574</v>
      </c>
      <c r="C2262" t="s">
        <v>2656</v>
      </c>
      <c r="D2262" t="s">
        <v>26</v>
      </c>
      <c r="E2262" t="s">
        <v>27</v>
      </c>
      <c r="F2262" s="17">
        <v>5000</v>
      </c>
      <c r="G2262" s="17">
        <v>30000</v>
      </c>
      <c r="H2262" s="17">
        <v>25000</v>
      </c>
      <c r="I2262" s="18">
        <v>0.23</v>
      </c>
      <c r="J2262" s="14">
        <f t="shared" si="0"/>
        <v>5</v>
      </c>
      <c r="K2262" s="15" t="str">
        <f t="shared" si="1"/>
        <v>Exceeds Target</v>
      </c>
    </row>
    <row r="2263" spans="2:11" ht="15" customHeight="1">
      <c r="B2263" t="s">
        <v>2157</v>
      </c>
      <c r="C2263" t="s">
        <v>2657</v>
      </c>
      <c r="D2263" t="s">
        <v>80</v>
      </c>
      <c r="E2263" t="s">
        <v>27</v>
      </c>
      <c r="F2263" s="17">
        <v>1000</v>
      </c>
      <c r="G2263" s="17">
        <v>72000</v>
      </c>
      <c r="H2263" s="17">
        <v>71000</v>
      </c>
      <c r="I2263" s="18">
        <v>0.76</v>
      </c>
      <c r="J2263" s="14">
        <f t="shared" si="0"/>
        <v>71</v>
      </c>
      <c r="K2263" s="15" t="str">
        <f t="shared" si="1"/>
        <v>Exceeds Target</v>
      </c>
    </row>
    <row r="2264" spans="2:11" ht="15" customHeight="1">
      <c r="B2264" t="s">
        <v>74</v>
      </c>
      <c r="C2264" t="s">
        <v>2658</v>
      </c>
      <c r="D2264" t="s">
        <v>32</v>
      </c>
      <c r="E2264" t="s">
        <v>27</v>
      </c>
      <c r="F2264" s="17">
        <v>1500</v>
      </c>
      <c r="G2264" s="17">
        <v>18000</v>
      </c>
      <c r="H2264" s="17">
        <v>16500</v>
      </c>
      <c r="I2264" s="18">
        <v>0.69</v>
      </c>
      <c r="J2264" s="14">
        <f t="shared" si="0"/>
        <v>11</v>
      </c>
      <c r="K2264" s="15" t="str">
        <f t="shared" si="1"/>
        <v>Exceeds Target</v>
      </c>
    </row>
    <row r="2265" spans="2:11" ht="15" customHeight="1">
      <c r="B2265" t="s">
        <v>1323</v>
      </c>
      <c r="C2265" t="s">
        <v>2659</v>
      </c>
      <c r="D2265" t="s">
        <v>80</v>
      </c>
      <c r="E2265" t="s">
        <v>27</v>
      </c>
      <c r="F2265" s="17">
        <v>1000</v>
      </c>
      <c r="G2265" s="17">
        <v>114000</v>
      </c>
      <c r="H2265" s="17">
        <v>113000</v>
      </c>
      <c r="I2265" s="18">
        <v>0.57999999999999996</v>
      </c>
      <c r="J2265" s="14">
        <f t="shared" si="0"/>
        <v>113</v>
      </c>
      <c r="K2265" s="15" t="str">
        <f t="shared" si="1"/>
        <v>Exceeds Target</v>
      </c>
    </row>
    <row r="2266" spans="2:11" ht="15" customHeight="1">
      <c r="B2266" t="s">
        <v>971</v>
      </c>
      <c r="C2266" t="s">
        <v>2660</v>
      </c>
      <c r="D2266" t="s">
        <v>69</v>
      </c>
      <c r="E2266" t="s">
        <v>70</v>
      </c>
      <c r="F2266" s="17">
        <v>1000</v>
      </c>
      <c r="G2266" s="17">
        <v>140000</v>
      </c>
      <c r="H2266" s="17">
        <v>139000</v>
      </c>
      <c r="I2266" s="18">
        <v>0.72</v>
      </c>
      <c r="J2266" s="14">
        <f t="shared" si="0"/>
        <v>139</v>
      </c>
      <c r="K2266" s="15" t="str">
        <f t="shared" si="1"/>
        <v>Exceeds Target</v>
      </c>
    </row>
    <row r="2267" spans="2:11" ht="15" customHeight="1">
      <c r="B2267" t="s">
        <v>886</v>
      </c>
      <c r="C2267" t="s">
        <v>2661</v>
      </c>
      <c r="D2267" t="s">
        <v>32</v>
      </c>
      <c r="E2267" t="s">
        <v>27</v>
      </c>
      <c r="F2267" s="17">
        <v>1500</v>
      </c>
      <c r="G2267" s="17">
        <v>22000</v>
      </c>
      <c r="H2267" s="17">
        <v>20500</v>
      </c>
      <c r="I2267" s="18">
        <v>0.87</v>
      </c>
      <c r="J2267" s="14">
        <f t="shared" si="0"/>
        <v>13.666666666666666</v>
      </c>
      <c r="K2267" s="15" t="str">
        <f t="shared" si="1"/>
        <v>Exceeds Target</v>
      </c>
    </row>
    <row r="2268" spans="2:11" ht="15" customHeight="1">
      <c r="B2268" t="s">
        <v>397</v>
      </c>
      <c r="C2268" t="s">
        <v>2662</v>
      </c>
      <c r="D2268" t="s">
        <v>35</v>
      </c>
      <c r="E2268" t="s">
        <v>27</v>
      </c>
      <c r="F2268" s="17">
        <v>3000</v>
      </c>
      <c r="G2268" s="17">
        <v>300000</v>
      </c>
      <c r="H2268" s="17">
        <v>297000</v>
      </c>
      <c r="I2268" s="18">
        <v>0.63</v>
      </c>
      <c r="J2268" s="14">
        <f t="shared" si="0"/>
        <v>99</v>
      </c>
      <c r="K2268" s="15" t="str">
        <f t="shared" si="1"/>
        <v>Exceeds Target</v>
      </c>
    </row>
    <row r="2269" spans="2:11" ht="15" customHeight="1">
      <c r="B2269" t="s">
        <v>1113</v>
      </c>
      <c r="C2269" t="s">
        <v>2663</v>
      </c>
      <c r="D2269" t="s">
        <v>26</v>
      </c>
      <c r="E2269" t="s">
        <v>27</v>
      </c>
      <c r="F2269" s="17">
        <v>5000</v>
      </c>
      <c r="G2269" s="17">
        <v>30000</v>
      </c>
      <c r="H2269" s="17">
        <v>25000</v>
      </c>
      <c r="I2269" s="18">
        <v>0.25</v>
      </c>
      <c r="J2269" s="14">
        <f t="shared" si="0"/>
        <v>5</v>
      </c>
      <c r="K2269" s="15" t="str">
        <f t="shared" si="1"/>
        <v>Exceeds Target</v>
      </c>
    </row>
    <row r="2270" spans="2:11" ht="15" customHeight="1">
      <c r="B2270" t="s">
        <v>1247</v>
      </c>
      <c r="C2270" t="s">
        <v>2664</v>
      </c>
      <c r="D2270" t="s">
        <v>80</v>
      </c>
      <c r="E2270" t="s">
        <v>27</v>
      </c>
      <c r="F2270" s="17">
        <v>1000</v>
      </c>
      <c r="G2270" s="17">
        <v>54000</v>
      </c>
      <c r="H2270" s="17">
        <v>53000</v>
      </c>
      <c r="I2270" s="18">
        <v>0.73</v>
      </c>
      <c r="J2270" s="14">
        <f t="shared" si="0"/>
        <v>53</v>
      </c>
      <c r="K2270" s="15" t="str">
        <f t="shared" si="1"/>
        <v>Exceeds Target</v>
      </c>
    </row>
    <row r="2271" spans="2:11" ht="15" customHeight="1">
      <c r="B2271" t="s">
        <v>491</v>
      </c>
      <c r="C2271" t="s">
        <v>2665</v>
      </c>
      <c r="D2271" t="s">
        <v>32</v>
      </c>
      <c r="E2271" t="s">
        <v>27</v>
      </c>
      <c r="F2271" s="17">
        <v>1500</v>
      </c>
      <c r="G2271" s="17">
        <v>32000</v>
      </c>
      <c r="H2271" s="17">
        <v>30500</v>
      </c>
      <c r="I2271" s="18">
        <v>0.28000000000000003</v>
      </c>
      <c r="J2271" s="14">
        <f t="shared" si="0"/>
        <v>20.333333333333332</v>
      </c>
      <c r="K2271" s="15" t="str">
        <f t="shared" si="1"/>
        <v>Exceeds Target</v>
      </c>
    </row>
    <row r="2272" spans="2:11" ht="15" customHeight="1">
      <c r="B2272" t="s">
        <v>679</v>
      </c>
      <c r="C2272" t="s">
        <v>2666</v>
      </c>
      <c r="D2272" t="s">
        <v>69</v>
      </c>
      <c r="E2272" t="s">
        <v>70</v>
      </c>
      <c r="F2272" s="17">
        <v>1000</v>
      </c>
      <c r="G2272" s="17">
        <v>90000</v>
      </c>
      <c r="H2272" s="17">
        <v>89000</v>
      </c>
      <c r="I2272" s="18">
        <v>0.79</v>
      </c>
      <c r="J2272" s="14">
        <f t="shared" si="0"/>
        <v>89</v>
      </c>
      <c r="K2272" s="15" t="str">
        <f t="shared" si="1"/>
        <v>Exceeds Target</v>
      </c>
    </row>
    <row r="2273" spans="2:11" ht="15" customHeight="1">
      <c r="B2273" t="s">
        <v>1134</v>
      </c>
      <c r="C2273" t="s">
        <v>2667</v>
      </c>
      <c r="D2273" t="s">
        <v>26</v>
      </c>
      <c r="E2273" t="s">
        <v>27</v>
      </c>
      <c r="F2273" s="17">
        <v>5000</v>
      </c>
      <c r="G2273" s="17">
        <v>30000</v>
      </c>
      <c r="H2273" s="17">
        <v>25000</v>
      </c>
      <c r="I2273" s="18">
        <v>0.08</v>
      </c>
      <c r="J2273" s="14">
        <f t="shared" si="0"/>
        <v>5</v>
      </c>
      <c r="K2273" s="15" t="str">
        <f t="shared" si="1"/>
        <v>Exceeds Target</v>
      </c>
    </row>
    <row r="2274" spans="2:11" ht="15" customHeight="1">
      <c r="B2274" t="s">
        <v>1239</v>
      </c>
      <c r="C2274" t="s">
        <v>2668</v>
      </c>
      <c r="D2274" t="s">
        <v>26</v>
      </c>
      <c r="E2274" t="s">
        <v>27</v>
      </c>
      <c r="F2274" s="17">
        <v>5000</v>
      </c>
      <c r="G2274" s="17">
        <v>120000</v>
      </c>
      <c r="H2274" s="17">
        <v>115000</v>
      </c>
      <c r="I2274" s="18">
        <v>0.16</v>
      </c>
      <c r="J2274" s="14">
        <f t="shared" si="0"/>
        <v>23</v>
      </c>
      <c r="K2274" s="15" t="str">
        <f t="shared" si="1"/>
        <v>Exceeds Target</v>
      </c>
    </row>
    <row r="2275" spans="2:11" ht="15" customHeight="1">
      <c r="B2275" t="s">
        <v>494</v>
      </c>
      <c r="C2275" t="s">
        <v>2669</v>
      </c>
      <c r="D2275" t="s">
        <v>69</v>
      </c>
      <c r="E2275" t="s">
        <v>70</v>
      </c>
      <c r="F2275" s="17">
        <v>1000</v>
      </c>
      <c r="G2275" s="17">
        <v>145000</v>
      </c>
      <c r="H2275" s="17">
        <v>144000</v>
      </c>
      <c r="I2275" s="18">
        <v>0.31</v>
      </c>
      <c r="J2275" s="14">
        <f t="shared" si="0"/>
        <v>144</v>
      </c>
      <c r="K2275" s="15" t="str">
        <f t="shared" si="1"/>
        <v>Exceeds Target</v>
      </c>
    </row>
    <row r="2276" spans="2:11" ht="15" customHeight="1">
      <c r="B2276" t="s">
        <v>1063</v>
      </c>
      <c r="C2276" t="s">
        <v>2670</v>
      </c>
      <c r="D2276" t="s">
        <v>32</v>
      </c>
      <c r="E2276" t="s">
        <v>27</v>
      </c>
      <c r="F2276" s="17">
        <v>1500</v>
      </c>
      <c r="G2276" s="17">
        <v>14000</v>
      </c>
      <c r="H2276" s="17">
        <v>12500</v>
      </c>
      <c r="I2276" s="18">
        <v>0.36</v>
      </c>
      <c r="J2276" s="14">
        <f t="shared" si="0"/>
        <v>8.3333333333333339</v>
      </c>
      <c r="K2276" s="15" t="str">
        <f t="shared" si="1"/>
        <v>Exceeds Target</v>
      </c>
    </row>
    <row r="2277" spans="2:11" ht="15" customHeight="1">
      <c r="B2277" t="s">
        <v>1247</v>
      </c>
      <c r="C2277" t="s">
        <v>2671</v>
      </c>
      <c r="D2277" t="s">
        <v>69</v>
      </c>
      <c r="E2277" t="s">
        <v>70</v>
      </c>
      <c r="F2277" s="17">
        <v>1000</v>
      </c>
      <c r="G2277" s="17">
        <v>80000</v>
      </c>
      <c r="H2277" s="17">
        <v>79000</v>
      </c>
      <c r="I2277" s="18">
        <v>0.95</v>
      </c>
      <c r="J2277" s="14">
        <f t="shared" si="0"/>
        <v>79</v>
      </c>
      <c r="K2277" s="15" t="str">
        <f t="shared" si="1"/>
        <v>Exceeds Target</v>
      </c>
    </row>
    <row r="2278" spans="2:11" ht="15" customHeight="1">
      <c r="B2278" t="s">
        <v>1122</v>
      </c>
      <c r="C2278" t="s">
        <v>2672</v>
      </c>
      <c r="D2278" t="s">
        <v>35</v>
      </c>
      <c r="E2278" t="s">
        <v>27</v>
      </c>
      <c r="F2278" s="17">
        <v>3000</v>
      </c>
      <c r="G2278" s="17">
        <v>170000</v>
      </c>
      <c r="H2278" s="17">
        <v>167000</v>
      </c>
      <c r="I2278" s="18">
        <v>0.52</v>
      </c>
      <c r="J2278" s="14">
        <f t="shared" si="0"/>
        <v>55.666666666666664</v>
      </c>
      <c r="K2278" s="15" t="str">
        <f t="shared" si="1"/>
        <v>Exceeds Target</v>
      </c>
    </row>
    <row r="2279" spans="2:11" ht="15" customHeight="1">
      <c r="B2279" t="s">
        <v>263</v>
      </c>
      <c r="C2279" t="s">
        <v>2673</v>
      </c>
      <c r="D2279" t="s">
        <v>80</v>
      </c>
      <c r="E2279" t="s">
        <v>27</v>
      </c>
      <c r="F2279" s="17">
        <v>1000</v>
      </c>
      <c r="G2279" s="17">
        <v>105000</v>
      </c>
      <c r="H2279" s="17">
        <v>104000</v>
      </c>
      <c r="I2279" s="18">
        <v>0.95</v>
      </c>
      <c r="J2279" s="14">
        <f t="shared" si="0"/>
        <v>104</v>
      </c>
      <c r="K2279" s="15" t="str">
        <f t="shared" si="1"/>
        <v>Exceeds Target</v>
      </c>
    </row>
    <row r="2280" spans="2:11" ht="15" customHeight="1">
      <c r="B2280" t="s">
        <v>1194</v>
      </c>
      <c r="C2280" t="s">
        <v>2674</v>
      </c>
      <c r="D2280" t="s">
        <v>26</v>
      </c>
      <c r="E2280" t="s">
        <v>27</v>
      </c>
      <c r="F2280" s="17">
        <v>5000</v>
      </c>
      <c r="G2280" s="17">
        <v>90000</v>
      </c>
      <c r="H2280" s="17">
        <v>85000</v>
      </c>
      <c r="I2280" s="18">
        <v>0.18</v>
      </c>
      <c r="J2280" s="14">
        <f t="shared" si="0"/>
        <v>17</v>
      </c>
      <c r="K2280" s="15" t="str">
        <f t="shared" si="1"/>
        <v>Exceeds Target</v>
      </c>
    </row>
    <row r="2281" spans="2:11" ht="15" customHeight="1">
      <c r="B2281" t="s">
        <v>815</v>
      </c>
      <c r="C2281" t="s">
        <v>2675</v>
      </c>
      <c r="D2281" t="s">
        <v>32</v>
      </c>
      <c r="E2281" t="s">
        <v>27</v>
      </c>
      <c r="F2281" s="17">
        <v>1500</v>
      </c>
      <c r="G2281" s="17">
        <v>54000</v>
      </c>
      <c r="H2281" s="17">
        <v>52500</v>
      </c>
      <c r="I2281" s="18">
        <v>0.28000000000000003</v>
      </c>
      <c r="J2281" s="14">
        <f t="shared" si="0"/>
        <v>35</v>
      </c>
      <c r="K2281" s="15" t="str">
        <f t="shared" si="1"/>
        <v>Exceeds Target</v>
      </c>
    </row>
    <row r="2282" spans="2:11" ht="15" customHeight="1">
      <c r="B2282" t="s">
        <v>762</v>
      </c>
      <c r="C2282" t="s">
        <v>2676</v>
      </c>
      <c r="D2282" t="s">
        <v>69</v>
      </c>
      <c r="E2282" t="s">
        <v>70</v>
      </c>
      <c r="F2282" s="17">
        <v>1000</v>
      </c>
      <c r="G2282" s="17">
        <v>30000</v>
      </c>
      <c r="H2282" s="17">
        <v>29000</v>
      </c>
      <c r="I2282" s="18">
        <v>0.28999999999999998</v>
      </c>
      <c r="J2282" s="14">
        <f t="shared" si="0"/>
        <v>29</v>
      </c>
      <c r="K2282" s="15" t="str">
        <f t="shared" si="1"/>
        <v>Exceeds Target</v>
      </c>
    </row>
    <row r="2283" spans="2:11" ht="15" customHeight="1">
      <c r="B2283" t="s">
        <v>2000</v>
      </c>
      <c r="C2283" t="s">
        <v>2677</v>
      </c>
      <c r="D2283" t="s">
        <v>35</v>
      </c>
      <c r="E2283" t="s">
        <v>27</v>
      </c>
      <c r="F2283" s="17">
        <v>3000</v>
      </c>
      <c r="G2283" s="17">
        <v>180000</v>
      </c>
      <c r="H2283" s="17">
        <v>177000</v>
      </c>
      <c r="I2283" s="18">
        <v>0.82</v>
      </c>
      <c r="J2283" s="14">
        <f t="shared" si="0"/>
        <v>59</v>
      </c>
      <c r="K2283" s="15" t="str">
        <f t="shared" si="1"/>
        <v>Exceeds Target</v>
      </c>
    </row>
    <row r="2284" spans="2:11" ht="15" customHeight="1">
      <c r="B2284" t="s">
        <v>685</v>
      </c>
      <c r="C2284" t="s">
        <v>2678</v>
      </c>
      <c r="D2284" t="s">
        <v>80</v>
      </c>
      <c r="E2284" t="s">
        <v>27</v>
      </c>
      <c r="F2284" s="17">
        <v>1000</v>
      </c>
      <c r="G2284" s="17">
        <v>105000</v>
      </c>
      <c r="H2284" s="17">
        <v>104000</v>
      </c>
      <c r="I2284" s="18">
        <v>0.6</v>
      </c>
      <c r="J2284" s="14">
        <f t="shared" si="0"/>
        <v>104</v>
      </c>
      <c r="K2284" s="15" t="str">
        <f t="shared" si="1"/>
        <v>Exceeds Target</v>
      </c>
    </row>
    <row r="2285" spans="2:11" ht="15" customHeight="1">
      <c r="B2285" t="s">
        <v>512</v>
      </c>
      <c r="C2285" t="s">
        <v>2679</v>
      </c>
      <c r="D2285" t="s">
        <v>26</v>
      </c>
      <c r="E2285" t="s">
        <v>27</v>
      </c>
      <c r="F2285" s="17">
        <v>5000</v>
      </c>
      <c r="G2285" s="17">
        <v>60000</v>
      </c>
      <c r="H2285" s="17">
        <v>55000</v>
      </c>
      <c r="I2285" s="18">
        <v>0.17</v>
      </c>
      <c r="J2285" s="14">
        <f t="shared" si="0"/>
        <v>11</v>
      </c>
      <c r="K2285" s="15" t="str">
        <f t="shared" si="1"/>
        <v>Exceeds Target</v>
      </c>
    </row>
    <row r="2286" spans="2:11" ht="15" customHeight="1">
      <c r="B2286" t="s">
        <v>327</v>
      </c>
      <c r="C2286" t="s">
        <v>2680</v>
      </c>
      <c r="D2286" t="s">
        <v>32</v>
      </c>
      <c r="E2286" t="s">
        <v>27</v>
      </c>
      <c r="F2286" s="17">
        <v>1500</v>
      </c>
      <c r="G2286" s="17">
        <v>54000</v>
      </c>
      <c r="H2286" s="17">
        <v>52500</v>
      </c>
      <c r="I2286" s="18">
        <v>0.78</v>
      </c>
      <c r="J2286" s="14">
        <f t="shared" si="0"/>
        <v>35</v>
      </c>
      <c r="K2286" s="15" t="str">
        <f t="shared" si="1"/>
        <v>Exceeds Target</v>
      </c>
    </row>
    <row r="2287" spans="2:11" ht="15" customHeight="1">
      <c r="B2287" t="s">
        <v>293</v>
      </c>
      <c r="C2287" t="s">
        <v>2681</v>
      </c>
      <c r="D2287" t="s">
        <v>26</v>
      </c>
      <c r="E2287" t="s">
        <v>27</v>
      </c>
      <c r="F2287" s="17">
        <v>5000</v>
      </c>
      <c r="G2287" s="17">
        <v>30000</v>
      </c>
      <c r="H2287" s="17">
        <v>25000</v>
      </c>
      <c r="I2287" s="18">
        <v>0.46</v>
      </c>
      <c r="J2287" s="14">
        <f t="shared" si="0"/>
        <v>5</v>
      </c>
      <c r="K2287" s="15" t="str">
        <f t="shared" si="1"/>
        <v>Exceeds Target</v>
      </c>
    </row>
    <row r="2288" spans="2:11" ht="15" customHeight="1">
      <c r="B2288" t="s">
        <v>234</v>
      </c>
      <c r="C2288" t="s">
        <v>2682</v>
      </c>
      <c r="D2288" t="s">
        <v>35</v>
      </c>
      <c r="E2288" t="s">
        <v>27</v>
      </c>
      <c r="F2288" s="17">
        <v>3000</v>
      </c>
      <c r="G2288" s="17">
        <v>160000</v>
      </c>
      <c r="H2288" s="17">
        <v>157000</v>
      </c>
      <c r="I2288" s="18">
        <v>0.72</v>
      </c>
      <c r="J2288" s="14">
        <f t="shared" si="0"/>
        <v>52.333333333333336</v>
      </c>
      <c r="K2288" s="15" t="str">
        <f t="shared" si="1"/>
        <v>Exceeds Target</v>
      </c>
    </row>
    <row r="2289" spans="2:11" ht="15" customHeight="1">
      <c r="B2289" t="s">
        <v>178</v>
      </c>
      <c r="C2289" t="s">
        <v>2683</v>
      </c>
      <c r="D2289" t="s">
        <v>69</v>
      </c>
      <c r="E2289" t="s">
        <v>70</v>
      </c>
      <c r="F2289" s="17">
        <v>1000</v>
      </c>
      <c r="G2289" s="17">
        <v>115000</v>
      </c>
      <c r="H2289" s="17">
        <v>114000</v>
      </c>
      <c r="I2289" s="18">
        <v>0.27</v>
      </c>
      <c r="J2289" s="14">
        <f t="shared" si="0"/>
        <v>114</v>
      </c>
      <c r="K2289" s="15" t="str">
        <f t="shared" si="1"/>
        <v>Exceeds Target</v>
      </c>
    </row>
    <row r="2290" spans="2:11" ht="15" customHeight="1">
      <c r="B2290" t="s">
        <v>247</v>
      </c>
      <c r="C2290" t="s">
        <v>2684</v>
      </c>
      <c r="D2290" t="s">
        <v>35</v>
      </c>
      <c r="E2290" t="s">
        <v>27</v>
      </c>
      <c r="F2290" s="17">
        <v>3000</v>
      </c>
      <c r="G2290" s="17">
        <v>300000</v>
      </c>
      <c r="H2290" s="17">
        <v>297000</v>
      </c>
      <c r="I2290" s="18">
        <v>0.23</v>
      </c>
      <c r="J2290" s="14">
        <f t="shared" si="0"/>
        <v>99</v>
      </c>
      <c r="K2290" s="15" t="str">
        <f t="shared" si="1"/>
        <v>Exceeds Target</v>
      </c>
    </row>
    <row r="2291" spans="2:11" ht="15" customHeight="1">
      <c r="B2291" t="s">
        <v>411</v>
      </c>
      <c r="C2291" t="s">
        <v>2685</v>
      </c>
      <c r="D2291" t="s">
        <v>26</v>
      </c>
      <c r="E2291" t="s">
        <v>27</v>
      </c>
      <c r="F2291" s="17">
        <v>5000</v>
      </c>
      <c r="G2291" s="17">
        <v>90000</v>
      </c>
      <c r="H2291" s="17">
        <v>85000</v>
      </c>
      <c r="I2291" s="18">
        <v>0.16</v>
      </c>
      <c r="J2291" s="14">
        <f t="shared" si="0"/>
        <v>17</v>
      </c>
      <c r="K2291" s="15" t="str">
        <f t="shared" si="1"/>
        <v>Exceeds Target</v>
      </c>
    </row>
    <row r="2292" spans="2:11" ht="15" customHeight="1">
      <c r="B2292" t="s">
        <v>659</v>
      </c>
      <c r="C2292" t="s">
        <v>2686</v>
      </c>
      <c r="D2292" t="s">
        <v>26</v>
      </c>
      <c r="E2292" t="s">
        <v>27</v>
      </c>
      <c r="F2292" s="17">
        <v>5000</v>
      </c>
      <c r="G2292" s="17">
        <v>120000</v>
      </c>
      <c r="H2292" s="17">
        <v>115000</v>
      </c>
      <c r="I2292" s="18">
        <v>7.0000000000000007E-2</v>
      </c>
      <c r="J2292" s="14">
        <f t="shared" si="0"/>
        <v>23</v>
      </c>
      <c r="K2292" s="15" t="str">
        <f t="shared" si="1"/>
        <v>Exceeds Target</v>
      </c>
    </row>
    <row r="2293" spans="2:11" ht="15" customHeight="1">
      <c r="B2293" t="s">
        <v>430</v>
      </c>
      <c r="C2293" t="s">
        <v>2687</v>
      </c>
      <c r="D2293" t="s">
        <v>26</v>
      </c>
      <c r="E2293" t="s">
        <v>27</v>
      </c>
      <c r="F2293" s="17">
        <v>5000</v>
      </c>
      <c r="G2293" s="17">
        <v>90000</v>
      </c>
      <c r="H2293" s="17">
        <v>85000</v>
      </c>
      <c r="I2293" s="18">
        <v>7.0000000000000007E-2</v>
      </c>
      <c r="J2293" s="14">
        <f t="shared" si="0"/>
        <v>17</v>
      </c>
      <c r="K2293" s="15" t="str">
        <f t="shared" si="1"/>
        <v>Exceeds Target</v>
      </c>
    </row>
    <row r="2294" spans="2:11" ht="15" customHeight="1">
      <c r="B2294" t="s">
        <v>107</v>
      </c>
      <c r="C2294" t="s">
        <v>2688</v>
      </c>
      <c r="D2294" t="s">
        <v>32</v>
      </c>
      <c r="E2294" t="s">
        <v>27</v>
      </c>
      <c r="F2294" s="17">
        <v>1500</v>
      </c>
      <c r="G2294" s="17">
        <v>40000</v>
      </c>
      <c r="H2294" s="17">
        <v>38500</v>
      </c>
      <c r="I2294" s="18">
        <v>0.91</v>
      </c>
      <c r="J2294" s="14">
        <f t="shared" si="0"/>
        <v>25.666666666666668</v>
      </c>
      <c r="K2294" s="15" t="str">
        <f t="shared" si="1"/>
        <v>Exceeds Target</v>
      </c>
    </row>
    <row r="2295" spans="2:11" ht="15" customHeight="1">
      <c r="B2295" t="s">
        <v>197</v>
      </c>
      <c r="C2295" t="s">
        <v>2689</v>
      </c>
      <c r="D2295" t="s">
        <v>32</v>
      </c>
      <c r="E2295" t="s">
        <v>27</v>
      </c>
      <c r="F2295" s="17">
        <v>1500</v>
      </c>
      <c r="G2295" s="17">
        <v>44000</v>
      </c>
      <c r="H2295" s="17">
        <v>42500</v>
      </c>
      <c r="I2295" s="18">
        <v>0.8</v>
      </c>
      <c r="J2295" s="14">
        <f t="shared" si="0"/>
        <v>28.333333333333332</v>
      </c>
      <c r="K2295" s="15" t="str">
        <f t="shared" si="1"/>
        <v>Exceeds Target</v>
      </c>
    </row>
    <row r="2296" spans="2:11" ht="15" customHeight="1">
      <c r="B2296" t="s">
        <v>364</v>
      </c>
      <c r="C2296" t="s">
        <v>2690</v>
      </c>
      <c r="D2296" t="s">
        <v>26</v>
      </c>
      <c r="E2296" t="s">
        <v>27</v>
      </c>
      <c r="F2296" s="17">
        <v>5000</v>
      </c>
      <c r="G2296" s="17">
        <v>150000</v>
      </c>
      <c r="H2296" s="17">
        <v>145000</v>
      </c>
      <c r="I2296" s="18">
        <v>0.09</v>
      </c>
      <c r="J2296" s="14">
        <f t="shared" si="0"/>
        <v>29</v>
      </c>
      <c r="K2296" s="15" t="str">
        <f t="shared" si="1"/>
        <v>Exceeds Target</v>
      </c>
    </row>
    <row r="2297" spans="2:11" ht="15" customHeight="1">
      <c r="B2297" t="s">
        <v>1604</v>
      </c>
      <c r="C2297" t="s">
        <v>2691</v>
      </c>
      <c r="D2297" t="s">
        <v>26</v>
      </c>
      <c r="E2297" t="s">
        <v>27</v>
      </c>
      <c r="F2297" s="17">
        <v>5000</v>
      </c>
      <c r="G2297" s="17">
        <v>120000</v>
      </c>
      <c r="H2297" s="17">
        <v>115000</v>
      </c>
      <c r="I2297" s="18">
        <v>0.3</v>
      </c>
      <c r="J2297" s="14">
        <f t="shared" si="0"/>
        <v>23</v>
      </c>
      <c r="K2297" s="15" t="str">
        <f t="shared" si="1"/>
        <v>Exceeds Target</v>
      </c>
    </row>
    <row r="2298" spans="2:11" ht="15" customHeight="1">
      <c r="B2298" t="s">
        <v>522</v>
      </c>
      <c r="C2298" t="s">
        <v>2692</v>
      </c>
      <c r="D2298" t="s">
        <v>32</v>
      </c>
      <c r="E2298" t="s">
        <v>27</v>
      </c>
      <c r="F2298" s="17">
        <v>1500</v>
      </c>
      <c r="G2298" s="17">
        <v>54000</v>
      </c>
      <c r="H2298" s="17">
        <v>52500</v>
      </c>
      <c r="I2298" s="18">
        <v>0.71</v>
      </c>
      <c r="J2298" s="14">
        <f t="shared" si="0"/>
        <v>35</v>
      </c>
      <c r="K2298" s="15" t="str">
        <f t="shared" si="1"/>
        <v>Exceeds Target</v>
      </c>
    </row>
    <row r="2299" spans="2:11" ht="15" customHeight="1">
      <c r="B2299" t="s">
        <v>512</v>
      </c>
      <c r="C2299" t="s">
        <v>2693</v>
      </c>
      <c r="D2299" t="s">
        <v>80</v>
      </c>
      <c r="E2299" t="s">
        <v>27</v>
      </c>
      <c r="F2299" s="17">
        <v>1000</v>
      </c>
      <c r="G2299" s="17">
        <v>48000</v>
      </c>
      <c r="H2299" s="17">
        <v>47000</v>
      </c>
      <c r="I2299" s="18">
        <v>0.71</v>
      </c>
      <c r="J2299" s="14">
        <f t="shared" si="0"/>
        <v>47</v>
      </c>
      <c r="K2299" s="15" t="str">
        <f t="shared" si="1"/>
        <v>Exceeds Target</v>
      </c>
    </row>
    <row r="2300" spans="2:11" ht="15" customHeight="1">
      <c r="B2300" t="s">
        <v>347</v>
      </c>
      <c r="C2300" t="s">
        <v>2694</v>
      </c>
      <c r="D2300" t="s">
        <v>32</v>
      </c>
      <c r="E2300" t="s">
        <v>27</v>
      </c>
      <c r="F2300" s="17">
        <v>1500</v>
      </c>
      <c r="G2300" s="17">
        <v>14000</v>
      </c>
      <c r="H2300" s="17">
        <v>12500</v>
      </c>
      <c r="I2300" s="18">
        <v>0.68</v>
      </c>
      <c r="J2300" s="14">
        <f t="shared" si="0"/>
        <v>8.3333333333333339</v>
      </c>
      <c r="K2300" s="15" t="str">
        <f t="shared" si="1"/>
        <v>Exceeds Target</v>
      </c>
    </row>
    <row r="2301" spans="2:11" ht="15" customHeight="1">
      <c r="B2301" t="s">
        <v>1282</v>
      </c>
      <c r="C2301" t="s">
        <v>2695</v>
      </c>
      <c r="D2301" t="s">
        <v>35</v>
      </c>
      <c r="E2301" t="s">
        <v>27</v>
      </c>
      <c r="F2301" s="17">
        <v>3000</v>
      </c>
      <c r="G2301" s="17">
        <v>110000</v>
      </c>
      <c r="H2301" s="17">
        <v>107000</v>
      </c>
      <c r="I2301" s="18">
        <v>0.26</v>
      </c>
      <c r="J2301" s="14">
        <f t="shared" si="0"/>
        <v>35.666666666666664</v>
      </c>
      <c r="K2301" s="15" t="str">
        <f t="shared" si="1"/>
        <v>Exceeds Target</v>
      </c>
    </row>
    <row r="2302" spans="2:11" ht="15" customHeight="1">
      <c r="B2302" t="s">
        <v>121</v>
      </c>
      <c r="C2302" t="s">
        <v>2696</v>
      </c>
      <c r="D2302" t="s">
        <v>26</v>
      </c>
      <c r="E2302" t="s">
        <v>27</v>
      </c>
      <c r="F2302" s="17">
        <v>5000</v>
      </c>
      <c r="G2302" s="17">
        <v>90000</v>
      </c>
      <c r="H2302" s="17">
        <v>85000</v>
      </c>
      <c r="I2302" s="18">
        <v>0.09</v>
      </c>
      <c r="J2302" s="14">
        <f t="shared" si="0"/>
        <v>17</v>
      </c>
      <c r="K2302" s="15" t="str">
        <f t="shared" si="1"/>
        <v>Exceeds Target</v>
      </c>
    </row>
    <row r="2303" spans="2:11" ht="15" customHeight="1">
      <c r="B2303" t="s">
        <v>1063</v>
      </c>
      <c r="C2303" t="s">
        <v>2697</v>
      </c>
      <c r="D2303" t="s">
        <v>80</v>
      </c>
      <c r="E2303" t="s">
        <v>27</v>
      </c>
      <c r="F2303" s="17">
        <v>1000</v>
      </c>
      <c r="G2303" s="17">
        <v>72000</v>
      </c>
      <c r="H2303" s="17">
        <v>71000</v>
      </c>
      <c r="I2303" s="18">
        <v>0.67</v>
      </c>
      <c r="J2303" s="14">
        <f t="shared" si="0"/>
        <v>71</v>
      </c>
      <c r="K2303" s="15" t="str">
        <f t="shared" si="1"/>
        <v>Exceeds Target</v>
      </c>
    </row>
    <row r="2304" spans="2:11" ht="15" customHeight="1">
      <c r="B2304" t="s">
        <v>141</v>
      </c>
      <c r="C2304" t="s">
        <v>2698</v>
      </c>
      <c r="D2304" t="s">
        <v>32</v>
      </c>
      <c r="E2304" t="s">
        <v>27</v>
      </c>
      <c r="F2304" s="17">
        <v>1500</v>
      </c>
      <c r="G2304" s="17">
        <v>56000</v>
      </c>
      <c r="H2304" s="17">
        <v>54500</v>
      </c>
      <c r="I2304" s="18">
        <v>0.94</v>
      </c>
      <c r="J2304" s="14">
        <f t="shared" si="0"/>
        <v>36.333333333333336</v>
      </c>
      <c r="K2304" s="15" t="str">
        <f t="shared" si="1"/>
        <v>Exceeds Target</v>
      </c>
    </row>
    <row r="2305" spans="2:11" ht="15" customHeight="1">
      <c r="B2305" t="s">
        <v>303</v>
      </c>
      <c r="C2305" t="s">
        <v>2699</v>
      </c>
      <c r="D2305" t="s">
        <v>69</v>
      </c>
      <c r="E2305" t="s">
        <v>70</v>
      </c>
      <c r="F2305" s="17">
        <v>1000</v>
      </c>
      <c r="G2305" s="17">
        <v>95000</v>
      </c>
      <c r="H2305" s="17">
        <v>94000</v>
      </c>
      <c r="I2305" s="18">
        <v>0.89</v>
      </c>
      <c r="J2305" s="14">
        <f t="shared" si="0"/>
        <v>94</v>
      </c>
      <c r="K2305" s="15" t="str">
        <f t="shared" si="1"/>
        <v>Exceeds Target</v>
      </c>
    </row>
    <row r="2306" spans="2:11" ht="15" customHeight="1">
      <c r="B2306" t="s">
        <v>161</v>
      </c>
      <c r="C2306" t="s">
        <v>2700</v>
      </c>
      <c r="D2306" t="s">
        <v>32</v>
      </c>
      <c r="E2306" t="s">
        <v>27</v>
      </c>
      <c r="F2306" s="17">
        <v>1500</v>
      </c>
      <c r="G2306" s="17">
        <v>40000</v>
      </c>
      <c r="H2306" s="17">
        <v>38500</v>
      </c>
      <c r="I2306" s="18">
        <v>0.31</v>
      </c>
      <c r="J2306" s="14">
        <f t="shared" si="0"/>
        <v>25.666666666666668</v>
      </c>
      <c r="K2306" s="15" t="str">
        <f t="shared" si="1"/>
        <v>Exceeds Target</v>
      </c>
    </row>
    <row r="2307" spans="2:11" ht="15" customHeight="1">
      <c r="B2307" t="s">
        <v>1184</v>
      </c>
      <c r="C2307" t="s">
        <v>2701</v>
      </c>
      <c r="D2307" t="s">
        <v>32</v>
      </c>
      <c r="E2307" t="s">
        <v>27</v>
      </c>
      <c r="F2307" s="17">
        <v>1500</v>
      </c>
      <c r="G2307" s="17">
        <v>44000</v>
      </c>
      <c r="H2307" s="17">
        <v>42500</v>
      </c>
      <c r="I2307" s="18">
        <v>0.99</v>
      </c>
      <c r="J2307" s="14">
        <f t="shared" si="0"/>
        <v>28.333333333333332</v>
      </c>
      <c r="K2307" s="15" t="str">
        <f t="shared" si="1"/>
        <v>Exceeds Target</v>
      </c>
    </row>
    <row r="2308" spans="2:11" ht="15" customHeight="1">
      <c r="B2308" t="s">
        <v>321</v>
      </c>
      <c r="C2308" t="s">
        <v>2702</v>
      </c>
      <c r="D2308" t="s">
        <v>69</v>
      </c>
      <c r="E2308" t="s">
        <v>70</v>
      </c>
      <c r="F2308" s="17">
        <v>1000</v>
      </c>
      <c r="G2308" s="17">
        <v>45000</v>
      </c>
      <c r="H2308" s="17">
        <v>44000</v>
      </c>
      <c r="I2308" s="18">
        <v>0.89</v>
      </c>
      <c r="J2308" s="14">
        <f t="shared" si="0"/>
        <v>44</v>
      </c>
      <c r="K2308" s="15" t="str">
        <f t="shared" si="1"/>
        <v>Exceeds Target</v>
      </c>
    </row>
    <row r="2309" spans="2:11" ht="15" customHeight="1">
      <c r="B2309" t="s">
        <v>1013</v>
      </c>
      <c r="C2309" t="s">
        <v>2703</v>
      </c>
      <c r="D2309" t="s">
        <v>69</v>
      </c>
      <c r="E2309" t="s">
        <v>70</v>
      </c>
      <c r="F2309" s="17">
        <v>1000</v>
      </c>
      <c r="G2309" s="17">
        <v>145000</v>
      </c>
      <c r="H2309" s="17">
        <v>144000</v>
      </c>
      <c r="I2309" s="18">
        <v>0.63</v>
      </c>
      <c r="J2309" s="14">
        <f t="shared" si="0"/>
        <v>144</v>
      </c>
      <c r="K2309" s="15" t="str">
        <f t="shared" si="1"/>
        <v>Exceeds Target</v>
      </c>
    </row>
    <row r="2310" spans="2:11" ht="15" customHeight="1">
      <c r="B2310" t="s">
        <v>566</v>
      </c>
      <c r="C2310" t="s">
        <v>2704</v>
      </c>
      <c r="D2310" t="s">
        <v>35</v>
      </c>
      <c r="E2310" t="s">
        <v>27</v>
      </c>
      <c r="F2310" s="17">
        <v>3000</v>
      </c>
      <c r="G2310" s="17">
        <v>180000</v>
      </c>
      <c r="H2310" s="17">
        <v>177000</v>
      </c>
      <c r="I2310" s="18">
        <v>0.43</v>
      </c>
      <c r="J2310" s="14">
        <f t="shared" si="0"/>
        <v>59</v>
      </c>
      <c r="K2310" s="15" t="str">
        <f t="shared" si="1"/>
        <v>Exceeds Target</v>
      </c>
    </row>
    <row r="2311" spans="2:11" ht="15" customHeight="1">
      <c r="B2311" t="s">
        <v>1282</v>
      </c>
      <c r="C2311" t="s">
        <v>2705</v>
      </c>
      <c r="D2311" t="s">
        <v>80</v>
      </c>
      <c r="E2311" t="s">
        <v>27</v>
      </c>
      <c r="F2311" s="17">
        <v>1000</v>
      </c>
      <c r="G2311" s="17">
        <v>117000</v>
      </c>
      <c r="H2311" s="17">
        <v>116000</v>
      </c>
      <c r="I2311" s="18">
        <v>0.84</v>
      </c>
      <c r="J2311" s="14">
        <f t="shared" si="0"/>
        <v>116</v>
      </c>
      <c r="K2311" s="15" t="str">
        <f t="shared" si="1"/>
        <v>Exceeds Target</v>
      </c>
    </row>
    <row r="2312" spans="2:11" ht="15" customHeight="1">
      <c r="B2312" t="s">
        <v>1184</v>
      </c>
      <c r="C2312" t="s">
        <v>2706</v>
      </c>
      <c r="D2312" t="s">
        <v>80</v>
      </c>
      <c r="E2312" t="s">
        <v>27</v>
      </c>
      <c r="F2312" s="17">
        <v>1000</v>
      </c>
      <c r="G2312" s="17">
        <v>99000</v>
      </c>
      <c r="H2312" s="17">
        <v>98000</v>
      </c>
      <c r="I2312" s="18">
        <v>0.65</v>
      </c>
      <c r="J2312" s="14">
        <f t="shared" si="0"/>
        <v>98</v>
      </c>
      <c r="K2312" s="15" t="str">
        <f t="shared" si="1"/>
        <v>Exceeds Target</v>
      </c>
    </row>
    <row r="2313" spans="2:11" ht="15" customHeight="1">
      <c r="B2313" t="s">
        <v>195</v>
      </c>
      <c r="C2313" t="s">
        <v>2707</v>
      </c>
      <c r="D2313" t="s">
        <v>69</v>
      </c>
      <c r="E2313" t="s">
        <v>70</v>
      </c>
      <c r="F2313" s="17">
        <v>1000</v>
      </c>
      <c r="G2313" s="17">
        <v>50000</v>
      </c>
      <c r="H2313" s="17">
        <v>49000</v>
      </c>
      <c r="I2313" s="18">
        <v>0.51</v>
      </c>
      <c r="J2313" s="14">
        <f t="shared" si="0"/>
        <v>49</v>
      </c>
      <c r="K2313" s="15" t="str">
        <f t="shared" si="1"/>
        <v>Exceeds Target</v>
      </c>
    </row>
    <row r="2314" spans="2:11" ht="15" customHeight="1">
      <c r="B2314" t="s">
        <v>1841</v>
      </c>
      <c r="C2314" t="s">
        <v>2708</v>
      </c>
      <c r="D2314" t="s">
        <v>69</v>
      </c>
      <c r="E2314" t="s">
        <v>70</v>
      </c>
      <c r="F2314" s="17">
        <v>1000</v>
      </c>
      <c r="G2314" s="17">
        <v>130000</v>
      </c>
      <c r="H2314" s="17">
        <v>129000</v>
      </c>
      <c r="I2314" s="18">
        <v>0.82</v>
      </c>
      <c r="J2314" s="14">
        <f t="shared" si="0"/>
        <v>129</v>
      </c>
      <c r="K2314" s="15" t="str">
        <f t="shared" si="1"/>
        <v>Exceeds Target</v>
      </c>
    </row>
    <row r="2315" spans="2:11" ht="15" customHeight="1">
      <c r="B2315" t="s">
        <v>535</v>
      </c>
      <c r="C2315" t="s">
        <v>2709</v>
      </c>
      <c r="D2315" t="s">
        <v>32</v>
      </c>
      <c r="E2315" t="s">
        <v>27</v>
      </c>
      <c r="F2315" s="17">
        <v>1500</v>
      </c>
      <c r="G2315" s="17">
        <v>40000</v>
      </c>
      <c r="H2315" s="17">
        <v>38500</v>
      </c>
      <c r="I2315" s="18">
        <v>0.66</v>
      </c>
      <c r="J2315" s="14">
        <f t="shared" si="0"/>
        <v>25.666666666666668</v>
      </c>
      <c r="K2315" s="15" t="str">
        <f t="shared" si="1"/>
        <v>Exceeds Target</v>
      </c>
    </row>
    <row r="2316" spans="2:11" ht="15" customHeight="1">
      <c r="B2316" t="s">
        <v>477</v>
      </c>
      <c r="C2316" t="s">
        <v>2710</v>
      </c>
      <c r="D2316" t="s">
        <v>26</v>
      </c>
      <c r="E2316" t="s">
        <v>27</v>
      </c>
      <c r="F2316" s="17">
        <v>5000</v>
      </c>
      <c r="G2316" s="17">
        <v>150000</v>
      </c>
      <c r="H2316" s="17">
        <v>145000</v>
      </c>
      <c r="I2316" s="18">
        <v>0.27</v>
      </c>
      <c r="J2316" s="14">
        <f t="shared" si="0"/>
        <v>29</v>
      </c>
      <c r="K2316" s="15" t="str">
        <f t="shared" si="1"/>
        <v>Exceeds Target</v>
      </c>
    </row>
    <row r="2317" spans="2:11" ht="15" customHeight="1">
      <c r="B2317" t="s">
        <v>1320</v>
      </c>
      <c r="C2317" t="s">
        <v>2711</v>
      </c>
      <c r="D2317" t="s">
        <v>32</v>
      </c>
      <c r="E2317" t="s">
        <v>27</v>
      </c>
      <c r="F2317" s="17">
        <v>1500</v>
      </c>
      <c r="G2317" s="17">
        <v>30000</v>
      </c>
      <c r="H2317" s="17">
        <v>28500</v>
      </c>
      <c r="I2317" s="18">
        <v>0.5</v>
      </c>
      <c r="J2317" s="14">
        <f t="shared" si="0"/>
        <v>19</v>
      </c>
      <c r="K2317" s="15" t="str">
        <f t="shared" si="1"/>
        <v>Exceeds Target</v>
      </c>
    </row>
    <row r="2318" spans="2:11" ht="15" customHeight="1">
      <c r="B2318" t="s">
        <v>343</v>
      </c>
      <c r="C2318" t="s">
        <v>2712</v>
      </c>
      <c r="D2318" t="s">
        <v>80</v>
      </c>
      <c r="E2318" t="s">
        <v>27</v>
      </c>
      <c r="F2318" s="17">
        <v>1000</v>
      </c>
      <c r="G2318" s="17">
        <v>60000</v>
      </c>
      <c r="H2318" s="17">
        <v>59000</v>
      </c>
      <c r="I2318" s="18">
        <v>0.52</v>
      </c>
      <c r="J2318" s="14">
        <f t="shared" si="0"/>
        <v>59</v>
      </c>
      <c r="K2318" s="15" t="str">
        <f t="shared" si="1"/>
        <v>Exceeds Target</v>
      </c>
    </row>
    <row r="2319" spans="2:11" ht="15" customHeight="1">
      <c r="B2319" t="s">
        <v>1194</v>
      </c>
      <c r="C2319" t="s">
        <v>2713</v>
      </c>
      <c r="D2319" t="s">
        <v>35</v>
      </c>
      <c r="E2319" t="s">
        <v>27</v>
      </c>
      <c r="F2319" s="17">
        <v>3000</v>
      </c>
      <c r="G2319" s="17">
        <v>210000</v>
      </c>
      <c r="H2319" s="17">
        <v>207000</v>
      </c>
      <c r="I2319" s="18">
        <v>0.85</v>
      </c>
      <c r="J2319" s="14">
        <f t="shared" si="0"/>
        <v>69</v>
      </c>
      <c r="K2319" s="15" t="str">
        <f t="shared" si="1"/>
        <v>Exceeds Target</v>
      </c>
    </row>
    <row r="2320" spans="2:11" ht="15" customHeight="1">
      <c r="B2320" t="s">
        <v>577</v>
      </c>
      <c r="C2320" t="s">
        <v>2714</v>
      </c>
      <c r="D2320" t="s">
        <v>32</v>
      </c>
      <c r="E2320" t="s">
        <v>27</v>
      </c>
      <c r="F2320" s="17">
        <v>1500</v>
      </c>
      <c r="G2320" s="17">
        <v>16000</v>
      </c>
      <c r="H2320" s="17">
        <v>14500</v>
      </c>
      <c r="I2320" s="18">
        <v>0.28000000000000003</v>
      </c>
      <c r="J2320" s="14">
        <f t="shared" si="0"/>
        <v>9.6666666666666661</v>
      </c>
      <c r="K2320" s="15" t="str">
        <f t="shared" si="1"/>
        <v>Exceeds Target</v>
      </c>
    </row>
    <row r="2321" spans="2:11" ht="15" customHeight="1">
      <c r="B2321" t="s">
        <v>255</v>
      </c>
      <c r="C2321" t="s">
        <v>2715</v>
      </c>
      <c r="D2321" t="s">
        <v>80</v>
      </c>
      <c r="E2321" t="s">
        <v>27</v>
      </c>
      <c r="F2321" s="17">
        <v>1000</v>
      </c>
      <c r="G2321" s="17">
        <v>93000</v>
      </c>
      <c r="H2321" s="17">
        <v>92000</v>
      </c>
      <c r="I2321" s="18">
        <v>0.86</v>
      </c>
      <c r="J2321" s="14">
        <f t="shared" si="0"/>
        <v>92</v>
      </c>
      <c r="K2321" s="15" t="str">
        <f t="shared" si="1"/>
        <v>Exceeds Target</v>
      </c>
    </row>
    <row r="2322" spans="2:11" ht="15" customHeight="1">
      <c r="B2322" t="s">
        <v>30</v>
      </c>
      <c r="C2322" t="s">
        <v>2716</v>
      </c>
      <c r="D2322" t="s">
        <v>26</v>
      </c>
      <c r="E2322" t="s">
        <v>27</v>
      </c>
      <c r="F2322" s="17">
        <v>5000</v>
      </c>
      <c r="G2322" s="17">
        <v>30000</v>
      </c>
      <c r="H2322" s="17">
        <v>25000</v>
      </c>
      <c r="I2322" s="18">
        <v>0.25</v>
      </c>
      <c r="J2322" s="14">
        <f t="shared" si="0"/>
        <v>5</v>
      </c>
      <c r="K2322" s="15" t="str">
        <f t="shared" si="1"/>
        <v>Exceeds Target</v>
      </c>
    </row>
    <row r="2323" spans="2:11" ht="15" customHeight="1">
      <c r="B2323" t="s">
        <v>1285</v>
      </c>
      <c r="C2323" t="s">
        <v>2717</v>
      </c>
      <c r="D2323" t="s">
        <v>80</v>
      </c>
      <c r="E2323" t="s">
        <v>27</v>
      </c>
      <c r="F2323" s="17">
        <v>1000</v>
      </c>
      <c r="G2323" s="17">
        <v>90000</v>
      </c>
      <c r="H2323" s="17">
        <v>89000</v>
      </c>
      <c r="I2323" s="18">
        <v>0.67</v>
      </c>
      <c r="J2323" s="14">
        <f t="shared" si="0"/>
        <v>89</v>
      </c>
      <c r="K2323" s="15" t="str">
        <f t="shared" si="1"/>
        <v>Exceeds Target</v>
      </c>
    </row>
    <row r="2324" spans="2:11" ht="15" customHeight="1">
      <c r="B2324" t="s">
        <v>886</v>
      </c>
      <c r="C2324" t="s">
        <v>2718</v>
      </c>
      <c r="D2324" t="s">
        <v>80</v>
      </c>
      <c r="E2324" t="s">
        <v>27</v>
      </c>
      <c r="F2324" s="17">
        <v>1000</v>
      </c>
      <c r="G2324" s="17">
        <v>48000</v>
      </c>
      <c r="H2324" s="17">
        <v>47000</v>
      </c>
      <c r="I2324" s="18">
        <v>0.9</v>
      </c>
      <c r="J2324" s="14">
        <f t="shared" si="0"/>
        <v>47</v>
      </c>
      <c r="K2324" s="15" t="str">
        <f t="shared" si="1"/>
        <v>Exceeds Target</v>
      </c>
    </row>
    <row r="2325" spans="2:11" ht="15" customHeight="1">
      <c r="B2325" t="s">
        <v>746</v>
      </c>
      <c r="C2325" t="s">
        <v>2719</v>
      </c>
      <c r="D2325" t="s">
        <v>35</v>
      </c>
      <c r="E2325" t="s">
        <v>27</v>
      </c>
      <c r="F2325" s="17">
        <v>3000</v>
      </c>
      <c r="G2325" s="17">
        <v>100000</v>
      </c>
      <c r="H2325" s="17">
        <v>97000</v>
      </c>
      <c r="I2325" s="18">
        <v>0.89</v>
      </c>
      <c r="J2325" s="14">
        <f t="shared" si="0"/>
        <v>32.333333333333336</v>
      </c>
      <c r="K2325" s="15" t="str">
        <f t="shared" si="1"/>
        <v>Exceeds Target</v>
      </c>
    </row>
    <row r="2326" spans="2:11" ht="15" customHeight="1">
      <c r="B2326" t="s">
        <v>730</v>
      </c>
      <c r="C2326" t="s">
        <v>2720</v>
      </c>
      <c r="D2326" t="s">
        <v>32</v>
      </c>
      <c r="E2326" t="s">
        <v>27</v>
      </c>
      <c r="F2326" s="17">
        <v>1500</v>
      </c>
      <c r="G2326" s="17">
        <v>12000</v>
      </c>
      <c r="H2326" s="17">
        <v>10500</v>
      </c>
      <c r="I2326" s="18">
        <v>0.46</v>
      </c>
      <c r="J2326" s="14">
        <f t="shared" si="0"/>
        <v>7</v>
      </c>
      <c r="K2326" s="15" t="str">
        <f t="shared" si="1"/>
        <v>Exceeds Target</v>
      </c>
    </row>
    <row r="2327" spans="2:11" ht="15" customHeight="1">
      <c r="B2327" t="s">
        <v>175</v>
      </c>
      <c r="C2327" t="s">
        <v>2721</v>
      </c>
      <c r="D2327" t="s">
        <v>26</v>
      </c>
      <c r="E2327" t="s">
        <v>27</v>
      </c>
      <c r="F2327" s="17">
        <v>5000</v>
      </c>
      <c r="G2327" s="17">
        <v>150000</v>
      </c>
      <c r="H2327" s="17">
        <v>145000</v>
      </c>
      <c r="I2327" s="18">
        <v>0.39</v>
      </c>
      <c r="J2327" s="14">
        <f t="shared" si="0"/>
        <v>29</v>
      </c>
      <c r="K2327" s="15" t="str">
        <f t="shared" si="1"/>
        <v>Exceeds Target</v>
      </c>
    </row>
    <row r="2328" spans="2:11" ht="15" customHeight="1">
      <c r="B2328" t="s">
        <v>769</v>
      </c>
      <c r="C2328" t="s">
        <v>2722</v>
      </c>
      <c r="D2328" t="s">
        <v>32</v>
      </c>
      <c r="E2328" t="s">
        <v>27</v>
      </c>
      <c r="F2328" s="17">
        <v>1500</v>
      </c>
      <c r="G2328" s="17">
        <v>54000</v>
      </c>
      <c r="H2328" s="17">
        <v>52500</v>
      </c>
      <c r="I2328" s="18">
        <v>0.44</v>
      </c>
      <c r="J2328" s="14">
        <f t="shared" si="0"/>
        <v>35</v>
      </c>
      <c r="K2328" s="15" t="str">
        <f t="shared" si="1"/>
        <v>Exceeds Target</v>
      </c>
    </row>
    <row r="2329" spans="2:11" ht="15" customHeight="1">
      <c r="B2329" t="s">
        <v>648</v>
      </c>
      <c r="C2329" t="s">
        <v>2723</v>
      </c>
      <c r="D2329" t="s">
        <v>35</v>
      </c>
      <c r="E2329" t="s">
        <v>27</v>
      </c>
      <c r="F2329" s="17">
        <v>3000</v>
      </c>
      <c r="G2329" s="17">
        <v>190000</v>
      </c>
      <c r="H2329" s="17">
        <v>187000</v>
      </c>
      <c r="I2329" s="18">
        <v>0.28999999999999998</v>
      </c>
      <c r="J2329" s="14">
        <f t="shared" si="0"/>
        <v>62.333333333333336</v>
      </c>
      <c r="K2329" s="15" t="str">
        <f t="shared" si="1"/>
        <v>Exceeds Target</v>
      </c>
    </row>
    <row r="2330" spans="2:11" ht="15" customHeight="1">
      <c r="B2330" t="s">
        <v>1184</v>
      </c>
      <c r="C2330" t="s">
        <v>2724</v>
      </c>
      <c r="D2330" t="s">
        <v>80</v>
      </c>
      <c r="E2330" t="s">
        <v>27</v>
      </c>
      <c r="F2330" s="17">
        <v>1000</v>
      </c>
      <c r="G2330" s="17">
        <v>96000</v>
      </c>
      <c r="H2330" s="17">
        <v>95000</v>
      </c>
      <c r="I2330" s="18">
        <v>0.82</v>
      </c>
      <c r="J2330" s="14">
        <f t="shared" si="0"/>
        <v>95</v>
      </c>
      <c r="K2330" s="15" t="str">
        <f t="shared" si="1"/>
        <v>Exceeds Target</v>
      </c>
    </row>
    <row r="2331" spans="2:11" ht="15" customHeight="1">
      <c r="B2331" t="s">
        <v>907</v>
      </c>
      <c r="C2331" t="s">
        <v>2725</v>
      </c>
      <c r="D2331" t="s">
        <v>80</v>
      </c>
      <c r="E2331" t="s">
        <v>27</v>
      </c>
      <c r="F2331" s="17">
        <v>1000</v>
      </c>
      <c r="G2331" s="17">
        <v>87000</v>
      </c>
      <c r="H2331" s="17">
        <v>86000</v>
      </c>
      <c r="I2331" s="18">
        <v>0.56000000000000005</v>
      </c>
      <c r="J2331" s="14">
        <f t="shared" si="0"/>
        <v>86</v>
      </c>
      <c r="K2331" s="15" t="str">
        <f t="shared" si="1"/>
        <v>Exceeds Target</v>
      </c>
    </row>
    <row r="2332" spans="2:11" ht="15" customHeight="1">
      <c r="B2332" t="s">
        <v>327</v>
      </c>
      <c r="C2332" t="s">
        <v>2726</v>
      </c>
      <c r="D2332" t="s">
        <v>69</v>
      </c>
      <c r="E2332" t="s">
        <v>70</v>
      </c>
      <c r="F2332" s="17">
        <v>1000</v>
      </c>
      <c r="G2332" s="17">
        <v>80000</v>
      </c>
      <c r="H2332" s="17">
        <v>79000</v>
      </c>
      <c r="I2332" s="18">
        <v>0.43</v>
      </c>
      <c r="J2332" s="14">
        <f t="shared" si="0"/>
        <v>79</v>
      </c>
      <c r="K2332" s="15" t="str">
        <f t="shared" si="1"/>
        <v>Exceeds Target</v>
      </c>
    </row>
    <row r="2333" spans="2:11" ht="15" customHeight="1">
      <c r="B2333" t="s">
        <v>345</v>
      </c>
      <c r="C2333" t="s">
        <v>2727</v>
      </c>
      <c r="D2333" t="s">
        <v>69</v>
      </c>
      <c r="E2333" t="s">
        <v>70</v>
      </c>
      <c r="F2333" s="17">
        <v>1000</v>
      </c>
      <c r="G2333" s="17">
        <v>55000</v>
      </c>
      <c r="H2333" s="17">
        <v>54000</v>
      </c>
      <c r="I2333" s="18">
        <v>1</v>
      </c>
      <c r="J2333" s="14">
        <f t="shared" si="0"/>
        <v>54</v>
      </c>
      <c r="K2333" s="15" t="str">
        <f t="shared" si="1"/>
        <v>Exceeds Target</v>
      </c>
    </row>
    <row r="2334" spans="2:11" ht="15" customHeight="1">
      <c r="B2334" t="s">
        <v>345</v>
      </c>
      <c r="C2334" t="s">
        <v>2728</v>
      </c>
      <c r="D2334" t="s">
        <v>80</v>
      </c>
      <c r="E2334" t="s">
        <v>27</v>
      </c>
      <c r="F2334" s="17">
        <v>1000</v>
      </c>
      <c r="G2334" s="17">
        <v>63000</v>
      </c>
      <c r="H2334" s="17">
        <v>62000</v>
      </c>
      <c r="I2334" s="18">
        <v>0.92</v>
      </c>
      <c r="J2334" s="14">
        <f t="shared" si="0"/>
        <v>62</v>
      </c>
      <c r="K2334" s="15" t="str">
        <f t="shared" si="1"/>
        <v>Exceeds Target</v>
      </c>
    </row>
    <row r="2335" spans="2:11" ht="15" customHeight="1">
      <c r="B2335" t="s">
        <v>557</v>
      </c>
      <c r="C2335" t="s">
        <v>2729</v>
      </c>
      <c r="D2335" t="s">
        <v>35</v>
      </c>
      <c r="E2335" t="s">
        <v>27</v>
      </c>
      <c r="F2335" s="17">
        <v>3000</v>
      </c>
      <c r="G2335" s="17">
        <v>290000</v>
      </c>
      <c r="H2335" s="17">
        <v>287000</v>
      </c>
      <c r="I2335" s="18">
        <v>0.48</v>
      </c>
      <c r="J2335" s="14">
        <f t="shared" si="0"/>
        <v>95.666666666666671</v>
      </c>
      <c r="K2335" s="15" t="str">
        <f t="shared" si="1"/>
        <v>Exceeds Target</v>
      </c>
    </row>
    <row r="2336" spans="2:11" ht="15" customHeight="1">
      <c r="B2336" t="s">
        <v>625</v>
      </c>
      <c r="C2336" t="s">
        <v>2730</v>
      </c>
      <c r="D2336" t="s">
        <v>35</v>
      </c>
      <c r="E2336" t="s">
        <v>27</v>
      </c>
      <c r="F2336" s="17">
        <v>3000</v>
      </c>
      <c r="G2336" s="17">
        <v>210000</v>
      </c>
      <c r="H2336" s="17">
        <v>207000</v>
      </c>
      <c r="I2336" s="18">
        <v>0.87</v>
      </c>
      <c r="J2336" s="14">
        <f t="shared" si="0"/>
        <v>69</v>
      </c>
      <c r="K2336" s="15" t="str">
        <f t="shared" si="1"/>
        <v>Exceeds Target</v>
      </c>
    </row>
    <row r="2337" spans="2:11" ht="15" customHeight="1">
      <c r="B2337" t="s">
        <v>89</v>
      </c>
      <c r="C2337" t="s">
        <v>2731</v>
      </c>
      <c r="D2337" t="s">
        <v>80</v>
      </c>
      <c r="E2337" t="s">
        <v>27</v>
      </c>
      <c r="F2337" s="17">
        <v>1000</v>
      </c>
      <c r="G2337" s="17">
        <v>66000</v>
      </c>
      <c r="H2337" s="17">
        <v>65000</v>
      </c>
      <c r="I2337" s="18">
        <v>0.93</v>
      </c>
      <c r="J2337" s="14">
        <f t="shared" si="0"/>
        <v>65</v>
      </c>
      <c r="K2337" s="15" t="str">
        <f t="shared" si="1"/>
        <v>Exceeds Target</v>
      </c>
    </row>
    <row r="2338" spans="2:11" ht="15" customHeight="1">
      <c r="B2338" t="s">
        <v>81</v>
      </c>
      <c r="C2338" t="s">
        <v>2732</v>
      </c>
      <c r="D2338" t="s">
        <v>69</v>
      </c>
      <c r="E2338" t="s">
        <v>70</v>
      </c>
      <c r="F2338" s="17">
        <v>1000</v>
      </c>
      <c r="G2338" s="17">
        <v>130000</v>
      </c>
      <c r="H2338" s="17">
        <v>129000</v>
      </c>
      <c r="I2338" s="18">
        <v>0.53</v>
      </c>
      <c r="J2338" s="14">
        <f t="shared" si="0"/>
        <v>129</v>
      </c>
      <c r="K2338" s="15" t="str">
        <f t="shared" si="1"/>
        <v>Exceeds Target</v>
      </c>
    </row>
    <row r="2339" spans="2:11" ht="15" customHeight="1">
      <c r="B2339" t="s">
        <v>180</v>
      </c>
      <c r="C2339" t="s">
        <v>2733</v>
      </c>
      <c r="D2339" t="s">
        <v>69</v>
      </c>
      <c r="E2339" t="s">
        <v>70</v>
      </c>
      <c r="F2339" s="17">
        <v>1000</v>
      </c>
      <c r="G2339" s="17">
        <v>40000</v>
      </c>
      <c r="H2339" s="17">
        <v>39000</v>
      </c>
      <c r="I2339" s="18">
        <v>0.93</v>
      </c>
      <c r="J2339" s="14">
        <f t="shared" si="0"/>
        <v>39</v>
      </c>
      <c r="K2339" s="15" t="str">
        <f t="shared" si="1"/>
        <v>Exceeds Target</v>
      </c>
    </row>
    <row r="2340" spans="2:11" ht="15" customHeight="1">
      <c r="B2340" t="s">
        <v>370</v>
      </c>
      <c r="C2340" t="s">
        <v>2734</v>
      </c>
      <c r="D2340" t="s">
        <v>80</v>
      </c>
      <c r="E2340" t="s">
        <v>27</v>
      </c>
      <c r="F2340" s="17">
        <v>1000</v>
      </c>
      <c r="G2340" s="17">
        <v>96000</v>
      </c>
      <c r="H2340" s="17">
        <v>95000</v>
      </c>
      <c r="I2340" s="18">
        <v>0.71</v>
      </c>
      <c r="J2340" s="14">
        <f t="shared" si="0"/>
        <v>95</v>
      </c>
      <c r="K2340" s="15" t="str">
        <f t="shared" si="1"/>
        <v>Exceeds Target</v>
      </c>
    </row>
    <row r="2341" spans="2:11" ht="15" customHeight="1">
      <c r="B2341" t="s">
        <v>765</v>
      </c>
      <c r="C2341" t="s">
        <v>2735</v>
      </c>
      <c r="D2341" t="s">
        <v>32</v>
      </c>
      <c r="E2341" t="s">
        <v>27</v>
      </c>
      <c r="F2341" s="17">
        <v>1500</v>
      </c>
      <c r="G2341" s="17">
        <v>30000</v>
      </c>
      <c r="H2341" s="17">
        <v>28500</v>
      </c>
      <c r="I2341" s="18">
        <v>0.91</v>
      </c>
      <c r="J2341" s="14">
        <f t="shared" si="0"/>
        <v>19</v>
      </c>
      <c r="K2341" s="15" t="str">
        <f t="shared" si="1"/>
        <v>Exceeds Target</v>
      </c>
    </row>
    <row r="2342" spans="2:11" ht="15" customHeight="1">
      <c r="B2342" t="s">
        <v>76</v>
      </c>
      <c r="C2342" t="s">
        <v>2736</v>
      </c>
      <c r="D2342" t="s">
        <v>35</v>
      </c>
      <c r="E2342" t="s">
        <v>27</v>
      </c>
      <c r="F2342" s="17">
        <v>3000</v>
      </c>
      <c r="G2342" s="17">
        <v>240000</v>
      </c>
      <c r="H2342" s="17">
        <v>237000</v>
      </c>
      <c r="I2342" s="18">
        <v>0.24</v>
      </c>
      <c r="J2342" s="14">
        <f t="shared" si="0"/>
        <v>79</v>
      </c>
      <c r="K2342" s="15" t="str">
        <f t="shared" si="1"/>
        <v>Exceeds Target</v>
      </c>
    </row>
    <row r="2343" spans="2:11" ht="15" customHeight="1">
      <c r="B2343" t="s">
        <v>958</v>
      </c>
      <c r="C2343" t="s">
        <v>2737</v>
      </c>
      <c r="D2343" t="s">
        <v>80</v>
      </c>
      <c r="E2343" t="s">
        <v>27</v>
      </c>
      <c r="F2343" s="17">
        <v>1000</v>
      </c>
      <c r="G2343" s="17">
        <v>78000</v>
      </c>
      <c r="H2343" s="17">
        <v>77000</v>
      </c>
      <c r="I2343" s="18">
        <v>0.89</v>
      </c>
      <c r="J2343" s="14">
        <f t="shared" si="0"/>
        <v>77</v>
      </c>
      <c r="K2343" s="15" t="str">
        <f t="shared" si="1"/>
        <v>Exceeds Target</v>
      </c>
    </row>
    <row r="2344" spans="2:11" ht="15" customHeight="1">
      <c r="B2344" t="s">
        <v>648</v>
      </c>
      <c r="C2344" t="s">
        <v>2738</v>
      </c>
      <c r="D2344" t="s">
        <v>32</v>
      </c>
      <c r="E2344" t="s">
        <v>27</v>
      </c>
      <c r="F2344" s="17">
        <v>1500</v>
      </c>
      <c r="G2344" s="17">
        <v>20000</v>
      </c>
      <c r="H2344" s="17">
        <v>18500</v>
      </c>
      <c r="I2344" s="18">
        <v>0.55000000000000004</v>
      </c>
      <c r="J2344" s="14">
        <f t="shared" si="0"/>
        <v>12.333333333333334</v>
      </c>
      <c r="K2344" s="15" t="str">
        <f t="shared" si="1"/>
        <v>Exceeds Target</v>
      </c>
    </row>
    <row r="2345" spans="2:11" ht="15" customHeight="1">
      <c r="B2345" t="s">
        <v>555</v>
      </c>
      <c r="C2345" t="s">
        <v>2739</v>
      </c>
      <c r="D2345" t="s">
        <v>35</v>
      </c>
      <c r="E2345" t="s">
        <v>27</v>
      </c>
      <c r="F2345" s="17">
        <v>3000</v>
      </c>
      <c r="G2345" s="17">
        <v>170000</v>
      </c>
      <c r="H2345" s="17">
        <v>167000</v>
      </c>
      <c r="I2345" s="18">
        <v>0.61</v>
      </c>
      <c r="J2345" s="14">
        <f t="shared" si="0"/>
        <v>55.666666666666664</v>
      </c>
      <c r="K2345" s="15" t="str">
        <f t="shared" si="1"/>
        <v>Exceeds Target</v>
      </c>
    </row>
    <row r="2346" spans="2:11" ht="15" customHeight="1">
      <c r="B2346" t="s">
        <v>782</v>
      </c>
      <c r="C2346" t="s">
        <v>2740</v>
      </c>
      <c r="D2346" t="s">
        <v>26</v>
      </c>
      <c r="E2346" t="s">
        <v>27</v>
      </c>
      <c r="F2346" s="17">
        <v>5000</v>
      </c>
      <c r="G2346" s="17">
        <v>60000</v>
      </c>
      <c r="H2346" s="17">
        <v>55000</v>
      </c>
      <c r="I2346" s="18">
        <v>0.36</v>
      </c>
      <c r="J2346" s="14">
        <f t="shared" si="0"/>
        <v>11</v>
      </c>
      <c r="K2346" s="15" t="str">
        <f t="shared" si="1"/>
        <v>Exceeds Target</v>
      </c>
    </row>
    <row r="2347" spans="2:11" ht="15" customHeight="1">
      <c r="B2347" t="s">
        <v>754</v>
      </c>
      <c r="C2347" t="s">
        <v>2741</v>
      </c>
      <c r="D2347" t="s">
        <v>35</v>
      </c>
      <c r="E2347" t="s">
        <v>27</v>
      </c>
      <c r="F2347" s="17">
        <v>3000</v>
      </c>
      <c r="G2347" s="17">
        <v>220000</v>
      </c>
      <c r="H2347" s="17">
        <v>217000</v>
      </c>
      <c r="I2347" s="18">
        <v>0.83</v>
      </c>
      <c r="J2347" s="14">
        <f t="shared" si="0"/>
        <v>72.333333333333329</v>
      </c>
      <c r="K2347" s="15" t="str">
        <f t="shared" si="1"/>
        <v>Exceeds Target</v>
      </c>
    </row>
    <row r="2348" spans="2:11" ht="15" customHeight="1">
      <c r="B2348" t="s">
        <v>615</v>
      </c>
      <c r="C2348" t="s">
        <v>2742</v>
      </c>
      <c r="D2348" t="s">
        <v>32</v>
      </c>
      <c r="E2348" t="s">
        <v>27</v>
      </c>
      <c r="F2348" s="17">
        <v>1500</v>
      </c>
      <c r="G2348" s="17">
        <v>18000</v>
      </c>
      <c r="H2348" s="17">
        <v>16500</v>
      </c>
      <c r="I2348" s="18">
        <v>0.86</v>
      </c>
      <c r="J2348" s="14">
        <f t="shared" si="0"/>
        <v>11</v>
      </c>
      <c r="K2348" s="15" t="str">
        <f t="shared" si="1"/>
        <v>Exceeds Target</v>
      </c>
    </row>
    <row r="2349" spans="2:11" ht="15" customHeight="1">
      <c r="B2349" t="s">
        <v>277</v>
      </c>
      <c r="C2349" t="s">
        <v>2743</v>
      </c>
      <c r="D2349" t="s">
        <v>32</v>
      </c>
      <c r="E2349" t="s">
        <v>27</v>
      </c>
      <c r="F2349" s="17">
        <v>1500</v>
      </c>
      <c r="G2349" s="17">
        <v>12000</v>
      </c>
      <c r="H2349" s="17">
        <v>10500</v>
      </c>
      <c r="I2349" s="18">
        <v>0.88</v>
      </c>
      <c r="J2349" s="14">
        <f t="shared" si="0"/>
        <v>7</v>
      </c>
      <c r="K2349" s="15" t="str">
        <f t="shared" si="1"/>
        <v>Exceeds Target</v>
      </c>
    </row>
    <row r="2350" spans="2:11" ht="15" customHeight="1">
      <c r="B2350" t="s">
        <v>644</v>
      </c>
      <c r="C2350" t="s">
        <v>2744</v>
      </c>
      <c r="D2350" t="s">
        <v>69</v>
      </c>
      <c r="E2350" t="s">
        <v>70</v>
      </c>
      <c r="F2350" s="17">
        <v>1000</v>
      </c>
      <c r="G2350" s="17">
        <v>130000</v>
      </c>
      <c r="H2350" s="17">
        <v>129000</v>
      </c>
      <c r="I2350" s="18">
        <v>0.84</v>
      </c>
      <c r="J2350" s="14">
        <f t="shared" si="0"/>
        <v>129</v>
      </c>
      <c r="K2350" s="15" t="str">
        <f t="shared" si="1"/>
        <v>Exceeds Target</v>
      </c>
    </row>
    <row r="2351" spans="2:11" ht="15" customHeight="1">
      <c r="B2351" t="s">
        <v>1614</v>
      </c>
      <c r="C2351" t="s">
        <v>2745</v>
      </c>
      <c r="D2351" t="s">
        <v>35</v>
      </c>
      <c r="E2351" t="s">
        <v>27</v>
      </c>
      <c r="F2351" s="17">
        <v>3000</v>
      </c>
      <c r="G2351" s="17">
        <v>250000</v>
      </c>
      <c r="H2351" s="17">
        <v>247000</v>
      </c>
      <c r="I2351" s="18">
        <v>0.49</v>
      </c>
      <c r="J2351" s="14">
        <f t="shared" si="0"/>
        <v>82.333333333333329</v>
      </c>
      <c r="K2351" s="15" t="str">
        <f t="shared" si="1"/>
        <v>Exceeds Target</v>
      </c>
    </row>
    <row r="2352" spans="2:11" ht="15" customHeight="1">
      <c r="B2352" t="s">
        <v>123</v>
      </c>
      <c r="C2352" t="s">
        <v>2746</v>
      </c>
      <c r="D2352" t="s">
        <v>80</v>
      </c>
      <c r="E2352" t="s">
        <v>27</v>
      </c>
      <c r="F2352" s="17">
        <v>1000</v>
      </c>
      <c r="G2352" s="17">
        <v>63000</v>
      </c>
      <c r="H2352" s="17">
        <v>62000</v>
      </c>
      <c r="I2352" s="18">
        <v>0.79</v>
      </c>
      <c r="J2352" s="14">
        <f t="shared" si="0"/>
        <v>62</v>
      </c>
      <c r="K2352" s="15" t="str">
        <f t="shared" si="1"/>
        <v>Exceeds Target</v>
      </c>
    </row>
    <row r="2353" spans="2:11" ht="15" customHeight="1">
      <c r="B2353" t="s">
        <v>105</v>
      </c>
      <c r="C2353" t="s">
        <v>2747</v>
      </c>
      <c r="D2353" t="s">
        <v>80</v>
      </c>
      <c r="E2353" t="s">
        <v>27</v>
      </c>
      <c r="F2353" s="17">
        <v>1000</v>
      </c>
      <c r="G2353" s="17">
        <v>63000</v>
      </c>
      <c r="H2353" s="17">
        <v>62000</v>
      </c>
      <c r="I2353" s="18">
        <v>0.89</v>
      </c>
      <c r="J2353" s="14">
        <f t="shared" si="0"/>
        <v>62</v>
      </c>
      <c r="K2353" s="15" t="str">
        <f t="shared" si="1"/>
        <v>Exceeds Target</v>
      </c>
    </row>
    <row r="2354" spans="2:11" ht="15" customHeight="1">
      <c r="B2354" t="s">
        <v>356</v>
      </c>
      <c r="C2354" t="s">
        <v>2748</v>
      </c>
      <c r="D2354" t="s">
        <v>80</v>
      </c>
      <c r="E2354" t="s">
        <v>27</v>
      </c>
      <c r="F2354" s="17">
        <v>1000</v>
      </c>
      <c r="G2354" s="17">
        <v>81000</v>
      </c>
      <c r="H2354" s="17">
        <v>80000</v>
      </c>
      <c r="I2354" s="18">
        <v>0.96</v>
      </c>
      <c r="J2354" s="14">
        <f t="shared" si="0"/>
        <v>80</v>
      </c>
      <c r="K2354" s="15" t="str">
        <f t="shared" si="1"/>
        <v>Exceeds Target</v>
      </c>
    </row>
    <row r="2355" spans="2:11" ht="15" customHeight="1">
      <c r="B2355" t="s">
        <v>563</v>
      </c>
      <c r="C2355" t="s">
        <v>2749</v>
      </c>
      <c r="D2355" t="s">
        <v>69</v>
      </c>
      <c r="E2355" t="s">
        <v>70</v>
      </c>
      <c r="F2355" s="17">
        <v>1000</v>
      </c>
      <c r="G2355" s="17">
        <v>110000</v>
      </c>
      <c r="H2355" s="17">
        <v>109000</v>
      </c>
      <c r="I2355" s="18">
        <v>0.46</v>
      </c>
      <c r="J2355" s="14">
        <f t="shared" si="0"/>
        <v>109</v>
      </c>
      <c r="K2355" s="15" t="str">
        <f t="shared" si="1"/>
        <v>Exceeds Target</v>
      </c>
    </row>
    <row r="2356" spans="2:11" ht="15" customHeight="1">
      <c r="B2356" t="s">
        <v>465</v>
      </c>
      <c r="C2356" t="s">
        <v>2750</v>
      </c>
      <c r="D2356" t="s">
        <v>26</v>
      </c>
      <c r="E2356" t="s">
        <v>27</v>
      </c>
      <c r="F2356" s="17">
        <v>5000</v>
      </c>
      <c r="G2356" s="17">
        <v>60000</v>
      </c>
      <c r="H2356" s="17">
        <v>55000</v>
      </c>
      <c r="I2356" s="18">
        <v>0.14000000000000001</v>
      </c>
      <c r="J2356" s="14">
        <f t="shared" si="0"/>
        <v>11</v>
      </c>
      <c r="K2356" s="15" t="str">
        <f t="shared" si="1"/>
        <v>Exceeds Target</v>
      </c>
    </row>
    <row r="2357" spans="2:11" ht="15" customHeight="1">
      <c r="B2357" t="s">
        <v>701</v>
      </c>
      <c r="C2357" t="s">
        <v>2751</v>
      </c>
      <c r="D2357" t="s">
        <v>80</v>
      </c>
      <c r="E2357" t="s">
        <v>27</v>
      </c>
      <c r="F2357" s="17">
        <v>1000</v>
      </c>
      <c r="G2357" s="17">
        <v>102000</v>
      </c>
      <c r="H2357" s="17">
        <v>101000</v>
      </c>
      <c r="I2357" s="18">
        <v>0.66</v>
      </c>
      <c r="J2357" s="14">
        <f t="shared" si="0"/>
        <v>101</v>
      </c>
      <c r="K2357" s="15" t="str">
        <f t="shared" si="1"/>
        <v>Exceeds Target</v>
      </c>
    </row>
    <row r="2358" spans="2:11" ht="15" customHeight="1">
      <c r="B2358" t="s">
        <v>625</v>
      </c>
      <c r="C2358" t="s">
        <v>2752</v>
      </c>
      <c r="D2358" t="s">
        <v>80</v>
      </c>
      <c r="E2358" t="s">
        <v>27</v>
      </c>
      <c r="F2358" s="17">
        <v>1000</v>
      </c>
      <c r="G2358" s="17">
        <v>120000</v>
      </c>
      <c r="H2358" s="17">
        <v>119000</v>
      </c>
      <c r="I2358" s="18">
        <v>0.89</v>
      </c>
      <c r="J2358" s="14">
        <f t="shared" si="0"/>
        <v>119</v>
      </c>
      <c r="K2358" s="15" t="str">
        <f t="shared" si="1"/>
        <v>Exceeds Target</v>
      </c>
    </row>
    <row r="2359" spans="2:11" ht="15" customHeight="1">
      <c r="B2359" t="s">
        <v>1216</v>
      </c>
      <c r="C2359" t="s">
        <v>2753</v>
      </c>
      <c r="D2359" t="s">
        <v>80</v>
      </c>
      <c r="E2359" t="s">
        <v>27</v>
      </c>
      <c r="F2359" s="17">
        <v>1000</v>
      </c>
      <c r="G2359" s="17">
        <v>81000</v>
      </c>
      <c r="H2359" s="17">
        <v>80000</v>
      </c>
      <c r="I2359" s="18">
        <v>0.92</v>
      </c>
      <c r="J2359" s="14">
        <f t="shared" si="0"/>
        <v>80</v>
      </c>
      <c r="K2359" s="15" t="str">
        <f t="shared" si="1"/>
        <v>Exceeds Target</v>
      </c>
    </row>
    <row r="2360" spans="2:11" ht="15" customHeight="1">
      <c r="B2360" t="s">
        <v>892</v>
      </c>
      <c r="C2360" t="s">
        <v>2754</v>
      </c>
      <c r="D2360" t="s">
        <v>35</v>
      </c>
      <c r="E2360" t="s">
        <v>27</v>
      </c>
      <c r="F2360" s="17">
        <v>3000</v>
      </c>
      <c r="G2360" s="17">
        <v>100000</v>
      </c>
      <c r="H2360" s="17">
        <v>97000</v>
      </c>
      <c r="I2360" s="18">
        <v>0.39</v>
      </c>
      <c r="J2360" s="14">
        <f t="shared" si="0"/>
        <v>32.333333333333336</v>
      </c>
      <c r="K2360" s="15" t="str">
        <f t="shared" si="1"/>
        <v>Exceeds Target</v>
      </c>
    </row>
    <row r="2361" spans="2:11" ht="15" customHeight="1">
      <c r="B2361" t="s">
        <v>175</v>
      </c>
      <c r="C2361" t="s">
        <v>2755</v>
      </c>
      <c r="D2361" t="s">
        <v>80</v>
      </c>
      <c r="E2361" t="s">
        <v>27</v>
      </c>
      <c r="F2361" s="17">
        <v>1000</v>
      </c>
      <c r="G2361" s="17">
        <v>111000</v>
      </c>
      <c r="H2361" s="17">
        <v>110000</v>
      </c>
      <c r="I2361" s="18">
        <v>0.79</v>
      </c>
      <c r="J2361" s="14">
        <f t="shared" si="0"/>
        <v>110</v>
      </c>
      <c r="K2361" s="15" t="str">
        <f t="shared" si="1"/>
        <v>Exceeds Target</v>
      </c>
    </row>
    <row r="2362" spans="2:11" ht="15" customHeight="1">
      <c r="B2362" t="s">
        <v>420</v>
      </c>
      <c r="C2362" t="s">
        <v>2756</v>
      </c>
      <c r="D2362" t="s">
        <v>26</v>
      </c>
      <c r="E2362" t="s">
        <v>27</v>
      </c>
      <c r="F2362" s="17">
        <v>5000</v>
      </c>
      <c r="G2362" s="17">
        <v>150000</v>
      </c>
      <c r="H2362" s="17">
        <v>145000</v>
      </c>
      <c r="I2362" s="18">
        <v>0.26</v>
      </c>
      <c r="J2362" s="14">
        <f t="shared" si="0"/>
        <v>29</v>
      </c>
      <c r="K2362" s="15" t="str">
        <f t="shared" si="1"/>
        <v>Exceeds Target</v>
      </c>
    </row>
    <row r="2363" spans="2:11" ht="15" customHeight="1">
      <c r="B2363" t="s">
        <v>993</v>
      </c>
      <c r="C2363" t="s">
        <v>2757</v>
      </c>
      <c r="D2363" t="s">
        <v>69</v>
      </c>
      <c r="E2363" t="s">
        <v>70</v>
      </c>
      <c r="F2363" s="17">
        <v>1000</v>
      </c>
      <c r="G2363" s="17">
        <v>130000</v>
      </c>
      <c r="H2363" s="17">
        <v>129000</v>
      </c>
      <c r="I2363" s="18">
        <v>0.86</v>
      </c>
      <c r="J2363" s="14">
        <f t="shared" si="0"/>
        <v>129</v>
      </c>
      <c r="K2363" s="15" t="str">
        <f t="shared" si="1"/>
        <v>Exceeds Target</v>
      </c>
    </row>
    <row r="2364" spans="2:11" ht="15" customHeight="1">
      <c r="B2364" t="s">
        <v>701</v>
      </c>
      <c r="C2364" t="s">
        <v>2758</v>
      </c>
      <c r="D2364" t="s">
        <v>35</v>
      </c>
      <c r="E2364" t="s">
        <v>27</v>
      </c>
      <c r="F2364" s="17">
        <v>3000</v>
      </c>
      <c r="G2364" s="17">
        <v>300000</v>
      </c>
      <c r="H2364" s="17">
        <v>297000</v>
      </c>
      <c r="I2364" s="18">
        <v>0.75</v>
      </c>
      <c r="J2364" s="14">
        <f t="shared" si="0"/>
        <v>99</v>
      </c>
      <c r="K2364" s="15" t="str">
        <f t="shared" si="1"/>
        <v>Exceeds Target</v>
      </c>
    </row>
    <row r="2365" spans="2:11" ht="15" customHeight="1">
      <c r="B2365" t="s">
        <v>769</v>
      </c>
      <c r="C2365" t="s">
        <v>2759</v>
      </c>
      <c r="D2365" t="s">
        <v>69</v>
      </c>
      <c r="E2365" t="s">
        <v>70</v>
      </c>
      <c r="F2365" s="17">
        <v>1000</v>
      </c>
      <c r="G2365" s="17">
        <v>140000</v>
      </c>
      <c r="H2365" s="17">
        <v>139000</v>
      </c>
      <c r="I2365" s="18">
        <v>0.35</v>
      </c>
      <c r="J2365" s="14">
        <f t="shared" si="0"/>
        <v>139</v>
      </c>
      <c r="K2365" s="15" t="str">
        <f t="shared" si="1"/>
        <v>Exceeds Target</v>
      </c>
    </row>
    <row r="2366" spans="2:11" ht="15" customHeight="1">
      <c r="B2366" t="s">
        <v>1309</v>
      </c>
      <c r="C2366" t="s">
        <v>2760</v>
      </c>
      <c r="D2366" t="s">
        <v>69</v>
      </c>
      <c r="E2366" t="s">
        <v>70</v>
      </c>
      <c r="F2366" s="17">
        <v>1000</v>
      </c>
      <c r="G2366" s="17">
        <v>100000</v>
      </c>
      <c r="H2366" s="17">
        <v>99000</v>
      </c>
      <c r="I2366" s="18">
        <v>0.45</v>
      </c>
      <c r="J2366" s="14">
        <f t="shared" si="0"/>
        <v>99</v>
      </c>
      <c r="K2366" s="15" t="str">
        <f t="shared" si="1"/>
        <v>Exceeds Target</v>
      </c>
    </row>
    <row r="2367" spans="2:11" ht="15" customHeight="1">
      <c r="B2367" t="s">
        <v>659</v>
      </c>
      <c r="C2367" t="s">
        <v>2761</v>
      </c>
      <c r="D2367" t="s">
        <v>26</v>
      </c>
      <c r="E2367" t="s">
        <v>27</v>
      </c>
      <c r="F2367" s="17">
        <v>5000</v>
      </c>
      <c r="G2367" s="17">
        <v>90000</v>
      </c>
      <c r="H2367" s="17">
        <v>85000</v>
      </c>
      <c r="I2367" s="18">
        <v>0.19</v>
      </c>
      <c r="J2367" s="14">
        <f t="shared" si="0"/>
        <v>17</v>
      </c>
      <c r="K2367" s="15" t="str">
        <f t="shared" si="1"/>
        <v>Exceeds Target</v>
      </c>
    </row>
    <row r="2368" spans="2:11" ht="15" customHeight="1">
      <c r="B2368" t="s">
        <v>932</v>
      </c>
      <c r="C2368" t="s">
        <v>2762</v>
      </c>
      <c r="D2368" t="s">
        <v>35</v>
      </c>
      <c r="E2368" t="s">
        <v>27</v>
      </c>
      <c r="F2368" s="17">
        <v>3000</v>
      </c>
      <c r="G2368" s="17">
        <v>230000</v>
      </c>
      <c r="H2368" s="17">
        <v>227000</v>
      </c>
      <c r="I2368" s="18">
        <v>0.33</v>
      </c>
      <c r="J2368" s="14">
        <f t="shared" si="0"/>
        <v>75.666666666666671</v>
      </c>
      <c r="K2368" s="15" t="str">
        <f t="shared" si="1"/>
        <v>Exceeds Target</v>
      </c>
    </row>
    <row r="2369" spans="2:11" ht="15" customHeight="1">
      <c r="B2369" t="s">
        <v>644</v>
      </c>
      <c r="C2369" t="s">
        <v>2763</v>
      </c>
      <c r="D2369" t="s">
        <v>26</v>
      </c>
      <c r="E2369" t="s">
        <v>27</v>
      </c>
      <c r="F2369" s="17">
        <v>5000</v>
      </c>
      <c r="G2369" s="17">
        <v>60000</v>
      </c>
      <c r="H2369" s="17">
        <v>55000</v>
      </c>
      <c r="I2369" s="18">
        <v>0.16</v>
      </c>
      <c r="J2369" s="14">
        <f t="shared" si="0"/>
        <v>11</v>
      </c>
      <c r="K2369" s="15" t="str">
        <f t="shared" si="1"/>
        <v>Exceeds Target</v>
      </c>
    </row>
    <row r="2370" spans="2:11" ht="15" customHeight="1">
      <c r="B2370" t="s">
        <v>192</v>
      </c>
      <c r="C2370" t="s">
        <v>2764</v>
      </c>
      <c r="D2370" t="s">
        <v>32</v>
      </c>
      <c r="E2370" t="s">
        <v>27</v>
      </c>
      <c r="F2370" s="17">
        <v>1500</v>
      </c>
      <c r="G2370" s="17">
        <v>28000</v>
      </c>
      <c r="H2370" s="17">
        <v>26500</v>
      </c>
      <c r="I2370" s="18">
        <v>0.22</v>
      </c>
      <c r="J2370" s="14">
        <f t="shared" si="0"/>
        <v>17.666666666666668</v>
      </c>
      <c r="K2370" s="15" t="str">
        <f t="shared" si="1"/>
        <v>Exceeds Target</v>
      </c>
    </row>
    <row r="2371" spans="2:11" ht="15" customHeight="1">
      <c r="B2371" t="s">
        <v>857</v>
      </c>
      <c r="C2371" t="s">
        <v>2765</v>
      </c>
      <c r="D2371" t="s">
        <v>32</v>
      </c>
      <c r="E2371" t="s">
        <v>27</v>
      </c>
      <c r="F2371" s="17">
        <v>1500</v>
      </c>
      <c r="G2371" s="17">
        <v>36000</v>
      </c>
      <c r="H2371" s="17">
        <v>34500</v>
      </c>
      <c r="I2371" s="18">
        <v>0.74</v>
      </c>
      <c r="J2371" s="14">
        <f t="shared" si="0"/>
        <v>23</v>
      </c>
      <c r="K2371" s="15" t="str">
        <f t="shared" si="1"/>
        <v>Exceeds Target</v>
      </c>
    </row>
    <row r="2372" spans="2:11" ht="15" customHeight="1">
      <c r="B2372" t="s">
        <v>1134</v>
      </c>
      <c r="C2372" t="s">
        <v>2766</v>
      </c>
      <c r="D2372" t="s">
        <v>26</v>
      </c>
      <c r="E2372" t="s">
        <v>27</v>
      </c>
      <c r="F2372" s="17">
        <v>5000</v>
      </c>
      <c r="G2372" s="17">
        <v>90000</v>
      </c>
      <c r="H2372" s="17">
        <v>85000</v>
      </c>
      <c r="I2372" s="18">
        <v>0.11</v>
      </c>
      <c r="J2372" s="14">
        <f t="shared" si="0"/>
        <v>17</v>
      </c>
      <c r="K2372" s="15" t="str">
        <f t="shared" si="1"/>
        <v>Exceeds Target</v>
      </c>
    </row>
    <row r="2373" spans="2:11" ht="15" customHeight="1">
      <c r="B2373" t="s">
        <v>424</v>
      </c>
      <c r="C2373" t="s">
        <v>2767</v>
      </c>
      <c r="D2373" t="s">
        <v>35</v>
      </c>
      <c r="E2373" t="s">
        <v>27</v>
      </c>
      <c r="F2373" s="17">
        <v>3000</v>
      </c>
      <c r="G2373" s="17">
        <v>80000</v>
      </c>
      <c r="H2373" s="17">
        <v>77000</v>
      </c>
      <c r="I2373" s="18">
        <v>0.43</v>
      </c>
      <c r="J2373" s="14">
        <f t="shared" si="0"/>
        <v>25.666666666666668</v>
      </c>
      <c r="K2373" s="15" t="str">
        <f t="shared" si="1"/>
        <v>Exceeds Target</v>
      </c>
    </row>
    <row r="2374" spans="2:11" ht="15" customHeight="1">
      <c r="B2374" t="s">
        <v>392</v>
      </c>
      <c r="C2374" t="s">
        <v>2768</v>
      </c>
      <c r="D2374" t="s">
        <v>35</v>
      </c>
      <c r="E2374" t="s">
        <v>27</v>
      </c>
      <c r="F2374" s="17">
        <v>3000</v>
      </c>
      <c r="G2374" s="17">
        <v>260000</v>
      </c>
      <c r="H2374" s="17">
        <v>257000</v>
      </c>
      <c r="I2374" s="18">
        <v>0.49</v>
      </c>
      <c r="J2374" s="14">
        <f t="shared" si="0"/>
        <v>85.666666666666671</v>
      </c>
      <c r="K2374" s="15" t="str">
        <f t="shared" si="1"/>
        <v>Exceeds Target</v>
      </c>
    </row>
    <row r="2375" spans="2:11" ht="15" customHeight="1">
      <c r="B2375" t="s">
        <v>296</v>
      </c>
      <c r="C2375" t="s">
        <v>2769</v>
      </c>
      <c r="D2375" t="s">
        <v>32</v>
      </c>
      <c r="E2375" t="s">
        <v>27</v>
      </c>
      <c r="F2375" s="17">
        <v>1500</v>
      </c>
      <c r="G2375" s="17">
        <v>60000</v>
      </c>
      <c r="H2375" s="17">
        <v>58500</v>
      </c>
      <c r="I2375" s="18">
        <v>0.28000000000000003</v>
      </c>
      <c r="J2375" s="14">
        <f t="shared" si="0"/>
        <v>39</v>
      </c>
      <c r="K2375" s="15" t="str">
        <f t="shared" si="1"/>
        <v>Exceeds Target</v>
      </c>
    </row>
    <row r="2376" spans="2:11" ht="15" customHeight="1">
      <c r="B2376" t="s">
        <v>180</v>
      </c>
      <c r="C2376" t="s">
        <v>2770</v>
      </c>
      <c r="D2376" t="s">
        <v>26</v>
      </c>
      <c r="E2376" t="s">
        <v>27</v>
      </c>
      <c r="F2376" s="17">
        <v>5000</v>
      </c>
      <c r="G2376" s="17">
        <v>60000</v>
      </c>
      <c r="H2376" s="17">
        <v>55000</v>
      </c>
      <c r="I2376" s="18">
        <v>0.25</v>
      </c>
      <c r="J2376" s="14">
        <f t="shared" si="0"/>
        <v>11</v>
      </c>
      <c r="K2376" s="15" t="str">
        <f t="shared" si="1"/>
        <v>Exceeds Target</v>
      </c>
    </row>
    <row r="2377" spans="2:11" ht="15" customHeight="1">
      <c r="B2377" t="s">
        <v>291</v>
      </c>
      <c r="C2377" t="s">
        <v>2771</v>
      </c>
      <c r="D2377" t="s">
        <v>32</v>
      </c>
      <c r="E2377" t="s">
        <v>27</v>
      </c>
      <c r="F2377" s="17">
        <v>1500</v>
      </c>
      <c r="G2377" s="17">
        <v>32000</v>
      </c>
      <c r="H2377" s="17">
        <v>30500</v>
      </c>
      <c r="I2377" s="18">
        <v>0.78</v>
      </c>
      <c r="J2377" s="14">
        <f t="shared" si="0"/>
        <v>20.333333333333332</v>
      </c>
      <c r="K2377" s="15" t="str">
        <f t="shared" si="1"/>
        <v>Exceeds Target</v>
      </c>
    </row>
    <row r="2378" spans="2:11" ht="15" customHeight="1">
      <c r="B2378" t="s">
        <v>880</v>
      </c>
      <c r="C2378" t="s">
        <v>2772</v>
      </c>
      <c r="D2378" t="s">
        <v>26</v>
      </c>
      <c r="E2378" t="s">
        <v>27</v>
      </c>
      <c r="F2378" s="17">
        <v>5000</v>
      </c>
      <c r="G2378" s="17">
        <v>90000</v>
      </c>
      <c r="H2378" s="17">
        <v>85000</v>
      </c>
      <c r="I2378" s="18">
        <v>0.06</v>
      </c>
      <c r="J2378" s="14">
        <f t="shared" si="0"/>
        <v>17</v>
      </c>
      <c r="K2378" s="15" t="str">
        <f t="shared" si="1"/>
        <v>Exceeds Target</v>
      </c>
    </row>
    <row r="2379" spans="2:11" ht="15" customHeight="1">
      <c r="B2379" t="s">
        <v>277</v>
      </c>
      <c r="C2379" t="s">
        <v>2773</v>
      </c>
      <c r="D2379" t="s">
        <v>26</v>
      </c>
      <c r="E2379" t="s">
        <v>27</v>
      </c>
      <c r="F2379" s="17">
        <v>5000</v>
      </c>
      <c r="G2379" s="17">
        <v>90000</v>
      </c>
      <c r="H2379" s="17">
        <v>85000</v>
      </c>
      <c r="I2379" s="18">
        <v>0.28000000000000003</v>
      </c>
      <c r="J2379" s="14">
        <f t="shared" si="0"/>
        <v>17</v>
      </c>
      <c r="K2379" s="15" t="str">
        <f t="shared" si="1"/>
        <v>Exceeds Target</v>
      </c>
    </row>
    <row r="2380" spans="2:11" ht="15" customHeight="1">
      <c r="B2380" t="s">
        <v>1013</v>
      </c>
      <c r="C2380" t="s">
        <v>2774</v>
      </c>
      <c r="D2380" t="s">
        <v>32</v>
      </c>
      <c r="E2380" t="s">
        <v>27</v>
      </c>
      <c r="F2380" s="17">
        <v>1500</v>
      </c>
      <c r="G2380" s="17">
        <v>40000</v>
      </c>
      <c r="H2380" s="17">
        <v>38500</v>
      </c>
      <c r="I2380" s="18">
        <v>0.62</v>
      </c>
      <c r="J2380" s="14">
        <f t="shared" si="0"/>
        <v>25.666666666666668</v>
      </c>
      <c r="K2380" s="15" t="str">
        <f t="shared" si="1"/>
        <v>Exceeds Target</v>
      </c>
    </row>
    <row r="2381" spans="2:11" ht="15" customHeight="1">
      <c r="B2381" t="s">
        <v>471</v>
      </c>
      <c r="C2381" t="s">
        <v>2775</v>
      </c>
      <c r="D2381" t="s">
        <v>26</v>
      </c>
      <c r="E2381" t="s">
        <v>27</v>
      </c>
      <c r="F2381" s="17">
        <v>5000</v>
      </c>
      <c r="G2381" s="17">
        <v>90000</v>
      </c>
      <c r="H2381" s="17">
        <v>85000</v>
      </c>
      <c r="I2381" s="18">
        <v>0.24</v>
      </c>
      <c r="J2381" s="14">
        <f t="shared" si="0"/>
        <v>17</v>
      </c>
      <c r="K2381" s="15" t="str">
        <f t="shared" si="1"/>
        <v>Exceeds Target</v>
      </c>
    </row>
    <row r="2382" spans="2:11" ht="15" customHeight="1">
      <c r="B2382" t="s">
        <v>183</v>
      </c>
      <c r="C2382" t="s">
        <v>2776</v>
      </c>
      <c r="D2382" t="s">
        <v>32</v>
      </c>
      <c r="E2382" t="s">
        <v>27</v>
      </c>
      <c r="F2382" s="17">
        <v>1500</v>
      </c>
      <c r="G2382" s="17">
        <v>36000</v>
      </c>
      <c r="H2382" s="17">
        <v>34500</v>
      </c>
      <c r="I2382" s="18">
        <v>0.99</v>
      </c>
      <c r="J2382" s="14">
        <f t="shared" si="0"/>
        <v>23</v>
      </c>
      <c r="K2382" s="15" t="str">
        <f t="shared" si="1"/>
        <v>Exceeds Target</v>
      </c>
    </row>
    <row r="2383" spans="2:11" ht="15" customHeight="1">
      <c r="B2383" t="s">
        <v>212</v>
      </c>
      <c r="C2383" t="s">
        <v>2777</v>
      </c>
      <c r="D2383" t="s">
        <v>32</v>
      </c>
      <c r="E2383" t="s">
        <v>27</v>
      </c>
      <c r="F2383" s="17">
        <v>1500</v>
      </c>
      <c r="G2383" s="17">
        <v>26000</v>
      </c>
      <c r="H2383" s="17">
        <v>24500</v>
      </c>
      <c r="I2383" s="18">
        <v>0.64</v>
      </c>
      <c r="J2383" s="14">
        <f t="shared" si="0"/>
        <v>16.333333333333332</v>
      </c>
      <c r="K2383" s="15" t="str">
        <f t="shared" si="1"/>
        <v>Exceeds Target</v>
      </c>
    </row>
    <row r="2384" spans="2:11" ht="15" customHeight="1">
      <c r="B2384" t="s">
        <v>890</v>
      </c>
      <c r="C2384" t="s">
        <v>2778</v>
      </c>
      <c r="D2384" t="s">
        <v>69</v>
      </c>
      <c r="E2384" t="s">
        <v>70</v>
      </c>
      <c r="F2384" s="17">
        <v>1000</v>
      </c>
      <c r="G2384" s="17">
        <v>150000</v>
      </c>
      <c r="H2384" s="17">
        <v>149000</v>
      </c>
      <c r="I2384" s="18">
        <v>0.45</v>
      </c>
      <c r="J2384" s="14">
        <f t="shared" si="0"/>
        <v>149</v>
      </c>
      <c r="K2384" s="15" t="str">
        <f t="shared" si="1"/>
        <v>Exceeds Target</v>
      </c>
    </row>
    <row r="2385" spans="2:11" ht="15" customHeight="1">
      <c r="B2385" t="s">
        <v>422</v>
      </c>
      <c r="C2385" t="s">
        <v>2779</v>
      </c>
      <c r="D2385" t="s">
        <v>69</v>
      </c>
      <c r="E2385" t="s">
        <v>70</v>
      </c>
      <c r="F2385" s="17">
        <v>1000</v>
      </c>
      <c r="G2385" s="17">
        <v>140000</v>
      </c>
      <c r="H2385" s="17">
        <v>139000</v>
      </c>
      <c r="I2385" s="18">
        <v>0.28999999999999998</v>
      </c>
      <c r="J2385" s="14">
        <f t="shared" si="0"/>
        <v>139</v>
      </c>
      <c r="K2385" s="15" t="str">
        <f t="shared" si="1"/>
        <v>Exceeds Target</v>
      </c>
    </row>
    <row r="2386" spans="2:11" ht="15" customHeight="1">
      <c r="B2386" t="s">
        <v>585</v>
      </c>
      <c r="C2386" t="s">
        <v>2780</v>
      </c>
      <c r="D2386" t="s">
        <v>35</v>
      </c>
      <c r="E2386" t="s">
        <v>27</v>
      </c>
      <c r="F2386" s="17">
        <v>3000</v>
      </c>
      <c r="G2386" s="17">
        <v>150000</v>
      </c>
      <c r="H2386" s="17">
        <v>147000</v>
      </c>
      <c r="I2386" s="18">
        <v>0.66</v>
      </c>
      <c r="J2386" s="14">
        <f t="shared" si="0"/>
        <v>49</v>
      </c>
      <c r="K2386" s="15" t="str">
        <f t="shared" si="1"/>
        <v>Exceeds Target</v>
      </c>
    </row>
    <row r="2387" spans="2:11" ht="15" customHeight="1">
      <c r="B2387" t="s">
        <v>701</v>
      </c>
      <c r="C2387" t="s">
        <v>2781</v>
      </c>
      <c r="D2387" t="s">
        <v>80</v>
      </c>
      <c r="E2387" t="s">
        <v>27</v>
      </c>
      <c r="F2387" s="17">
        <v>1000</v>
      </c>
      <c r="G2387" s="17">
        <v>81000</v>
      </c>
      <c r="H2387" s="17">
        <v>80000</v>
      </c>
      <c r="I2387" s="18">
        <v>0.73</v>
      </c>
      <c r="J2387" s="14">
        <f t="shared" si="0"/>
        <v>80</v>
      </c>
      <c r="K2387" s="15" t="str">
        <f t="shared" si="1"/>
        <v>Exceeds Target</v>
      </c>
    </row>
    <row r="2388" spans="2:11" ht="15" customHeight="1">
      <c r="B2388" t="s">
        <v>1305</v>
      </c>
      <c r="C2388" t="s">
        <v>2782</v>
      </c>
      <c r="D2388" t="s">
        <v>32</v>
      </c>
      <c r="E2388" t="s">
        <v>27</v>
      </c>
      <c r="F2388" s="17">
        <v>1500</v>
      </c>
      <c r="G2388" s="17">
        <v>52000</v>
      </c>
      <c r="H2388" s="17">
        <v>50500</v>
      </c>
      <c r="I2388" s="18">
        <v>0.56999999999999995</v>
      </c>
      <c r="J2388" s="14">
        <f t="shared" si="0"/>
        <v>33.666666666666664</v>
      </c>
      <c r="K2388" s="15" t="str">
        <f t="shared" si="1"/>
        <v>Exceeds Target</v>
      </c>
    </row>
    <row r="2389" spans="2:11" ht="15" customHeight="1">
      <c r="B2389" t="s">
        <v>1358</v>
      </c>
      <c r="C2389" t="s">
        <v>2783</v>
      </c>
      <c r="D2389" t="s">
        <v>69</v>
      </c>
      <c r="E2389" t="s">
        <v>70</v>
      </c>
      <c r="F2389" s="17">
        <v>1000</v>
      </c>
      <c r="G2389" s="17">
        <v>65000</v>
      </c>
      <c r="H2389" s="17">
        <v>64000</v>
      </c>
      <c r="I2389" s="18">
        <v>0.5</v>
      </c>
      <c r="J2389" s="14">
        <f t="shared" si="0"/>
        <v>64</v>
      </c>
      <c r="K2389" s="15" t="str">
        <f t="shared" si="1"/>
        <v>Exceeds Target</v>
      </c>
    </row>
    <row r="2390" spans="2:11" ht="15" customHeight="1">
      <c r="B2390" t="s">
        <v>993</v>
      </c>
      <c r="C2390" t="s">
        <v>2784</v>
      </c>
      <c r="D2390" t="s">
        <v>26</v>
      </c>
      <c r="E2390" t="s">
        <v>27</v>
      </c>
      <c r="F2390" s="17">
        <v>5000</v>
      </c>
      <c r="G2390" s="17">
        <v>90000</v>
      </c>
      <c r="H2390" s="17">
        <v>85000</v>
      </c>
      <c r="I2390" s="18">
        <v>0.09</v>
      </c>
      <c r="J2390" s="14">
        <f t="shared" si="0"/>
        <v>17</v>
      </c>
      <c r="K2390" s="15" t="str">
        <f t="shared" si="1"/>
        <v>Exceeds Target</v>
      </c>
    </row>
    <row r="2391" spans="2:11" ht="15" customHeight="1">
      <c r="B2391" t="s">
        <v>892</v>
      </c>
      <c r="C2391" t="s">
        <v>2785</v>
      </c>
      <c r="D2391" t="s">
        <v>26</v>
      </c>
      <c r="E2391" t="s">
        <v>27</v>
      </c>
      <c r="F2391" s="17">
        <v>5000</v>
      </c>
      <c r="G2391" s="17">
        <v>30000</v>
      </c>
      <c r="H2391" s="17">
        <v>25000</v>
      </c>
      <c r="I2391" s="18">
        <v>0.08</v>
      </c>
      <c r="J2391" s="14">
        <f t="shared" si="0"/>
        <v>5</v>
      </c>
      <c r="K2391" s="15" t="str">
        <f t="shared" si="1"/>
        <v>Exceeds Target</v>
      </c>
    </row>
    <row r="2392" spans="2:11" ht="15" customHeight="1">
      <c r="B2392" t="s">
        <v>72</v>
      </c>
      <c r="C2392" t="s">
        <v>2786</v>
      </c>
      <c r="D2392" t="s">
        <v>26</v>
      </c>
      <c r="E2392" t="s">
        <v>27</v>
      </c>
      <c r="F2392" s="17">
        <v>5000</v>
      </c>
      <c r="G2392" s="17">
        <v>60000</v>
      </c>
      <c r="H2392" s="17">
        <v>55000</v>
      </c>
      <c r="I2392" s="18">
        <v>0.28999999999999998</v>
      </c>
      <c r="J2392" s="14">
        <f t="shared" si="0"/>
        <v>11</v>
      </c>
      <c r="K2392" s="15" t="str">
        <f t="shared" si="1"/>
        <v>Exceeds Target</v>
      </c>
    </row>
    <row r="2393" spans="2:11" ht="15" customHeight="1">
      <c r="B2393" t="s">
        <v>133</v>
      </c>
      <c r="C2393" t="s">
        <v>2787</v>
      </c>
      <c r="D2393" t="s">
        <v>26</v>
      </c>
      <c r="E2393" t="s">
        <v>27</v>
      </c>
      <c r="F2393" s="17">
        <v>5000</v>
      </c>
      <c r="G2393" s="17">
        <v>120000</v>
      </c>
      <c r="H2393" s="17">
        <v>115000</v>
      </c>
      <c r="I2393" s="18">
        <v>0.18</v>
      </c>
      <c r="J2393" s="14">
        <f t="shared" si="0"/>
        <v>23</v>
      </c>
      <c r="K2393" s="15" t="str">
        <f t="shared" si="1"/>
        <v>Exceeds Target</v>
      </c>
    </row>
    <row r="2394" spans="2:11" ht="15" customHeight="1">
      <c r="B2394" t="s">
        <v>642</v>
      </c>
      <c r="C2394" t="s">
        <v>2788</v>
      </c>
      <c r="D2394" t="s">
        <v>69</v>
      </c>
      <c r="E2394" t="s">
        <v>70</v>
      </c>
      <c r="F2394" s="17">
        <v>1000</v>
      </c>
      <c r="G2394" s="17">
        <v>135000</v>
      </c>
      <c r="H2394" s="17">
        <v>134000</v>
      </c>
      <c r="I2394" s="18">
        <v>0.36</v>
      </c>
      <c r="J2394" s="14">
        <f t="shared" si="0"/>
        <v>134</v>
      </c>
      <c r="K2394" s="15" t="str">
        <f t="shared" si="1"/>
        <v>Exceeds Target</v>
      </c>
    </row>
    <row r="2395" spans="2:11" ht="15" customHeight="1">
      <c r="B2395" t="s">
        <v>1157</v>
      </c>
      <c r="C2395" t="s">
        <v>2789</v>
      </c>
      <c r="D2395" t="s">
        <v>69</v>
      </c>
      <c r="E2395" t="s">
        <v>70</v>
      </c>
      <c r="F2395" s="17">
        <v>1000</v>
      </c>
      <c r="G2395" s="17">
        <v>105000</v>
      </c>
      <c r="H2395" s="17">
        <v>104000</v>
      </c>
      <c r="I2395" s="18">
        <v>0.97</v>
      </c>
      <c r="J2395" s="14">
        <f t="shared" si="0"/>
        <v>104</v>
      </c>
      <c r="K2395" s="15" t="str">
        <f t="shared" si="1"/>
        <v>Exceeds Target</v>
      </c>
    </row>
    <row r="2396" spans="2:11" ht="15" customHeight="1">
      <c r="B2396" t="s">
        <v>91</v>
      </c>
      <c r="C2396" t="s">
        <v>2790</v>
      </c>
      <c r="D2396" t="s">
        <v>26</v>
      </c>
      <c r="E2396" t="s">
        <v>27</v>
      </c>
      <c r="F2396" s="17">
        <v>5000</v>
      </c>
      <c r="G2396" s="17">
        <v>120000</v>
      </c>
      <c r="H2396" s="17">
        <v>115000</v>
      </c>
      <c r="I2396" s="18">
        <v>0.26</v>
      </c>
      <c r="J2396" s="14">
        <f t="shared" si="0"/>
        <v>23</v>
      </c>
      <c r="K2396" s="15" t="str">
        <f t="shared" si="1"/>
        <v>Exceeds Target</v>
      </c>
    </row>
    <row r="2397" spans="2:11" ht="15" customHeight="1">
      <c r="B2397" t="s">
        <v>465</v>
      </c>
      <c r="C2397" t="s">
        <v>2791</v>
      </c>
      <c r="D2397" t="s">
        <v>35</v>
      </c>
      <c r="E2397" t="s">
        <v>27</v>
      </c>
      <c r="F2397" s="17">
        <v>3000</v>
      </c>
      <c r="G2397" s="17">
        <v>110000</v>
      </c>
      <c r="H2397" s="17">
        <v>107000</v>
      </c>
      <c r="I2397" s="18">
        <v>0.24</v>
      </c>
      <c r="J2397" s="14">
        <f t="shared" si="0"/>
        <v>35.666666666666664</v>
      </c>
      <c r="K2397" s="15" t="str">
        <f t="shared" si="1"/>
        <v>Exceeds Target</v>
      </c>
    </row>
    <row r="2398" spans="2:11" ht="15" customHeight="1">
      <c r="B2398" t="s">
        <v>81</v>
      </c>
      <c r="C2398" t="s">
        <v>2792</v>
      </c>
      <c r="D2398" t="s">
        <v>32</v>
      </c>
      <c r="E2398" t="s">
        <v>27</v>
      </c>
      <c r="F2398" s="17">
        <v>1500</v>
      </c>
      <c r="G2398" s="17">
        <v>30000</v>
      </c>
      <c r="H2398" s="17">
        <v>28500</v>
      </c>
      <c r="I2398" s="18">
        <v>0.51</v>
      </c>
      <c r="J2398" s="14">
        <f t="shared" si="0"/>
        <v>19</v>
      </c>
      <c r="K2398" s="15" t="str">
        <f t="shared" si="1"/>
        <v>Exceeds Target</v>
      </c>
    </row>
    <row r="2399" spans="2:11" ht="15" customHeight="1">
      <c r="B2399" t="s">
        <v>1604</v>
      </c>
      <c r="C2399" t="s">
        <v>2793</v>
      </c>
      <c r="D2399" t="s">
        <v>26</v>
      </c>
      <c r="E2399" t="s">
        <v>27</v>
      </c>
      <c r="F2399" s="17">
        <v>5000</v>
      </c>
      <c r="G2399" s="17">
        <v>30000</v>
      </c>
      <c r="H2399" s="17">
        <v>25000</v>
      </c>
      <c r="I2399" s="18">
        <v>0.14000000000000001</v>
      </c>
      <c r="J2399" s="14">
        <f t="shared" si="0"/>
        <v>5</v>
      </c>
      <c r="K2399" s="15" t="str">
        <f t="shared" si="1"/>
        <v>Exceeds Target</v>
      </c>
    </row>
    <row r="2400" spans="2:11" ht="15" customHeight="1">
      <c r="B2400" t="s">
        <v>247</v>
      </c>
      <c r="C2400" t="s">
        <v>2794</v>
      </c>
      <c r="D2400" t="s">
        <v>69</v>
      </c>
      <c r="E2400" t="s">
        <v>70</v>
      </c>
      <c r="F2400" s="17">
        <v>1000</v>
      </c>
      <c r="G2400" s="17">
        <v>35000</v>
      </c>
      <c r="H2400" s="17">
        <v>34000</v>
      </c>
      <c r="I2400" s="18">
        <v>0.55000000000000004</v>
      </c>
      <c r="J2400" s="14">
        <f t="shared" si="0"/>
        <v>34</v>
      </c>
      <c r="K2400" s="15" t="str">
        <f t="shared" si="1"/>
        <v>Exceeds Target</v>
      </c>
    </row>
    <row r="2401" spans="2:11" ht="15" customHeight="1">
      <c r="B2401" t="s">
        <v>159</v>
      </c>
      <c r="C2401" t="s">
        <v>2795</v>
      </c>
      <c r="D2401" t="s">
        <v>80</v>
      </c>
      <c r="E2401" t="s">
        <v>27</v>
      </c>
      <c r="F2401" s="17">
        <v>1000</v>
      </c>
      <c r="G2401" s="17">
        <v>111000</v>
      </c>
      <c r="H2401" s="17">
        <v>110000</v>
      </c>
      <c r="I2401" s="18">
        <v>0.8</v>
      </c>
      <c r="J2401" s="14">
        <f t="shared" si="0"/>
        <v>110</v>
      </c>
      <c r="K2401" s="15" t="str">
        <f t="shared" si="1"/>
        <v>Exceeds Target</v>
      </c>
    </row>
    <row r="2402" spans="2:11" ht="15" customHeight="1">
      <c r="B2402" t="s">
        <v>67</v>
      </c>
      <c r="C2402" t="s">
        <v>2796</v>
      </c>
      <c r="D2402" t="s">
        <v>26</v>
      </c>
      <c r="E2402" t="s">
        <v>27</v>
      </c>
      <c r="F2402" s="17">
        <v>5000</v>
      </c>
      <c r="G2402" s="17">
        <v>90000</v>
      </c>
      <c r="H2402" s="17">
        <v>85000</v>
      </c>
      <c r="I2402" s="18">
        <v>0.42</v>
      </c>
      <c r="J2402" s="14">
        <f t="shared" si="0"/>
        <v>17</v>
      </c>
      <c r="K2402" s="15" t="str">
        <f t="shared" si="1"/>
        <v>Exceeds Target</v>
      </c>
    </row>
    <row r="2403" spans="2:11" ht="15" customHeight="1">
      <c r="B2403" t="s">
        <v>263</v>
      </c>
      <c r="C2403" t="s">
        <v>2797</v>
      </c>
      <c r="D2403" t="s">
        <v>80</v>
      </c>
      <c r="E2403" t="s">
        <v>27</v>
      </c>
      <c r="F2403" s="17">
        <v>1000</v>
      </c>
      <c r="G2403" s="17">
        <v>108000</v>
      </c>
      <c r="H2403" s="17">
        <v>107000</v>
      </c>
      <c r="I2403" s="18">
        <v>0.9</v>
      </c>
      <c r="J2403" s="14">
        <f t="shared" si="0"/>
        <v>107</v>
      </c>
      <c r="K2403" s="15" t="str">
        <f t="shared" si="1"/>
        <v>Exceeds Target</v>
      </c>
    </row>
    <row r="2404" spans="2:11" ht="15" customHeight="1">
      <c r="B2404" t="s">
        <v>428</v>
      </c>
      <c r="C2404" t="s">
        <v>2798</v>
      </c>
      <c r="D2404" t="s">
        <v>69</v>
      </c>
      <c r="E2404" t="s">
        <v>70</v>
      </c>
      <c r="F2404" s="17">
        <v>1000</v>
      </c>
      <c r="G2404" s="17">
        <v>105000</v>
      </c>
      <c r="H2404" s="17">
        <v>104000</v>
      </c>
      <c r="I2404" s="18">
        <v>0.88</v>
      </c>
      <c r="J2404" s="14">
        <f t="shared" si="0"/>
        <v>104</v>
      </c>
      <c r="K2404" s="15" t="str">
        <f t="shared" si="1"/>
        <v>Exceeds Target</v>
      </c>
    </row>
    <row r="2405" spans="2:11" ht="15" customHeight="1">
      <c r="B2405" t="s">
        <v>205</v>
      </c>
      <c r="C2405" t="s">
        <v>2799</v>
      </c>
      <c r="D2405" t="s">
        <v>69</v>
      </c>
      <c r="E2405" t="s">
        <v>70</v>
      </c>
      <c r="F2405" s="17">
        <v>1000</v>
      </c>
      <c r="G2405" s="17">
        <v>55000</v>
      </c>
      <c r="H2405" s="17">
        <v>54000</v>
      </c>
      <c r="I2405" s="18">
        <v>0.59</v>
      </c>
      <c r="J2405" s="14">
        <f t="shared" si="0"/>
        <v>54</v>
      </c>
      <c r="K2405" s="15" t="str">
        <f t="shared" si="1"/>
        <v>Exceeds Target</v>
      </c>
    </row>
    <row r="2406" spans="2:11" ht="15" customHeight="1">
      <c r="B2406" t="s">
        <v>509</v>
      </c>
      <c r="C2406" t="s">
        <v>2800</v>
      </c>
      <c r="D2406" t="s">
        <v>26</v>
      </c>
      <c r="E2406" t="s">
        <v>27</v>
      </c>
      <c r="F2406" s="17">
        <v>5000</v>
      </c>
      <c r="G2406" s="17">
        <v>120000</v>
      </c>
      <c r="H2406" s="17">
        <v>115000</v>
      </c>
      <c r="I2406" s="18">
        <v>0.09</v>
      </c>
      <c r="J2406" s="14">
        <f t="shared" si="0"/>
        <v>23</v>
      </c>
      <c r="K2406" s="15" t="str">
        <f t="shared" si="1"/>
        <v>Exceeds Target</v>
      </c>
    </row>
    <row r="2407" spans="2:11" ht="15" customHeight="1">
      <c r="B2407" t="s">
        <v>608</v>
      </c>
      <c r="C2407" t="s">
        <v>2801</v>
      </c>
      <c r="D2407" t="s">
        <v>69</v>
      </c>
      <c r="E2407" t="s">
        <v>70</v>
      </c>
      <c r="F2407" s="17">
        <v>1000</v>
      </c>
      <c r="G2407" s="17">
        <v>105000</v>
      </c>
      <c r="H2407" s="17">
        <v>104000</v>
      </c>
      <c r="I2407" s="18">
        <v>0.83</v>
      </c>
      <c r="J2407" s="14">
        <f t="shared" si="0"/>
        <v>104</v>
      </c>
      <c r="K2407" s="15" t="str">
        <f t="shared" si="1"/>
        <v>Exceeds Target</v>
      </c>
    </row>
    <row r="2408" spans="2:11" ht="15" customHeight="1">
      <c r="B2408" t="s">
        <v>197</v>
      </c>
      <c r="C2408" t="s">
        <v>2802</v>
      </c>
      <c r="D2408" t="s">
        <v>32</v>
      </c>
      <c r="E2408" t="s">
        <v>27</v>
      </c>
      <c r="F2408" s="17">
        <v>1500</v>
      </c>
      <c r="G2408" s="17">
        <v>24000</v>
      </c>
      <c r="H2408" s="17">
        <v>22500</v>
      </c>
      <c r="I2408" s="18">
        <v>0.83</v>
      </c>
      <c r="J2408" s="14">
        <f t="shared" si="0"/>
        <v>15</v>
      </c>
      <c r="K2408" s="15" t="str">
        <f t="shared" si="1"/>
        <v>Exceeds Target</v>
      </c>
    </row>
    <row r="2409" spans="2:11" ht="15" customHeight="1">
      <c r="B2409" t="s">
        <v>185</v>
      </c>
      <c r="C2409" t="s">
        <v>2803</v>
      </c>
      <c r="D2409" t="s">
        <v>35</v>
      </c>
      <c r="E2409" t="s">
        <v>27</v>
      </c>
      <c r="F2409" s="17">
        <v>3000</v>
      </c>
      <c r="G2409" s="17">
        <v>230000</v>
      </c>
      <c r="H2409" s="17">
        <v>227000</v>
      </c>
      <c r="I2409" s="18">
        <v>0.19</v>
      </c>
      <c r="J2409" s="14">
        <f t="shared" si="0"/>
        <v>75.666666666666671</v>
      </c>
      <c r="K2409" s="15" t="str">
        <f t="shared" si="1"/>
        <v>Exceeds Target</v>
      </c>
    </row>
    <row r="2410" spans="2:11" ht="15" customHeight="1">
      <c r="B2410" t="s">
        <v>1621</v>
      </c>
      <c r="C2410" t="s">
        <v>2804</v>
      </c>
      <c r="D2410" t="s">
        <v>26</v>
      </c>
      <c r="E2410" t="s">
        <v>27</v>
      </c>
      <c r="F2410" s="17">
        <v>5000</v>
      </c>
      <c r="G2410" s="17">
        <v>90000</v>
      </c>
      <c r="H2410" s="17">
        <v>85000</v>
      </c>
      <c r="I2410" s="18">
        <v>0.04</v>
      </c>
      <c r="J2410" s="14">
        <f t="shared" si="0"/>
        <v>17</v>
      </c>
      <c r="K2410" s="15" t="str">
        <f t="shared" si="1"/>
        <v>Exceeds Target</v>
      </c>
    </row>
    <row r="2411" spans="2:11" ht="15" customHeight="1">
      <c r="B2411" t="s">
        <v>343</v>
      </c>
      <c r="C2411" t="s">
        <v>2805</v>
      </c>
      <c r="D2411" t="s">
        <v>26</v>
      </c>
      <c r="E2411" t="s">
        <v>27</v>
      </c>
      <c r="F2411" s="17">
        <v>5000</v>
      </c>
      <c r="G2411" s="17">
        <v>60000</v>
      </c>
      <c r="H2411" s="17">
        <v>55000</v>
      </c>
      <c r="I2411" s="18">
        <v>0.24</v>
      </c>
      <c r="J2411" s="14">
        <f t="shared" si="0"/>
        <v>11</v>
      </c>
      <c r="K2411" s="15" t="str">
        <f t="shared" si="1"/>
        <v>Exceeds Target</v>
      </c>
    </row>
    <row r="2412" spans="2:11" ht="15" customHeight="1">
      <c r="B2412" t="s">
        <v>65</v>
      </c>
      <c r="C2412" t="s">
        <v>2806</v>
      </c>
      <c r="D2412" t="s">
        <v>69</v>
      </c>
      <c r="E2412" t="s">
        <v>70</v>
      </c>
      <c r="F2412" s="17">
        <v>1000</v>
      </c>
      <c r="G2412" s="17">
        <v>135000</v>
      </c>
      <c r="H2412" s="17">
        <v>134000</v>
      </c>
      <c r="I2412" s="18">
        <v>0.86</v>
      </c>
      <c r="J2412" s="14">
        <f t="shared" si="0"/>
        <v>134</v>
      </c>
      <c r="K2412" s="15" t="str">
        <f t="shared" si="1"/>
        <v>Exceeds Target</v>
      </c>
    </row>
    <row r="2413" spans="2:11" ht="15" customHeight="1">
      <c r="B2413" t="s">
        <v>491</v>
      </c>
      <c r="C2413" t="s">
        <v>2807</v>
      </c>
      <c r="D2413" t="s">
        <v>69</v>
      </c>
      <c r="E2413" t="s">
        <v>70</v>
      </c>
      <c r="F2413" s="17">
        <v>1000</v>
      </c>
      <c r="G2413" s="17">
        <v>145000</v>
      </c>
      <c r="H2413" s="17">
        <v>144000</v>
      </c>
      <c r="I2413" s="18">
        <v>0.27</v>
      </c>
      <c r="J2413" s="14">
        <f t="shared" si="0"/>
        <v>144</v>
      </c>
      <c r="K2413" s="15" t="str">
        <f t="shared" si="1"/>
        <v>Exceeds Target</v>
      </c>
    </row>
    <row r="2414" spans="2:11" ht="15" customHeight="1">
      <c r="B2414" t="s">
        <v>225</v>
      </c>
      <c r="C2414" t="s">
        <v>2808</v>
      </c>
      <c r="D2414" t="s">
        <v>32</v>
      </c>
      <c r="E2414" t="s">
        <v>27</v>
      </c>
      <c r="F2414" s="17">
        <v>1500</v>
      </c>
      <c r="G2414" s="17">
        <v>36000</v>
      </c>
      <c r="H2414" s="17">
        <v>34500</v>
      </c>
      <c r="I2414" s="18">
        <v>0.57999999999999996</v>
      </c>
      <c r="J2414" s="14">
        <f t="shared" si="0"/>
        <v>23</v>
      </c>
      <c r="K2414" s="15" t="str">
        <f t="shared" si="1"/>
        <v>Exceeds Target</v>
      </c>
    </row>
    <row r="2415" spans="2:11" ht="15" customHeight="1">
      <c r="B2415" t="s">
        <v>1126</v>
      </c>
      <c r="C2415" t="s">
        <v>2809</v>
      </c>
      <c r="D2415" t="s">
        <v>80</v>
      </c>
      <c r="E2415" t="s">
        <v>27</v>
      </c>
      <c r="F2415" s="17">
        <v>1000</v>
      </c>
      <c r="G2415" s="17">
        <v>66000</v>
      </c>
      <c r="H2415" s="17">
        <v>65000</v>
      </c>
      <c r="I2415" s="18">
        <v>0.78</v>
      </c>
      <c r="J2415" s="14">
        <f t="shared" si="0"/>
        <v>65</v>
      </c>
      <c r="K2415" s="15" t="str">
        <f t="shared" si="1"/>
        <v>Exceeds Target</v>
      </c>
    </row>
    <row r="2416" spans="2:11" ht="15" customHeight="1">
      <c r="B2416" t="s">
        <v>604</v>
      </c>
      <c r="C2416" t="s">
        <v>2810</v>
      </c>
      <c r="D2416" t="s">
        <v>69</v>
      </c>
      <c r="E2416" t="s">
        <v>70</v>
      </c>
      <c r="F2416" s="17">
        <v>1000</v>
      </c>
      <c r="G2416" s="17">
        <v>110000</v>
      </c>
      <c r="H2416" s="17">
        <v>109000</v>
      </c>
      <c r="I2416" s="18">
        <v>0.3</v>
      </c>
      <c r="J2416" s="14">
        <f t="shared" si="0"/>
        <v>109</v>
      </c>
      <c r="K2416" s="15" t="str">
        <f t="shared" si="1"/>
        <v>Exceeds Target</v>
      </c>
    </row>
    <row r="2417" spans="2:11" ht="15" customHeight="1">
      <c r="B2417" t="s">
        <v>810</v>
      </c>
      <c r="C2417" t="s">
        <v>2811</v>
      </c>
      <c r="D2417" t="s">
        <v>32</v>
      </c>
      <c r="E2417" t="s">
        <v>27</v>
      </c>
      <c r="F2417" s="17">
        <v>1500</v>
      </c>
      <c r="G2417" s="17">
        <v>12000</v>
      </c>
      <c r="H2417" s="17">
        <v>10500</v>
      </c>
      <c r="I2417" s="18">
        <v>0.19</v>
      </c>
      <c r="J2417" s="14">
        <f t="shared" si="0"/>
        <v>7</v>
      </c>
      <c r="K2417" s="15" t="str">
        <f t="shared" si="1"/>
        <v>Exceeds Target</v>
      </c>
    </row>
    <row r="2418" spans="2:11" ht="15" customHeight="1">
      <c r="B2418" t="s">
        <v>234</v>
      </c>
      <c r="C2418" t="s">
        <v>2812</v>
      </c>
      <c r="D2418" t="s">
        <v>69</v>
      </c>
      <c r="E2418" t="s">
        <v>70</v>
      </c>
      <c r="F2418" s="17">
        <v>1000</v>
      </c>
      <c r="G2418" s="17">
        <v>90000</v>
      </c>
      <c r="H2418" s="17">
        <v>89000</v>
      </c>
      <c r="I2418" s="18">
        <v>0.94</v>
      </c>
      <c r="J2418" s="14">
        <f t="shared" si="0"/>
        <v>89</v>
      </c>
      <c r="K2418" s="15" t="str">
        <f t="shared" si="1"/>
        <v>Exceeds Target</v>
      </c>
    </row>
    <row r="2419" spans="2:11" ht="15" customHeight="1">
      <c r="B2419" t="s">
        <v>448</v>
      </c>
      <c r="C2419" t="s">
        <v>2813</v>
      </c>
      <c r="D2419" t="s">
        <v>32</v>
      </c>
      <c r="E2419" t="s">
        <v>27</v>
      </c>
      <c r="F2419" s="17">
        <v>1500</v>
      </c>
      <c r="G2419" s="17">
        <v>46000</v>
      </c>
      <c r="H2419" s="17">
        <v>44500</v>
      </c>
      <c r="I2419" s="18">
        <v>0.84</v>
      </c>
      <c r="J2419" s="14">
        <f t="shared" si="0"/>
        <v>29.666666666666668</v>
      </c>
      <c r="K2419" s="15" t="str">
        <f t="shared" si="1"/>
        <v>Exceeds Target</v>
      </c>
    </row>
    <row r="2420" spans="2:11" ht="15" customHeight="1">
      <c r="B2420" t="s">
        <v>411</v>
      </c>
      <c r="C2420" t="s">
        <v>2814</v>
      </c>
      <c r="D2420" t="s">
        <v>69</v>
      </c>
      <c r="E2420" t="s">
        <v>70</v>
      </c>
      <c r="F2420" s="17">
        <v>1000</v>
      </c>
      <c r="G2420" s="17">
        <v>35000</v>
      </c>
      <c r="H2420" s="17">
        <v>34000</v>
      </c>
      <c r="I2420" s="18">
        <v>0.35</v>
      </c>
      <c r="J2420" s="14">
        <f t="shared" si="0"/>
        <v>34</v>
      </c>
      <c r="K2420" s="15" t="str">
        <f t="shared" si="1"/>
        <v>Exceeds Target</v>
      </c>
    </row>
    <row r="2421" spans="2:11" ht="15" customHeight="1">
      <c r="B2421" t="s">
        <v>991</v>
      </c>
      <c r="C2421" t="s">
        <v>2815</v>
      </c>
      <c r="D2421" t="s">
        <v>32</v>
      </c>
      <c r="E2421" t="s">
        <v>27</v>
      </c>
      <c r="F2421" s="17">
        <v>1500</v>
      </c>
      <c r="G2421" s="17">
        <v>54000</v>
      </c>
      <c r="H2421" s="17">
        <v>52500</v>
      </c>
      <c r="I2421" s="18">
        <v>0.78</v>
      </c>
      <c r="J2421" s="14">
        <f t="shared" si="0"/>
        <v>35</v>
      </c>
      <c r="K2421" s="15" t="str">
        <f t="shared" si="1"/>
        <v>Exceeds Target</v>
      </c>
    </row>
    <row r="2422" spans="2:11" ht="15" customHeight="1">
      <c r="B2422" t="s">
        <v>736</v>
      </c>
      <c r="C2422" t="s">
        <v>2816</v>
      </c>
      <c r="D2422" t="s">
        <v>69</v>
      </c>
      <c r="E2422" t="s">
        <v>70</v>
      </c>
      <c r="F2422" s="17">
        <v>1000</v>
      </c>
      <c r="G2422" s="17">
        <v>60000</v>
      </c>
      <c r="H2422" s="17">
        <v>59000</v>
      </c>
      <c r="I2422" s="18">
        <v>0.93</v>
      </c>
      <c r="J2422" s="14">
        <f t="shared" si="0"/>
        <v>59</v>
      </c>
      <c r="K2422" s="15" t="str">
        <f t="shared" si="1"/>
        <v>Exceeds Target</v>
      </c>
    </row>
    <row r="2423" spans="2:11" ht="15" customHeight="1">
      <c r="B2423" t="s">
        <v>1176</v>
      </c>
      <c r="C2423" t="s">
        <v>2817</v>
      </c>
      <c r="D2423" t="s">
        <v>35</v>
      </c>
      <c r="E2423" t="s">
        <v>27</v>
      </c>
      <c r="F2423" s="17">
        <v>3000</v>
      </c>
      <c r="G2423" s="17">
        <v>150000</v>
      </c>
      <c r="H2423" s="17">
        <v>147000</v>
      </c>
      <c r="I2423" s="18">
        <v>0.22</v>
      </c>
      <c r="J2423" s="14">
        <f t="shared" si="0"/>
        <v>49</v>
      </c>
      <c r="K2423" s="15" t="str">
        <f t="shared" si="1"/>
        <v>Exceeds Target</v>
      </c>
    </row>
    <row r="2424" spans="2:11" ht="15" customHeight="1">
      <c r="B2424" t="s">
        <v>794</v>
      </c>
      <c r="C2424" t="s">
        <v>2818</v>
      </c>
      <c r="D2424" t="s">
        <v>80</v>
      </c>
      <c r="E2424" t="s">
        <v>27</v>
      </c>
      <c r="F2424" s="17">
        <v>1000</v>
      </c>
      <c r="G2424" s="17">
        <v>66000</v>
      </c>
      <c r="H2424" s="17">
        <v>65000</v>
      </c>
      <c r="I2424" s="18">
        <v>0.73</v>
      </c>
      <c r="J2424" s="14">
        <f t="shared" si="0"/>
        <v>65</v>
      </c>
      <c r="K2424" s="15" t="str">
        <f t="shared" si="1"/>
        <v>Exceeds Target</v>
      </c>
    </row>
    <row r="2425" spans="2:11" ht="15" customHeight="1">
      <c r="B2425" t="s">
        <v>397</v>
      </c>
      <c r="C2425" t="s">
        <v>2819</v>
      </c>
      <c r="D2425" t="s">
        <v>26</v>
      </c>
      <c r="E2425" t="s">
        <v>27</v>
      </c>
      <c r="F2425" s="17">
        <v>5000</v>
      </c>
      <c r="G2425" s="17">
        <v>30000</v>
      </c>
      <c r="H2425" s="17">
        <v>25000</v>
      </c>
      <c r="I2425" s="18">
        <v>0.28999999999999998</v>
      </c>
      <c r="J2425" s="14">
        <f t="shared" si="0"/>
        <v>5</v>
      </c>
      <c r="K2425" s="15" t="str">
        <f t="shared" si="1"/>
        <v>Exceeds Target</v>
      </c>
    </row>
    <row r="2426" spans="2:11" ht="15" customHeight="1">
      <c r="B2426" t="s">
        <v>434</v>
      </c>
      <c r="C2426" t="s">
        <v>2820</v>
      </c>
      <c r="D2426" t="s">
        <v>80</v>
      </c>
      <c r="E2426" t="s">
        <v>27</v>
      </c>
      <c r="F2426" s="17">
        <v>1000</v>
      </c>
      <c r="G2426" s="17">
        <v>120000</v>
      </c>
      <c r="H2426" s="17">
        <v>119000</v>
      </c>
      <c r="I2426" s="18">
        <v>0.8</v>
      </c>
      <c r="J2426" s="14">
        <f t="shared" si="0"/>
        <v>119</v>
      </c>
      <c r="K2426" s="15" t="str">
        <f t="shared" si="1"/>
        <v>Exceeds Target</v>
      </c>
    </row>
    <row r="2427" spans="2:11" ht="15" customHeight="1">
      <c r="B2427" t="s">
        <v>818</v>
      </c>
      <c r="C2427" t="s">
        <v>2821</v>
      </c>
      <c r="D2427" t="s">
        <v>35</v>
      </c>
      <c r="E2427" t="s">
        <v>27</v>
      </c>
      <c r="F2427" s="17">
        <v>3000</v>
      </c>
      <c r="G2427" s="17">
        <v>70000</v>
      </c>
      <c r="H2427" s="17">
        <v>67000</v>
      </c>
      <c r="I2427" s="18">
        <v>0.84</v>
      </c>
      <c r="J2427" s="14">
        <f t="shared" si="0"/>
        <v>22.333333333333332</v>
      </c>
      <c r="K2427" s="15" t="str">
        <f t="shared" si="1"/>
        <v>Exceeds Target</v>
      </c>
    </row>
    <row r="2428" spans="2:11" ht="15" customHeight="1">
      <c r="B2428" t="s">
        <v>265</v>
      </c>
      <c r="C2428" t="s">
        <v>2822</v>
      </c>
      <c r="D2428" t="s">
        <v>35</v>
      </c>
      <c r="E2428" t="s">
        <v>27</v>
      </c>
      <c r="F2428" s="17">
        <v>3000</v>
      </c>
      <c r="G2428" s="17">
        <v>190000</v>
      </c>
      <c r="H2428" s="17">
        <v>187000</v>
      </c>
      <c r="I2428" s="18">
        <v>0.66</v>
      </c>
      <c r="J2428" s="14">
        <f t="shared" si="0"/>
        <v>62.333333333333336</v>
      </c>
      <c r="K2428" s="15" t="str">
        <f t="shared" si="1"/>
        <v>Exceeds Target</v>
      </c>
    </row>
    <row r="2429" spans="2:11" ht="15" customHeight="1">
      <c r="B2429" t="s">
        <v>1477</v>
      </c>
      <c r="C2429" t="s">
        <v>2823</v>
      </c>
      <c r="D2429" t="s">
        <v>26</v>
      </c>
      <c r="E2429" t="s">
        <v>27</v>
      </c>
      <c r="F2429" s="17">
        <v>5000</v>
      </c>
      <c r="G2429" s="17">
        <v>60000</v>
      </c>
      <c r="H2429" s="17">
        <v>55000</v>
      </c>
      <c r="I2429" s="18">
        <v>0.39</v>
      </c>
      <c r="J2429" s="14">
        <f t="shared" si="0"/>
        <v>11</v>
      </c>
      <c r="K2429" s="15" t="str">
        <f t="shared" si="1"/>
        <v>Exceeds Target</v>
      </c>
    </row>
    <row r="2430" spans="2:11" ht="15" customHeight="1">
      <c r="B2430" t="s">
        <v>54</v>
      </c>
      <c r="C2430" t="s">
        <v>2824</v>
      </c>
      <c r="D2430" t="s">
        <v>80</v>
      </c>
      <c r="E2430" t="s">
        <v>27</v>
      </c>
      <c r="F2430" s="17">
        <v>1000</v>
      </c>
      <c r="G2430" s="17">
        <v>102000</v>
      </c>
      <c r="H2430" s="17">
        <v>101000</v>
      </c>
      <c r="I2430" s="18">
        <v>0.96</v>
      </c>
      <c r="J2430" s="14">
        <f t="shared" si="0"/>
        <v>101</v>
      </c>
      <c r="K2430" s="15" t="str">
        <f t="shared" si="1"/>
        <v>Exceeds Target</v>
      </c>
    </row>
    <row r="2431" spans="2:11" ht="15" customHeight="1">
      <c r="B2431" t="s">
        <v>1477</v>
      </c>
      <c r="C2431" t="s">
        <v>2825</v>
      </c>
      <c r="D2431" t="s">
        <v>80</v>
      </c>
      <c r="E2431" t="s">
        <v>27</v>
      </c>
      <c r="F2431" s="17">
        <v>1000</v>
      </c>
      <c r="G2431" s="17">
        <v>72000</v>
      </c>
      <c r="H2431" s="17">
        <v>71000</v>
      </c>
      <c r="I2431" s="18">
        <v>0.72</v>
      </c>
      <c r="J2431" s="14">
        <f t="shared" si="0"/>
        <v>71</v>
      </c>
      <c r="K2431" s="15" t="str">
        <f t="shared" si="1"/>
        <v>Exceeds Target</v>
      </c>
    </row>
    <row r="2432" spans="2:11" ht="15" customHeight="1">
      <c r="B2432" t="s">
        <v>580</v>
      </c>
      <c r="C2432" t="s">
        <v>2826</v>
      </c>
      <c r="D2432" t="s">
        <v>32</v>
      </c>
      <c r="E2432" t="s">
        <v>27</v>
      </c>
      <c r="F2432" s="17">
        <v>1500</v>
      </c>
      <c r="G2432" s="17">
        <v>58000</v>
      </c>
      <c r="H2432" s="17">
        <v>56500</v>
      </c>
      <c r="I2432" s="18">
        <v>0.93</v>
      </c>
      <c r="J2432" s="14">
        <f t="shared" si="0"/>
        <v>37.666666666666664</v>
      </c>
      <c r="K2432" s="15" t="str">
        <f t="shared" si="1"/>
        <v>Exceeds Target</v>
      </c>
    </row>
    <row r="2433" spans="2:11" ht="15" customHeight="1">
      <c r="B2433" t="s">
        <v>517</v>
      </c>
      <c r="C2433" t="s">
        <v>2827</v>
      </c>
      <c r="D2433" t="s">
        <v>35</v>
      </c>
      <c r="E2433" t="s">
        <v>27</v>
      </c>
      <c r="F2433" s="17">
        <v>3000</v>
      </c>
      <c r="G2433" s="17">
        <v>260000</v>
      </c>
      <c r="H2433" s="17">
        <v>257000</v>
      </c>
      <c r="I2433" s="18">
        <v>0.61</v>
      </c>
      <c r="J2433" s="14">
        <f t="shared" si="0"/>
        <v>85.666666666666671</v>
      </c>
      <c r="K2433" s="15" t="str">
        <f t="shared" si="1"/>
        <v>Exceeds Target</v>
      </c>
    </row>
    <row r="2434" spans="2:11" ht="15" customHeight="1">
      <c r="B2434" t="s">
        <v>303</v>
      </c>
      <c r="C2434" t="s">
        <v>2828</v>
      </c>
      <c r="D2434" t="s">
        <v>26</v>
      </c>
      <c r="E2434" t="s">
        <v>27</v>
      </c>
      <c r="F2434" s="17">
        <v>5000</v>
      </c>
      <c r="G2434" s="17">
        <v>30000</v>
      </c>
      <c r="H2434" s="17">
        <v>25000</v>
      </c>
      <c r="I2434" s="18">
        <v>0.14000000000000001</v>
      </c>
      <c r="J2434" s="14">
        <f t="shared" si="0"/>
        <v>5</v>
      </c>
      <c r="K2434" s="15" t="str">
        <f t="shared" si="1"/>
        <v>Exceeds Target</v>
      </c>
    </row>
    <row r="2435" spans="2:11" ht="15" customHeight="1">
      <c r="B2435" t="s">
        <v>399</v>
      </c>
      <c r="C2435" t="s">
        <v>2829</v>
      </c>
      <c r="D2435" t="s">
        <v>26</v>
      </c>
      <c r="E2435" t="s">
        <v>27</v>
      </c>
      <c r="F2435" s="17">
        <v>5000</v>
      </c>
      <c r="G2435" s="17">
        <v>60000</v>
      </c>
      <c r="H2435" s="17">
        <v>55000</v>
      </c>
      <c r="I2435" s="18">
        <v>0.12</v>
      </c>
      <c r="J2435" s="14">
        <f t="shared" si="0"/>
        <v>11</v>
      </c>
      <c r="K2435" s="15" t="str">
        <f t="shared" si="1"/>
        <v>Exceeds Target</v>
      </c>
    </row>
    <row r="2436" spans="2:11" ht="15" customHeight="1">
      <c r="B2436" t="s">
        <v>832</v>
      </c>
      <c r="C2436" t="s">
        <v>2830</v>
      </c>
      <c r="D2436" t="s">
        <v>69</v>
      </c>
      <c r="E2436" t="s">
        <v>70</v>
      </c>
      <c r="F2436" s="17">
        <v>1000</v>
      </c>
      <c r="G2436" s="17">
        <v>100000</v>
      </c>
      <c r="H2436" s="17">
        <v>99000</v>
      </c>
      <c r="I2436" s="18">
        <v>0.81</v>
      </c>
      <c r="J2436" s="14">
        <f t="shared" si="0"/>
        <v>99</v>
      </c>
      <c r="K2436" s="15" t="str">
        <f t="shared" si="1"/>
        <v>Exceeds Target</v>
      </c>
    </row>
    <row r="2437" spans="2:11" ht="15" customHeight="1">
      <c r="B2437" t="s">
        <v>1309</v>
      </c>
      <c r="C2437" t="s">
        <v>2831</v>
      </c>
      <c r="D2437" t="s">
        <v>32</v>
      </c>
      <c r="E2437" t="s">
        <v>27</v>
      </c>
      <c r="F2437" s="17">
        <v>1500</v>
      </c>
      <c r="G2437" s="17">
        <v>40000</v>
      </c>
      <c r="H2437" s="17">
        <v>38500</v>
      </c>
      <c r="I2437" s="18">
        <v>0.38</v>
      </c>
      <c r="J2437" s="14">
        <f t="shared" si="0"/>
        <v>25.666666666666668</v>
      </c>
      <c r="K2437" s="15" t="str">
        <f t="shared" si="1"/>
        <v>Exceeds Target</v>
      </c>
    </row>
    <row r="2438" spans="2:11" ht="15" customHeight="1">
      <c r="B2438" t="s">
        <v>139</v>
      </c>
      <c r="C2438" t="s">
        <v>2832</v>
      </c>
      <c r="D2438" t="s">
        <v>69</v>
      </c>
      <c r="E2438" t="s">
        <v>70</v>
      </c>
      <c r="F2438" s="17">
        <v>1000</v>
      </c>
      <c r="G2438" s="17">
        <v>105000</v>
      </c>
      <c r="H2438" s="17">
        <v>104000</v>
      </c>
      <c r="I2438" s="18">
        <v>0.23</v>
      </c>
      <c r="J2438" s="14">
        <f t="shared" si="0"/>
        <v>104</v>
      </c>
      <c r="K2438" s="15" t="str">
        <f t="shared" si="1"/>
        <v>Exceeds Target</v>
      </c>
    </row>
    <row r="2439" spans="2:11" ht="15" customHeight="1">
      <c r="B2439" t="s">
        <v>522</v>
      </c>
      <c r="C2439" t="s">
        <v>2833</v>
      </c>
      <c r="D2439" t="s">
        <v>26</v>
      </c>
      <c r="E2439" t="s">
        <v>27</v>
      </c>
      <c r="F2439" s="17">
        <v>5000</v>
      </c>
      <c r="G2439" s="17">
        <v>150000</v>
      </c>
      <c r="H2439" s="17">
        <v>145000</v>
      </c>
      <c r="I2439" s="18">
        <v>0.24</v>
      </c>
      <c r="J2439" s="14">
        <f t="shared" si="0"/>
        <v>29</v>
      </c>
      <c r="K2439" s="15" t="str">
        <f t="shared" si="1"/>
        <v>Exceeds Target</v>
      </c>
    </row>
    <row r="2440" spans="2:11" ht="15" customHeight="1">
      <c r="B2440" t="s">
        <v>265</v>
      </c>
      <c r="C2440" t="s">
        <v>2834</v>
      </c>
      <c r="D2440" t="s">
        <v>35</v>
      </c>
      <c r="E2440" t="s">
        <v>27</v>
      </c>
      <c r="F2440" s="17">
        <v>3000</v>
      </c>
      <c r="G2440" s="17">
        <v>280000</v>
      </c>
      <c r="H2440" s="17">
        <v>277000</v>
      </c>
      <c r="I2440" s="18">
        <v>0.99</v>
      </c>
      <c r="J2440" s="14">
        <f t="shared" si="0"/>
        <v>92.333333333333329</v>
      </c>
      <c r="K2440" s="15" t="str">
        <f t="shared" si="1"/>
        <v>Exceeds Target</v>
      </c>
    </row>
    <row r="2441" spans="2:11" ht="15" customHeight="1">
      <c r="B2441" t="s">
        <v>408</v>
      </c>
      <c r="C2441" t="s">
        <v>2835</v>
      </c>
      <c r="D2441" t="s">
        <v>26</v>
      </c>
      <c r="E2441" t="s">
        <v>27</v>
      </c>
      <c r="F2441" s="17">
        <v>5000</v>
      </c>
      <c r="G2441" s="17">
        <v>120000</v>
      </c>
      <c r="H2441" s="17">
        <v>115000</v>
      </c>
      <c r="I2441" s="18">
        <v>0.27</v>
      </c>
      <c r="J2441" s="14">
        <f t="shared" si="0"/>
        <v>23</v>
      </c>
      <c r="K2441" s="15" t="str">
        <f t="shared" si="1"/>
        <v>Exceeds Target</v>
      </c>
    </row>
    <row r="2442" spans="2:11" ht="15" customHeight="1">
      <c r="B2442" t="s">
        <v>234</v>
      </c>
      <c r="C2442" t="s">
        <v>2836</v>
      </c>
      <c r="D2442" t="s">
        <v>80</v>
      </c>
      <c r="E2442" t="s">
        <v>27</v>
      </c>
      <c r="F2442" s="17">
        <v>1000</v>
      </c>
      <c r="G2442" s="17">
        <v>69000</v>
      </c>
      <c r="H2442" s="17">
        <v>68000</v>
      </c>
      <c r="I2442" s="18">
        <v>0.96</v>
      </c>
      <c r="J2442" s="14">
        <f t="shared" si="0"/>
        <v>68</v>
      </c>
      <c r="K2442" s="15" t="str">
        <f t="shared" si="1"/>
        <v>Exceeds Target</v>
      </c>
    </row>
    <row r="2443" spans="2:11" ht="15" customHeight="1">
      <c r="B2443" t="s">
        <v>133</v>
      </c>
      <c r="C2443" t="s">
        <v>2837</v>
      </c>
      <c r="D2443" t="s">
        <v>26</v>
      </c>
      <c r="E2443" t="s">
        <v>27</v>
      </c>
      <c r="F2443" s="17">
        <v>5000</v>
      </c>
      <c r="G2443" s="17">
        <v>60000</v>
      </c>
      <c r="H2443" s="17">
        <v>55000</v>
      </c>
      <c r="I2443" s="18">
        <v>0.08</v>
      </c>
      <c r="J2443" s="14">
        <f t="shared" si="0"/>
        <v>11</v>
      </c>
      <c r="K2443" s="15" t="str">
        <f t="shared" si="1"/>
        <v>Exceeds Target</v>
      </c>
    </row>
    <row r="2444" spans="2:11" ht="15" customHeight="1">
      <c r="B2444" t="s">
        <v>1170</v>
      </c>
      <c r="C2444" t="s">
        <v>2838</v>
      </c>
      <c r="D2444" t="s">
        <v>32</v>
      </c>
      <c r="E2444" t="s">
        <v>27</v>
      </c>
      <c r="F2444" s="17">
        <v>1500</v>
      </c>
      <c r="G2444" s="17">
        <v>60000</v>
      </c>
      <c r="H2444" s="17">
        <v>58500</v>
      </c>
      <c r="I2444" s="18">
        <v>0.59</v>
      </c>
      <c r="J2444" s="14">
        <f t="shared" si="0"/>
        <v>39</v>
      </c>
      <c r="K2444" s="15" t="str">
        <f t="shared" si="1"/>
        <v>Exceeds Target</v>
      </c>
    </row>
    <row r="2445" spans="2:11" ht="15" customHeight="1">
      <c r="B2445" t="s">
        <v>374</v>
      </c>
      <c r="C2445" t="s">
        <v>2839</v>
      </c>
      <c r="D2445" t="s">
        <v>32</v>
      </c>
      <c r="E2445" t="s">
        <v>27</v>
      </c>
      <c r="F2445" s="17">
        <v>1500</v>
      </c>
      <c r="G2445" s="17">
        <v>22000</v>
      </c>
      <c r="H2445" s="17">
        <v>20500</v>
      </c>
      <c r="I2445" s="18">
        <v>0.59</v>
      </c>
      <c r="J2445" s="14">
        <f t="shared" si="0"/>
        <v>13.666666666666666</v>
      </c>
      <c r="K2445" s="15" t="str">
        <f t="shared" si="1"/>
        <v>Exceeds Target</v>
      </c>
    </row>
    <row r="2446" spans="2:11" ht="15" customHeight="1">
      <c r="B2446" t="s">
        <v>394</v>
      </c>
      <c r="C2446" t="s">
        <v>2840</v>
      </c>
      <c r="D2446" t="s">
        <v>35</v>
      </c>
      <c r="E2446" t="s">
        <v>27</v>
      </c>
      <c r="F2446" s="17">
        <v>3000</v>
      </c>
      <c r="G2446" s="17">
        <v>90000</v>
      </c>
      <c r="H2446" s="17">
        <v>87000</v>
      </c>
      <c r="I2446" s="18">
        <v>0.34</v>
      </c>
      <c r="J2446" s="14">
        <f t="shared" si="0"/>
        <v>29</v>
      </c>
      <c r="K2446" s="15" t="str">
        <f t="shared" si="1"/>
        <v>Exceeds Target</v>
      </c>
    </row>
    <row r="2447" spans="2:11" ht="15" customHeight="1">
      <c r="B2447" t="s">
        <v>133</v>
      </c>
      <c r="C2447" t="s">
        <v>2841</v>
      </c>
      <c r="D2447" t="s">
        <v>69</v>
      </c>
      <c r="E2447" t="s">
        <v>70</v>
      </c>
      <c r="F2447" s="17">
        <v>1000</v>
      </c>
      <c r="G2447" s="17">
        <v>35000</v>
      </c>
      <c r="H2447" s="17">
        <v>34000</v>
      </c>
      <c r="I2447" s="18">
        <v>0.61</v>
      </c>
      <c r="J2447" s="14">
        <f t="shared" si="0"/>
        <v>34</v>
      </c>
      <c r="K2447" s="15" t="str">
        <f t="shared" si="1"/>
        <v>Exceeds Target</v>
      </c>
    </row>
    <row r="2448" spans="2:11" ht="15" customHeight="1">
      <c r="B2448" t="s">
        <v>205</v>
      </c>
      <c r="C2448" t="s">
        <v>2842</v>
      </c>
      <c r="D2448" t="s">
        <v>32</v>
      </c>
      <c r="E2448" t="s">
        <v>27</v>
      </c>
      <c r="F2448" s="17">
        <v>1500</v>
      </c>
      <c r="G2448" s="17">
        <v>24000</v>
      </c>
      <c r="H2448" s="17">
        <v>22500</v>
      </c>
      <c r="I2448" s="18">
        <v>0.45</v>
      </c>
      <c r="J2448" s="14">
        <f t="shared" si="0"/>
        <v>15</v>
      </c>
      <c r="K2448" s="15" t="str">
        <f t="shared" si="1"/>
        <v>Exceeds Target</v>
      </c>
    </row>
    <row r="2449" spans="2:11" ht="15" customHeight="1">
      <c r="B2449" t="s">
        <v>828</v>
      </c>
      <c r="C2449" t="s">
        <v>2843</v>
      </c>
      <c r="D2449" t="s">
        <v>26</v>
      </c>
      <c r="E2449" t="s">
        <v>27</v>
      </c>
      <c r="F2449" s="17">
        <v>5000</v>
      </c>
      <c r="G2449" s="17">
        <v>30000</v>
      </c>
      <c r="H2449" s="17">
        <v>25000</v>
      </c>
      <c r="I2449" s="18">
        <v>0.14000000000000001</v>
      </c>
      <c r="J2449" s="14">
        <f t="shared" si="0"/>
        <v>5</v>
      </c>
      <c r="K2449" s="15" t="str">
        <f t="shared" si="1"/>
        <v>Exceeds Target</v>
      </c>
    </row>
    <row r="2450" spans="2:11" ht="15" customHeight="1">
      <c r="B2450" t="s">
        <v>1349</v>
      </c>
      <c r="C2450" t="s">
        <v>2844</v>
      </c>
      <c r="D2450" t="s">
        <v>69</v>
      </c>
      <c r="E2450" t="s">
        <v>70</v>
      </c>
      <c r="F2450" s="17">
        <v>1000</v>
      </c>
      <c r="G2450" s="17">
        <v>30000</v>
      </c>
      <c r="H2450" s="17">
        <v>29000</v>
      </c>
      <c r="I2450" s="18">
        <v>0.81</v>
      </c>
      <c r="J2450" s="14">
        <f t="shared" si="0"/>
        <v>29</v>
      </c>
      <c r="K2450" s="15" t="str">
        <f t="shared" si="1"/>
        <v>Exceeds Target</v>
      </c>
    </row>
    <row r="2451" spans="2:11" ht="15" customHeight="1">
      <c r="B2451" t="s">
        <v>613</v>
      </c>
      <c r="C2451" t="s">
        <v>2845</v>
      </c>
      <c r="D2451" t="s">
        <v>32</v>
      </c>
      <c r="E2451" t="s">
        <v>27</v>
      </c>
      <c r="F2451" s="17">
        <v>1500</v>
      </c>
      <c r="G2451" s="17">
        <v>50000</v>
      </c>
      <c r="H2451" s="17">
        <v>48500</v>
      </c>
      <c r="I2451" s="18">
        <v>0.78</v>
      </c>
      <c r="J2451" s="14">
        <f t="shared" si="0"/>
        <v>32.333333333333336</v>
      </c>
      <c r="K2451" s="15" t="str">
        <f t="shared" si="1"/>
        <v>Exceeds Target</v>
      </c>
    </row>
    <row r="2452" spans="2:11" ht="15" customHeight="1">
      <c r="B2452" t="s">
        <v>155</v>
      </c>
      <c r="C2452" t="s">
        <v>2846</v>
      </c>
      <c r="D2452" t="s">
        <v>32</v>
      </c>
      <c r="E2452" t="s">
        <v>27</v>
      </c>
      <c r="F2452" s="17">
        <v>1500</v>
      </c>
      <c r="G2452" s="17">
        <v>16000</v>
      </c>
      <c r="H2452" s="17">
        <v>14500</v>
      </c>
      <c r="I2452" s="18">
        <v>0.62</v>
      </c>
      <c r="J2452" s="14">
        <f t="shared" si="0"/>
        <v>9.6666666666666661</v>
      </c>
      <c r="K2452" s="15" t="str">
        <f t="shared" si="1"/>
        <v>Exceeds Target</v>
      </c>
    </row>
    <row r="2453" spans="2:11" ht="15" customHeight="1">
      <c r="B2453" t="s">
        <v>1516</v>
      </c>
      <c r="C2453" t="s">
        <v>2847</v>
      </c>
      <c r="D2453" t="s">
        <v>35</v>
      </c>
      <c r="E2453" t="s">
        <v>27</v>
      </c>
      <c r="F2453" s="17">
        <v>3000</v>
      </c>
      <c r="G2453" s="17">
        <v>270000</v>
      </c>
      <c r="H2453" s="17">
        <v>267000</v>
      </c>
      <c r="I2453" s="18">
        <v>0.23</v>
      </c>
      <c r="J2453" s="14">
        <f t="shared" si="0"/>
        <v>89</v>
      </c>
      <c r="K2453" s="15" t="str">
        <f t="shared" si="1"/>
        <v>Exceeds Target</v>
      </c>
    </row>
    <row r="2454" spans="2:11" ht="15" customHeight="1">
      <c r="B2454" t="s">
        <v>155</v>
      </c>
      <c r="C2454" t="s">
        <v>2848</v>
      </c>
      <c r="D2454" t="s">
        <v>80</v>
      </c>
      <c r="E2454" t="s">
        <v>27</v>
      </c>
      <c r="F2454" s="17">
        <v>1000</v>
      </c>
      <c r="G2454" s="17">
        <v>117000</v>
      </c>
      <c r="H2454" s="17">
        <v>116000</v>
      </c>
      <c r="I2454" s="18">
        <v>0.76</v>
      </c>
      <c r="J2454" s="14">
        <f t="shared" si="0"/>
        <v>116</v>
      </c>
      <c r="K2454" s="15" t="str">
        <f t="shared" si="1"/>
        <v>Exceeds Target</v>
      </c>
    </row>
    <row r="2455" spans="2:11" ht="15" customHeight="1">
      <c r="B2455" t="s">
        <v>1063</v>
      </c>
      <c r="C2455" t="s">
        <v>2849</v>
      </c>
      <c r="D2455" t="s">
        <v>32</v>
      </c>
      <c r="E2455" t="s">
        <v>27</v>
      </c>
      <c r="F2455" s="17">
        <v>1500</v>
      </c>
      <c r="G2455" s="17">
        <v>14000</v>
      </c>
      <c r="H2455" s="17">
        <v>12500</v>
      </c>
      <c r="I2455" s="18">
        <v>0.25</v>
      </c>
      <c r="J2455" s="14">
        <f t="shared" si="0"/>
        <v>8.3333333333333339</v>
      </c>
      <c r="K2455" s="15" t="str">
        <f t="shared" si="1"/>
        <v>Exceeds Target</v>
      </c>
    </row>
    <row r="2456" spans="2:11" ht="15" customHeight="1">
      <c r="B2456" t="s">
        <v>1305</v>
      </c>
      <c r="C2456" t="s">
        <v>2850</v>
      </c>
      <c r="D2456" t="s">
        <v>80</v>
      </c>
      <c r="E2456" t="s">
        <v>27</v>
      </c>
      <c r="F2456" s="17">
        <v>1000</v>
      </c>
      <c r="G2456" s="17">
        <v>93000</v>
      </c>
      <c r="H2456" s="17">
        <v>92000</v>
      </c>
      <c r="I2456" s="18">
        <v>0.94</v>
      </c>
      <c r="J2456" s="14">
        <f t="shared" si="0"/>
        <v>92</v>
      </c>
      <c r="K2456" s="15" t="str">
        <f t="shared" si="1"/>
        <v>Exceeds Target</v>
      </c>
    </row>
    <row r="2457" spans="2:11" ht="15" customHeight="1">
      <c r="B2457" t="s">
        <v>548</v>
      </c>
      <c r="C2457" t="s">
        <v>2851</v>
      </c>
      <c r="D2457" t="s">
        <v>26</v>
      </c>
      <c r="E2457" t="s">
        <v>27</v>
      </c>
      <c r="F2457" s="17">
        <v>5000</v>
      </c>
      <c r="G2457" s="17">
        <v>90000</v>
      </c>
      <c r="H2457" s="17">
        <v>85000</v>
      </c>
      <c r="I2457" s="18">
        <v>0.05</v>
      </c>
      <c r="J2457" s="14">
        <f t="shared" si="0"/>
        <v>17</v>
      </c>
      <c r="K2457" s="15" t="str">
        <f t="shared" si="1"/>
        <v>Exceeds Target</v>
      </c>
    </row>
    <row r="2458" spans="2:11" ht="15" customHeight="1">
      <c r="B2458" t="s">
        <v>1055</v>
      </c>
      <c r="C2458" t="s">
        <v>2852</v>
      </c>
      <c r="D2458" t="s">
        <v>32</v>
      </c>
      <c r="E2458" t="s">
        <v>27</v>
      </c>
      <c r="F2458" s="17">
        <v>1500</v>
      </c>
      <c r="G2458" s="17">
        <v>48000</v>
      </c>
      <c r="H2458" s="17">
        <v>46500</v>
      </c>
      <c r="I2458" s="18">
        <v>0.55000000000000004</v>
      </c>
      <c r="J2458" s="14">
        <f t="shared" si="0"/>
        <v>31</v>
      </c>
      <c r="K2458" s="15" t="str">
        <f t="shared" si="1"/>
        <v>Exceeds Target</v>
      </c>
    </row>
    <row r="2459" spans="2:11" ht="15" customHeight="1">
      <c r="B2459" t="s">
        <v>886</v>
      </c>
      <c r="C2459" t="s">
        <v>2853</v>
      </c>
      <c r="D2459" t="s">
        <v>26</v>
      </c>
      <c r="E2459" t="s">
        <v>27</v>
      </c>
      <c r="F2459" s="17">
        <v>5000</v>
      </c>
      <c r="G2459" s="17">
        <v>60000</v>
      </c>
      <c r="H2459" s="17">
        <v>55000</v>
      </c>
      <c r="I2459" s="18">
        <v>0.23</v>
      </c>
      <c r="J2459" s="14">
        <f t="shared" si="0"/>
        <v>11</v>
      </c>
      <c r="K2459" s="15" t="str">
        <f t="shared" si="1"/>
        <v>Exceeds Target</v>
      </c>
    </row>
    <row r="2460" spans="2:11" ht="15" customHeight="1">
      <c r="B2460" t="s">
        <v>131</v>
      </c>
      <c r="C2460" t="s">
        <v>2854</v>
      </c>
      <c r="D2460" t="s">
        <v>80</v>
      </c>
      <c r="E2460" t="s">
        <v>27</v>
      </c>
      <c r="F2460" s="17">
        <v>1000</v>
      </c>
      <c r="G2460" s="17">
        <v>87000</v>
      </c>
      <c r="H2460" s="17">
        <v>86000</v>
      </c>
      <c r="I2460" s="18">
        <v>0.88</v>
      </c>
      <c r="J2460" s="14">
        <f t="shared" si="0"/>
        <v>86</v>
      </c>
      <c r="K2460" s="15" t="str">
        <f t="shared" si="1"/>
        <v>Exceeds Target</v>
      </c>
    </row>
    <row r="2461" spans="2:11" ht="15" customHeight="1">
      <c r="B2461" t="s">
        <v>180</v>
      </c>
      <c r="C2461" t="s">
        <v>2855</v>
      </c>
      <c r="D2461" t="s">
        <v>32</v>
      </c>
      <c r="E2461" t="s">
        <v>27</v>
      </c>
      <c r="F2461" s="17">
        <v>1500</v>
      </c>
      <c r="G2461" s="17">
        <v>24000</v>
      </c>
      <c r="H2461" s="17">
        <v>22500</v>
      </c>
      <c r="I2461" s="18">
        <v>0.18</v>
      </c>
      <c r="J2461" s="14">
        <f t="shared" si="0"/>
        <v>15</v>
      </c>
      <c r="K2461" s="15" t="str">
        <f t="shared" si="1"/>
        <v>Exceeds Target</v>
      </c>
    </row>
    <row r="2462" spans="2:11" ht="15" customHeight="1">
      <c r="B2462" t="s">
        <v>1247</v>
      </c>
      <c r="C2462" t="s">
        <v>2856</v>
      </c>
      <c r="D2462" t="s">
        <v>80</v>
      </c>
      <c r="E2462" t="s">
        <v>27</v>
      </c>
      <c r="F2462" s="17">
        <v>1000</v>
      </c>
      <c r="G2462" s="17">
        <v>84000</v>
      </c>
      <c r="H2462" s="17">
        <v>83000</v>
      </c>
      <c r="I2462" s="18">
        <v>0.89</v>
      </c>
      <c r="J2462" s="14">
        <f t="shared" si="0"/>
        <v>83</v>
      </c>
      <c r="K2462" s="15" t="str">
        <f t="shared" si="1"/>
        <v>Exceeds Target</v>
      </c>
    </row>
    <row r="2463" spans="2:11" ht="15" customHeight="1">
      <c r="B2463" t="s">
        <v>1216</v>
      </c>
      <c r="C2463" t="s">
        <v>2857</v>
      </c>
      <c r="D2463" t="s">
        <v>32</v>
      </c>
      <c r="E2463" t="s">
        <v>27</v>
      </c>
      <c r="F2463" s="17">
        <v>1500</v>
      </c>
      <c r="G2463" s="17">
        <v>40000</v>
      </c>
      <c r="H2463" s="17">
        <v>38500</v>
      </c>
      <c r="I2463" s="18">
        <v>0.37</v>
      </c>
      <c r="J2463" s="14">
        <f t="shared" si="0"/>
        <v>25.666666666666668</v>
      </c>
      <c r="K2463" s="15" t="str">
        <f t="shared" si="1"/>
        <v>Exceeds Target</v>
      </c>
    </row>
    <row r="2464" spans="2:11" ht="15" customHeight="1">
      <c r="B2464" t="s">
        <v>932</v>
      </c>
      <c r="C2464" t="s">
        <v>2858</v>
      </c>
      <c r="D2464" t="s">
        <v>32</v>
      </c>
      <c r="E2464" t="s">
        <v>27</v>
      </c>
      <c r="F2464" s="17">
        <v>1500</v>
      </c>
      <c r="G2464" s="17">
        <v>32000</v>
      </c>
      <c r="H2464" s="17">
        <v>30500</v>
      </c>
      <c r="I2464" s="18">
        <v>0.92</v>
      </c>
      <c r="J2464" s="14">
        <f t="shared" si="0"/>
        <v>20.333333333333332</v>
      </c>
      <c r="K2464" s="15" t="str">
        <f t="shared" si="1"/>
        <v>Exceeds Target</v>
      </c>
    </row>
    <row r="2465" spans="2:11" ht="15" customHeight="1">
      <c r="B2465" t="s">
        <v>267</v>
      </c>
      <c r="C2465" t="s">
        <v>2859</v>
      </c>
      <c r="D2465" t="s">
        <v>26</v>
      </c>
      <c r="E2465" t="s">
        <v>27</v>
      </c>
      <c r="F2465" s="17">
        <v>5000</v>
      </c>
      <c r="G2465" s="17">
        <v>150000</v>
      </c>
      <c r="H2465" s="17">
        <v>145000</v>
      </c>
      <c r="I2465" s="18">
        <v>0.16</v>
      </c>
      <c r="J2465" s="14">
        <f t="shared" si="0"/>
        <v>29</v>
      </c>
      <c r="K2465" s="15" t="str">
        <f t="shared" si="1"/>
        <v>Exceeds Target</v>
      </c>
    </row>
    <row r="2466" spans="2:11" ht="15" customHeight="1">
      <c r="B2466" t="s">
        <v>1305</v>
      </c>
      <c r="C2466" t="s">
        <v>2860</v>
      </c>
      <c r="D2466" t="s">
        <v>32</v>
      </c>
      <c r="E2466" t="s">
        <v>27</v>
      </c>
      <c r="F2466" s="17">
        <v>1500</v>
      </c>
      <c r="G2466" s="17">
        <v>36000</v>
      </c>
      <c r="H2466" s="17">
        <v>34500</v>
      </c>
      <c r="I2466" s="18">
        <v>0.41</v>
      </c>
      <c r="J2466" s="14">
        <f t="shared" si="0"/>
        <v>23</v>
      </c>
      <c r="K2466" s="15" t="str">
        <f t="shared" si="1"/>
        <v>Exceeds Target</v>
      </c>
    </row>
    <row r="2467" spans="2:11" ht="15" customHeight="1">
      <c r="B2467" t="s">
        <v>730</v>
      </c>
      <c r="C2467" t="s">
        <v>2861</v>
      </c>
      <c r="D2467" t="s">
        <v>26</v>
      </c>
      <c r="E2467" t="s">
        <v>27</v>
      </c>
      <c r="F2467" s="17">
        <v>5000</v>
      </c>
      <c r="G2467" s="17">
        <v>30000</v>
      </c>
      <c r="H2467" s="17">
        <v>25000</v>
      </c>
      <c r="I2467" s="18">
        <v>0.33</v>
      </c>
      <c r="J2467" s="14">
        <f t="shared" si="0"/>
        <v>5</v>
      </c>
      <c r="K2467" s="15" t="str">
        <f t="shared" si="1"/>
        <v>Exceeds Target</v>
      </c>
    </row>
    <row r="2468" spans="2:11" ht="15" customHeight="1">
      <c r="B2468" t="s">
        <v>782</v>
      </c>
      <c r="C2468" t="s">
        <v>2862</v>
      </c>
      <c r="D2468" t="s">
        <v>69</v>
      </c>
      <c r="E2468" t="s">
        <v>70</v>
      </c>
      <c r="F2468" s="17">
        <v>1000</v>
      </c>
      <c r="G2468" s="17">
        <v>110000</v>
      </c>
      <c r="H2468" s="17">
        <v>109000</v>
      </c>
      <c r="I2468" s="18">
        <v>0.23</v>
      </c>
      <c r="J2468" s="14">
        <f t="shared" si="0"/>
        <v>109</v>
      </c>
      <c r="K2468" s="15" t="str">
        <f t="shared" si="1"/>
        <v>Exceeds Target</v>
      </c>
    </row>
    <row r="2469" spans="2:11" ht="15" customHeight="1">
      <c r="B2469" t="s">
        <v>188</v>
      </c>
      <c r="C2469" t="s">
        <v>2863</v>
      </c>
      <c r="D2469" t="s">
        <v>32</v>
      </c>
      <c r="E2469" t="s">
        <v>27</v>
      </c>
      <c r="F2469" s="17">
        <v>1500</v>
      </c>
      <c r="G2469" s="17">
        <v>14000</v>
      </c>
      <c r="H2469" s="17">
        <v>12500</v>
      </c>
      <c r="I2469" s="18">
        <v>0.33</v>
      </c>
      <c r="J2469" s="14">
        <f t="shared" si="0"/>
        <v>8.3333333333333339</v>
      </c>
      <c r="K2469" s="15" t="str">
        <f t="shared" si="1"/>
        <v>Exceeds Target</v>
      </c>
    </row>
    <row r="2470" spans="2:11" ht="15" customHeight="1">
      <c r="B2470" t="s">
        <v>514</v>
      </c>
      <c r="C2470" t="s">
        <v>2864</v>
      </c>
      <c r="D2470" t="s">
        <v>80</v>
      </c>
      <c r="E2470" t="s">
        <v>27</v>
      </c>
      <c r="F2470" s="17">
        <v>1000</v>
      </c>
      <c r="G2470" s="17">
        <v>111000</v>
      </c>
      <c r="H2470" s="17">
        <v>110000</v>
      </c>
      <c r="I2470" s="18">
        <v>0.56000000000000005</v>
      </c>
      <c r="J2470" s="14">
        <f t="shared" si="0"/>
        <v>110</v>
      </c>
      <c r="K2470" s="15" t="str">
        <f t="shared" si="1"/>
        <v>Exceeds Target</v>
      </c>
    </row>
    <row r="2471" spans="2:11" ht="15" customHeight="1">
      <c r="B2471" t="s">
        <v>623</v>
      </c>
      <c r="C2471" t="s">
        <v>2865</v>
      </c>
      <c r="D2471" t="s">
        <v>80</v>
      </c>
      <c r="E2471" t="s">
        <v>27</v>
      </c>
      <c r="F2471" s="17">
        <v>1000</v>
      </c>
      <c r="G2471" s="17">
        <v>117000</v>
      </c>
      <c r="H2471" s="17">
        <v>116000</v>
      </c>
      <c r="I2471" s="18">
        <v>1</v>
      </c>
      <c r="J2471" s="14">
        <f t="shared" si="0"/>
        <v>116</v>
      </c>
      <c r="K2471" s="15" t="str">
        <f t="shared" si="1"/>
        <v>Exceeds Target</v>
      </c>
    </row>
    <row r="2472" spans="2:11" ht="15" customHeight="1">
      <c r="B2472" t="s">
        <v>216</v>
      </c>
      <c r="C2472" t="s">
        <v>2866</v>
      </c>
      <c r="D2472" t="s">
        <v>35</v>
      </c>
      <c r="E2472" t="s">
        <v>27</v>
      </c>
      <c r="F2472" s="17">
        <v>3000</v>
      </c>
      <c r="G2472" s="17">
        <v>260000</v>
      </c>
      <c r="H2472" s="17">
        <v>257000</v>
      </c>
      <c r="I2472" s="18">
        <v>0.57999999999999996</v>
      </c>
      <c r="J2472" s="14">
        <f t="shared" si="0"/>
        <v>85.666666666666671</v>
      </c>
      <c r="K2472" s="15" t="str">
        <f t="shared" si="1"/>
        <v>Exceeds Target</v>
      </c>
    </row>
    <row r="2473" spans="2:11" ht="15" customHeight="1">
      <c r="B2473" t="s">
        <v>769</v>
      </c>
      <c r="C2473" t="s">
        <v>2867</v>
      </c>
      <c r="D2473" t="s">
        <v>32</v>
      </c>
      <c r="E2473" t="s">
        <v>27</v>
      </c>
      <c r="F2473" s="17">
        <v>1500</v>
      </c>
      <c r="G2473" s="17">
        <v>44000</v>
      </c>
      <c r="H2473" s="17">
        <v>42500</v>
      </c>
      <c r="I2473" s="18">
        <v>0.94</v>
      </c>
      <c r="J2473" s="14">
        <f t="shared" si="0"/>
        <v>28.333333333333332</v>
      </c>
      <c r="K2473" s="15" t="str">
        <f t="shared" si="1"/>
        <v>Exceeds Target</v>
      </c>
    </row>
    <row r="2474" spans="2:11" ht="15" customHeight="1">
      <c r="B2474" t="s">
        <v>832</v>
      </c>
      <c r="C2474" t="s">
        <v>2868</v>
      </c>
      <c r="D2474" t="s">
        <v>32</v>
      </c>
      <c r="E2474" t="s">
        <v>27</v>
      </c>
      <c r="F2474" s="17">
        <v>1500</v>
      </c>
      <c r="G2474" s="17">
        <v>54000</v>
      </c>
      <c r="H2474" s="17">
        <v>52500</v>
      </c>
      <c r="I2474" s="18">
        <v>0.69</v>
      </c>
      <c r="J2474" s="14">
        <f t="shared" si="0"/>
        <v>35</v>
      </c>
      <c r="K2474" s="15" t="str">
        <f t="shared" si="1"/>
        <v>Exceeds Target</v>
      </c>
    </row>
    <row r="2475" spans="2:11" ht="15" customHeight="1">
      <c r="B2475" t="s">
        <v>323</v>
      </c>
      <c r="C2475" t="s">
        <v>2869</v>
      </c>
      <c r="D2475" t="s">
        <v>26</v>
      </c>
      <c r="E2475" t="s">
        <v>27</v>
      </c>
      <c r="F2475" s="17">
        <v>5000</v>
      </c>
      <c r="G2475" s="17">
        <v>150000</v>
      </c>
      <c r="H2475" s="17">
        <v>145000</v>
      </c>
      <c r="I2475" s="18">
        <v>0.18</v>
      </c>
      <c r="J2475" s="14">
        <f t="shared" si="0"/>
        <v>29</v>
      </c>
      <c r="K2475" s="15" t="str">
        <f t="shared" si="1"/>
        <v>Exceeds Target</v>
      </c>
    </row>
    <row r="2476" spans="2:11" ht="15" customHeight="1">
      <c r="B2476" t="s">
        <v>131</v>
      </c>
      <c r="C2476" t="s">
        <v>2870</v>
      </c>
      <c r="D2476" t="s">
        <v>80</v>
      </c>
      <c r="E2476" t="s">
        <v>27</v>
      </c>
      <c r="F2476" s="17">
        <v>1000</v>
      </c>
      <c r="G2476" s="17">
        <v>54000</v>
      </c>
      <c r="H2476" s="17">
        <v>53000</v>
      </c>
      <c r="I2476" s="18">
        <v>0.8</v>
      </c>
      <c r="J2476" s="14">
        <f t="shared" si="0"/>
        <v>53</v>
      </c>
      <c r="K2476" s="15" t="str">
        <f t="shared" si="1"/>
        <v>Exceeds Target</v>
      </c>
    </row>
    <row r="2477" spans="2:11" ht="15" customHeight="1">
      <c r="B2477" t="s">
        <v>512</v>
      </c>
      <c r="C2477" t="s">
        <v>2871</v>
      </c>
      <c r="D2477" t="s">
        <v>26</v>
      </c>
      <c r="E2477" t="s">
        <v>27</v>
      </c>
      <c r="F2477" s="17">
        <v>5000</v>
      </c>
      <c r="G2477" s="17">
        <v>150000</v>
      </c>
      <c r="H2477" s="17">
        <v>145000</v>
      </c>
      <c r="I2477" s="18">
        <v>0.25</v>
      </c>
      <c r="J2477" s="14">
        <f t="shared" si="0"/>
        <v>29</v>
      </c>
      <c r="K2477" s="15" t="str">
        <f t="shared" si="1"/>
        <v>Exceeds Target</v>
      </c>
    </row>
    <row r="2478" spans="2:11" ht="15" customHeight="1">
      <c r="B2478" t="s">
        <v>180</v>
      </c>
      <c r="C2478" t="s">
        <v>2872</v>
      </c>
      <c r="D2478" t="s">
        <v>26</v>
      </c>
      <c r="E2478" t="s">
        <v>27</v>
      </c>
      <c r="F2478" s="17">
        <v>5000</v>
      </c>
      <c r="G2478" s="17">
        <v>150000</v>
      </c>
      <c r="H2478" s="17">
        <v>145000</v>
      </c>
      <c r="I2478" s="18">
        <v>0.3</v>
      </c>
      <c r="J2478" s="14">
        <f t="shared" si="0"/>
        <v>29</v>
      </c>
      <c r="K2478" s="15" t="str">
        <f t="shared" si="1"/>
        <v>Exceeds Target</v>
      </c>
    </row>
    <row r="2479" spans="2:11" ht="15" customHeight="1">
      <c r="B2479" t="s">
        <v>347</v>
      </c>
      <c r="C2479" t="s">
        <v>2873</v>
      </c>
      <c r="D2479" t="s">
        <v>80</v>
      </c>
      <c r="E2479" t="s">
        <v>27</v>
      </c>
      <c r="F2479" s="17">
        <v>1000</v>
      </c>
      <c r="G2479" s="17">
        <v>63000</v>
      </c>
      <c r="H2479" s="17">
        <v>62000</v>
      </c>
      <c r="I2479" s="18">
        <v>0.68</v>
      </c>
      <c r="J2479" s="14">
        <f t="shared" si="0"/>
        <v>62</v>
      </c>
      <c r="K2479" s="15" t="str">
        <f t="shared" si="1"/>
        <v>Exceeds Target</v>
      </c>
    </row>
    <row r="2480" spans="2:11" ht="15" customHeight="1">
      <c r="B2480" t="s">
        <v>408</v>
      </c>
      <c r="C2480" t="s">
        <v>2874</v>
      </c>
      <c r="D2480" t="s">
        <v>69</v>
      </c>
      <c r="E2480" t="s">
        <v>70</v>
      </c>
      <c r="F2480" s="17">
        <v>1000</v>
      </c>
      <c r="G2480" s="17">
        <v>145000</v>
      </c>
      <c r="H2480" s="17">
        <v>144000</v>
      </c>
      <c r="I2480" s="18">
        <v>0.85</v>
      </c>
      <c r="J2480" s="14">
        <f t="shared" si="0"/>
        <v>144</v>
      </c>
      <c r="K2480" s="15" t="str">
        <f t="shared" si="1"/>
        <v>Exceeds Target</v>
      </c>
    </row>
    <row r="2481" spans="2:11" ht="15" customHeight="1">
      <c r="B2481" t="s">
        <v>125</v>
      </c>
      <c r="C2481" t="s">
        <v>2875</v>
      </c>
      <c r="D2481" t="s">
        <v>80</v>
      </c>
      <c r="E2481" t="s">
        <v>27</v>
      </c>
      <c r="F2481" s="17">
        <v>1000</v>
      </c>
      <c r="G2481" s="17">
        <v>66000</v>
      </c>
      <c r="H2481" s="17">
        <v>65000</v>
      </c>
      <c r="I2481" s="18">
        <v>0.62</v>
      </c>
      <c r="J2481" s="14">
        <f t="shared" si="0"/>
        <v>65</v>
      </c>
      <c r="K2481" s="15" t="str">
        <f t="shared" si="1"/>
        <v>Exceeds Target</v>
      </c>
    </row>
    <row r="2482" spans="2:11" ht="15" customHeight="1">
      <c r="B2482" t="s">
        <v>964</v>
      </c>
      <c r="C2482" t="s">
        <v>2876</v>
      </c>
      <c r="D2482" t="s">
        <v>35</v>
      </c>
      <c r="E2482" t="s">
        <v>27</v>
      </c>
      <c r="F2482" s="17">
        <v>3000</v>
      </c>
      <c r="G2482" s="17">
        <v>90000</v>
      </c>
      <c r="H2482" s="17">
        <v>87000</v>
      </c>
      <c r="I2482" s="18">
        <v>0.87</v>
      </c>
      <c r="J2482" s="14">
        <f t="shared" si="0"/>
        <v>29</v>
      </c>
      <c r="K2482" s="15" t="str">
        <f t="shared" si="1"/>
        <v>Exceeds Target</v>
      </c>
    </row>
    <row r="2483" spans="2:11" ht="15" customHeight="1">
      <c r="B2483" t="s">
        <v>323</v>
      </c>
      <c r="C2483" t="s">
        <v>2877</v>
      </c>
      <c r="D2483" t="s">
        <v>80</v>
      </c>
      <c r="E2483" t="s">
        <v>27</v>
      </c>
      <c r="F2483" s="17">
        <v>1000</v>
      </c>
      <c r="G2483" s="17">
        <v>63000</v>
      </c>
      <c r="H2483" s="17">
        <v>62000</v>
      </c>
      <c r="I2483" s="18">
        <v>0.98</v>
      </c>
      <c r="J2483" s="14">
        <f t="shared" si="0"/>
        <v>62</v>
      </c>
      <c r="K2483" s="15" t="str">
        <f t="shared" si="1"/>
        <v>Exceeds Target</v>
      </c>
    </row>
    <row r="2484" spans="2:11" ht="15" customHeight="1">
      <c r="B2484" t="s">
        <v>434</v>
      </c>
      <c r="C2484" t="s">
        <v>2878</v>
      </c>
      <c r="D2484" t="s">
        <v>69</v>
      </c>
      <c r="E2484" t="s">
        <v>70</v>
      </c>
      <c r="F2484" s="17">
        <v>1000</v>
      </c>
      <c r="G2484" s="17">
        <v>40000</v>
      </c>
      <c r="H2484" s="17">
        <v>39000</v>
      </c>
      <c r="I2484" s="18">
        <v>0.35</v>
      </c>
      <c r="J2484" s="14">
        <f t="shared" si="0"/>
        <v>39</v>
      </c>
      <c r="K2484" s="15" t="str">
        <f t="shared" si="1"/>
        <v>Exceeds Target</v>
      </c>
    </row>
    <row r="2485" spans="2:11" ht="15" customHeight="1">
      <c r="B2485" t="s">
        <v>772</v>
      </c>
      <c r="C2485" t="s">
        <v>2879</v>
      </c>
      <c r="D2485" t="s">
        <v>35</v>
      </c>
      <c r="E2485" t="s">
        <v>27</v>
      </c>
      <c r="F2485" s="17">
        <v>3000</v>
      </c>
      <c r="G2485" s="17">
        <v>300000</v>
      </c>
      <c r="H2485" s="17">
        <v>297000</v>
      </c>
      <c r="I2485" s="18">
        <v>0.59</v>
      </c>
      <c r="J2485" s="14">
        <f t="shared" si="0"/>
        <v>99</v>
      </c>
      <c r="K2485" s="15" t="str">
        <f t="shared" si="1"/>
        <v>Exceeds Target</v>
      </c>
    </row>
    <row r="2486" spans="2:11" ht="15" customHeight="1">
      <c r="B2486" t="s">
        <v>356</v>
      </c>
      <c r="C2486" t="s">
        <v>2880</v>
      </c>
      <c r="D2486" t="s">
        <v>35</v>
      </c>
      <c r="E2486" t="s">
        <v>27</v>
      </c>
      <c r="F2486" s="17">
        <v>3000</v>
      </c>
      <c r="G2486" s="17">
        <v>120000</v>
      </c>
      <c r="H2486" s="17">
        <v>117000</v>
      </c>
      <c r="I2486" s="18">
        <v>0.7</v>
      </c>
      <c r="J2486" s="14">
        <f t="shared" si="0"/>
        <v>39</v>
      </c>
      <c r="K2486" s="15" t="str">
        <f t="shared" si="1"/>
        <v>Exceeds Target</v>
      </c>
    </row>
    <row r="2487" spans="2:11" ht="15" customHeight="1">
      <c r="B2487" t="s">
        <v>454</v>
      </c>
      <c r="C2487" t="s">
        <v>2881</v>
      </c>
      <c r="D2487" t="s">
        <v>80</v>
      </c>
      <c r="E2487" t="s">
        <v>27</v>
      </c>
      <c r="F2487" s="17">
        <v>1000</v>
      </c>
      <c r="G2487" s="17">
        <v>57000</v>
      </c>
      <c r="H2487" s="17">
        <v>56000</v>
      </c>
      <c r="I2487" s="18">
        <v>0.59</v>
      </c>
      <c r="J2487" s="14">
        <f t="shared" si="0"/>
        <v>56</v>
      </c>
      <c r="K2487" s="15" t="str">
        <f t="shared" si="1"/>
        <v>Exceeds Target</v>
      </c>
    </row>
    <row r="2488" spans="2:11" ht="15" customHeight="1">
      <c r="B2488" t="s">
        <v>384</v>
      </c>
      <c r="C2488" t="s">
        <v>2882</v>
      </c>
      <c r="D2488" t="s">
        <v>35</v>
      </c>
      <c r="E2488" t="s">
        <v>27</v>
      </c>
      <c r="F2488" s="17">
        <v>3000</v>
      </c>
      <c r="G2488" s="17">
        <v>190000</v>
      </c>
      <c r="H2488" s="17">
        <v>187000</v>
      </c>
      <c r="I2488" s="18">
        <v>0.65</v>
      </c>
      <c r="J2488" s="14">
        <f t="shared" si="0"/>
        <v>62.333333333333336</v>
      </c>
      <c r="K2488" s="15" t="str">
        <f t="shared" si="1"/>
        <v>Exceeds Target</v>
      </c>
    </row>
    <row r="2489" spans="2:11" ht="15" customHeight="1">
      <c r="B2489" t="s">
        <v>257</v>
      </c>
      <c r="C2489" t="s">
        <v>2883</v>
      </c>
      <c r="D2489" t="s">
        <v>26</v>
      </c>
      <c r="E2489" t="s">
        <v>27</v>
      </c>
      <c r="F2489" s="17">
        <v>5000</v>
      </c>
      <c r="G2489" s="17">
        <v>150000</v>
      </c>
      <c r="H2489" s="17">
        <v>145000</v>
      </c>
      <c r="I2489" s="18">
        <v>0.33</v>
      </c>
      <c r="J2489" s="14">
        <f t="shared" si="0"/>
        <v>29</v>
      </c>
      <c r="K2489" s="15" t="str">
        <f t="shared" si="1"/>
        <v>Exceeds Target</v>
      </c>
    </row>
    <row r="2490" spans="2:11" ht="15" customHeight="1">
      <c r="B2490" t="s">
        <v>1210</v>
      </c>
      <c r="C2490" t="s">
        <v>2884</v>
      </c>
      <c r="D2490" t="s">
        <v>69</v>
      </c>
      <c r="E2490" t="s">
        <v>70</v>
      </c>
      <c r="F2490" s="17">
        <v>1000</v>
      </c>
      <c r="G2490" s="17">
        <v>105000</v>
      </c>
      <c r="H2490" s="17">
        <v>104000</v>
      </c>
      <c r="I2490" s="18">
        <v>1</v>
      </c>
      <c r="J2490" s="14">
        <f t="shared" si="0"/>
        <v>104</v>
      </c>
      <c r="K2490" s="15" t="str">
        <f t="shared" si="1"/>
        <v>Exceeds Target</v>
      </c>
    </row>
    <row r="2491" spans="2:11" ht="15" customHeight="1">
      <c r="B2491" t="s">
        <v>24</v>
      </c>
      <c r="C2491" t="s">
        <v>2885</v>
      </c>
      <c r="D2491" t="s">
        <v>26</v>
      </c>
      <c r="E2491" t="s">
        <v>27</v>
      </c>
      <c r="F2491" s="17">
        <v>5000</v>
      </c>
      <c r="G2491" s="17">
        <v>150000</v>
      </c>
      <c r="H2491" s="17">
        <v>145000</v>
      </c>
      <c r="I2491" s="18">
        <v>0.27</v>
      </c>
      <c r="J2491" s="14">
        <f t="shared" si="0"/>
        <v>29</v>
      </c>
      <c r="K2491" s="15" t="str">
        <f t="shared" si="1"/>
        <v>Exceeds Target</v>
      </c>
    </row>
    <row r="2492" spans="2:11" ht="15" customHeight="1">
      <c r="B2492" t="s">
        <v>244</v>
      </c>
      <c r="C2492" t="s">
        <v>2886</v>
      </c>
      <c r="D2492" t="s">
        <v>35</v>
      </c>
      <c r="E2492" t="s">
        <v>27</v>
      </c>
      <c r="F2492" s="17">
        <v>3000</v>
      </c>
      <c r="G2492" s="17">
        <v>280000</v>
      </c>
      <c r="H2492" s="17">
        <v>277000</v>
      </c>
      <c r="I2492" s="18">
        <v>0.28000000000000003</v>
      </c>
      <c r="J2492" s="14">
        <f t="shared" si="0"/>
        <v>92.333333333333329</v>
      </c>
      <c r="K2492" s="15" t="str">
        <f t="shared" si="1"/>
        <v>Exceeds Target</v>
      </c>
    </row>
    <row r="2493" spans="2:11" ht="15" customHeight="1">
      <c r="B2493" t="s">
        <v>413</v>
      </c>
      <c r="C2493" t="s">
        <v>2887</v>
      </c>
      <c r="D2493" t="s">
        <v>32</v>
      </c>
      <c r="E2493" t="s">
        <v>27</v>
      </c>
      <c r="F2493" s="17">
        <v>1500</v>
      </c>
      <c r="G2493" s="17">
        <v>26000</v>
      </c>
      <c r="H2493" s="17">
        <v>24500</v>
      </c>
      <c r="I2493" s="18">
        <v>0.41</v>
      </c>
      <c r="J2493" s="14">
        <f t="shared" si="0"/>
        <v>16.333333333333332</v>
      </c>
      <c r="K2493" s="15" t="str">
        <f t="shared" si="1"/>
        <v>Exceeds Target</v>
      </c>
    </row>
    <row r="2494" spans="2:11" ht="15" customHeight="1">
      <c r="B2494" t="s">
        <v>882</v>
      </c>
      <c r="C2494" t="s">
        <v>2888</v>
      </c>
      <c r="D2494" t="s">
        <v>69</v>
      </c>
      <c r="E2494" t="s">
        <v>70</v>
      </c>
      <c r="F2494" s="17">
        <v>1000</v>
      </c>
      <c r="G2494" s="17">
        <v>120000</v>
      </c>
      <c r="H2494" s="17">
        <v>119000</v>
      </c>
      <c r="I2494" s="18">
        <v>0.38</v>
      </c>
      <c r="J2494" s="14">
        <f t="shared" si="0"/>
        <v>119</v>
      </c>
      <c r="K2494" s="15" t="str">
        <f t="shared" si="1"/>
        <v>Exceeds Target</v>
      </c>
    </row>
    <row r="2495" spans="2:11" ht="15" customHeight="1">
      <c r="B2495" t="s">
        <v>713</v>
      </c>
      <c r="C2495" t="s">
        <v>2889</v>
      </c>
      <c r="D2495" t="s">
        <v>69</v>
      </c>
      <c r="E2495" t="s">
        <v>70</v>
      </c>
      <c r="F2495" s="17">
        <v>1000</v>
      </c>
      <c r="G2495" s="17">
        <v>150000</v>
      </c>
      <c r="H2495" s="17">
        <v>149000</v>
      </c>
      <c r="I2495" s="18">
        <v>0.71</v>
      </c>
      <c r="J2495" s="14">
        <f t="shared" si="0"/>
        <v>149</v>
      </c>
      <c r="K2495" s="15" t="str">
        <f t="shared" si="1"/>
        <v>Exceeds Target</v>
      </c>
    </row>
    <row r="2496" spans="2:11" ht="15" customHeight="1">
      <c r="B2496" t="s">
        <v>340</v>
      </c>
      <c r="C2496" t="s">
        <v>2890</v>
      </c>
      <c r="D2496" t="s">
        <v>35</v>
      </c>
      <c r="E2496" t="s">
        <v>27</v>
      </c>
      <c r="F2496" s="17">
        <v>3000</v>
      </c>
      <c r="G2496" s="17">
        <v>260000</v>
      </c>
      <c r="H2496" s="17">
        <v>257000</v>
      </c>
      <c r="I2496" s="18">
        <v>0.84</v>
      </c>
      <c r="J2496" s="14">
        <f t="shared" si="0"/>
        <v>85.666666666666671</v>
      </c>
      <c r="K2496" s="15" t="str">
        <f t="shared" si="1"/>
        <v>Exceeds Target</v>
      </c>
    </row>
    <row r="2497" spans="2:11" ht="15" customHeight="1">
      <c r="B2497" t="s">
        <v>61</v>
      </c>
      <c r="C2497" t="s">
        <v>2891</v>
      </c>
      <c r="D2497" t="s">
        <v>35</v>
      </c>
      <c r="E2497" t="s">
        <v>27</v>
      </c>
      <c r="F2497" s="17">
        <v>3000</v>
      </c>
      <c r="G2497" s="17">
        <v>280000</v>
      </c>
      <c r="H2497" s="17">
        <v>277000</v>
      </c>
      <c r="I2497" s="18">
        <v>0.61</v>
      </c>
      <c r="J2497" s="14">
        <f t="shared" si="0"/>
        <v>92.333333333333329</v>
      </c>
      <c r="K2497" s="15" t="str">
        <f t="shared" si="1"/>
        <v>Exceeds Target</v>
      </c>
    </row>
    <row r="2498" spans="2:11" ht="15" customHeight="1">
      <c r="B2498" t="s">
        <v>257</v>
      </c>
      <c r="C2498" t="s">
        <v>2892</v>
      </c>
      <c r="D2498" t="s">
        <v>32</v>
      </c>
      <c r="E2498" t="s">
        <v>27</v>
      </c>
      <c r="F2498" s="17">
        <v>1500</v>
      </c>
      <c r="G2498" s="17">
        <v>48000</v>
      </c>
      <c r="H2498" s="17">
        <v>46500</v>
      </c>
      <c r="I2498" s="18">
        <v>0.63</v>
      </c>
      <c r="J2498" s="14">
        <f t="shared" si="0"/>
        <v>31</v>
      </c>
      <c r="K2498" s="15" t="str">
        <f t="shared" si="1"/>
        <v>Exceeds Target</v>
      </c>
    </row>
    <row r="2499" spans="2:11" ht="15" customHeight="1">
      <c r="B2499" t="s">
        <v>608</v>
      </c>
      <c r="C2499" t="s">
        <v>2893</v>
      </c>
      <c r="D2499" t="s">
        <v>80</v>
      </c>
      <c r="E2499" t="s">
        <v>27</v>
      </c>
      <c r="F2499" s="17">
        <v>1000</v>
      </c>
      <c r="G2499" s="17">
        <v>54000</v>
      </c>
      <c r="H2499" s="17">
        <v>53000</v>
      </c>
      <c r="I2499" s="18">
        <v>0.82</v>
      </c>
      <c r="J2499" s="14">
        <f t="shared" si="0"/>
        <v>53</v>
      </c>
      <c r="K2499" s="15" t="str">
        <f t="shared" si="1"/>
        <v>Exceeds Target</v>
      </c>
    </row>
    <row r="2500" spans="2:11" ht="15" customHeight="1">
      <c r="B2500" t="s">
        <v>1126</v>
      </c>
      <c r="C2500" t="s">
        <v>2894</v>
      </c>
      <c r="D2500" t="s">
        <v>35</v>
      </c>
      <c r="E2500" t="s">
        <v>27</v>
      </c>
      <c r="F2500" s="17">
        <v>3000</v>
      </c>
      <c r="G2500" s="17">
        <v>70000</v>
      </c>
      <c r="H2500" s="17">
        <v>67000</v>
      </c>
      <c r="I2500" s="18">
        <v>0.59</v>
      </c>
      <c r="J2500" s="14">
        <f t="shared" si="0"/>
        <v>22.333333333333332</v>
      </c>
      <c r="K2500" s="15" t="str">
        <f t="shared" si="1"/>
        <v>Exceeds Target</v>
      </c>
    </row>
    <row r="2501" spans="2:11" ht="15" customHeight="1">
      <c r="B2501" t="s">
        <v>682</v>
      </c>
      <c r="C2501" t="s">
        <v>2895</v>
      </c>
      <c r="D2501" t="s">
        <v>35</v>
      </c>
      <c r="E2501" t="s">
        <v>27</v>
      </c>
      <c r="F2501" s="17">
        <v>3000</v>
      </c>
      <c r="G2501" s="17">
        <v>230000</v>
      </c>
      <c r="H2501" s="17">
        <v>227000</v>
      </c>
      <c r="I2501" s="18">
        <v>0.92</v>
      </c>
      <c r="J2501" s="14">
        <f t="shared" si="0"/>
        <v>75.666666666666671</v>
      </c>
      <c r="K2501" s="15" t="str">
        <f t="shared" si="1"/>
        <v>Exceeds Target</v>
      </c>
    </row>
    <row r="2502" spans="2:11" ht="15" customHeight="1">
      <c r="B2502" t="s">
        <v>401</v>
      </c>
      <c r="C2502" t="s">
        <v>2896</v>
      </c>
      <c r="D2502" t="s">
        <v>32</v>
      </c>
      <c r="E2502" t="s">
        <v>27</v>
      </c>
      <c r="F2502" s="17">
        <v>1500</v>
      </c>
      <c r="G2502" s="17">
        <v>54000</v>
      </c>
      <c r="H2502" s="17">
        <v>52500</v>
      </c>
      <c r="I2502" s="18">
        <v>0.36</v>
      </c>
      <c r="J2502" s="14">
        <f t="shared" si="0"/>
        <v>35</v>
      </c>
      <c r="K2502" s="15" t="str">
        <f t="shared" si="1"/>
        <v>Exceeds Target</v>
      </c>
    </row>
    <row r="2503" spans="2:11" ht="15" customHeight="1">
      <c r="B2503" t="s">
        <v>366</v>
      </c>
      <c r="C2503" t="s">
        <v>2897</v>
      </c>
      <c r="D2503" t="s">
        <v>35</v>
      </c>
      <c r="E2503" t="s">
        <v>27</v>
      </c>
      <c r="F2503" s="17">
        <v>3000</v>
      </c>
      <c r="G2503" s="17">
        <v>240000</v>
      </c>
      <c r="H2503" s="17">
        <v>237000</v>
      </c>
      <c r="I2503" s="18">
        <v>0.92</v>
      </c>
      <c r="J2503" s="14">
        <f t="shared" si="0"/>
        <v>79</v>
      </c>
      <c r="K2503" s="15" t="str">
        <f t="shared" si="1"/>
        <v>Exceeds Target</v>
      </c>
    </row>
    <row r="2504" spans="2:11" ht="15" customHeight="1">
      <c r="B2504" t="s">
        <v>199</v>
      </c>
      <c r="C2504" t="s">
        <v>2898</v>
      </c>
      <c r="D2504" t="s">
        <v>26</v>
      </c>
      <c r="E2504" t="s">
        <v>27</v>
      </c>
      <c r="F2504" s="17">
        <v>5000</v>
      </c>
      <c r="G2504" s="17">
        <v>90000</v>
      </c>
      <c r="H2504" s="17">
        <v>85000</v>
      </c>
      <c r="I2504" s="18">
        <v>0.34</v>
      </c>
      <c r="J2504" s="14">
        <f t="shared" si="0"/>
        <v>17</v>
      </c>
      <c r="K2504" s="15" t="str">
        <f t="shared" si="1"/>
        <v>Exceeds Target</v>
      </c>
    </row>
    <row r="2505" spans="2:11" ht="15" customHeight="1">
      <c r="B2505" t="s">
        <v>173</v>
      </c>
      <c r="C2505" t="s">
        <v>2899</v>
      </c>
      <c r="D2505" t="s">
        <v>69</v>
      </c>
      <c r="E2505" t="s">
        <v>70</v>
      </c>
      <c r="F2505" s="17">
        <v>1000</v>
      </c>
      <c r="G2505" s="17">
        <v>30000</v>
      </c>
      <c r="H2505" s="17">
        <v>29000</v>
      </c>
      <c r="I2505" s="18">
        <v>0.57999999999999996</v>
      </c>
      <c r="J2505" s="14">
        <f t="shared" si="0"/>
        <v>29</v>
      </c>
      <c r="K2505" s="15" t="str">
        <f t="shared" si="1"/>
        <v>Exceeds Target</v>
      </c>
    </row>
    <row r="2506" spans="2:11" ht="15" customHeight="1">
      <c r="B2506" t="s">
        <v>734</v>
      </c>
      <c r="C2506" t="s">
        <v>2900</v>
      </c>
      <c r="D2506" t="s">
        <v>69</v>
      </c>
      <c r="E2506" t="s">
        <v>70</v>
      </c>
      <c r="F2506" s="17">
        <v>1000</v>
      </c>
      <c r="G2506" s="17">
        <v>120000</v>
      </c>
      <c r="H2506" s="17">
        <v>119000</v>
      </c>
      <c r="I2506" s="18">
        <v>0.97</v>
      </c>
      <c r="J2506" s="14">
        <f t="shared" si="0"/>
        <v>119</v>
      </c>
      <c r="K2506" s="15" t="str">
        <f t="shared" si="1"/>
        <v>Exceeds Target</v>
      </c>
    </row>
    <row r="2507" spans="2:11" ht="15" customHeight="1">
      <c r="B2507" t="s">
        <v>240</v>
      </c>
      <c r="C2507" t="s">
        <v>2901</v>
      </c>
      <c r="D2507" t="s">
        <v>35</v>
      </c>
      <c r="E2507" t="s">
        <v>27</v>
      </c>
      <c r="F2507" s="17">
        <v>3000</v>
      </c>
      <c r="G2507" s="17">
        <v>240000</v>
      </c>
      <c r="H2507" s="17">
        <v>237000</v>
      </c>
      <c r="I2507" s="18">
        <v>0.89</v>
      </c>
      <c r="J2507" s="14">
        <f t="shared" si="0"/>
        <v>79</v>
      </c>
      <c r="K2507" s="15" t="str">
        <f t="shared" si="1"/>
        <v>Exceeds Target</v>
      </c>
    </row>
    <row r="2508" spans="2:11" ht="15" customHeight="1">
      <c r="B2508" t="s">
        <v>203</v>
      </c>
      <c r="C2508" t="s">
        <v>2902</v>
      </c>
      <c r="D2508" t="s">
        <v>69</v>
      </c>
      <c r="E2508" t="s">
        <v>70</v>
      </c>
      <c r="F2508" s="17">
        <v>1000</v>
      </c>
      <c r="G2508" s="17">
        <v>140000</v>
      </c>
      <c r="H2508" s="17">
        <v>139000</v>
      </c>
      <c r="I2508" s="18">
        <v>0.56000000000000005</v>
      </c>
      <c r="J2508" s="14">
        <f t="shared" si="0"/>
        <v>139</v>
      </c>
      <c r="K2508" s="15" t="str">
        <f t="shared" si="1"/>
        <v>Exceeds Target</v>
      </c>
    </row>
    <row r="2509" spans="2:11" ht="15" customHeight="1">
      <c r="B2509" t="s">
        <v>1477</v>
      </c>
      <c r="C2509" t="s">
        <v>2903</v>
      </c>
      <c r="D2509" t="s">
        <v>35</v>
      </c>
      <c r="E2509" t="s">
        <v>27</v>
      </c>
      <c r="F2509" s="17">
        <v>3000</v>
      </c>
      <c r="G2509" s="17">
        <v>100000</v>
      </c>
      <c r="H2509" s="17">
        <v>97000</v>
      </c>
      <c r="I2509" s="18">
        <v>0.87</v>
      </c>
      <c r="J2509" s="14">
        <f t="shared" si="0"/>
        <v>32.333333333333336</v>
      </c>
      <c r="K2509" s="15" t="str">
        <f t="shared" si="1"/>
        <v>Exceeds Target</v>
      </c>
    </row>
    <row r="2510" spans="2:11" ht="15" customHeight="1">
      <c r="B2510" t="s">
        <v>121</v>
      </c>
      <c r="C2510" t="s">
        <v>2904</v>
      </c>
      <c r="D2510" t="s">
        <v>35</v>
      </c>
      <c r="E2510" t="s">
        <v>27</v>
      </c>
      <c r="F2510" s="17">
        <v>3000</v>
      </c>
      <c r="G2510" s="17">
        <v>180000</v>
      </c>
      <c r="H2510" s="17">
        <v>177000</v>
      </c>
      <c r="I2510" s="18">
        <v>0.67</v>
      </c>
      <c r="J2510" s="14">
        <f t="shared" si="0"/>
        <v>59</v>
      </c>
      <c r="K2510" s="15" t="str">
        <f t="shared" si="1"/>
        <v>Exceeds Target</v>
      </c>
    </row>
    <row r="2511" spans="2:11" ht="15" customHeight="1">
      <c r="B2511" t="s">
        <v>411</v>
      </c>
      <c r="C2511" t="s">
        <v>2905</v>
      </c>
      <c r="D2511" t="s">
        <v>26</v>
      </c>
      <c r="E2511" t="s">
        <v>27</v>
      </c>
      <c r="F2511" s="17">
        <v>5000</v>
      </c>
      <c r="G2511" s="17">
        <v>60000</v>
      </c>
      <c r="H2511" s="17">
        <v>55000</v>
      </c>
      <c r="I2511" s="18">
        <v>0.43</v>
      </c>
      <c r="J2511" s="14">
        <f t="shared" si="0"/>
        <v>11</v>
      </c>
      <c r="K2511" s="15" t="str">
        <f t="shared" si="1"/>
        <v>Exceeds Target</v>
      </c>
    </row>
    <row r="2512" spans="2:11" ht="15" customHeight="1">
      <c r="B2512" t="s">
        <v>99</v>
      </c>
      <c r="C2512" t="s">
        <v>2906</v>
      </c>
      <c r="D2512" t="s">
        <v>69</v>
      </c>
      <c r="E2512" t="s">
        <v>70</v>
      </c>
      <c r="F2512" s="17">
        <v>1000</v>
      </c>
      <c r="G2512" s="17">
        <v>125000</v>
      </c>
      <c r="H2512" s="17">
        <v>124000</v>
      </c>
      <c r="I2512" s="18">
        <v>0.5</v>
      </c>
      <c r="J2512" s="14">
        <f t="shared" si="0"/>
        <v>124</v>
      </c>
      <c r="K2512" s="15" t="str">
        <f t="shared" si="1"/>
        <v>Exceeds Target</v>
      </c>
    </row>
    <row r="2513" spans="2:11" ht="15" customHeight="1">
      <c r="B2513" t="s">
        <v>307</v>
      </c>
      <c r="C2513" t="s">
        <v>2907</v>
      </c>
      <c r="D2513" t="s">
        <v>80</v>
      </c>
      <c r="E2513" t="s">
        <v>27</v>
      </c>
      <c r="F2513" s="17">
        <v>1000</v>
      </c>
      <c r="G2513" s="17">
        <v>63000</v>
      </c>
      <c r="H2513" s="17">
        <v>62000</v>
      </c>
      <c r="I2513" s="18">
        <v>0.84</v>
      </c>
      <c r="J2513" s="14">
        <f t="shared" si="0"/>
        <v>62</v>
      </c>
      <c r="K2513" s="15" t="str">
        <f t="shared" si="1"/>
        <v>Exceeds Target</v>
      </c>
    </row>
    <row r="2514" spans="2:11" ht="15" customHeight="1">
      <c r="B2514" t="s">
        <v>153</v>
      </c>
      <c r="C2514" t="s">
        <v>2908</v>
      </c>
      <c r="D2514" t="s">
        <v>69</v>
      </c>
      <c r="E2514" t="s">
        <v>70</v>
      </c>
      <c r="F2514" s="17">
        <v>1000</v>
      </c>
      <c r="G2514" s="17">
        <v>95000</v>
      </c>
      <c r="H2514" s="17">
        <v>94000</v>
      </c>
      <c r="I2514" s="18">
        <v>0.94</v>
      </c>
      <c r="J2514" s="14">
        <f t="shared" si="0"/>
        <v>94</v>
      </c>
      <c r="K2514" s="15" t="str">
        <f t="shared" si="1"/>
        <v>Exceeds Target</v>
      </c>
    </row>
    <row r="2515" spans="2:11" ht="15" customHeight="1">
      <c r="B2515" t="s">
        <v>347</v>
      </c>
      <c r="C2515" t="s">
        <v>2909</v>
      </c>
      <c r="D2515" t="s">
        <v>69</v>
      </c>
      <c r="E2515" t="s">
        <v>70</v>
      </c>
      <c r="F2515" s="17">
        <v>1000</v>
      </c>
      <c r="G2515" s="17">
        <v>95000</v>
      </c>
      <c r="H2515" s="17">
        <v>94000</v>
      </c>
      <c r="I2515" s="18">
        <v>0.43</v>
      </c>
      <c r="J2515" s="14">
        <f t="shared" si="0"/>
        <v>94</v>
      </c>
      <c r="K2515" s="15" t="str">
        <f t="shared" si="1"/>
        <v>Exceeds Target</v>
      </c>
    </row>
    <row r="2516" spans="2:11" ht="15" customHeight="1">
      <c r="B2516" t="s">
        <v>244</v>
      </c>
      <c r="C2516" t="s">
        <v>2910</v>
      </c>
      <c r="D2516" t="s">
        <v>69</v>
      </c>
      <c r="E2516" t="s">
        <v>70</v>
      </c>
      <c r="F2516" s="17">
        <v>1000</v>
      </c>
      <c r="G2516" s="17">
        <v>145000</v>
      </c>
      <c r="H2516" s="17">
        <v>144000</v>
      </c>
      <c r="I2516" s="18">
        <v>0.23</v>
      </c>
      <c r="J2516" s="14">
        <f t="shared" si="0"/>
        <v>144</v>
      </c>
      <c r="K2516" s="15" t="str">
        <f t="shared" si="1"/>
        <v>Exceeds Target</v>
      </c>
    </row>
    <row r="2517" spans="2:11" ht="15" customHeight="1">
      <c r="B2517" t="s">
        <v>143</v>
      </c>
      <c r="C2517" t="s">
        <v>2911</v>
      </c>
      <c r="D2517" t="s">
        <v>35</v>
      </c>
      <c r="E2517" t="s">
        <v>27</v>
      </c>
      <c r="F2517" s="17">
        <v>3000</v>
      </c>
      <c r="G2517" s="17">
        <v>180000</v>
      </c>
      <c r="H2517" s="17">
        <v>177000</v>
      </c>
      <c r="I2517" s="18">
        <v>0.74</v>
      </c>
      <c r="J2517" s="14">
        <f t="shared" si="0"/>
        <v>59</v>
      </c>
      <c r="K2517" s="15" t="str">
        <f t="shared" si="1"/>
        <v>Exceeds Target</v>
      </c>
    </row>
    <row r="2518" spans="2:11" ht="15" customHeight="1">
      <c r="B2518" t="s">
        <v>99</v>
      </c>
      <c r="C2518" t="s">
        <v>2912</v>
      </c>
      <c r="D2518" t="s">
        <v>69</v>
      </c>
      <c r="E2518" t="s">
        <v>70</v>
      </c>
      <c r="F2518" s="17">
        <v>1000</v>
      </c>
      <c r="G2518" s="17">
        <v>130000</v>
      </c>
      <c r="H2518" s="17">
        <v>129000</v>
      </c>
      <c r="I2518" s="18">
        <v>0.56000000000000005</v>
      </c>
      <c r="J2518" s="14">
        <f t="shared" si="0"/>
        <v>129</v>
      </c>
      <c r="K2518" s="15" t="str">
        <f t="shared" si="1"/>
        <v>Exceeds Target</v>
      </c>
    </row>
    <row r="2519" spans="2:11" ht="15" customHeight="1">
      <c r="B2519" t="s">
        <v>1210</v>
      </c>
      <c r="C2519" t="s">
        <v>2913</v>
      </c>
      <c r="D2519" t="s">
        <v>32</v>
      </c>
      <c r="E2519" t="s">
        <v>27</v>
      </c>
      <c r="F2519" s="17">
        <v>1500</v>
      </c>
      <c r="G2519" s="17">
        <v>20000</v>
      </c>
      <c r="H2519" s="17">
        <v>18500</v>
      </c>
      <c r="I2519" s="18">
        <v>0.98</v>
      </c>
      <c r="J2519" s="14">
        <f t="shared" si="0"/>
        <v>12.333333333333334</v>
      </c>
      <c r="K2519" s="15" t="str">
        <f t="shared" si="1"/>
        <v>Exceeds Target</v>
      </c>
    </row>
    <row r="2520" spans="2:11" ht="15" customHeight="1">
      <c r="B2520" t="s">
        <v>542</v>
      </c>
      <c r="C2520" t="s">
        <v>2914</v>
      </c>
      <c r="D2520" t="s">
        <v>69</v>
      </c>
      <c r="E2520" t="s">
        <v>70</v>
      </c>
      <c r="F2520" s="17">
        <v>1000</v>
      </c>
      <c r="G2520" s="17">
        <v>130000</v>
      </c>
      <c r="H2520" s="17">
        <v>129000</v>
      </c>
      <c r="I2520" s="18">
        <v>0.39</v>
      </c>
      <c r="J2520" s="14">
        <f t="shared" si="0"/>
        <v>129</v>
      </c>
      <c r="K2520" s="15" t="str">
        <f t="shared" si="1"/>
        <v>Exceeds Target</v>
      </c>
    </row>
    <row r="2521" spans="2:11" ht="15" customHeight="1">
      <c r="B2521" t="s">
        <v>1013</v>
      </c>
      <c r="C2521" t="s">
        <v>2915</v>
      </c>
      <c r="D2521" t="s">
        <v>26</v>
      </c>
      <c r="E2521" t="s">
        <v>27</v>
      </c>
      <c r="F2521" s="17">
        <v>5000</v>
      </c>
      <c r="G2521" s="17">
        <v>30000</v>
      </c>
      <c r="H2521" s="17">
        <v>25000</v>
      </c>
      <c r="I2521" s="18">
        <v>0.22</v>
      </c>
      <c r="J2521" s="14">
        <f t="shared" si="0"/>
        <v>5</v>
      </c>
      <c r="K2521" s="15" t="str">
        <f t="shared" si="1"/>
        <v>Exceeds Target</v>
      </c>
    </row>
    <row r="2522" spans="2:11" ht="15" customHeight="1">
      <c r="B2522" t="s">
        <v>496</v>
      </c>
      <c r="C2522" t="s">
        <v>2916</v>
      </c>
      <c r="D2522" t="s">
        <v>80</v>
      </c>
      <c r="E2522" t="s">
        <v>27</v>
      </c>
      <c r="F2522" s="17">
        <v>1000</v>
      </c>
      <c r="G2522" s="17">
        <v>111000</v>
      </c>
      <c r="H2522" s="17">
        <v>110000</v>
      </c>
      <c r="I2522" s="18">
        <v>0.81</v>
      </c>
      <c r="J2522" s="14">
        <f t="shared" si="0"/>
        <v>110</v>
      </c>
      <c r="K2522" s="15" t="str">
        <f t="shared" si="1"/>
        <v>Exceeds Target</v>
      </c>
    </row>
    <row r="2523" spans="2:11" ht="15" customHeight="1">
      <c r="B2523" t="s">
        <v>502</v>
      </c>
      <c r="C2523" t="s">
        <v>2917</v>
      </c>
      <c r="D2523" t="s">
        <v>32</v>
      </c>
      <c r="E2523" t="s">
        <v>27</v>
      </c>
      <c r="F2523" s="17">
        <v>1500</v>
      </c>
      <c r="G2523" s="17">
        <v>42000</v>
      </c>
      <c r="H2523" s="17">
        <v>40500</v>
      </c>
      <c r="I2523" s="18">
        <v>0.96</v>
      </c>
      <c r="J2523" s="14">
        <f t="shared" si="0"/>
        <v>27</v>
      </c>
      <c r="K2523" s="15" t="str">
        <f t="shared" si="1"/>
        <v>Exceeds Target</v>
      </c>
    </row>
    <row r="2524" spans="2:11" ht="15" customHeight="1">
      <c r="B2524" t="s">
        <v>1157</v>
      </c>
      <c r="C2524" t="s">
        <v>2918</v>
      </c>
      <c r="D2524" t="s">
        <v>32</v>
      </c>
      <c r="E2524" t="s">
        <v>27</v>
      </c>
      <c r="F2524" s="17">
        <v>1500</v>
      </c>
      <c r="G2524" s="17">
        <v>60000</v>
      </c>
      <c r="H2524" s="17">
        <v>58500</v>
      </c>
      <c r="I2524" s="18">
        <v>0.88</v>
      </c>
      <c r="J2524" s="14">
        <f t="shared" si="0"/>
        <v>39</v>
      </c>
      <c r="K2524" s="15" t="str">
        <f t="shared" si="1"/>
        <v>Exceeds Target</v>
      </c>
    </row>
    <row r="2525" spans="2:11" ht="15" customHeight="1">
      <c r="B2525" t="s">
        <v>205</v>
      </c>
      <c r="C2525" t="s">
        <v>2919</v>
      </c>
      <c r="D2525" t="s">
        <v>80</v>
      </c>
      <c r="E2525" t="s">
        <v>27</v>
      </c>
      <c r="F2525" s="17">
        <v>1000</v>
      </c>
      <c r="G2525" s="17">
        <v>111000</v>
      </c>
      <c r="H2525" s="17">
        <v>110000</v>
      </c>
      <c r="I2525" s="18">
        <v>0.96</v>
      </c>
      <c r="J2525" s="14">
        <f t="shared" si="0"/>
        <v>110</v>
      </c>
      <c r="K2525" s="15" t="str">
        <f t="shared" si="1"/>
        <v>Exceeds Target</v>
      </c>
    </row>
    <row r="2526" spans="2:11" ht="15" customHeight="1">
      <c r="B2526" t="s">
        <v>1176</v>
      </c>
      <c r="C2526" t="s">
        <v>2920</v>
      </c>
      <c r="D2526" t="s">
        <v>80</v>
      </c>
      <c r="E2526" t="s">
        <v>27</v>
      </c>
      <c r="F2526" s="17">
        <v>1000</v>
      </c>
      <c r="G2526" s="17">
        <v>45000</v>
      </c>
      <c r="H2526" s="17">
        <v>44000</v>
      </c>
      <c r="I2526" s="18">
        <v>0.89</v>
      </c>
      <c r="J2526" s="14">
        <f t="shared" si="0"/>
        <v>44</v>
      </c>
      <c r="K2526" s="15" t="str">
        <f t="shared" si="1"/>
        <v>Exceeds Target</v>
      </c>
    </row>
    <row r="2527" spans="2:11" ht="15" customHeight="1">
      <c r="B2527" t="s">
        <v>577</v>
      </c>
      <c r="C2527" t="s">
        <v>2921</v>
      </c>
      <c r="D2527" t="s">
        <v>69</v>
      </c>
      <c r="E2527" t="s">
        <v>70</v>
      </c>
      <c r="F2527" s="17">
        <v>1000</v>
      </c>
      <c r="G2527" s="17">
        <v>105000</v>
      </c>
      <c r="H2527" s="17">
        <v>104000</v>
      </c>
      <c r="I2527" s="18">
        <v>0.22</v>
      </c>
      <c r="J2527" s="14">
        <f t="shared" si="0"/>
        <v>104</v>
      </c>
      <c r="K2527" s="15" t="str">
        <f t="shared" si="1"/>
        <v>Exceeds Target</v>
      </c>
    </row>
    <row r="2528" spans="2:11" ht="15" customHeight="1">
      <c r="B2528" t="s">
        <v>964</v>
      </c>
      <c r="C2528" t="s">
        <v>2922</v>
      </c>
      <c r="D2528" t="s">
        <v>69</v>
      </c>
      <c r="E2528" t="s">
        <v>70</v>
      </c>
      <c r="F2528" s="17">
        <v>1000</v>
      </c>
      <c r="G2528" s="17">
        <v>55000</v>
      </c>
      <c r="H2528" s="17">
        <v>54000</v>
      </c>
      <c r="I2528" s="18">
        <v>0.47</v>
      </c>
      <c r="J2528" s="14">
        <f t="shared" si="0"/>
        <v>54</v>
      </c>
      <c r="K2528" s="15" t="str">
        <f t="shared" si="1"/>
        <v>Exceeds Target</v>
      </c>
    </row>
    <row r="2529" spans="2:11" ht="15" customHeight="1">
      <c r="B2529" t="s">
        <v>892</v>
      </c>
      <c r="C2529" t="s">
        <v>2923</v>
      </c>
      <c r="D2529" t="s">
        <v>32</v>
      </c>
      <c r="E2529" t="s">
        <v>27</v>
      </c>
      <c r="F2529" s="17">
        <v>1500</v>
      </c>
      <c r="G2529" s="17">
        <v>60000</v>
      </c>
      <c r="H2529" s="17">
        <v>58500</v>
      </c>
      <c r="I2529" s="18">
        <v>0.36</v>
      </c>
      <c r="J2529" s="14">
        <f t="shared" si="0"/>
        <v>39</v>
      </c>
      <c r="K2529" s="15" t="str">
        <f t="shared" si="1"/>
        <v>Exceeds Target</v>
      </c>
    </row>
    <row r="2530" spans="2:11" ht="15" customHeight="1">
      <c r="B2530" t="s">
        <v>309</v>
      </c>
      <c r="C2530" t="s">
        <v>2924</v>
      </c>
      <c r="D2530" t="s">
        <v>32</v>
      </c>
      <c r="E2530" t="s">
        <v>27</v>
      </c>
      <c r="F2530" s="17">
        <v>1500</v>
      </c>
      <c r="G2530" s="17">
        <v>36000</v>
      </c>
      <c r="H2530" s="17">
        <v>34500</v>
      </c>
      <c r="I2530" s="18">
        <v>0.63</v>
      </c>
      <c r="J2530" s="14">
        <f t="shared" si="0"/>
        <v>23</v>
      </c>
      <c r="K2530" s="15" t="str">
        <f t="shared" si="1"/>
        <v>Exceeds Target</v>
      </c>
    </row>
    <row r="2531" spans="2:11" ht="15" customHeight="1">
      <c r="B2531" t="s">
        <v>932</v>
      </c>
      <c r="C2531" t="s">
        <v>2925</v>
      </c>
      <c r="D2531" t="s">
        <v>80</v>
      </c>
      <c r="E2531" t="s">
        <v>27</v>
      </c>
      <c r="F2531" s="17">
        <v>1000</v>
      </c>
      <c r="G2531" s="17">
        <v>105000</v>
      </c>
      <c r="H2531" s="17">
        <v>104000</v>
      </c>
      <c r="I2531" s="18">
        <v>0.53</v>
      </c>
      <c r="J2531" s="14">
        <f t="shared" si="0"/>
        <v>104</v>
      </c>
      <c r="K2531" s="15" t="str">
        <f t="shared" si="1"/>
        <v>Exceeds Target</v>
      </c>
    </row>
    <row r="2532" spans="2:11" ht="15" customHeight="1">
      <c r="B2532" t="s">
        <v>471</v>
      </c>
      <c r="C2532" t="s">
        <v>2926</v>
      </c>
      <c r="D2532" t="s">
        <v>26</v>
      </c>
      <c r="E2532" t="s">
        <v>27</v>
      </c>
      <c r="F2532" s="17">
        <v>5000</v>
      </c>
      <c r="G2532" s="17">
        <v>120000</v>
      </c>
      <c r="H2532" s="17">
        <v>115000</v>
      </c>
      <c r="I2532" s="18">
        <v>0.28000000000000003</v>
      </c>
      <c r="J2532" s="14">
        <f t="shared" si="0"/>
        <v>23</v>
      </c>
      <c r="K2532" s="15" t="str">
        <f t="shared" si="1"/>
        <v>Exceeds Target</v>
      </c>
    </row>
    <row r="2533" spans="2:11" ht="15" customHeight="1">
      <c r="B2533" t="s">
        <v>1122</v>
      </c>
      <c r="C2533" t="s">
        <v>2927</v>
      </c>
      <c r="D2533" t="s">
        <v>26</v>
      </c>
      <c r="E2533" t="s">
        <v>27</v>
      </c>
      <c r="F2533" s="17">
        <v>5000</v>
      </c>
      <c r="G2533" s="17">
        <v>120000</v>
      </c>
      <c r="H2533" s="17">
        <v>115000</v>
      </c>
      <c r="I2533" s="18">
        <v>0.18</v>
      </c>
      <c r="J2533" s="14">
        <f t="shared" si="0"/>
        <v>23</v>
      </c>
      <c r="K2533" s="15" t="str">
        <f t="shared" si="1"/>
        <v>Exceeds Target</v>
      </c>
    </row>
    <row r="2534" spans="2:11" ht="15" customHeight="1">
      <c r="B2534" t="s">
        <v>491</v>
      </c>
      <c r="C2534" t="s">
        <v>2928</v>
      </c>
      <c r="D2534" t="s">
        <v>35</v>
      </c>
      <c r="E2534" t="s">
        <v>27</v>
      </c>
      <c r="F2534" s="17">
        <v>3000</v>
      </c>
      <c r="G2534" s="17">
        <v>250000</v>
      </c>
      <c r="H2534" s="17">
        <v>247000</v>
      </c>
      <c r="I2534" s="18">
        <v>0.27</v>
      </c>
      <c r="J2534" s="14">
        <f t="shared" si="0"/>
        <v>82.333333333333329</v>
      </c>
      <c r="K2534" s="15" t="str">
        <f t="shared" si="1"/>
        <v>Exceeds Target</v>
      </c>
    </row>
    <row r="2535" spans="2:11" ht="15" customHeight="1">
      <c r="B2535" t="s">
        <v>892</v>
      </c>
      <c r="C2535" t="s">
        <v>2929</v>
      </c>
      <c r="D2535" t="s">
        <v>26</v>
      </c>
      <c r="E2535" t="s">
        <v>27</v>
      </c>
      <c r="F2535" s="17">
        <v>5000</v>
      </c>
      <c r="G2535" s="17">
        <v>90000</v>
      </c>
      <c r="H2535" s="17">
        <v>85000</v>
      </c>
      <c r="I2535" s="18">
        <v>0.35</v>
      </c>
      <c r="J2535" s="14">
        <f t="shared" si="0"/>
        <v>17</v>
      </c>
      <c r="K2535" s="15" t="str">
        <f t="shared" si="1"/>
        <v>Exceeds Target</v>
      </c>
    </row>
    <row r="2536" spans="2:11" ht="15" customHeight="1">
      <c r="B2536" t="s">
        <v>679</v>
      </c>
      <c r="C2536" t="s">
        <v>2930</v>
      </c>
      <c r="D2536" t="s">
        <v>80</v>
      </c>
      <c r="E2536" t="s">
        <v>27</v>
      </c>
      <c r="F2536" s="17">
        <v>1000</v>
      </c>
      <c r="G2536" s="17">
        <v>90000</v>
      </c>
      <c r="H2536" s="17">
        <v>89000</v>
      </c>
      <c r="I2536" s="18">
        <v>0.84</v>
      </c>
      <c r="J2536" s="14">
        <f t="shared" si="0"/>
        <v>89</v>
      </c>
      <c r="K2536" s="15" t="str">
        <f t="shared" si="1"/>
        <v>Exceeds Target</v>
      </c>
    </row>
    <row r="2537" spans="2:11" ht="15" customHeight="1">
      <c r="B2537" t="s">
        <v>223</v>
      </c>
      <c r="C2537" t="s">
        <v>2931</v>
      </c>
      <c r="D2537" t="s">
        <v>32</v>
      </c>
      <c r="E2537" t="s">
        <v>27</v>
      </c>
      <c r="F2537" s="17">
        <v>1500</v>
      </c>
      <c r="G2537" s="17">
        <v>18000</v>
      </c>
      <c r="H2537" s="17">
        <v>16500</v>
      </c>
      <c r="I2537" s="18">
        <v>0.93</v>
      </c>
      <c r="J2537" s="14">
        <f t="shared" si="0"/>
        <v>11</v>
      </c>
      <c r="K2537" s="15" t="str">
        <f t="shared" si="1"/>
        <v>Exceeds Target</v>
      </c>
    </row>
    <row r="2538" spans="2:11" ht="15" customHeight="1">
      <c r="B2538" t="s">
        <v>646</v>
      </c>
      <c r="C2538" t="s">
        <v>2932</v>
      </c>
      <c r="D2538" t="s">
        <v>35</v>
      </c>
      <c r="E2538" t="s">
        <v>27</v>
      </c>
      <c r="F2538" s="17">
        <v>3000</v>
      </c>
      <c r="G2538" s="17">
        <v>130000</v>
      </c>
      <c r="H2538" s="17">
        <v>127000</v>
      </c>
      <c r="I2538" s="18">
        <v>0.81</v>
      </c>
      <c r="J2538" s="14">
        <f t="shared" si="0"/>
        <v>42.333333333333336</v>
      </c>
      <c r="K2538" s="15" t="str">
        <f t="shared" si="1"/>
        <v>Exceeds Target</v>
      </c>
    </row>
    <row r="2539" spans="2:11" ht="15" customHeight="1">
      <c r="B2539" t="s">
        <v>259</v>
      </c>
      <c r="C2539" t="s">
        <v>2933</v>
      </c>
      <c r="D2539" t="s">
        <v>80</v>
      </c>
      <c r="E2539" t="s">
        <v>27</v>
      </c>
      <c r="F2539" s="17">
        <v>1000</v>
      </c>
      <c r="G2539" s="17">
        <v>75000</v>
      </c>
      <c r="H2539" s="17">
        <v>74000</v>
      </c>
      <c r="I2539" s="18">
        <v>0.78</v>
      </c>
      <c r="J2539" s="14">
        <f t="shared" si="0"/>
        <v>74</v>
      </c>
      <c r="K2539" s="15" t="str">
        <f t="shared" si="1"/>
        <v>Exceeds Target</v>
      </c>
    </row>
    <row r="2540" spans="2:11" ht="15" customHeight="1">
      <c r="B2540" t="s">
        <v>582</v>
      </c>
      <c r="C2540" t="s">
        <v>2934</v>
      </c>
      <c r="D2540" t="s">
        <v>32</v>
      </c>
      <c r="E2540" t="s">
        <v>27</v>
      </c>
      <c r="F2540" s="17">
        <v>1500</v>
      </c>
      <c r="G2540" s="17">
        <v>28000</v>
      </c>
      <c r="H2540" s="17">
        <v>26500</v>
      </c>
      <c r="I2540" s="18">
        <v>0.97</v>
      </c>
      <c r="J2540" s="14">
        <f t="shared" si="0"/>
        <v>17.666666666666668</v>
      </c>
      <c r="K2540" s="15" t="str">
        <f t="shared" si="1"/>
        <v>Exceeds Target</v>
      </c>
    </row>
    <row r="2541" spans="2:11" ht="15" customHeight="1">
      <c r="B2541" t="s">
        <v>452</v>
      </c>
      <c r="C2541" t="s">
        <v>2935</v>
      </c>
      <c r="D2541" t="s">
        <v>26</v>
      </c>
      <c r="E2541" t="s">
        <v>27</v>
      </c>
      <c r="F2541" s="17">
        <v>5000</v>
      </c>
      <c r="G2541" s="17">
        <v>90000</v>
      </c>
      <c r="H2541" s="17">
        <v>85000</v>
      </c>
      <c r="I2541" s="18">
        <v>0.38</v>
      </c>
      <c r="J2541" s="14">
        <f t="shared" si="0"/>
        <v>17</v>
      </c>
      <c r="K2541" s="15" t="str">
        <f t="shared" si="1"/>
        <v>Exceeds Target</v>
      </c>
    </row>
    <row r="2542" spans="2:11" ht="15" customHeight="1">
      <c r="B2542" t="s">
        <v>95</v>
      </c>
      <c r="C2542" t="s">
        <v>2936</v>
      </c>
      <c r="D2542" t="s">
        <v>80</v>
      </c>
      <c r="E2542" t="s">
        <v>27</v>
      </c>
      <c r="F2542" s="17">
        <v>1000</v>
      </c>
      <c r="G2542" s="17">
        <v>99000</v>
      </c>
      <c r="H2542" s="17">
        <v>98000</v>
      </c>
      <c r="I2542" s="18">
        <v>0.93</v>
      </c>
      <c r="J2542" s="14">
        <f t="shared" si="0"/>
        <v>98</v>
      </c>
      <c r="K2542" s="15" t="str">
        <f t="shared" si="1"/>
        <v>Exceeds Target</v>
      </c>
    </row>
    <row r="2543" spans="2:11" ht="15" customHeight="1">
      <c r="B2543" t="s">
        <v>91</v>
      </c>
      <c r="C2543" t="s">
        <v>2937</v>
      </c>
      <c r="D2543" t="s">
        <v>35</v>
      </c>
      <c r="E2543" t="s">
        <v>27</v>
      </c>
      <c r="F2543" s="17">
        <v>3000</v>
      </c>
      <c r="G2543" s="17">
        <v>70000</v>
      </c>
      <c r="H2543" s="17">
        <v>67000</v>
      </c>
      <c r="I2543" s="18">
        <v>0.5</v>
      </c>
      <c r="J2543" s="14">
        <f t="shared" si="0"/>
        <v>22.333333333333332</v>
      </c>
      <c r="K2543" s="15" t="str">
        <f t="shared" si="1"/>
        <v>Exceeds Target</v>
      </c>
    </row>
    <row r="2544" spans="2:11" ht="15" customHeight="1">
      <c r="B2544" t="s">
        <v>857</v>
      </c>
      <c r="C2544" t="s">
        <v>2938</v>
      </c>
      <c r="D2544" t="s">
        <v>32</v>
      </c>
      <c r="E2544" t="s">
        <v>27</v>
      </c>
      <c r="F2544" s="17">
        <v>1500</v>
      </c>
      <c r="G2544" s="17">
        <v>56000</v>
      </c>
      <c r="H2544" s="17">
        <v>54500</v>
      </c>
      <c r="I2544" s="18">
        <v>0.86</v>
      </c>
      <c r="J2544" s="14">
        <f t="shared" si="0"/>
        <v>36.333333333333336</v>
      </c>
      <c r="K2544" s="15" t="str">
        <f t="shared" si="1"/>
        <v>Exceeds Target</v>
      </c>
    </row>
    <row r="2545" spans="2:11" ht="15" customHeight="1">
      <c r="B2545" t="s">
        <v>754</v>
      </c>
      <c r="C2545" t="s">
        <v>2939</v>
      </c>
      <c r="D2545" t="s">
        <v>69</v>
      </c>
      <c r="E2545" t="s">
        <v>70</v>
      </c>
      <c r="F2545" s="17">
        <v>1000</v>
      </c>
      <c r="G2545" s="17">
        <v>85000</v>
      </c>
      <c r="H2545" s="17">
        <v>84000</v>
      </c>
      <c r="I2545" s="18">
        <v>0.77</v>
      </c>
      <c r="J2545" s="14">
        <f t="shared" si="0"/>
        <v>84</v>
      </c>
      <c r="K2545" s="15" t="str">
        <f t="shared" si="1"/>
        <v>Exceeds Target</v>
      </c>
    </row>
    <row r="2546" spans="2:11" ht="15" customHeight="1">
      <c r="B2546" t="s">
        <v>1841</v>
      </c>
      <c r="C2546" t="s">
        <v>2940</v>
      </c>
      <c r="D2546" t="s">
        <v>69</v>
      </c>
      <c r="E2546" t="s">
        <v>70</v>
      </c>
      <c r="F2546" s="17">
        <v>1000</v>
      </c>
      <c r="G2546" s="17">
        <v>120000</v>
      </c>
      <c r="H2546" s="17">
        <v>119000</v>
      </c>
      <c r="I2546" s="18">
        <v>0.51</v>
      </c>
      <c r="J2546" s="14">
        <f t="shared" si="0"/>
        <v>119</v>
      </c>
      <c r="K2546" s="15" t="str">
        <f t="shared" si="1"/>
        <v>Exceeds Target</v>
      </c>
    </row>
    <row r="2547" spans="2:11" ht="15" customHeight="1">
      <c r="B2547" t="s">
        <v>125</v>
      </c>
      <c r="C2547" t="s">
        <v>2941</v>
      </c>
      <c r="D2547" t="s">
        <v>26</v>
      </c>
      <c r="E2547" t="s">
        <v>27</v>
      </c>
      <c r="F2547" s="17">
        <v>5000</v>
      </c>
      <c r="G2547" s="17">
        <v>90000</v>
      </c>
      <c r="H2547" s="17">
        <v>85000</v>
      </c>
      <c r="I2547" s="18">
        <v>0.14000000000000001</v>
      </c>
      <c r="J2547" s="14">
        <f t="shared" si="0"/>
        <v>17</v>
      </c>
      <c r="K2547" s="15" t="str">
        <f t="shared" si="1"/>
        <v>Exceeds Target</v>
      </c>
    </row>
    <row r="2548" spans="2:11" ht="15" customHeight="1">
      <c r="B2548" t="s">
        <v>841</v>
      </c>
      <c r="C2548" t="s">
        <v>2942</v>
      </c>
      <c r="D2548" t="s">
        <v>69</v>
      </c>
      <c r="E2548" t="s">
        <v>70</v>
      </c>
      <c r="F2548" s="17">
        <v>1000</v>
      </c>
      <c r="G2548" s="17">
        <v>75000</v>
      </c>
      <c r="H2548" s="17">
        <v>74000</v>
      </c>
      <c r="I2548" s="18">
        <v>0.69</v>
      </c>
      <c r="J2548" s="14">
        <f t="shared" si="0"/>
        <v>74</v>
      </c>
      <c r="K2548" s="15" t="str">
        <f t="shared" si="1"/>
        <v>Exceeds Target</v>
      </c>
    </row>
    <row r="2549" spans="2:11" ht="15" customHeight="1">
      <c r="B2549" t="s">
        <v>628</v>
      </c>
      <c r="C2549" t="s">
        <v>2943</v>
      </c>
      <c r="D2549" t="s">
        <v>26</v>
      </c>
      <c r="E2549" t="s">
        <v>27</v>
      </c>
      <c r="F2549" s="17">
        <v>5000</v>
      </c>
      <c r="G2549" s="17">
        <v>30000</v>
      </c>
      <c r="H2549" s="17">
        <v>25000</v>
      </c>
      <c r="I2549" s="18">
        <v>0.3</v>
      </c>
      <c r="J2549" s="14">
        <f t="shared" si="0"/>
        <v>5</v>
      </c>
      <c r="K2549" s="15" t="str">
        <f t="shared" si="1"/>
        <v>Exceeds Target</v>
      </c>
    </row>
    <row r="2550" spans="2:11" ht="15" customHeight="1">
      <c r="B2550" t="s">
        <v>315</v>
      </c>
      <c r="C2550" t="s">
        <v>2944</v>
      </c>
      <c r="D2550" t="s">
        <v>26</v>
      </c>
      <c r="E2550" t="s">
        <v>27</v>
      </c>
      <c r="F2550" s="17">
        <v>5000</v>
      </c>
      <c r="G2550" s="17">
        <v>120000</v>
      </c>
      <c r="H2550" s="17">
        <v>115000</v>
      </c>
      <c r="I2550" s="18">
        <v>0.47</v>
      </c>
      <c r="J2550" s="14">
        <f t="shared" si="0"/>
        <v>23</v>
      </c>
      <c r="K2550" s="15" t="str">
        <f t="shared" si="1"/>
        <v>Exceeds Target</v>
      </c>
    </row>
    <row r="2551" spans="2:11" ht="15" customHeight="1">
      <c r="B2551" t="s">
        <v>157</v>
      </c>
      <c r="C2551" t="s">
        <v>2945</v>
      </c>
      <c r="D2551" t="s">
        <v>35</v>
      </c>
      <c r="E2551" t="s">
        <v>27</v>
      </c>
      <c r="F2551" s="17">
        <v>3000</v>
      </c>
      <c r="G2551" s="17">
        <v>90000</v>
      </c>
      <c r="H2551" s="17">
        <v>87000</v>
      </c>
      <c r="I2551" s="18">
        <v>0.77</v>
      </c>
      <c r="J2551" s="14">
        <f t="shared" si="0"/>
        <v>29</v>
      </c>
      <c r="K2551" s="15" t="str">
        <f t="shared" si="1"/>
        <v>Exceeds Target</v>
      </c>
    </row>
    <row r="2552" spans="2:11" ht="15" customHeight="1">
      <c r="B2552" t="s">
        <v>223</v>
      </c>
      <c r="C2552" t="s">
        <v>2946</v>
      </c>
      <c r="D2552" t="s">
        <v>69</v>
      </c>
      <c r="E2552" t="s">
        <v>70</v>
      </c>
      <c r="F2552" s="17">
        <v>1000</v>
      </c>
      <c r="G2552" s="17">
        <v>150000</v>
      </c>
      <c r="H2552" s="17">
        <v>149000</v>
      </c>
      <c r="I2552" s="18">
        <v>0.73</v>
      </c>
      <c r="J2552" s="14">
        <f t="shared" si="0"/>
        <v>149</v>
      </c>
      <c r="K2552" s="15" t="str">
        <f t="shared" si="1"/>
        <v>Exceeds Target</v>
      </c>
    </row>
    <row r="2553" spans="2:11" ht="15" customHeight="1">
      <c r="B2553" t="s">
        <v>857</v>
      </c>
      <c r="C2553" t="s">
        <v>2947</v>
      </c>
      <c r="D2553" t="s">
        <v>32</v>
      </c>
      <c r="E2553" t="s">
        <v>27</v>
      </c>
      <c r="F2553" s="17">
        <v>1500</v>
      </c>
      <c r="G2553" s="17">
        <v>38000</v>
      </c>
      <c r="H2553" s="17">
        <v>36500</v>
      </c>
      <c r="I2553" s="18">
        <v>0.94</v>
      </c>
      <c r="J2553" s="14">
        <f t="shared" si="0"/>
        <v>24.333333333333332</v>
      </c>
      <c r="K2553" s="15" t="str">
        <f t="shared" si="1"/>
        <v>Exceeds Target</v>
      </c>
    </row>
    <row r="2554" spans="2:11" ht="15" customHeight="1">
      <c r="B2554" t="s">
        <v>1083</v>
      </c>
      <c r="C2554" t="s">
        <v>2948</v>
      </c>
      <c r="D2554" t="s">
        <v>80</v>
      </c>
      <c r="E2554" t="s">
        <v>27</v>
      </c>
      <c r="F2554" s="17">
        <v>1000</v>
      </c>
      <c r="G2554" s="17">
        <v>66000</v>
      </c>
      <c r="H2554" s="17">
        <v>65000</v>
      </c>
      <c r="I2554" s="18">
        <v>0.88</v>
      </c>
      <c r="J2554" s="14">
        <f t="shared" si="0"/>
        <v>65</v>
      </c>
      <c r="K2554" s="15" t="str">
        <f t="shared" si="1"/>
        <v>Exceeds Target</v>
      </c>
    </row>
    <row r="2555" spans="2:11" ht="15" customHeight="1">
      <c r="B2555" t="s">
        <v>496</v>
      </c>
      <c r="C2555" t="s">
        <v>2949</v>
      </c>
      <c r="D2555" t="s">
        <v>35</v>
      </c>
      <c r="E2555" t="s">
        <v>27</v>
      </c>
      <c r="F2555" s="17">
        <v>3000</v>
      </c>
      <c r="G2555" s="17">
        <v>250000</v>
      </c>
      <c r="H2555" s="17">
        <v>247000</v>
      </c>
      <c r="I2555" s="18">
        <v>0.59</v>
      </c>
      <c r="J2555" s="14">
        <f t="shared" si="0"/>
        <v>82.333333333333329</v>
      </c>
      <c r="K2555" s="15" t="str">
        <f t="shared" si="1"/>
        <v>Exceeds Target</v>
      </c>
    </row>
    <row r="2556" spans="2:11" ht="15" customHeight="1">
      <c r="B2556" t="s">
        <v>462</v>
      </c>
      <c r="C2556" t="s">
        <v>2950</v>
      </c>
      <c r="D2556" t="s">
        <v>80</v>
      </c>
      <c r="E2556" t="s">
        <v>27</v>
      </c>
      <c r="F2556" s="17">
        <v>1000</v>
      </c>
      <c r="G2556" s="17">
        <v>84000</v>
      </c>
      <c r="H2556" s="17">
        <v>83000</v>
      </c>
      <c r="I2556" s="18">
        <v>0.64</v>
      </c>
      <c r="J2556" s="14">
        <f t="shared" si="0"/>
        <v>83</v>
      </c>
      <c r="K2556" s="15" t="str">
        <f t="shared" si="1"/>
        <v>Exceeds Target</v>
      </c>
    </row>
    <row r="2557" spans="2:11" ht="15" customHeight="1">
      <c r="B2557" t="s">
        <v>234</v>
      </c>
      <c r="C2557" t="s">
        <v>2951</v>
      </c>
      <c r="D2557" t="s">
        <v>69</v>
      </c>
      <c r="E2557" t="s">
        <v>70</v>
      </c>
      <c r="F2557" s="17">
        <v>1000</v>
      </c>
      <c r="G2557" s="17">
        <v>100000</v>
      </c>
      <c r="H2557" s="17">
        <v>99000</v>
      </c>
      <c r="I2557" s="18">
        <v>1</v>
      </c>
      <c r="J2557" s="14">
        <f t="shared" si="0"/>
        <v>99</v>
      </c>
      <c r="K2557" s="15" t="str">
        <f t="shared" si="1"/>
        <v>Exceeds Target</v>
      </c>
    </row>
    <row r="2558" spans="2:11" ht="15" customHeight="1">
      <c r="B2558" t="s">
        <v>309</v>
      </c>
      <c r="C2558" t="s">
        <v>2952</v>
      </c>
      <c r="D2558" t="s">
        <v>69</v>
      </c>
      <c r="E2558" t="s">
        <v>70</v>
      </c>
      <c r="F2558" s="17">
        <v>1000</v>
      </c>
      <c r="G2558" s="17">
        <v>55000</v>
      </c>
      <c r="H2558" s="17">
        <v>54000</v>
      </c>
      <c r="I2558" s="18">
        <v>0.69</v>
      </c>
      <c r="J2558" s="14">
        <f t="shared" si="0"/>
        <v>54</v>
      </c>
      <c r="K2558" s="15" t="str">
        <f t="shared" si="1"/>
        <v>Exceeds Target</v>
      </c>
    </row>
    <row r="2559" spans="2:11" ht="15" customHeight="1">
      <c r="B2559" t="s">
        <v>899</v>
      </c>
      <c r="C2559" t="s">
        <v>2953</v>
      </c>
      <c r="D2559" t="s">
        <v>69</v>
      </c>
      <c r="E2559" t="s">
        <v>70</v>
      </c>
      <c r="F2559" s="17">
        <v>1000</v>
      </c>
      <c r="G2559" s="17">
        <v>50000</v>
      </c>
      <c r="H2559" s="17">
        <v>49000</v>
      </c>
      <c r="I2559" s="18">
        <v>0.92</v>
      </c>
      <c r="J2559" s="14">
        <f t="shared" si="0"/>
        <v>49</v>
      </c>
      <c r="K2559" s="15" t="str">
        <f t="shared" si="1"/>
        <v>Exceeds Target</v>
      </c>
    </row>
    <row r="2560" spans="2:11" ht="15" customHeight="1">
      <c r="B2560" t="s">
        <v>604</v>
      </c>
      <c r="C2560" t="s">
        <v>2954</v>
      </c>
      <c r="D2560" t="s">
        <v>69</v>
      </c>
      <c r="E2560" t="s">
        <v>70</v>
      </c>
      <c r="F2560" s="17">
        <v>1000</v>
      </c>
      <c r="G2560" s="17">
        <v>30000</v>
      </c>
      <c r="H2560" s="17">
        <v>29000</v>
      </c>
      <c r="I2560" s="18">
        <v>0.67</v>
      </c>
      <c r="J2560" s="14">
        <f t="shared" si="0"/>
        <v>29</v>
      </c>
      <c r="K2560" s="15" t="str">
        <f t="shared" si="1"/>
        <v>Exceeds Target</v>
      </c>
    </row>
    <row r="2561" spans="2:11" ht="15" customHeight="1">
      <c r="B2561" t="s">
        <v>999</v>
      </c>
      <c r="C2561" t="s">
        <v>2955</v>
      </c>
      <c r="D2561" t="s">
        <v>69</v>
      </c>
      <c r="E2561" t="s">
        <v>70</v>
      </c>
      <c r="F2561" s="17">
        <v>1000</v>
      </c>
      <c r="G2561" s="17">
        <v>150000</v>
      </c>
      <c r="H2561" s="17">
        <v>149000</v>
      </c>
      <c r="I2561" s="18">
        <v>0.56999999999999995</v>
      </c>
      <c r="J2561" s="14">
        <f t="shared" si="0"/>
        <v>149</v>
      </c>
      <c r="K2561" s="15" t="str">
        <f t="shared" si="1"/>
        <v>Exceeds Target</v>
      </c>
    </row>
    <row r="2562" spans="2:11" ht="15" customHeight="1">
      <c r="B2562" t="s">
        <v>337</v>
      </c>
      <c r="C2562" t="s">
        <v>2956</v>
      </c>
      <c r="D2562" t="s">
        <v>69</v>
      </c>
      <c r="E2562" t="s">
        <v>70</v>
      </c>
      <c r="F2562" s="17">
        <v>1000</v>
      </c>
      <c r="G2562" s="17">
        <v>55000</v>
      </c>
      <c r="H2562" s="17">
        <v>54000</v>
      </c>
      <c r="I2562" s="18">
        <v>0.53</v>
      </c>
      <c r="J2562" s="14">
        <f t="shared" si="0"/>
        <v>54</v>
      </c>
      <c r="K2562" s="15" t="str">
        <f t="shared" si="1"/>
        <v>Exceeds Target</v>
      </c>
    </row>
    <row r="2563" spans="2:11" ht="15" customHeight="1">
      <c r="B2563" t="s">
        <v>1462</v>
      </c>
      <c r="C2563" t="s">
        <v>2957</v>
      </c>
      <c r="D2563" t="s">
        <v>80</v>
      </c>
      <c r="E2563" t="s">
        <v>27</v>
      </c>
      <c r="F2563" s="17">
        <v>1000</v>
      </c>
      <c r="G2563" s="17">
        <v>84000</v>
      </c>
      <c r="H2563" s="17">
        <v>83000</v>
      </c>
      <c r="I2563" s="18">
        <v>0.78</v>
      </c>
      <c r="J2563" s="14">
        <f t="shared" si="0"/>
        <v>83</v>
      </c>
      <c r="K2563" s="15" t="str">
        <f t="shared" si="1"/>
        <v>Exceeds Target</v>
      </c>
    </row>
    <row r="2564" spans="2:11" ht="15" customHeight="1">
      <c r="B2564" t="s">
        <v>359</v>
      </c>
      <c r="C2564" t="s">
        <v>2958</v>
      </c>
      <c r="D2564" t="s">
        <v>26</v>
      </c>
      <c r="E2564" t="s">
        <v>27</v>
      </c>
      <c r="F2564" s="17">
        <v>5000</v>
      </c>
      <c r="G2564" s="17">
        <v>60000</v>
      </c>
      <c r="H2564" s="17">
        <v>55000</v>
      </c>
      <c r="I2564" s="18">
        <v>0.47</v>
      </c>
      <c r="J2564" s="14">
        <f t="shared" si="0"/>
        <v>11</v>
      </c>
      <c r="K2564" s="15" t="str">
        <f t="shared" si="1"/>
        <v>Exceeds Target</v>
      </c>
    </row>
    <row r="2565" spans="2:11" ht="15" customHeight="1">
      <c r="B2565" t="s">
        <v>91</v>
      </c>
      <c r="C2565" t="s">
        <v>2959</v>
      </c>
      <c r="D2565" t="s">
        <v>69</v>
      </c>
      <c r="E2565" t="s">
        <v>70</v>
      </c>
      <c r="F2565" s="17">
        <v>1000</v>
      </c>
      <c r="G2565" s="17">
        <v>120000</v>
      </c>
      <c r="H2565" s="17">
        <v>119000</v>
      </c>
      <c r="I2565" s="18">
        <v>0.62</v>
      </c>
      <c r="J2565" s="14">
        <f t="shared" si="0"/>
        <v>119</v>
      </c>
      <c r="K2565" s="15" t="str">
        <f t="shared" si="1"/>
        <v>Exceeds Target</v>
      </c>
    </row>
    <row r="2566" spans="2:11" ht="15" customHeight="1">
      <c r="B2566" t="s">
        <v>682</v>
      </c>
      <c r="C2566" t="s">
        <v>2960</v>
      </c>
      <c r="D2566" t="s">
        <v>35</v>
      </c>
      <c r="E2566" t="s">
        <v>27</v>
      </c>
      <c r="F2566" s="17">
        <v>3000</v>
      </c>
      <c r="G2566" s="17">
        <v>100000</v>
      </c>
      <c r="H2566" s="17">
        <v>97000</v>
      </c>
      <c r="I2566" s="18">
        <v>0.28999999999999998</v>
      </c>
      <c r="J2566" s="14">
        <f t="shared" si="0"/>
        <v>32.333333333333336</v>
      </c>
      <c r="K2566" s="15" t="str">
        <f t="shared" si="1"/>
        <v>Exceeds Target</v>
      </c>
    </row>
    <row r="2567" spans="2:11" ht="15" customHeight="1">
      <c r="B2567" t="s">
        <v>242</v>
      </c>
      <c r="C2567" t="s">
        <v>2961</v>
      </c>
      <c r="D2567" t="s">
        <v>80</v>
      </c>
      <c r="E2567" t="s">
        <v>27</v>
      </c>
      <c r="F2567" s="17">
        <v>1000</v>
      </c>
      <c r="G2567" s="17">
        <v>72000</v>
      </c>
      <c r="H2567" s="17">
        <v>71000</v>
      </c>
      <c r="I2567" s="18">
        <v>0.76</v>
      </c>
      <c r="J2567" s="14">
        <f t="shared" si="0"/>
        <v>71</v>
      </c>
      <c r="K2567" s="15" t="str">
        <f t="shared" si="1"/>
        <v>Exceeds Target</v>
      </c>
    </row>
    <row r="2568" spans="2:11" ht="15" customHeight="1">
      <c r="B2568" t="s">
        <v>220</v>
      </c>
      <c r="C2568" t="s">
        <v>2962</v>
      </c>
      <c r="D2568" t="s">
        <v>35</v>
      </c>
      <c r="E2568" t="s">
        <v>27</v>
      </c>
      <c r="F2568" s="17">
        <v>3000</v>
      </c>
      <c r="G2568" s="17">
        <v>240000</v>
      </c>
      <c r="H2568" s="17">
        <v>237000</v>
      </c>
      <c r="I2568" s="18">
        <v>0.9</v>
      </c>
      <c r="J2568" s="14">
        <f t="shared" si="0"/>
        <v>79</v>
      </c>
      <c r="K2568" s="15" t="str">
        <f t="shared" si="1"/>
        <v>Exceeds Target</v>
      </c>
    </row>
    <row r="2569" spans="2:11" ht="15" customHeight="1">
      <c r="B2569" t="s">
        <v>1053</v>
      </c>
      <c r="C2569" t="s">
        <v>2963</v>
      </c>
      <c r="D2569" t="s">
        <v>80</v>
      </c>
      <c r="E2569" t="s">
        <v>27</v>
      </c>
      <c r="F2569" s="17">
        <v>1000</v>
      </c>
      <c r="G2569" s="17">
        <v>87000</v>
      </c>
      <c r="H2569" s="17">
        <v>86000</v>
      </c>
      <c r="I2569" s="18">
        <v>0.54</v>
      </c>
      <c r="J2569" s="14">
        <f t="shared" si="0"/>
        <v>86</v>
      </c>
      <c r="K2569" s="15" t="str">
        <f t="shared" si="1"/>
        <v>Exceeds Target</v>
      </c>
    </row>
    <row r="2570" spans="2:11" ht="15" customHeight="1">
      <c r="B2570" t="s">
        <v>1143</v>
      </c>
      <c r="C2570" t="s">
        <v>2964</v>
      </c>
      <c r="D2570" t="s">
        <v>32</v>
      </c>
      <c r="E2570" t="s">
        <v>27</v>
      </c>
      <c r="F2570" s="17">
        <v>1500</v>
      </c>
      <c r="G2570" s="17">
        <v>30000</v>
      </c>
      <c r="H2570" s="17">
        <v>28500</v>
      </c>
      <c r="I2570" s="18">
        <v>0.74</v>
      </c>
      <c r="J2570" s="14">
        <f t="shared" si="0"/>
        <v>19</v>
      </c>
      <c r="K2570" s="15" t="str">
        <f t="shared" si="1"/>
        <v>Exceeds Target</v>
      </c>
    </row>
    <row r="2571" spans="2:11" ht="15" customHeight="1">
      <c r="B2571" t="s">
        <v>857</v>
      </c>
      <c r="C2571" t="s">
        <v>2965</v>
      </c>
      <c r="D2571" t="s">
        <v>69</v>
      </c>
      <c r="E2571" t="s">
        <v>70</v>
      </c>
      <c r="F2571" s="17">
        <v>1000</v>
      </c>
      <c r="G2571" s="17">
        <v>75000</v>
      </c>
      <c r="H2571" s="17">
        <v>74000</v>
      </c>
      <c r="I2571" s="18">
        <v>0.74</v>
      </c>
      <c r="J2571" s="14">
        <f t="shared" si="0"/>
        <v>74</v>
      </c>
      <c r="K2571" s="15" t="str">
        <f t="shared" si="1"/>
        <v>Exceeds Target</v>
      </c>
    </row>
    <row r="2572" spans="2:11" ht="15" customHeight="1">
      <c r="B2572" t="s">
        <v>432</v>
      </c>
      <c r="C2572" t="s">
        <v>2966</v>
      </c>
      <c r="D2572" t="s">
        <v>26</v>
      </c>
      <c r="E2572" t="s">
        <v>27</v>
      </c>
      <c r="F2572" s="17">
        <v>5000</v>
      </c>
      <c r="G2572" s="17">
        <v>150000</v>
      </c>
      <c r="H2572" s="17">
        <v>145000</v>
      </c>
      <c r="I2572" s="18">
        <v>0.08</v>
      </c>
      <c r="J2572" s="14">
        <f t="shared" si="0"/>
        <v>29</v>
      </c>
      <c r="K2572" s="15" t="str">
        <f t="shared" si="1"/>
        <v>Exceeds Target</v>
      </c>
    </row>
    <row r="2573" spans="2:11" ht="15" customHeight="1">
      <c r="B2573" t="s">
        <v>163</v>
      </c>
      <c r="C2573" t="s">
        <v>2967</v>
      </c>
      <c r="D2573" t="s">
        <v>80</v>
      </c>
      <c r="E2573" t="s">
        <v>27</v>
      </c>
      <c r="F2573" s="17">
        <v>1000</v>
      </c>
      <c r="G2573" s="17">
        <v>45000</v>
      </c>
      <c r="H2573" s="17">
        <v>44000</v>
      </c>
      <c r="I2573" s="18">
        <v>0.79</v>
      </c>
      <c r="J2573" s="14">
        <f t="shared" si="0"/>
        <v>44</v>
      </c>
      <c r="K2573" s="15" t="str">
        <f t="shared" si="1"/>
        <v>Exceeds Target</v>
      </c>
    </row>
    <row r="2574" spans="2:11" ht="15" customHeight="1">
      <c r="B2574" t="s">
        <v>1216</v>
      </c>
      <c r="C2574" t="s">
        <v>2968</v>
      </c>
      <c r="D2574" t="s">
        <v>80</v>
      </c>
      <c r="E2574" t="s">
        <v>27</v>
      </c>
      <c r="F2574" s="17">
        <v>1000</v>
      </c>
      <c r="G2574" s="17">
        <v>84000</v>
      </c>
      <c r="H2574" s="17">
        <v>83000</v>
      </c>
      <c r="I2574" s="18">
        <v>0.66</v>
      </c>
      <c r="J2574" s="14">
        <f t="shared" si="0"/>
        <v>83</v>
      </c>
      <c r="K2574" s="15" t="str">
        <f t="shared" si="1"/>
        <v>Exceeds Target</v>
      </c>
    </row>
    <row r="2575" spans="2:11" ht="15" customHeight="1">
      <c r="B2575" t="s">
        <v>214</v>
      </c>
      <c r="C2575" t="s">
        <v>2969</v>
      </c>
      <c r="D2575" t="s">
        <v>69</v>
      </c>
      <c r="E2575" t="s">
        <v>70</v>
      </c>
      <c r="F2575" s="17">
        <v>1000</v>
      </c>
      <c r="G2575" s="17">
        <v>130000</v>
      </c>
      <c r="H2575" s="17">
        <v>129000</v>
      </c>
      <c r="I2575" s="18">
        <v>0.83</v>
      </c>
      <c r="J2575" s="14">
        <f t="shared" si="0"/>
        <v>129</v>
      </c>
      <c r="K2575" s="15" t="str">
        <f t="shared" si="1"/>
        <v>Exceeds Target</v>
      </c>
    </row>
    <row r="2576" spans="2:11" ht="15" customHeight="1">
      <c r="B2576" t="s">
        <v>1115</v>
      </c>
      <c r="C2576" t="s">
        <v>2970</v>
      </c>
      <c r="D2576" t="s">
        <v>80</v>
      </c>
      <c r="E2576" t="s">
        <v>27</v>
      </c>
      <c r="F2576" s="17">
        <v>1000</v>
      </c>
      <c r="G2576" s="17">
        <v>54000</v>
      </c>
      <c r="H2576" s="17">
        <v>53000</v>
      </c>
      <c r="I2576" s="18">
        <v>0.83</v>
      </c>
      <c r="J2576" s="14">
        <f t="shared" si="0"/>
        <v>53</v>
      </c>
      <c r="K2576" s="15" t="str">
        <f t="shared" si="1"/>
        <v>Exceeds Target</v>
      </c>
    </row>
    <row r="2577" spans="2:11" ht="15" customHeight="1">
      <c r="B2577" t="s">
        <v>912</v>
      </c>
      <c r="C2577" t="s">
        <v>2971</v>
      </c>
      <c r="D2577" t="s">
        <v>32</v>
      </c>
      <c r="E2577" t="s">
        <v>27</v>
      </c>
      <c r="F2577" s="17">
        <v>1500</v>
      </c>
      <c r="G2577" s="17">
        <v>30000</v>
      </c>
      <c r="H2577" s="17">
        <v>28500</v>
      </c>
      <c r="I2577" s="18">
        <v>0.53</v>
      </c>
      <c r="J2577" s="14">
        <f t="shared" si="0"/>
        <v>19</v>
      </c>
      <c r="K2577" s="15" t="str">
        <f t="shared" si="1"/>
        <v>Exceeds Target</v>
      </c>
    </row>
    <row r="2578" spans="2:11" ht="15" customHeight="1">
      <c r="B2578" t="s">
        <v>397</v>
      </c>
      <c r="C2578" t="s">
        <v>2972</v>
      </c>
      <c r="D2578" t="s">
        <v>35</v>
      </c>
      <c r="E2578" t="s">
        <v>27</v>
      </c>
      <c r="F2578" s="17">
        <v>3000</v>
      </c>
      <c r="G2578" s="17">
        <v>220000</v>
      </c>
      <c r="H2578" s="17">
        <v>217000</v>
      </c>
      <c r="I2578" s="18">
        <v>0.64</v>
      </c>
      <c r="J2578" s="14">
        <f t="shared" si="0"/>
        <v>72.333333333333329</v>
      </c>
      <c r="K2578" s="15" t="str">
        <f t="shared" si="1"/>
        <v>Exceeds Target</v>
      </c>
    </row>
    <row r="2579" spans="2:11" ht="15" customHeight="1">
      <c r="B2579" t="s">
        <v>993</v>
      </c>
      <c r="C2579" t="s">
        <v>2973</v>
      </c>
      <c r="D2579" t="s">
        <v>26</v>
      </c>
      <c r="E2579" t="s">
        <v>27</v>
      </c>
      <c r="F2579" s="17">
        <v>5000</v>
      </c>
      <c r="G2579" s="17">
        <v>90000</v>
      </c>
      <c r="H2579" s="17">
        <v>85000</v>
      </c>
      <c r="I2579" s="18">
        <v>0.28999999999999998</v>
      </c>
      <c r="J2579" s="14">
        <f t="shared" si="0"/>
        <v>17</v>
      </c>
      <c r="K2579" s="15" t="str">
        <f t="shared" si="1"/>
        <v>Exceeds Target</v>
      </c>
    </row>
    <row r="2580" spans="2:11" ht="15" customHeight="1">
      <c r="B2580" t="s">
        <v>810</v>
      </c>
      <c r="C2580" t="s">
        <v>2974</v>
      </c>
      <c r="D2580" t="s">
        <v>69</v>
      </c>
      <c r="E2580" t="s">
        <v>70</v>
      </c>
      <c r="F2580" s="17">
        <v>1000</v>
      </c>
      <c r="G2580" s="17">
        <v>145000</v>
      </c>
      <c r="H2580" s="17">
        <v>144000</v>
      </c>
      <c r="I2580" s="18">
        <v>0.34</v>
      </c>
      <c r="J2580" s="14">
        <f t="shared" si="0"/>
        <v>144</v>
      </c>
      <c r="K2580" s="15" t="str">
        <f t="shared" si="1"/>
        <v>Exceeds Target</v>
      </c>
    </row>
    <row r="2581" spans="2:11" ht="15" customHeight="1">
      <c r="B2581" t="s">
        <v>401</v>
      </c>
      <c r="C2581" t="s">
        <v>2975</v>
      </c>
      <c r="D2581" t="s">
        <v>26</v>
      </c>
      <c r="E2581" t="s">
        <v>27</v>
      </c>
      <c r="F2581" s="17">
        <v>5000</v>
      </c>
      <c r="G2581" s="17">
        <v>30000</v>
      </c>
      <c r="H2581" s="17">
        <v>25000</v>
      </c>
      <c r="I2581" s="18">
        <v>0.33</v>
      </c>
      <c r="J2581" s="14">
        <f t="shared" si="0"/>
        <v>5</v>
      </c>
      <c r="K2581" s="15" t="str">
        <f t="shared" si="1"/>
        <v>Exceeds Target</v>
      </c>
    </row>
    <row r="2582" spans="2:11" ht="15" customHeight="1">
      <c r="B2582" t="s">
        <v>760</v>
      </c>
      <c r="C2582" t="s">
        <v>2976</v>
      </c>
      <c r="D2582" t="s">
        <v>26</v>
      </c>
      <c r="E2582" t="s">
        <v>27</v>
      </c>
      <c r="F2582" s="17">
        <v>5000</v>
      </c>
      <c r="G2582" s="17">
        <v>120000</v>
      </c>
      <c r="H2582" s="17">
        <v>115000</v>
      </c>
      <c r="I2582" s="18">
        <v>0.36</v>
      </c>
      <c r="J2582" s="14">
        <f t="shared" si="0"/>
        <v>23</v>
      </c>
      <c r="K2582" s="15" t="str">
        <f t="shared" si="1"/>
        <v>Exceeds Target</v>
      </c>
    </row>
    <row r="2583" spans="2:11" ht="15" customHeight="1">
      <c r="B2583" t="s">
        <v>529</v>
      </c>
      <c r="C2583" t="s">
        <v>2977</v>
      </c>
      <c r="D2583" t="s">
        <v>35</v>
      </c>
      <c r="E2583" t="s">
        <v>27</v>
      </c>
      <c r="F2583" s="17">
        <v>3000</v>
      </c>
      <c r="G2583" s="17">
        <v>90000</v>
      </c>
      <c r="H2583" s="17">
        <v>87000</v>
      </c>
      <c r="I2583" s="18">
        <v>0.5</v>
      </c>
      <c r="J2583" s="14">
        <f t="shared" si="0"/>
        <v>29</v>
      </c>
      <c r="K2583" s="15" t="str">
        <f t="shared" si="1"/>
        <v>Exceeds Target</v>
      </c>
    </row>
    <row r="2584" spans="2:11" ht="15" customHeight="1">
      <c r="B2584" t="s">
        <v>234</v>
      </c>
      <c r="C2584" t="s">
        <v>2978</v>
      </c>
      <c r="D2584" t="s">
        <v>80</v>
      </c>
      <c r="E2584" t="s">
        <v>27</v>
      </c>
      <c r="F2584" s="17">
        <v>1000</v>
      </c>
      <c r="G2584" s="17">
        <v>120000</v>
      </c>
      <c r="H2584" s="17">
        <v>119000</v>
      </c>
      <c r="I2584" s="18">
        <v>0.89</v>
      </c>
      <c r="J2584" s="14">
        <f t="shared" si="0"/>
        <v>119</v>
      </c>
      <c r="K2584" s="15" t="str">
        <f t="shared" si="1"/>
        <v>Exceeds Target</v>
      </c>
    </row>
    <row r="2585" spans="2:11" ht="15" customHeight="1">
      <c r="B2585" t="s">
        <v>99</v>
      </c>
      <c r="C2585" t="s">
        <v>2979</v>
      </c>
      <c r="D2585" t="s">
        <v>35</v>
      </c>
      <c r="E2585" t="s">
        <v>27</v>
      </c>
      <c r="F2585" s="17">
        <v>3000</v>
      </c>
      <c r="G2585" s="17">
        <v>270000</v>
      </c>
      <c r="H2585" s="17">
        <v>267000</v>
      </c>
      <c r="I2585" s="18">
        <v>0.91</v>
      </c>
      <c r="J2585" s="14">
        <f t="shared" si="0"/>
        <v>89</v>
      </c>
      <c r="K2585" s="15" t="str">
        <f t="shared" si="1"/>
        <v>Exceeds Target</v>
      </c>
    </row>
    <row r="2586" spans="2:11" ht="15" customHeight="1">
      <c r="B2586" t="s">
        <v>350</v>
      </c>
      <c r="C2586" t="s">
        <v>2980</v>
      </c>
      <c r="D2586" t="s">
        <v>69</v>
      </c>
      <c r="E2586" t="s">
        <v>70</v>
      </c>
      <c r="F2586" s="17">
        <v>1000</v>
      </c>
      <c r="G2586" s="17">
        <v>55000</v>
      </c>
      <c r="H2586" s="17">
        <v>54000</v>
      </c>
      <c r="I2586" s="18">
        <v>1</v>
      </c>
      <c r="J2586" s="14">
        <f t="shared" si="0"/>
        <v>54</v>
      </c>
      <c r="K2586" s="15" t="str">
        <f t="shared" si="1"/>
        <v>Exceeds Target</v>
      </c>
    </row>
    <row r="2587" spans="2:11" ht="15" customHeight="1">
      <c r="B2587" t="s">
        <v>180</v>
      </c>
      <c r="C2587" t="s">
        <v>2981</v>
      </c>
      <c r="D2587" t="s">
        <v>26</v>
      </c>
      <c r="E2587" t="s">
        <v>27</v>
      </c>
      <c r="F2587" s="17">
        <v>5000</v>
      </c>
      <c r="G2587" s="17">
        <v>30000</v>
      </c>
      <c r="H2587" s="17">
        <v>25000</v>
      </c>
      <c r="I2587" s="18">
        <v>0.25</v>
      </c>
      <c r="J2587" s="14">
        <f t="shared" si="0"/>
        <v>5</v>
      </c>
      <c r="K2587" s="15" t="str">
        <f t="shared" si="1"/>
        <v>Exceeds Target</v>
      </c>
    </row>
    <row r="2588" spans="2:11" ht="15" customHeight="1">
      <c r="B2588" t="s">
        <v>183</v>
      </c>
      <c r="C2588" t="s">
        <v>2982</v>
      </c>
      <c r="D2588" t="s">
        <v>26</v>
      </c>
      <c r="E2588" t="s">
        <v>27</v>
      </c>
      <c r="F2588" s="17">
        <v>5000</v>
      </c>
      <c r="G2588" s="17">
        <v>90000</v>
      </c>
      <c r="H2588" s="17">
        <v>85000</v>
      </c>
      <c r="I2588" s="18">
        <v>0.06</v>
      </c>
      <c r="J2588" s="14">
        <f t="shared" si="0"/>
        <v>17</v>
      </c>
      <c r="K2588" s="15" t="str">
        <f t="shared" si="1"/>
        <v>Exceeds Target</v>
      </c>
    </row>
    <row r="2589" spans="2:11" ht="15" customHeight="1">
      <c r="B2589" t="s">
        <v>628</v>
      </c>
      <c r="C2589" t="s">
        <v>2983</v>
      </c>
      <c r="D2589" t="s">
        <v>69</v>
      </c>
      <c r="E2589" t="s">
        <v>70</v>
      </c>
      <c r="F2589" s="17">
        <v>1000</v>
      </c>
      <c r="G2589" s="17">
        <v>60000</v>
      </c>
      <c r="H2589" s="17">
        <v>59000</v>
      </c>
      <c r="I2589" s="18">
        <v>0.72</v>
      </c>
      <c r="J2589" s="14">
        <f t="shared" si="0"/>
        <v>59</v>
      </c>
      <c r="K2589" s="15" t="str">
        <f t="shared" si="1"/>
        <v>Exceeds Target</v>
      </c>
    </row>
    <row r="2590" spans="2:11" ht="15" customHeight="1">
      <c r="B2590" t="s">
        <v>238</v>
      </c>
      <c r="C2590" t="s">
        <v>2984</v>
      </c>
      <c r="D2590" t="s">
        <v>35</v>
      </c>
      <c r="E2590" t="s">
        <v>27</v>
      </c>
      <c r="F2590" s="17">
        <v>3000</v>
      </c>
      <c r="G2590" s="17">
        <v>70000</v>
      </c>
      <c r="H2590" s="17">
        <v>67000</v>
      </c>
      <c r="I2590" s="18">
        <v>0.38</v>
      </c>
      <c r="J2590" s="14">
        <f t="shared" si="0"/>
        <v>22.333333333333332</v>
      </c>
      <c r="K2590" s="15" t="str">
        <f t="shared" si="1"/>
        <v>Exceeds Target</v>
      </c>
    </row>
    <row r="2591" spans="2:11" ht="15" customHeight="1">
      <c r="B2591" t="s">
        <v>2985</v>
      </c>
      <c r="C2591" t="s">
        <v>2986</v>
      </c>
      <c r="D2591" t="s">
        <v>32</v>
      </c>
      <c r="E2591" t="s">
        <v>27</v>
      </c>
      <c r="F2591" s="17">
        <v>1500</v>
      </c>
      <c r="G2591" s="17">
        <v>44000</v>
      </c>
      <c r="H2591" s="17">
        <v>42500</v>
      </c>
      <c r="I2591" s="18">
        <v>0.92</v>
      </c>
      <c r="J2591" s="14">
        <f t="shared" si="0"/>
        <v>28.333333333333332</v>
      </c>
      <c r="K2591" s="15" t="str">
        <f t="shared" si="1"/>
        <v>Exceeds Target</v>
      </c>
    </row>
    <row r="2592" spans="2:11" ht="15" customHeight="1">
      <c r="B2592" t="s">
        <v>272</v>
      </c>
      <c r="C2592" t="s">
        <v>2987</v>
      </c>
      <c r="D2592" t="s">
        <v>32</v>
      </c>
      <c r="E2592" t="s">
        <v>27</v>
      </c>
      <c r="F2592" s="17">
        <v>1500</v>
      </c>
      <c r="G2592" s="17">
        <v>60000</v>
      </c>
      <c r="H2592" s="17">
        <v>58500</v>
      </c>
      <c r="I2592" s="18">
        <v>0.95</v>
      </c>
      <c r="J2592" s="14">
        <f t="shared" si="0"/>
        <v>39</v>
      </c>
      <c r="K2592" s="15" t="str">
        <f t="shared" si="1"/>
        <v>Exceeds Target</v>
      </c>
    </row>
    <row r="2593" spans="2:11" ht="15" customHeight="1">
      <c r="B2593" t="s">
        <v>577</v>
      </c>
      <c r="C2593" t="s">
        <v>2988</v>
      </c>
      <c r="D2593" t="s">
        <v>35</v>
      </c>
      <c r="E2593" t="s">
        <v>27</v>
      </c>
      <c r="F2593" s="17">
        <v>3000</v>
      </c>
      <c r="G2593" s="17">
        <v>150000</v>
      </c>
      <c r="H2593" s="17">
        <v>147000</v>
      </c>
      <c r="I2593" s="18">
        <v>0.83</v>
      </c>
      <c r="J2593" s="14">
        <f t="shared" si="0"/>
        <v>49</v>
      </c>
      <c r="K2593" s="15" t="str">
        <f t="shared" si="1"/>
        <v>Exceeds Target</v>
      </c>
    </row>
    <row r="2594" spans="2:11" ht="15" customHeight="1">
      <c r="B2594" t="s">
        <v>434</v>
      </c>
      <c r="C2594" t="s">
        <v>2989</v>
      </c>
      <c r="D2594" t="s">
        <v>32</v>
      </c>
      <c r="E2594" t="s">
        <v>27</v>
      </c>
      <c r="F2594" s="17">
        <v>1500</v>
      </c>
      <c r="G2594" s="17">
        <v>34000</v>
      </c>
      <c r="H2594" s="17">
        <v>32500</v>
      </c>
      <c r="I2594" s="18">
        <v>0.82</v>
      </c>
      <c r="J2594" s="14">
        <f t="shared" si="0"/>
        <v>21.666666666666668</v>
      </c>
      <c r="K2594" s="15" t="str">
        <f t="shared" si="1"/>
        <v>Exceeds Target</v>
      </c>
    </row>
    <row r="2595" spans="2:11" ht="15" customHeight="1">
      <c r="B2595" t="s">
        <v>2000</v>
      </c>
      <c r="C2595" t="s">
        <v>2990</v>
      </c>
      <c r="D2595" t="s">
        <v>32</v>
      </c>
      <c r="E2595" t="s">
        <v>27</v>
      </c>
      <c r="F2595" s="17">
        <v>1500</v>
      </c>
      <c r="G2595" s="17">
        <v>26000</v>
      </c>
      <c r="H2595" s="17">
        <v>24500</v>
      </c>
      <c r="I2595" s="18">
        <v>0.83</v>
      </c>
      <c r="J2595" s="14">
        <f t="shared" si="0"/>
        <v>16.333333333333332</v>
      </c>
      <c r="K2595" s="15" t="str">
        <f t="shared" si="1"/>
        <v>Exceeds Target</v>
      </c>
    </row>
    <row r="2596" spans="2:11" ht="15" customHeight="1">
      <c r="B2596" t="s">
        <v>687</v>
      </c>
      <c r="C2596" t="s">
        <v>2991</v>
      </c>
      <c r="D2596" t="s">
        <v>80</v>
      </c>
      <c r="E2596" t="s">
        <v>27</v>
      </c>
      <c r="F2596" s="17">
        <v>1000</v>
      </c>
      <c r="G2596" s="17">
        <v>108000</v>
      </c>
      <c r="H2596" s="17">
        <v>107000</v>
      </c>
      <c r="I2596" s="18">
        <v>0.64</v>
      </c>
      <c r="J2596" s="14">
        <f t="shared" si="0"/>
        <v>107</v>
      </c>
      <c r="K2596" s="15" t="str">
        <f t="shared" si="1"/>
        <v>Exceeds Target</v>
      </c>
    </row>
    <row r="2597" spans="2:11" ht="15" customHeight="1">
      <c r="B2597" t="s">
        <v>105</v>
      </c>
      <c r="C2597" t="s">
        <v>2992</v>
      </c>
      <c r="D2597" t="s">
        <v>80</v>
      </c>
      <c r="E2597" t="s">
        <v>27</v>
      </c>
      <c r="F2597" s="17">
        <v>1000</v>
      </c>
      <c r="G2597" s="17">
        <v>72000</v>
      </c>
      <c r="H2597" s="17">
        <v>71000</v>
      </c>
      <c r="I2597" s="18">
        <v>0.97</v>
      </c>
      <c r="J2597" s="14">
        <f t="shared" si="0"/>
        <v>71</v>
      </c>
      <c r="K2597" s="15" t="str">
        <f t="shared" si="1"/>
        <v>Exceeds Target</v>
      </c>
    </row>
    <row r="2598" spans="2:11" ht="15" customHeight="1">
      <c r="B2598" t="s">
        <v>623</v>
      </c>
      <c r="C2598" t="s">
        <v>2993</v>
      </c>
      <c r="D2598" t="s">
        <v>69</v>
      </c>
      <c r="E2598" t="s">
        <v>70</v>
      </c>
      <c r="F2598" s="17">
        <v>1000</v>
      </c>
      <c r="G2598" s="17">
        <v>80000</v>
      </c>
      <c r="H2598" s="17">
        <v>79000</v>
      </c>
      <c r="I2598" s="18">
        <v>0.55000000000000004</v>
      </c>
      <c r="J2598" s="14">
        <f t="shared" si="0"/>
        <v>79</v>
      </c>
      <c r="K2598" s="15" t="str">
        <f t="shared" si="1"/>
        <v>Exceeds Target</v>
      </c>
    </row>
    <row r="2599" spans="2:11" ht="15" customHeight="1">
      <c r="B2599" t="s">
        <v>522</v>
      </c>
      <c r="C2599" t="s">
        <v>2994</v>
      </c>
      <c r="D2599" t="s">
        <v>26</v>
      </c>
      <c r="E2599" t="s">
        <v>27</v>
      </c>
      <c r="F2599" s="17">
        <v>5000</v>
      </c>
      <c r="G2599" s="17">
        <v>60000</v>
      </c>
      <c r="H2599" s="17">
        <v>55000</v>
      </c>
      <c r="I2599" s="18">
        <v>0.17</v>
      </c>
      <c r="J2599" s="14">
        <f t="shared" si="0"/>
        <v>11</v>
      </c>
      <c r="K2599" s="15" t="str">
        <f t="shared" si="1"/>
        <v>Exceeds Target</v>
      </c>
    </row>
    <row r="2600" spans="2:11" ht="15" customHeight="1">
      <c r="B2600" t="s">
        <v>197</v>
      </c>
      <c r="C2600" t="s">
        <v>2995</v>
      </c>
      <c r="D2600" t="s">
        <v>80</v>
      </c>
      <c r="E2600" t="s">
        <v>27</v>
      </c>
      <c r="F2600" s="17">
        <v>1000</v>
      </c>
      <c r="G2600" s="17">
        <v>54000</v>
      </c>
      <c r="H2600" s="17">
        <v>53000</v>
      </c>
      <c r="I2600" s="18">
        <v>0.61</v>
      </c>
      <c r="J2600" s="14">
        <f t="shared" si="0"/>
        <v>53</v>
      </c>
      <c r="K2600" s="15" t="str">
        <f t="shared" si="1"/>
        <v>Exceeds Target</v>
      </c>
    </row>
    <row r="2601" spans="2:11" ht="15" customHeight="1">
      <c r="B2601" t="s">
        <v>484</v>
      </c>
      <c r="C2601" t="s">
        <v>2996</v>
      </c>
      <c r="D2601" t="s">
        <v>32</v>
      </c>
      <c r="E2601" t="s">
        <v>27</v>
      </c>
      <c r="F2601" s="17">
        <v>1500</v>
      </c>
      <c r="G2601" s="17">
        <v>58000</v>
      </c>
      <c r="H2601" s="17">
        <v>56500</v>
      </c>
      <c r="I2601" s="18">
        <v>0.71</v>
      </c>
      <c r="J2601" s="14">
        <f t="shared" si="0"/>
        <v>37.666666666666664</v>
      </c>
      <c r="K2601" s="15" t="str">
        <f t="shared" si="1"/>
        <v>Exceeds Target</v>
      </c>
    </row>
    <row r="2602" spans="2:11" ht="15" customHeight="1">
      <c r="B2602" t="s">
        <v>81</v>
      </c>
      <c r="C2602" t="s">
        <v>2997</v>
      </c>
      <c r="D2602" t="s">
        <v>69</v>
      </c>
      <c r="E2602" t="s">
        <v>70</v>
      </c>
      <c r="F2602" s="17">
        <v>1000</v>
      </c>
      <c r="G2602" s="17">
        <v>135000</v>
      </c>
      <c r="H2602" s="17">
        <v>134000</v>
      </c>
      <c r="I2602" s="18">
        <v>0.69</v>
      </c>
      <c r="J2602" s="14">
        <f t="shared" si="0"/>
        <v>134</v>
      </c>
      <c r="K2602" s="15" t="str">
        <f t="shared" si="1"/>
        <v>Exceeds Target</v>
      </c>
    </row>
    <row r="2603" spans="2:11" ht="15" customHeight="1">
      <c r="B2603" t="s">
        <v>279</v>
      </c>
      <c r="C2603" t="s">
        <v>2998</v>
      </c>
      <c r="D2603" t="s">
        <v>26</v>
      </c>
      <c r="E2603" t="s">
        <v>27</v>
      </c>
      <c r="F2603" s="17">
        <v>5000</v>
      </c>
      <c r="G2603" s="17">
        <v>30000</v>
      </c>
      <c r="H2603" s="17">
        <v>25000</v>
      </c>
      <c r="I2603" s="18">
        <v>0.25</v>
      </c>
      <c r="J2603" s="14">
        <f t="shared" si="0"/>
        <v>5</v>
      </c>
      <c r="K2603" s="15" t="str">
        <f t="shared" si="1"/>
        <v>Exceeds Target</v>
      </c>
    </row>
    <row r="2604" spans="2:11" ht="15" customHeight="1">
      <c r="B2604" t="s">
        <v>1285</v>
      </c>
      <c r="C2604" t="s">
        <v>2999</v>
      </c>
      <c r="D2604" t="s">
        <v>80</v>
      </c>
      <c r="E2604" t="s">
        <v>27</v>
      </c>
      <c r="F2604" s="17">
        <v>1000</v>
      </c>
      <c r="G2604" s="17">
        <v>105000</v>
      </c>
      <c r="H2604" s="17">
        <v>104000</v>
      </c>
      <c r="I2604" s="18">
        <v>0.9</v>
      </c>
      <c r="J2604" s="14">
        <f t="shared" si="0"/>
        <v>104</v>
      </c>
      <c r="K2604" s="15" t="str">
        <f t="shared" si="1"/>
        <v>Exceeds Target</v>
      </c>
    </row>
    <row r="2605" spans="2:11" ht="15" customHeight="1">
      <c r="B2605" t="s">
        <v>171</v>
      </c>
      <c r="C2605" t="s">
        <v>3000</v>
      </c>
      <c r="D2605" t="s">
        <v>32</v>
      </c>
      <c r="E2605" t="s">
        <v>27</v>
      </c>
      <c r="F2605" s="17">
        <v>1500</v>
      </c>
      <c r="G2605" s="17">
        <v>12000</v>
      </c>
      <c r="H2605" s="17">
        <v>10500</v>
      </c>
      <c r="I2605" s="18">
        <v>0.95</v>
      </c>
      <c r="J2605" s="14">
        <f t="shared" si="0"/>
        <v>7</v>
      </c>
      <c r="K2605" s="15" t="str">
        <f t="shared" si="1"/>
        <v>Exceeds Target</v>
      </c>
    </row>
    <row r="2606" spans="2:11" ht="15" customHeight="1">
      <c r="B2606" t="s">
        <v>107</v>
      </c>
      <c r="C2606" t="s">
        <v>3001</v>
      </c>
      <c r="D2606" t="s">
        <v>80</v>
      </c>
      <c r="E2606" t="s">
        <v>27</v>
      </c>
      <c r="F2606" s="17">
        <v>1000</v>
      </c>
      <c r="G2606" s="17">
        <v>69000</v>
      </c>
      <c r="H2606" s="17">
        <v>68000</v>
      </c>
      <c r="I2606" s="18">
        <v>0.94</v>
      </c>
      <c r="J2606" s="14">
        <f t="shared" si="0"/>
        <v>68</v>
      </c>
      <c r="K2606" s="15" t="str">
        <f t="shared" si="1"/>
        <v>Exceeds Target</v>
      </c>
    </row>
    <row r="2607" spans="2:11" ht="15" customHeight="1">
      <c r="B2607" t="s">
        <v>386</v>
      </c>
      <c r="C2607" t="s">
        <v>3002</v>
      </c>
      <c r="D2607" t="s">
        <v>26</v>
      </c>
      <c r="E2607" t="s">
        <v>27</v>
      </c>
      <c r="F2607" s="17">
        <v>5000</v>
      </c>
      <c r="G2607" s="17">
        <v>120000</v>
      </c>
      <c r="H2607" s="17">
        <v>115000</v>
      </c>
      <c r="I2607" s="18">
        <v>0.09</v>
      </c>
      <c r="J2607" s="14">
        <f t="shared" si="0"/>
        <v>23</v>
      </c>
      <c r="K2607" s="15" t="str">
        <f t="shared" si="1"/>
        <v>Exceeds Target</v>
      </c>
    </row>
    <row r="2608" spans="2:11" ht="15" customHeight="1">
      <c r="B2608" t="s">
        <v>227</v>
      </c>
      <c r="C2608" t="s">
        <v>3003</v>
      </c>
      <c r="D2608" t="s">
        <v>69</v>
      </c>
      <c r="E2608" t="s">
        <v>70</v>
      </c>
      <c r="F2608" s="17">
        <v>1000</v>
      </c>
      <c r="G2608" s="17">
        <v>130000</v>
      </c>
      <c r="H2608" s="17">
        <v>129000</v>
      </c>
      <c r="I2608" s="18">
        <v>0.33</v>
      </c>
      <c r="J2608" s="14">
        <f t="shared" si="0"/>
        <v>129</v>
      </c>
      <c r="K2608" s="15" t="str">
        <f t="shared" si="1"/>
        <v>Exceeds Target</v>
      </c>
    </row>
    <row r="2609" spans="2:11" ht="15" customHeight="1">
      <c r="B2609" t="s">
        <v>127</v>
      </c>
      <c r="C2609" t="s">
        <v>3004</v>
      </c>
      <c r="D2609" t="s">
        <v>35</v>
      </c>
      <c r="E2609" t="s">
        <v>27</v>
      </c>
      <c r="F2609" s="17">
        <v>3000</v>
      </c>
      <c r="G2609" s="17">
        <v>260000</v>
      </c>
      <c r="H2609" s="17">
        <v>257000</v>
      </c>
      <c r="I2609" s="18">
        <v>1</v>
      </c>
      <c r="J2609" s="14">
        <f t="shared" si="0"/>
        <v>85.666666666666671</v>
      </c>
      <c r="K2609" s="15" t="str">
        <f t="shared" si="1"/>
        <v>Exceeds Target</v>
      </c>
    </row>
    <row r="2610" spans="2:11" ht="15" customHeight="1">
      <c r="B2610" t="s">
        <v>1055</v>
      </c>
      <c r="C2610" t="s">
        <v>3005</v>
      </c>
      <c r="D2610" t="s">
        <v>32</v>
      </c>
      <c r="E2610" t="s">
        <v>27</v>
      </c>
      <c r="F2610" s="17">
        <v>1500</v>
      </c>
      <c r="G2610" s="17">
        <v>40000</v>
      </c>
      <c r="H2610" s="17">
        <v>38500</v>
      </c>
      <c r="I2610" s="18">
        <v>0.33</v>
      </c>
      <c r="J2610" s="14">
        <f t="shared" si="0"/>
        <v>25.666666666666668</v>
      </c>
      <c r="K2610" s="15" t="str">
        <f t="shared" si="1"/>
        <v>Exceeds Target</v>
      </c>
    </row>
    <row r="2611" spans="2:11" ht="15" customHeight="1">
      <c r="B2611" t="s">
        <v>1644</v>
      </c>
      <c r="C2611" t="s">
        <v>3006</v>
      </c>
      <c r="D2611" t="s">
        <v>35</v>
      </c>
      <c r="E2611" t="s">
        <v>27</v>
      </c>
      <c r="F2611" s="17">
        <v>3000</v>
      </c>
      <c r="G2611" s="17">
        <v>260000</v>
      </c>
      <c r="H2611" s="17">
        <v>257000</v>
      </c>
      <c r="I2611" s="18">
        <v>0.46</v>
      </c>
      <c r="J2611" s="14">
        <f t="shared" si="0"/>
        <v>85.666666666666671</v>
      </c>
      <c r="K2611" s="15" t="str">
        <f t="shared" si="1"/>
        <v>Exceeds Target</v>
      </c>
    </row>
    <row r="2612" spans="2:11" ht="15" customHeight="1">
      <c r="B2612" t="s">
        <v>670</v>
      </c>
      <c r="C2612" t="s">
        <v>3007</v>
      </c>
      <c r="D2612" t="s">
        <v>32</v>
      </c>
      <c r="E2612" t="s">
        <v>27</v>
      </c>
      <c r="F2612" s="17">
        <v>1500</v>
      </c>
      <c r="G2612" s="17">
        <v>38000</v>
      </c>
      <c r="H2612" s="17">
        <v>36500</v>
      </c>
      <c r="I2612" s="18">
        <v>0.94</v>
      </c>
      <c r="J2612" s="14">
        <f t="shared" si="0"/>
        <v>24.333333333333332</v>
      </c>
      <c r="K2612" s="15" t="str">
        <f t="shared" si="1"/>
        <v>Exceeds Target</v>
      </c>
    </row>
    <row r="2613" spans="2:11" ht="15" customHeight="1">
      <c r="B2613" t="s">
        <v>610</v>
      </c>
      <c r="C2613" t="s">
        <v>3008</v>
      </c>
      <c r="D2613" t="s">
        <v>35</v>
      </c>
      <c r="E2613" t="s">
        <v>27</v>
      </c>
      <c r="F2613" s="17">
        <v>3000</v>
      </c>
      <c r="G2613" s="17">
        <v>270000</v>
      </c>
      <c r="H2613" s="17">
        <v>267000</v>
      </c>
      <c r="I2613" s="18">
        <v>0.86</v>
      </c>
      <c r="J2613" s="14">
        <f t="shared" si="0"/>
        <v>89</v>
      </c>
      <c r="K2613" s="15" t="str">
        <f t="shared" si="1"/>
        <v>Exceeds Target</v>
      </c>
    </row>
    <row r="2614" spans="2:11" ht="15" customHeight="1">
      <c r="B2614" t="s">
        <v>378</v>
      </c>
      <c r="C2614" t="s">
        <v>3009</v>
      </c>
      <c r="D2614" t="s">
        <v>35</v>
      </c>
      <c r="E2614" t="s">
        <v>27</v>
      </c>
      <c r="F2614" s="17">
        <v>3000</v>
      </c>
      <c r="G2614" s="17">
        <v>300000</v>
      </c>
      <c r="H2614" s="17">
        <v>297000</v>
      </c>
      <c r="I2614" s="18">
        <v>0.49</v>
      </c>
      <c r="J2614" s="14">
        <f t="shared" si="0"/>
        <v>99</v>
      </c>
      <c r="K2614" s="15" t="str">
        <f t="shared" si="1"/>
        <v>Exceeds Target</v>
      </c>
    </row>
    <row r="2615" spans="2:11" ht="15" customHeight="1">
      <c r="B2615" t="s">
        <v>236</v>
      </c>
      <c r="C2615" t="s">
        <v>3010</v>
      </c>
      <c r="D2615" t="s">
        <v>26</v>
      </c>
      <c r="E2615" t="s">
        <v>27</v>
      </c>
      <c r="F2615" s="17">
        <v>5000</v>
      </c>
      <c r="G2615" s="17">
        <v>150000</v>
      </c>
      <c r="H2615" s="17">
        <v>145000</v>
      </c>
      <c r="I2615" s="18">
        <v>0.14000000000000001</v>
      </c>
      <c r="J2615" s="14">
        <f t="shared" si="0"/>
        <v>29</v>
      </c>
      <c r="K2615" s="15" t="str">
        <f t="shared" si="1"/>
        <v>Exceeds Target</v>
      </c>
    </row>
    <row r="2616" spans="2:11" ht="15" customHeight="1">
      <c r="B2616" t="s">
        <v>259</v>
      </c>
      <c r="C2616" t="s">
        <v>3011</v>
      </c>
      <c r="D2616" t="s">
        <v>69</v>
      </c>
      <c r="E2616" t="s">
        <v>70</v>
      </c>
      <c r="F2616" s="17">
        <v>1000</v>
      </c>
      <c r="G2616" s="17">
        <v>120000</v>
      </c>
      <c r="H2616" s="17">
        <v>119000</v>
      </c>
      <c r="I2616" s="18">
        <v>0.51</v>
      </c>
      <c r="J2616" s="14">
        <f t="shared" si="0"/>
        <v>119</v>
      </c>
      <c r="K2616" s="15" t="str">
        <f t="shared" si="1"/>
        <v>Exceeds Target</v>
      </c>
    </row>
    <row r="2617" spans="2:11" ht="15" customHeight="1">
      <c r="B2617" t="s">
        <v>815</v>
      </c>
      <c r="C2617" t="s">
        <v>3012</v>
      </c>
      <c r="D2617" t="s">
        <v>80</v>
      </c>
      <c r="E2617" t="s">
        <v>27</v>
      </c>
      <c r="F2617" s="17">
        <v>1000</v>
      </c>
      <c r="G2617" s="17">
        <v>120000</v>
      </c>
      <c r="H2617" s="17">
        <v>119000</v>
      </c>
      <c r="I2617" s="18">
        <v>0.83</v>
      </c>
      <c r="J2617" s="14">
        <f t="shared" si="0"/>
        <v>119</v>
      </c>
      <c r="K2617" s="15" t="str">
        <f t="shared" si="1"/>
        <v>Exceeds Target</v>
      </c>
    </row>
    <row r="2618" spans="2:11" ht="15" customHeight="1">
      <c r="B2618" t="s">
        <v>1477</v>
      </c>
      <c r="C2618" t="s">
        <v>3013</v>
      </c>
      <c r="D2618" t="s">
        <v>69</v>
      </c>
      <c r="E2618" t="s">
        <v>70</v>
      </c>
      <c r="F2618" s="17">
        <v>1000</v>
      </c>
      <c r="G2618" s="17">
        <v>40000</v>
      </c>
      <c r="H2618" s="17">
        <v>39000</v>
      </c>
      <c r="I2618" s="18">
        <v>0.75</v>
      </c>
      <c r="J2618" s="14">
        <f t="shared" si="0"/>
        <v>39</v>
      </c>
      <c r="K2618" s="15" t="str">
        <f t="shared" si="1"/>
        <v>Exceeds Target</v>
      </c>
    </row>
    <row r="2619" spans="2:11" ht="15" customHeight="1">
      <c r="B2619" t="s">
        <v>87</v>
      </c>
      <c r="C2619" t="s">
        <v>3014</v>
      </c>
      <c r="D2619" t="s">
        <v>32</v>
      </c>
      <c r="E2619" t="s">
        <v>27</v>
      </c>
      <c r="F2619" s="17">
        <v>1500</v>
      </c>
      <c r="G2619" s="17">
        <v>36000</v>
      </c>
      <c r="H2619" s="17">
        <v>34500</v>
      </c>
      <c r="I2619" s="18">
        <v>0.54</v>
      </c>
      <c r="J2619" s="14">
        <f t="shared" si="0"/>
        <v>23</v>
      </c>
      <c r="K2619" s="15" t="str">
        <f t="shared" si="1"/>
        <v>Exceeds Target</v>
      </c>
    </row>
    <row r="2620" spans="2:11" ht="15" customHeight="1">
      <c r="B2620" t="s">
        <v>205</v>
      </c>
      <c r="C2620" t="s">
        <v>3015</v>
      </c>
      <c r="D2620" t="s">
        <v>80</v>
      </c>
      <c r="E2620" t="s">
        <v>27</v>
      </c>
      <c r="F2620" s="17">
        <v>1000</v>
      </c>
      <c r="G2620" s="17">
        <v>69000</v>
      </c>
      <c r="H2620" s="17">
        <v>68000</v>
      </c>
      <c r="I2620" s="18">
        <v>0.62</v>
      </c>
      <c r="J2620" s="14">
        <f t="shared" si="0"/>
        <v>68</v>
      </c>
      <c r="K2620" s="15" t="str">
        <f t="shared" si="1"/>
        <v>Exceeds Target</v>
      </c>
    </row>
    <row r="2621" spans="2:11" ht="15" customHeight="1">
      <c r="B2621" t="s">
        <v>2480</v>
      </c>
      <c r="C2621" t="s">
        <v>3016</v>
      </c>
      <c r="D2621" t="s">
        <v>80</v>
      </c>
      <c r="E2621" t="s">
        <v>27</v>
      </c>
      <c r="F2621" s="17">
        <v>1000</v>
      </c>
      <c r="G2621" s="17">
        <v>90000</v>
      </c>
      <c r="H2621" s="17">
        <v>89000</v>
      </c>
      <c r="I2621" s="18">
        <v>0.83</v>
      </c>
      <c r="J2621" s="14">
        <f t="shared" si="0"/>
        <v>89</v>
      </c>
      <c r="K2621" s="15" t="str">
        <f t="shared" si="1"/>
        <v>Exceeds Target</v>
      </c>
    </row>
    <row r="2622" spans="2:11" ht="15" customHeight="1">
      <c r="B2622" t="s">
        <v>1126</v>
      </c>
      <c r="C2622" t="s">
        <v>3017</v>
      </c>
      <c r="D2622" t="s">
        <v>35</v>
      </c>
      <c r="E2622" t="s">
        <v>27</v>
      </c>
      <c r="F2622" s="17">
        <v>3000</v>
      </c>
      <c r="G2622" s="17">
        <v>90000</v>
      </c>
      <c r="H2622" s="17">
        <v>87000</v>
      </c>
      <c r="I2622" s="18">
        <v>0.28000000000000003</v>
      </c>
      <c r="J2622" s="14">
        <f t="shared" si="0"/>
        <v>29</v>
      </c>
      <c r="K2622" s="15" t="str">
        <f t="shared" si="1"/>
        <v>Exceeds Target</v>
      </c>
    </row>
    <row r="2623" spans="2:11" ht="15" customHeight="1">
      <c r="B2623" t="s">
        <v>313</v>
      </c>
      <c r="C2623" t="s">
        <v>3018</v>
      </c>
      <c r="D2623" t="s">
        <v>35</v>
      </c>
      <c r="E2623" t="s">
        <v>27</v>
      </c>
      <c r="F2623" s="17">
        <v>3000</v>
      </c>
      <c r="G2623" s="17">
        <v>240000</v>
      </c>
      <c r="H2623" s="17">
        <v>237000</v>
      </c>
      <c r="I2623" s="18">
        <v>0.72</v>
      </c>
      <c r="J2623" s="14">
        <f t="shared" si="0"/>
        <v>79</v>
      </c>
      <c r="K2623" s="15" t="str">
        <f t="shared" si="1"/>
        <v>Exceeds Target</v>
      </c>
    </row>
    <row r="2624" spans="2:11" ht="15" customHeight="1">
      <c r="B2624" t="s">
        <v>760</v>
      </c>
      <c r="C2624" t="s">
        <v>3019</v>
      </c>
      <c r="D2624" t="s">
        <v>32</v>
      </c>
      <c r="E2624" t="s">
        <v>27</v>
      </c>
      <c r="F2624" s="17">
        <v>1500</v>
      </c>
      <c r="G2624" s="17">
        <v>48000</v>
      </c>
      <c r="H2624" s="17">
        <v>46500</v>
      </c>
      <c r="I2624" s="18">
        <v>0.53</v>
      </c>
      <c r="J2624" s="14">
        <f t="shared" si="0"/>
        <v>31</v>
      </c>
      <c r="K2624" s="15" t="str">
        <f t="shared" si="1"/>
        <v>Exceeds Target</v>
      </c>
    </row>
    <row r="2625" spans="2:11" ht="15" customHeight="1">
      <c r="B2625" t="s">
        <v>205</v>
      </c>
      <c r="C2625" t="s">
        <v>3020</v>
      </c>
      <c r="D2625" t="s">
        <v>26</v>
      </c>
      <c r="E2625" t="s">
        <v>27</v>
      </c>
      <c r="F2625" s="17">
        <v>5000</v>
      </c>
      <c r="G2625" s="17">
        <v>60000</v>
      </c>
      <c r="H2625" s="17">
        <v>55000</v>
      </c>
      <c r="I2625" s="18">
        <v>0.11</v>
      </c>
      <c r="J2625" s="14">
        <f t="shared" si="0"/>
        <v>11</v>
      </c>
      <c r="K2625" s="15" t="str">
        <f t="shared" si="1"/>
        <v>Exceeds Target</v>
      </c>
    </row>
    <row r="2626" spans="2:11" ht="15" customHeight="1">
      <c r="B2626" t="s">
        <v>1614</v>
      </c>
      <c r="C2626" t="s">
        <v>3021</v>
      </c>
      <c r="D2626" t="s">
        <v>80</v>
      </c>
      <c r="E2626" t="s">
        <v>27</v>
      </c>
      <c r="F2626" s="17">
        <v>1000</v>
      </c>
      <c r="G2626" s="17">
        <v>66000</v>
      </c>
      <c r="H2626" s="17">
        <v>65000</v>
      </c>
      <c r="I2626" s="18">
        <v>0.76</v>
      </c>
      <c r="J2626" s="14">
        <f t="shared" si="0"/>
        <v>65</v>
      </c>
      <c r="K2626" s="15" t="str">
        <f t="shared" si="1"/>
        <v>Exceeds Target</v>
      </c>
    </row>
    <row r="2627" spans="2:11" ht="15" customHeight="1">
      <c r="B2627" t="s">
        <v>1122</v>
      </c>
      <c r="C2627" t="s">
        <v>3022</v>
      </c>
      <c r="D2627" t="s">
        <v>80</v>
      </c>
      <c r="E2627" t="s">
        <v>27</v>
      </c>
      <c r="F2627" s="17">
        <v>1000</v>
      </c>
      <c r="G2627" s="17">
        <v>87000</v>
      </c>
      <c r="H2627" s="17">
        <v>86000</v>
      </c>
      <c r="I2627" s="18">
        <v>0.76</v>
      </c>
      <c r="J2627" s="14">
        <f t="shared" si="0"/>
        <v>86</v>
      </c>
      <c r="K2627" s="15" t="str">
        <f t="shared" si="1"/>
        <v>Exceeds Target</v>
      </c>
    </row>
    <row r="2628" spans="2:11" ht="15" customHeight="1">
      <c r="B2628" t="s">
        <v>659</v>
      </c>
      <c r="C2628" t="s">
        <v>3023</v>
      </c>
      <c r="D2628" t="s">
        <v>32</v>
      </c>
      <c r="E2628" t="s">
        <v>27</v>
      </c>
      <c r="F2628" s="17">
        <v>1500</v>
      </c>
      <c r="G2628" s="17">
        <v>36000</v>
      </c>
      <c r="H2628" s="17">
        <v>34500</v>
      </c>
      <c r="I2628" s="18">
        <v>0.45</v>
      </c>
      <c r="J2628" s="14">
        <f t="shared" si="0"/>
        <v>23</v>
      </c>
      <c r="K2628" s="15" t="str">
        <f t="shared" si="1"/>
        <v>Exceeds Target</v>
      </c>
    </row>
    <row r="2629" spans="2:11" ht="15" customHeight="1">
      <c r="B2629" t="s">
        <v>352</v>
      </c>
      <c r="C2629" t="s">
        <v>3024</v>
      </c>
      <c r="D2629" t="s">
        <v>26</v>
      </c>
      <c r="E2629" t="s">
        <v>27</v>
      </c>
      <c r="F2629" s="17">
        <v>5000</v>
      </c>
      <c r="G2629" s="17">
        <v>150000</v>
      </c>
      <c r="H2629" s="17">
        <v>145000</v>
      </c>
      <c r="I2629" s="18">
        <v>0.31</v>
      </c>
      <c r="J2629" s="14">
        <f t="shared" si="0"/>
        <v>29</v>
      </c>
      <c r="K2629" s="15" t="str">
        <f t="shared" si="1"/>
        <v>Exceeds Target</v>
      </c>
    </row>
    <row r="2630" spans="2:11" ht="15" customHeight="1">
      <c r="B2630" t="s">
        <v>1083</v>
      </c>
      <c r="C2630" t="s">
        <v>3025</v>
      </c>
      <c r="D2630" t="s">
        <v>26</v>
      </c>
      <c r="E2630" t="s">
        <v>27</v>
      </c>
      <c r="F2630" s="17">
        <v>5000</v>
      </c>
      <c r="G2630" s="17">
        <v>150000</v>
      </c>
      <c r="H2630" s="17">
        <v>145000</v>
      </c>
      <c r="I2630" s="18">
        <v>0.17</v>
      </c>
      <c r="J2630" s="14">
        <f t="shared" si="0"/>
        <v>29</v>
      </c>
      <c r="K2630" s="15" t="str">
        <f t="shared" si="1"/>
        <v>Exceeds Target</v>
      </c>
    </row>
    <row r="2631" spans="2:11" ht="15" customHeight="1">
      <c r="B2631" t="s">
        <v>679</v>
      </c>
      <c r="C2631" t="s">
        <v>3026</v>
      </c>
      <c r="D2631" t="s">
        <v>26</v>
      </c>
      <c r="E2631" t="s">
        <v>27</v>
      </c>
      <c r="F2631" s="17">
        <v>5000</v>
      </c>
      <c r="G2631" s="17">
        <v>90000</v>
      </c>
      <c r="H2631" s="17">
        <v>85000</v>
      </c>
      <c r="I2631" s="18">
        <v>0.23</v>
      </c>
      <c r="J2631" s="14">
        <f t="shared" si="0"/>
        <v>17</v>
      </c>
      <c r="K2631" s="15" t="str">
        <f t="shared" si="1"/>
        <v>Exceeds Target</v>
      </c>
    </row>
    <row r="2632" spans="2:11" ht="15" customHeight="1">
      <c r="B2632" t="s">
        <v>810</v>
      </c>
      <c r="C2632" t="s">
        <v>3027</v>
      </c>
      <c r="D2632" t="s">
        <v>26</v>
      </c>
      <c r="E2632" t="s">
        <v>27</v>
      </c>
      <c r="F2632" s="17">
        <v>5000</v>
      </c>
      <c r="G2632" s="17">
        <v>90000</v>
      </c>
      <c r="H2632" s="17">
        <v>85000</v>
      </c>
      <c r="I2632" s="18">
        <v>0.16</v>
      </c>
      <c r="J2632" s="14">
        <f t="shared" si="0"/>
        <v>17</v>
      </c>
      <c r="K2632" s="15" t="str">
        <f t="shared" si="1"/>
        <v>Exceeds Target</v>
      </c>
    </row>
    <row r="2633" spans="2:11" ht="15" customHeight="1">
      <c r="B2633" t="s">
        <v>46</v>
      </c>
      <c r="C2633" t="s">
        <v>3028</v>
      </c>
      <c r="D2633" t="s">
        <v>80</v>
      </c>
      <c r="E2633" t="s">
        <v>27</v>
      </c>
      <c r="F2633" s="17">
        <v>1000</v>
      </c>
      <c r="G2633" s="17">
        <v>90000</v>
      </c>
      <c r="H2633" s="17">
        <v>89000</v>
      </c>
      <c r="I2633" s="18">
        <v>0.79</v>
      </c>
      <c r="J2633" s="14">
        <f t="shared" si="0"/>
        <v>89</v>
      </c>
      <c r="K2633" s="15" t="str">
        <f t="shared" si="1"/>
        <v>Exceeds Target</v>
      </c>
    </row>
    <row r="2634" spans="2:11" ht="15" customHeight="1">
      <c r="B2634" t="s">
        <v>850</v>
      </c>
      <c r="C2634" t="s">
        <v>3029</v>
      </c>
      <c r="D2634" t="s">
        <v>35</v>
      </c>
      <c r="E2634" t="s">
        <v>27</v>
      </c>
      <c r="F2634" s="17">
        <v>3000</v>
      </c>
      <c r="G2634" s="17">
        <v>160000</v>
      </c>
      <c r="H2634" s="17">
        <v>157000</v>
      </c>
      <c r="I2634" s="18">
        <v>0.53</v>
      </c>
      <c r="J2634" s="14">
        <f t="shared" si="0"/>
        <v>52.333333333333336</v>
      </c>
      <c r="K2634" s="15" t="str">
        <f t="shared" si="1"/>
        <v>Exceeds Target</v>
      </c>
    </row>
    <row r="2635" spans="2:11" ht="15" customHeight="1">
      <c r="B2635" t="s">
        <v>832</v>
      </c>
      <c r="C2635" t="s">
        <v>3030</v>
      </c>
      <c r="D2635" t="s">
        <v>35</v>
      </c>
      <c r="E2635" t="s">
        <v>27</v>
      </c>
      <c r="F2635" s="17">
        <v>3000</v>
      </c>
      <c r="G2635" s="17">
        <v>80000</v>
      </c>
      <c r="H2635" s="17">
        <v>77000</v>
      </c>
      <c r="I2635" s="18">
        <v>0.63</v>
      </c>
      <c r="J2635" s="14">
        <f t="shared" si="0"/>
        <v>25.666666666666668</v>
      </c>
      <c r="K2635" s="15" t="str">
        <f t="shared" si="1"/>
        <v>Exceeds Target</v>
      </c>
    </row>
    <row r="2636" spans="2:11" ht="15" customHeight="1">
      <c r="B2636" t="s">
        <v>958</v>
      </c>
      <c r="C2636" t="s">
        <v>3031</v>
      </c>
      <c r="D2636" t="s">
        <v>69</v>
      </c>
      <c r="E2636" t="s">
        <v>70</v>
      </c>
      <c r="F2636" s="17">
        <v>1000</v>
      </c>
      <c r="G2636" s="17">
        <v>40000</v>
      </c>
      <c r="H2636" s="17">
        <v>39000</v>
      </c>
      <c r="I2636" s="18">
        <v>0.65</v>
      </c>
      <c r="J2636" s="14">
        <f t="shared" si="0"/>
        <v>39</v>
      </c>
      <c r="K2636" s="15" t="str">
        <f t="shared" si="1"/>
        <v>Exceeds Target</v>
      </c>
    </row>
    <row r="2637" spans="2:11" ht="15" customHeight="1">
      <c r="B2637" t="s">
        <v>370</v>
      </c>
      <c r="C2637" t="s">
        <v>3032</v>
      </c>
      <c r="D2637" t="s">
        <v>32</v>
      </c>
      <c r="E2637" t="s">
        <v>27</v>
      </c>
      <c r="F2637" s="17">
        <v>1500</v>
      </c>
      <c r="G2637" s="17">
        <v>40000</v>
      </c>
      <c r="H2637" s="17">
        <v>38500</v>
      </c>
      <c r="I2637" s="18">
        <v>0.61</v>
      </c>
      <c r="J2637" s="14">
        <f t="shared" si="0"/>
        <v>25.666666666666668</v>
      </c>
      <c r="K2637" s="15" t="str">
        <f t="shared" si="1"/>
        <v>Exceeds Target</v>
      </c>
    </row>
    <row r="2638" spans="2:11" ht="15" customHeight="1">
      <c r="B2638" t="s">
        <v>234</v>
      </c>
      <c r="C2638" t="s">
        <v>3033</v>
      </c>
      <c r="D2638" t="s">
        <v>80</v>
      </c>
      <c r="E2638" t="s">
        <v>27</v>
      </c>
      <c r="F2638" s="17">
        <v>1000</v>
      </c>
      <c r="G2638" s="17">
        <v>87000</v>
      </c>
      <c r="H2638" s="17">
        <v>86000</v>
      </c>
      <c r="I2638" s="18">
        <v>0.76</v>
      </c>
      <c r="J2638" s="14">
        <f t="shared" si="0"/>
        <v>86</v>
      </c>
      <c r="K2638" s="15" t="str">
        <f t="shared" si="1"/>
        <v>Exceeds Target</v>
      </c>
    </row>
    <row r="2639" spans="2:11" ht="15" customHeight="1">
      <c r="B2639" t="s">
        <v>776</v>
      </c>
      <c r="C2639" t="s">
        <v>3034</v>
      </c>
      <c r="D2639" t="s">
        <v>69</v>
      </c>
      <c r="E2639" t="s">
        <v>70</v>
      </c>
      <c r="F2639" s="17">
        <v>1000</v>
      </c>
      <c r="G2639" s="17">
        <v>40000</v>
      </c>
      <c r="H2639" s="17">
        <v>39000</v>
      </c>
      <c r="I2639" s="18">
        <v>0.56000000000000005</v>
      </c>
      <c r="J2639" s="14">
        <f t="shared" si="0"/>
        <v>39</v>
      </c>
      <c r="K2639" s="15" t="str">
        <f t="shared" si="1"/>
        <v>Exceeds Target</v>
      </c>
    </row>
    <row r="2640" spans="2:11" ht="15" customHeight="1">
      <c r="B2640" t="s">
        <v>30</v>
      </c>
      <c r="C2640" t="s">
        <v>3035</v>
      </c>
      <c r="D2640" t="s">
        <v>35</v>
      </c>
      <c r="E2640" t="s">
        <v>27</v>
      </c>
      <c r="F2640" s="17">
        <v>3000</v>
      </c>
      <c r="G2640" s="17">
        <v>140000</v>
      </c>
      <c r="H2640" s="17">
        <v>137000</v>
      </c>
      <c r="I2640" s="18">
        <v>0.37</v>
      </c>
      <c r="J2640" s="14">
        <f t="shared" si="0"/>
        <v>45.666666666666664</v>
      </c>
      <c r="K2640" s="15" t="str">
        <f t="shared" si="1"/>
        <v>Exceeds Target</v>
      </c>
    </row>
    <row r="2641" spans="2:11" ht="15" customHeight="1">
      <c r="B2641" t="s">
        <v>214</v>
      </c>
      <c r="C2641" t="s">
        <v>3036</v>
      </c>
      <c r="D2641" t="s">
        <v>80</v>
      </c>
      <c r="E2641" t="s">
        <v>27</v>
      </c>
      <c r="F2641" s="17">
        <v>1000</v>
      </c>
      <c r="G2641" s="17">
        <v>72000</v>
      </c>
      <c r="H2641" s="17">
        <v>71000</v>
      </c>
      <c r="I2641" s="18">
        <v>0.97</v>
      </c>
      <c r="J2641" s="14">
        <f t="shared" si="0"/>
        <v>71</v>
      </c>
      <c r="K2641" s="15" t="str">
        <f t="shared" si="1"/>
        <v>Exceeds Target</v>
      </c>
    </row>
    <row r="2642" spans="2:11" ht="15" customHeight="1">
      <c r="B2642" t="s">
        <v>507</v>
      </c>
      <c r="C2642" t="s">
        <v>3037</v>
      </c>
      <c r="D2642" t="s">
        <v>80</v>
      </c>
      <c r="E2642" t="s">
        <v>27</v>
      </c>
      <c r="F2642" s="17">
        <v>1000</v>
      </c>
      <c r="G2642" s="17">
        <v>45000</v>
      </c>
      <c r="H2642" s="17">
        <v>44000</v>
      </c>
      <c r="I2642" s="18">
        <v>0.94</v>
      </c>
      <c r="J2642" s="14">
        <f t="shared" si="0"/>
        <v>44</v>
      </c>
      <c r="K2642" s="15" t="str">
        <f t="shared" si="1"/>
        <v>Exceeds Target</v>
      </c>
    </row>
    <row r="2643" spans="2:11" ht="15" customHeight="1">
      <c r="B2643" t="s">
        <v>434</v>
      </c>
      <c r="C2643" t="s">
        <v>3038</v>
      </c>
      <c r="D2643" t="s">
        <v>80</v>
      </c>
      <c r="E2643" t="s">
        <v>27</v>
      </c>
      <c r="F2643" s="17">
        <v>1000</v>
      </c>
      <c r="G2643" s="17">
        <v>117000</v>
      </c>
      <c r="H2643" s="17">
        <v>116000</v>
      </c>
      <c r="I2643" s="18">
        <v>0.84</v>
      </c>
      <c r="J2643" s="14">
        <f t="shared" si="0"/>
        <v>116</v>
      </c>
      <c r="K2643" s="15" t="str">
        <f t="shared" si="1"/>
        <v>Exceeds Target</v>
      </c>
    </row>
    <row r="2644" spans="2:11" ht="15" customHeight="1">
      <c r="B2644" t="s">
        <v>1063</v>
      </c>
      <c r="C2644" t="s">
        <v>3039</v>
      </c>
      <c r="D2644" t="s">
        <v>80</v>
      </c>
      <c r="E2644" t="s">
        <v>27</v>
      </c>
      <c r="F2644" s="17">
        <v>1000</v>
      </c>
      <c r="G2644" s="17">
        <v>111000</v>
      </c>
      <c r="H2644" s="17">
        <v>110000</v>
      </c>
      <c r="I2644" s="18">
        <v>0.97</v>
      </c>
      <c r="J2644" s="14">
        <f t="shared" si="0"/>
        <v>110</v>
      </c>
      <c r="K2644" s="15" t="str">
        <f t="shared" si="1"/>
        <v>Exceeds Target</v>
      </c>
    </row>
    <row r="2645" spans="2:11" ht="15" customHeight="1">
      <c r="B2645" t="s">
        <v>467</v>
      </c>
      <c r="C2645" t="s">
        <v>3040</v>
      </c>
      <c r="D2645" t="s">
        <v>69</v>
      </c>
      <c r="E2645" t="s">
        <v>70</v>
      </c>
      <c r="F2645" s="17">
        <v>1000</v>
      </c>
      <c r="G2645" s="17">
        <v>65000</v>
      </c>
      <c r="H2645" s="17">
        <v>64000</v>
      </c>
      <c r="I2645" s="18">
        <v>0.94</v>
      </c>
      <c r="J2645" s="14">
        <f t="shared" si="0"/>
        <v>64</v>
      </c>
      <c r="K2645" s="15" t="str">
        <f t="shared" si="1"/>
        <v>Exceeds Target</v>
      </c>
    </row>
    <row r="2646" spans="2:11" ht="15" customHeight="1">
      <c r="B2646" t="s">
        <v>1477</v>
      </c>
      <c r="C2646" t="s">
        <v>3041</v>
      </c>
      <c r="D2646" t="s">
        <v>80</v>
      </c>
      <c r="E2646" t="s">
        <v>27</v>
      </c>
      <c r="F2646" s="17">
        <v>1000</v>
      </c>
      <c r="G2646" s="17">
        <v>54000</v>
      </c>
      <c r="H2646" s="17">
        <v>53000</v>
      </c>
      <c r="I2646" s="18">
        <v>0.87</v>
      </c>
      <c r="J2646" s="14">
        <f t="shared" si="0"/>
        <v>53</v>
      </c>
      <c r="K2646" s="15" t="str">
        <f t="shared" si="1"/>
        <v>Exceeds Target</v>
      </c>
    </row>
    <row r="2647" spans="2:11" ht="15" customHeight="1">
      <c r="B2647" t="s">
        <v>76</v>
      </c>
      <c r="C2647" t="s">
        <v>3042</v>
      </c>
      <c r="D2647" t="s">
        <v>69</v>
      </c>
      <c r="E2647" t="s">
        <v>70</v>
      </c>
      <c r="F2647" s="17">
        <v>1000</v>
      </c>
      <c r="G2647" s="17">
        <v>95000</v>
      </c>
      <c r="H2647" s="17">
        <v>94000</v>
      </c>
      <c r="I2647" s="18">
        <v>0.47</v>
      </c>
      <c r="J2647" s="14">
        <f t="shared" si="0"/>
        <v>94</v>
      </c>
      <c r="K2647" s="15" t="str">
        <f t="shared" si="1"/>
        <v>Exceeds Target</v>
      </c>
    </row>
    <row r="2648" spans="2:11" ht="15" customHeight="1">
      <c r="B2648" t="s">
        <v>321</v>
      </c>
      <c r="C2648" t="s">
        <v>3043</v>
      </c>
      <c r="D2648" t="s">
        <v>80</v>
      </c>
      <c r="E2648" t="s">
        <v>27</v>
      </c>
      <c r="F2648" s="17">
        <v>1000</v>
      </c>
      <c r="G2648" s="17">
        <v>66000</v>
      </c>
      <c r="H2648" s="17">
        <v>65000</v>
      </c>
      <c r="I2648" s="18">
        <v>0.89</v>
      </c>
      <c r="J2648" s="14">
        <f t="shared" si="0"/>
        <v>65</v>
      </c>
      <c r="K2648" s="15" t="str">
        <f t="shared" si="1"/>
        <v>Exceeds Target</v>
      </c>
    </row>
    <row r="2649" spans="2:11" ht="15" customHeight="1">
      <c r="B2649" t="s">
        <v>580</v>
      </c>
      <c r="C2649" t="s">
        <v>3044</v>
      </c>
      <c r="D2649" t="s">
        <v>32</v>
      </c>
      <c r="E2649" t="s">
        <v>27</v>
      </c>
      <c r="F2649" s="17">
        <v>1500</v>
      </c>
      <c r="G2649" s="17">
        <v>52000</v>
      </c>
      <c r="H2649" s="17">
        <v>50500</v>
      </c>
      <c r="I2649" s="18">
        <v>0.71</v>
      </c>
      <c r="J2649" s="14">
        <f t="shared" si="0"/>
        <v>33.666666666666664</v>
      </c>
      <c r="K2649" s="15" t="str">
        <f t="shared" si="1"/>
        <v>Exceeds Target</v>
      </c>
    </row>
    <row r="2650" spans="2:11" ht="15" customHeight="1">
      <c r="B2650" t="s">
        <v>1016</v>
      </c>
      <c r="C2650" t="s">
        <v>3045</v>
      </c>
      <c r="D2650" t="s">
        <v>80</v>
      </c>
      <c r="E2650" t="s">
        <v>27</v>
      </c>
      <c r="F2650" s="17">
        <v>1000</v>
      </c>
      <c r="G2650" s="17">
        <v>57000</v>
      </c>
      <c r="H2650" s="17">
        <v>56000</v>
      </c>
      <c r="I2650" s="18">
        <v>0.61</v>
      </c>
      <c r="J2650" s="14">
        <f t="shared" si="0"/>
        <v>56</v>
      </c>
      <c r="K2650" s="15" t="str">
        <f t="shared" si="1"/>
        <v>Exceeds Target</v>
      </c>
    </row>
    <row r="2651" spans="2:11" ht="15" customHeight="1">
      <c r="B2651" t="s">
        <v>234</v>
      </c>
      <c r="C2651" t="s">
        <v>3046</v>
      </c>
      <c r="D2651" t="s">
        <v>32</v>
      </c>
      <c r="E2651" t="s">
        <v>27</v>
      </c>
      <c r="F2651" s="17">
        <v>1500</v>
      </c>
      <c r="G2651" s="17">
        <v>28000</v>
      </c>
      <c r="H2651" s="17">
        <v>26500</v>
      </c>
      <c r="I2651" s="18">
        <v>0.65</v>
      </c>
      <c r="J2651" s="14">
        <f t="shared" si="0"/>
        <v>17.666666666666668</v>
      </c>
      <c r="K2651" s="15" t="str">
        <f t="shared" si="1"/>
        <v>Exceeds Target</v>
      </c>
    </row>
    <row r="2652" spans="2:11" ht="15" customHeight="1">
      <c r="B2652" t="s">
        <v>413</v>
      </c>
      <c r="C2652" t="s">
        <v>3047</v>
      </c>
      <c r="D2652" t="s">
        <v>69</v>
      </c>
      <c r="E2652" t="s">
        <v>70</v>
      </c>
      <c r="F2652" s="17">
        <v>1000</v>
      </c>
      <c r="G2652" s="17">
        <v>150000</v>
      </c>
      <c r="H2652" s="17">
        <v>149000</v>
      </c>
      <c r="I2652" s="18">
        <v>0.48</v>
      </c>
      <c r="J2652" s="14">
        <f t="shared" si="0"/>
        <v>149</v>
      </c>
      <c r="K2652" s="15" t="str">
        <f t="shared" si="1"/>
        <v>Exceeds Target</v>
      </c>
    </row>
    <row r="2653" spans="2:11" ht="15" customHeight="1">
      <c r="B2653" t="s">
        <v>701</v>
      </c>
      <c r="C2653" t="s">
        <v>3048</v>
      </c>
      <c r="D2653" t="s">
        <v>32</v>
      </c>
      <c r="E2653" t="s">
        <v>27</v>
      </c>
      <c r="F2653" s="17">
        <v>1500</v>
      </c>
      <c r="G2653" s="17">
        <v>26000</v>
      </c>
      <c r="H2653" s="17">
        <v>24500</v>
      </c>
      <c r="I2653" s="18">
        <v>0.82</v>
      </c>
      <c r="J2653" s="14">
        <f t="shared" si="0"/>
        <v>16.333333333333332</v>
      </c>
      <c r="K2653" s="15" t="str">
        <f t="shared" si="1"/>
        <v>Exceeds Target</v>
      </c>
    </row>
    <row r="2654" spans="2:11" ht="15" customHeight="1">
      <c r="B2654" t="s">
        <v>178</v>
      </c>
      <c r="C2654" t="s">
        <v>3049</v>
      </c>
      <c r="D2654" t="s">
        <v>26</v>
      </c>
      <c r="E2654" t="s">
        <v>27</v>
      </c>
      <c r="F2654" s="17">
        <v>5000</v>
      </c>
      <c r="G2654" s="17">
        <v>120000</v>
      </c>
      <c r="H2654" s="17">
        <v>115000</v>
      </c>
      <c r="I2654" s="18">
        <v>0.12</v>
      </c>
      <c r="J2654" s="14">
        <f t="shared" si="0"/>
        <v>23</v>
      </c>
      <c r="K2654" s="15" t="str">
        <f t="shared" si="1"/>
        <v>Exceeds Target</v>
      </c>
    </row>
    <row r="2655" spans="2:11" ht="15" customHeight="1">
      <c r="B2655" t="s">
        <v>677</v>
      </c>
      <c r="C2655" t="s">
        <v>3050</v>
      </c>
      <c r="D2655" t="s">
        <v>80</v>
      </c>
      <c r="E2655" t="s">
        <v>27</v>
      </c>
      <c r="F2655" s="17">
        <v>1000</v>
      </c>
      <c r="G2655" s="17">
        <v>72000</v>
      </c>
      <c r="H2655" s="17">
        <v>71000</v>
      </c>
      <c r="I2655" s="18">
        <v>0.68</v>
      </c>
      <c r="J2655" s="14">
        <f t="shared" si="0"/>
        <v>71</v>
      </c>
      <c r="K2655" s="15" t="str">
        <f t="shared" si="1"/>
        <v>Exceeds Target</v>
      </c>
    </row>
    <row r="2656" spans="2:11" ht="15" customHeight="1">
      <c r="B2656" t="s">
        <v>426</v>
      </c>
      <c r="C2656" t="s">
        <v>3051</v>
      </c>
      <c r="D2656" t="s">
        <v>69</v>
      </c>
      <c r="E2656" t="s">
        <v>70</v>
      </c>
      <c r="F2656" s="17">
        <v>1000</v>
      </c>
      <c r="G2656" s="17">
        <v>135000</v>
      </c>
      <c r="H2656" s="17">
        <v>134000</v>
      </c>
      <c r="I2656" s="18">
        <v>0.85</v>
      </c>
      <c r="J2656" s="14">
        <f t="shared" si="0"/>
        <v>134</v>
      </c>
      <c r="K2656" s="15" t="str">
        <f t="shared" si="1"/>
        <v>Exceeds Target</v>
      </c>
    </row>
    <row r="2657" spans="2:11" ht="15" customHeight="1">
      <c r="B2657" t="s">
        <v>366</v>
      </c>
      <c r="C2657" t="s">
        <v>3052</v>
      </c>
      <c r="D2657" t="s">
        <v>69</v>
      </c>
      <c r="E2657" t="s">
        <v>70</v>
      </c>
      <c r="F2657" s="17">
        <v>1000</v>
      </c>
      <c r="G2657" s="17">
        <v>150000</v>
      </c>
      <c r="H2657" s="17">
        <v>149000</v>
      </c>
      <c r="I2657" s="18">
        <v>0.6</v>
      </c>
      <c r="J2657" s="14">
        <f t="shared" si="0"/>
        <v>149</v>
      </c>
      <c r="K2657" s="15" t="str">
        <f t="shared" si="1"/>
        <v>Exceeds Target</v>
      </c>
    </row>
    <row r="2658" spans="2:11" ht="15" customHeight="1">
      <c r="B2658" t="s">
        <v>2157</v>
      </c>
      <c r="C2658" t="s">
        <v>3053</v>
      </c>
      <c r="D2658" t="s">
        <v>26</v>
      </c>
      <c r="E2658" t="s">
        <v>27</v>
      </c>
      <c r="F2658" s="17">
        <v>5000</v>
      </c>
      <c r="G2658" s="17">
        <v>30000</v>
      </c>
      <c r="H2658" s="17">
        <v>25000</v>
      </c>
      <c r="I2658" s="18">
        <v>0.15</v>
      </c>
      <c r="J2658" s="14">
        <f t="shared" si="0"/>
        <v>5</v>
      </c>
      <c r="K2658" s="15" t="str">
        <f t="shared" si="1"/>
        <v>Exceeds Target</v>
      </c>
    </row>
    <row r="2659" spans="2:11" ht="15" customHeight="1">
      <c r="B2659" t="s">
        <v>687</v>
      </c>
      <c r="C2659" t="s">
        <v>3054</v>
      </c>
      <c r="D2659" t="s">
        <v>69</v>
      </c>
      <c r="E2659" t="s">
        <v>70</v>
      </c>
      <c r="F2659" s="17">
        <v>1000</v>
      </c>
      <c r="G2659" s="17">
        <v>75000</v>
      </c>
      <c r="H2659" s="17">
        <v>74000</v>
      </c>
      <c r="I2659" s="18">
        <v>0.47</v>
      </c>
      <c r="J2659" s="14">
        <f t="shared" si="0"/>
        <v>74</v>
      </c>
      <c r="K2659" s="15" t="str">
        <f t="shared" si="1"/>
        <v>Exceeds Target</v>
      </c>
    </row>
    <row r="2660" spans="2:11" ht="15" customHeight="1">
      <c r="B2660" t="s">
        <v>89</v>
      </c>
      <c r="C2660" t="s">
        <v>3055</v>
      </c>
      <c r="D2660" t="s">
        <v>80</v>
      </c>
      <c r="E2660" t="s">
        <v>27</v>
      </c>
      <c r="F2660" s="17">
        <v>1000</v>
      </c>
      <c r="G2660" s="17">
        <v>72000</v>
      </c>
      <c r="H2660" s="17">
        <v>71000</v>
      </c>
      <c r="I2660" s="18">
        <v>0.6</v>
      </c>
      <c r="J2660" s="14">
        <f t="shared" si="0"/>
        <v>71</v>
      </c>
      <c r="K2660" s="15" t="str">
        <f t="shared" si="1"/>
        <v>Exceeds Target</v>
      </c>
    </row>
    <row r="2661" spans="2:11" ht="15" customHeight="1">
      <c r="B2661" t="s">
        <v>477</v>
      </c>
      <c r="C2661" t="s">
        <v>3056</v>
      </c>
      <c r="D2661" t="s">
        <v>26</v>
      </c>
      <c r="E2661" t="s">
        <v>27</v>
      </c>
      <c r="F2661" s="17">
        <v>5000</v>
      </c>
      <c r="G2661" s="17">
        <v>60000</v>
      </c>
      <c r="H2661" s="17">
        <v>55000</v>
      </c>
      <c r="I2661" s="18">
        <v>0.44</v>
      </c>
      <c r="J2661" s="14">
        <f t="shared" si="0"/>
        <v>11</v>
      </c>
      <c r="K2661" s="15" t="str">
        <f t="shared" si="1"/>
        <v>Exceeds Target</v>
      </c>
    </row>
    <row r="2662" spans="2:11" ht="15" customHeight="1">
      <c r="B2662" t="s">
        <v>121</v>
      </c>
      <c r="C2662" t="s">
        <v>3057</v>
      </c>
      <c r="D2662" t="s">
        <v>26</v>
      </c>
      <c r="E2662" t="s">
        <v>27</v>
      </c>
      <c r="F2662" s="17">
        <v>5000</v>
      </c>
      <c r="G2662" s="17">
        <v>30000</v>
      </c>
      <c r="H2662" s="17">
        <v>25000</v>
      </c>
      <c r="I2662" s="18">
        <v>0.12</v>
      </c>
      <c r="J2662" s="14">
        <f t="shared" si="0"/>
        <v>5</v>
      </c>
      <c r="K2662" s="15" t="str">
        <f t="shared" si="1"/>
        <v>Exceeds Target</v>
      </c>
    </row>
    <row r="2663" spans="2:11" ht="15" customHeight="1">
      <c r="B2663" t="s">
        <v>1216</v>
      </c>
      <c r="C2663" t="s">
        <v>3058</v>
      </c>
      <c r="D2663" t="s">
        <v>80</v>
      </c>
      <c r="E2663" t="s">
        <v>27</v>
      </c>
      <c r="F2663" s="17">
        <v>1000</v>
      </c>
      <c r="G2663" s="17">
        <v>75000</v>
      </c>
      <c r="H2663" s="17">
        <v>74000</v>
      </c>
      <c r="I2663" s="18">
        <v>0.69</v>
      </c>
      <c r="J2663" s="14">
        <f t="shared" si="0"/>
        <v>74</v>
      </c>
      <c r="K2663" s="15" t="str">
        <f t="shared" si="1"/>
        <v>Exceeds Target</v>
      </c>
    </row>
    <row r="2664" spans="2:11" ht="15" customHeight="1">
      <c r="B2664" t="s">
        <v>509</v>
      </c>
      <c r="C2664" t="s">
        <v>3059</v>
      </c>
      <c r="D2664" t="s">
        <v>35</v>
      </c>
      <c r="E2664" t="s">
        <v>27</v>
      </c>
      <c r="F2664" s="17">
        <v>3000</v>
      </c>
      <c r="G2664" s="17">
        <v>170000</v>
      </c>
      <c r="H2664" s="17">
        <v>167000</v>
      </c>
      <c r="I2664" s="18">
        <v>0.95</v>
      </c>
      <c r="J2664" s="14">
        <f t="shared" si="0"/>
        <v>55.666666666666664</v>
      </c>
      <c r="K2664" s="15" t="str">
        <f t="shared" si="1"/>
        <v>Exceeds Target</v>
      </c>
    </row>
    <row r="2665" spans="2:11" ht="15" customHeight="1">
      <c r="B2665" t="s">
        <v>220</v>
      </c>
      <c r="C2665" t="s">
        <v>3060</v>
      </c>
      <c r="D2665" t="s">
        <v>80</v>
      </c>
      <c r="E2665" t="s">
        <v>27</v>
      </c>
      <c r="F2665" s="17">
        <v>1000</v>
      </c>
      <c r="G2665" s="17">
        <v>108000</v>
      </c>
      <c r="H2665" s="17">
        <v>107000</v>
      </c>
      <c r="I2665" s="18">
        <v>0.83</v>
      </c>
      <c r="J2665" s="14">
        <f t="shared" si="0"/>
        <v>107</v>
      </c>
      <c r="K2665" s="15" t="str">
        <f t="shared" si="1"/>
        <v>Exceeds Target</v>
      </c>
    </row>
    <row r="2666" spans="2:11" ht="15" customHeight="1">
      <c r="B2666" t="s">
        <v>244</v>
      </c>
      <c r="C2666" t="s">
        <v>3061</v>
      </c>
      <c r="D2666" t="s">
        <v>80</v>
      </c>
      <c r="E2666" t="s">
        <v>27</v>
      </c>
      <c r="F2666" s="17">
        <v>1000</v>
      </c>
      <c r="G2666" s="17">
        <v>99000</v>
      </c>
      <c r="H2666" s="17">
        <v>98000</v>
      </c>
      <c r="I2666" s="18">
        <v>0.82</v>
      </c>
      <c r="J2666" s="14">
        <f t="shared" si="0"/>
        <v>98</v>
      </c>
      <c r="K2666" s="15" t="str">
        <f t="shared" si="1"/>
        <v>Exceeds Target</v>
      </c>
    </row>
    <row r="2667" spans="2:11" ht="15" customHeight="1">
      <c r="B2667" t="s">
        <v>880</v>
      </c>
      <c r="C2667" t="s">
        <v>3062</v>
      </c>
      <c r="D2667" t="s">
        <v>80</v>
      </c>
      <c r="E2667" t="s">
        <v>27</v>
      </c>
      <c r="F2667" s="17">
        <v>1000</v>
      </c>
      <c r="G2667" s="17">
        <v>57000</v>
      </c>
      <c r="H2667" s="17">
        <v>56000</v>
      </c>
      <c r="I2667" s="18">
        <v>0.78</v>
      </c>
      <c r="J2667" s="14">
        <f t="shared" si="0"/>
        <v>56</v>
      </c>
      <c r="K2667" s="15" t="str">
        <f t="shared" si="1"/>
        <v>Exceeds Target</v>
      </c>
    </row>
    <row r="2668" spans="2:11" ht="15" customHeight="1">
      <c r="B2668" t="s">
        <v>78</v>
      </c>
      <c r="C2668" t="s">
        <v>3063</v>
      </c>
      <c r="D2668" t="s">
        <v>80</v>
      </c>
      <c r="E2668" t="s">
        <v>27</v>
      </c>
      <c r="F2668" s="17">
        <v>1000</v>
      </c>
      <c r="G2668" s="17">
        <v>54000</v>
      </c>
      <c r="H2668" s="17">
        <v>53000</v>
      </c>
      <c r="I2668" s="18">
        <v>0.67</v>
      </c>
      <c r="J2668" s="14">
        <f t="shared" si="0"/>
        <v>53</v>
      </c>
      <c r="K2668" s="15" t="str">
        <f t="shared" si="1"/>
        <v>Exceeds Target</v>
      </c>
    </row>
    <row r="2669" spans="2:11" ht="15" customHeight="1">
      <c r="B2669" t="s">
        <v>390</v>
      </c>
      <c r="C2669" t="s">
        <v>3064</v>
      </c>
      <c r="D2669" t="s">
        <v>26</v>
      </c>
      <c r="E2669" t="s">
        <v>27</v>
      </c>
      <c r="F2669" s="17">
        <v>5000</v>
      </c>
      <c r="G2669" s="17">
        <v>30000</v>
      </c>
      <c r="H2669" s="17">
        <v>25000</v>
      </c>
      <c r="I2669" s="18">
        <v>0.13</v>
      </c>
      <c r="J2669" s="14">
        <f t="shared" si="0"/>
        <v>5</v>
      </c>
      <c r="K2669" s="15" t="str">
        <f t="shared" si="1"/>
        <v>Exceeds Target</v>
      </c>
    </row>
    <row r="2670" spans="2:11" ht="15" customHeight="1">
      <c r="B2670" t="s">
        <v>679</v>
      </c>
      <c r="C2670" t="s">
        <v>3065</v>
      </c>
      <c r="D2670" t="s">
        <v>80</v>
      </c>
      <c r="E2670" t="s">
        <v>27</v>
      </c>
      <c r="F2670" s="17">
        <v>1000</v>
      </c>
      <c r="G2670" s="17">
        <v>57000</v>
      </c>
      <c r="H2670" s="17">
        <v>56000</v>
      </c>
      <c r="I2670" s="18">
        <v>0.9</v>
      </c>
      <c r="J2670" s="14">
        <f t="shared" si="0"/>
        <v>56</v>
      </c>
      <c r="K2670" s="15" t="str">
        <f t="shared" si="1"/>
        <v>Exceeds Target</v>
      </c>
    </row>
    <row r="2671" spans="2:11" ht="15" customHeight="1">
      <c r="B2671" t="s">
        <v>604</v>
      </c>
      <c r="C2671" t="s">
        <v>3066</v>
      </c>
      <c r="D2671" t="s">
        <v>80</v>
      </c>
      <c r="E2671" t="s">
        <v>27</v>
      </c>
      <c r="F2671" s="17">
        <v>1000</v>
      </c>
      <c r="G2671" s="17">
        <v>99000</v>
      </c>
      <c r="H2671" s="17">
        <v>98000</v>
      </c>
      <c r="I2671" s="18">
        <v>0.98</v>
      </c>
      <c r="J2671" s="14">
        <f t="shared" si="0"/>
        <v>98</v>
      </c>
      <c r="K2671" s="15" t="str">
        <f t="shared" si="1"/>
        <v>Exceeds Target</v>
      </c>
    </row>
    <row r="2672" spans="2:11" ht="15" customHeight="1">
      <c r="B2672" t="s">
        <v>105</v>
      </c>
      <c r="C2672" t="s">
        <v>3067</v>
      </c>
      <c r="D2672" t="s">
        <v>69</v>
      </c>
      <c r="E2672" t="s">
        <v>70</v>
      </c>
      <c r="F2672" s="17">
        <v>1000</v>
      </c>
      <c r="G2672" s="17">
        <v>105000</v>
      </c>
      <c r="H2672" s="17">
        <v>104000</v>
      </c>
      <c r="I2672" s="18">
        <v>0.54</v>
      </c>
      <c r="J2672" s="14">
        <f t="shared" si="0"/>
        <v>104</v>
      </c>
      <c r="K2672" s="15" t="str">
        <f t="shared" si="1"/>
        <v>Exceeds Target</v>
      </c>
    </row>
    <row r="2673" spans="2:11" ht="15" customHeight="1">
      <c r="B2673" t="s">
        <v>384</v>
      </c>
      <c r="C2673" t="s">
        <v>3068</v>
      </c>
      <c r="D2673" t="s">
        <v>32</v>
      </c>
      <c r="E2673" t="s">
        <v>27</v>
      </c>
      <c r="F2673" s="17">
        <v>1500</v>
      </c>
      <c r="G2673" s="17">
        <v>32000</v>
      </c>
      <c r="H2673" s="17">
        <v>30500</v>
      </c>
      <c r="I2673" s="18">
        <v>0.33</v>
      </c>
      <c r="J2673" s="14">
        <f t="shared" si="0"/>
        <v>20.333333333333332</v>
      </c>
      <c r="K2673" s="15" t="str">
        <f t="shared" si="1"/>
        <v>Exceeds Target</v>
      </c>
    </row>
    <row r="2674" spans="2:11" ht="15" customHeight="1">
      <c r="B2674" t="s">
        <v>139</v>
      </c>
      <c r="C2674" t="s">
        <v>3069</v>
      </c>
      <c r="D2674" t="s">
        <v>26</v>
      </c>
      <c r="E2674" t="s">
        <v>27</v>
      </c>
      <c r="F2674" s="17">
        <v>5000</v>
      </c>
      <c r="G2674" s="17">
        <v>120000</v>
      </c>
      <c r="H2674" s="17">
        <v>115000</v>
      </c>
      <c r="I2674" s="18">
        <v>0.19</v>
      </c>
      <c r="J2674" s="14">
        <f t="shared" si="0"/>
        <v>23</v>
      </c>
      <c r="K2674" s="15" t="str">
        <f t="shared" si="1"/>
        <v>Exceeds Target</v>
      </c>
    </row>
    <row r="2675" spans="2:11" ht="15" customHeight="1">
      <c r="B2675" t="s">
        <v>664</v>
      </c>
      <c r="C2675" t="s">
        <v>3070</v>
      </c>
      <c r="D2675" t="s">
        <v>69</v>
      </c>
      <c r="E2675" t="s">
        <v>70</v>
      </c>
      <c r="F2675" s="17">
        <v>1000</v>
      </c>
      <c r="G2675" s="17">
        <v>100000</v>
      </c>
      <c r="H2675" s="17">
        <v>99000</v>
      </c>
      <c r="I2675" s="18">
        <v>0.44</v>
      </c>
      <c r="J2675" s="14">
        <f t="shared" si="0"/>
        <v>99</v>
      </c>
      <c r="K2675" s="15" t="str">
        <f t="shared" si="1"/>
        <v>Exceeds Target</v>
      </c>
    </row>
    <row r="2676" spans="2:11" ht="15" customHeight="1">
      <c r="B2676" t="s">
        <v>313</v>
      </c>
      <c r="C2676" t="s">
        <v>3071</v>
      </c>
      <c r="D2676" t="s">
        <v>80</v>
      </c>
      <c r="E2676" t="s">
        <v>27</v>
      </c>
      <c r="F2676" s="17">
        <v>1000</v>
      </c>
      <c r="G2676" s="17">
        <v>54000</v>
      </c>
      <c r="H2676" s="17">
        <v>53000</v>
      </c>
      <c r="I2676" s="18">
        <v>0.83</v>
      </c>
      <c r="J2676" s="14">
        <f t="shared" si="0"/>
        <v>53</v>
      </c>
      <c r="K2676" s="15" t="str">
        <f t="shared" si="1"/>
        <v>Exceeds Target</v>
      </c>
    </row>
    <row r="2677" spans="2:11" ht="15" customHeight="1">
      <c r="B2677" t="s">
        <v>1320</v>
      </c>
      <c r="C2677" t="s">
        <v>3072</v>
      </c>
      <c r="D2677" t="s">
        <v>35</v>
      </c>
      <c r="E2677" t="s">
        <v>27</v>
      </c>
      <c r="F2677" s="17">
        <v>3000</v>
      </c>
      <c r="G2677" s="17">
        <v>180000</v>
      </c>
      <c r="H2677" s="17">
        <v>177000</v>
      </c>
      <c r="I2677" s="18">
        <v>0.8</v>
      </c>
      <c r="J2677" s="14">
        <f t="shared" si="0"/>
        <v>59</v>
      </c>
      <c r="K2677" s="15" t="str">
        <f t="shared" si="1"/>
        <v>Exceeds Target</v>
      </c>
    </row>
    <row r="2678" spans="2:11" ht="15" customHeight="1">
      <c r="B2678" t="s">
        <v>743</v>
      </c>
      <c r="C2678" t="s">
        <v>3073</v>
      </c>
      <c r="D2678" t="s">
        <v>26</v>
      </c>
      <c r="E2678" t="s">
        <v>27</v>
      </c>
      <c r="F2678" s="17">
        <v>5000</v>
      </c>
      <c r="G2678" s="17">
        <v>120000</v>
      </c>
      <c r="H2678" s="17">
        <v>115000</v>
      </c>
      <c r="I2678" s="18">
        <v>0.09</v>
      </c>
      <c r="J2678" s="14">
        <f t="shared" si="0"/>
        <v>23</v>
      </c>
      <c r="K2678" s="15" t="str">
        <f t="shared" si="1"/>
        <v>Exceeds Target</v>
      </c>
    </row>
    <row r="2679" spans="2:11" ht="15" customHeight="1">
      <c r="B2679" t="s">
        <v>899</v>
      </c>
      <c r="C2679" t="s">
        <v>3074</v>
      </c>
      <c r="D2679" t="s">
        <v>32</v>
      </c>
      <c r="E2679" t="s">
        <v>27</v>
      </c>
      <c r="F2679" s="17">
        <v>1500</v>
      </c>
      <c r="G2679" s="17">
        <v>24000</v>
      </c>
      <c r="H2679" s="17">
        <v>22500</v>
      </c>
      <c r="I2679" s="18">
        <v>0.91</v>
      </c>
      <c r="J2679" s="14">
        <f t="shared" si="0"/>
        <v>15</v>
      </c>
      <c r="K2679" s="15" t="str">
        <f t="shared" si="1"/>
        <v>Exceeds Target</v>
      </c>
    </row>
    <row r="2680" spans="2:11" ht="15" customHeight="1">
      <c r="B2680" t="s">
        <v>201</v>
      </c>
      <c r="C2680" t="s">
        <v>3075</v>
      </c>
      <c r="D2680" t="s">
        <v>80</v>
      </c>
      <c r="E2680" t="s">
        <v>27</v>
      </c>
      <c r="F2680" s="17">
        <v>1000</v>
      </c>
      <c r="G2680" s="17">
        <v>75000</v>
      </c>
      <c r="H2680" s="17">
        <v>74000</v>
      </c>
      <c r="I2680" s="18">
        <v>0.96</v>
      </c>
      <c r="J2680" s="14">
        <f t="shared" si="0"/>
        <v>74</v>
      </c>
      <c r="K2680" s="15" t="str">
        <f t="shared" si="1"/>
        <v>Exceeds Target</v>
      </c>
    </row>
    <row r="2681" spans="2:11" ht="15" customHeight="1">
      <c r="B2681" t="s">
        <v>452</v>
      </c>
      <c r="C2681" t="s">
        <v>3076</v>
      </c>
      <c r="D2681" t="s">
        <v>32</v>
      </c>
      <c r="E2681" t="s">
        <v>27</v>
      </c>
      <c r="F2681" s="17">
        <v>1500</v>
      </c>
      <c r="G2681" s="17">
        <v>26000</v>
      </c>
      <c r="H2681" s="17">
        <v>24500</v>
      </c>
      <c r="I2681" s="18">
        <v>0.85</v>
      </c>
      <c r="J2681" s="14">
        <f t="shared" si="0"/>
        <v>16.333333333333332</v>
      </c>
      <c r="K2681" s="15" t="str">
        <f t="shared" si="1"/>
        <v>Exceeds Target</v>
      </c>
    </row>
    <row r="2682" spans="2:11" ht="15" customHeight="1">
      <c r="B2682" t="s">
        <v>1841</v>
      </c>
      <c r="C2682" t="s">
        <v>3077</v>
      </c>
      <c r="D2682" t="s">
        <v>69</v>
      </c>
      <c r="E2682" t="s">
        <v>70</v>
      </c>
      <c r="F2682" s="17">
        <v>1000</v>
      </c>
      <c r="G2682" s="17">
        <v>75000</v>
      </c>
      <c r="H2682" s="17">
        <v>74000</v>
      </c>
      <c r="I2682" s="18">
        <v>0.99</v>
      </c>
      <c r="J2682" s="14">
        <f t="shared" si="0"/>
        <v>74</v>
      </c>
      <c r="K2682" s="15" t="str">
        <f t="shared" si="1"/>
        <v>Exceeds Target</v>
      </c>
    </row>
    <row r="2683" spans="2:11" ht="15" customHeight="1">
      <c r="B2683" t="s">
        <v>1065</v>
      </c>
      <c r="C2683" t="s">
        <v>3078</v>
      </c>
      <c r="D2683" t="s">
        <v>69</v>
      </c>
      <c r="E2683" t="s">
        <v>70</v>
      </c>
      <c r="F2683" s="17">
        <v>1000</v>
      </c>
      <c r="G2683" s="17">
        <v>30000</v>
      </c>
      <c r="H2683" s="17">
        <v>29000</v>
      </c>
      <c r="I2683" s="18">
        <v>0.75</v>
      </c>
      <c r="J2683" s="14">
        <f t="shared" si="0"/>
        <v>29</v>
      </c>
      <c r="K2683" s="15" t="str">
        <f t="shared" si="1"/>
        <v>Exceeds Target</v>
      </c>
    </row>
    <row r="2684" spans="2:11" ht="15" customHeight="1">
      <c r="B2684" t="s">
        <v>296</v>
      </c>
      <c r="C2684" t="s">
        <v>3079</v>
      </c>
      <c r="D2684" t="s">
        <v>26</v>
      </c>
      <c r="E2684" t="s">
        <v>27</v>
      </c>
      <c r="F2684" s="17">
        <v>5000</v>
      </c>
      <c r="G2684" s="17">
        <v>30000</v>
      </c>
      <c r="H2684" s="17">
        <v>25000</v>
      </c>
      <c r="I2684" s="18">
        <v>0.06</v>
      </c>
      <c r="J2684" s="14">
        <f t="shared" si="0"/>
        <v>5</v>
      </c>
      <c r="K2684" s="15" t="str">
        <f t="shared" si="1"/>
        <v>Exceeds Target</v>
      </c>
    </row>
    <row r="2685" spans="2:11" ht="15" customHeight="1">
      <c r="B2685" t="s">
        <v>413</v>
      </c>
      <c r="C2685" t="s">
        <v>3080</v>
      </c>
      <c r="D2685" t="s">
        <v>69</v>
      </c>
      <c r="E2685" t="s">
        <v>70</v>
      </c>
      <c r="F2685" s="17">
        <v>1000</v>
      </c>
      <c r="G2685" s="17">
        <v>95000</v>
      </c>
      <c r="H2685" s="17">
        <v>94000</v>
      </c>
      <c r="I2685" s="18">
        <v>0.83</v>
      </c>
      <c r="J2685" s="14">
        <f t="shared" si="0"/>
        <v>94</v>
      </c>
      <c r="K2685" s="15" t="str">
        <f t="shared" si="1"/>
        <v>Exceeds Target</v>
      </c>
    </row>
    <row r="2686" spans="2:11" ht="15" customHeight="1">
      <c r="B2686" t="s">
        <v>502</v>
      </c>
      <c r="C2686" t="s">
        <v>3081</v>
      </c>
      <c r="D2686" t="s">
        <v>69</v>
      </c>
      <c r="E2686" t="s">
        <v>70</v>
      </c>
      <c r="F2686" s="17">
        <v>1000</v>
      </c>
      <c r="G2686" s="17">
        <v>135000</v>
      </c>
      <c r="H2686" s="17">
        <v>134000</v>
      </c>
      <c r="I2686" s="18">
        <v>0.51</v>
      </c>
      <c r="J2686" s="14">
        <f t="shared" si="0"/>
        <v>134</v>
      </c>
      <c r="K2686" s="15" t="str">
        <f t="shared" si="1"/>
        <v>Exceeds Target</v>
      </c>
    </row>
    <row r="2687" spans="2:11" ht="15" customHeight="1">
      <c r="B2687" t="s">
        <v>175</v>
      </c>
      <c r="C2687" t="s">
        <v>3082</v>
      </c>
      <c r="D2687" t="s">
        <v>69</v>
      </c>
      <c r="E2687" t="s">
        <v>70</v>
      </c>
      <c r="F2687" s="17">
        <v>1000</v>
      </c>
      <c r="G2687" s="17">
        <v>130000</v>
      </c>
      <c r="H2687" s="17">
        <v>129000</v>
      </c>
      <c r="I2687" s="18">
        <v>0.99</v>
      </c>
      <c r="J2687" s="14">
        <f t="shared" si="0"/>
        <v>129</v>
      </c>
      <c r="K2687" s="15" t="str">
        <f t="shared" si="1"/>
        <v>Exceeds Target</v>
      </c>
    </row>
    <row r="2688" spans="2:11" ht="15" customHeight="1">
      <c r="B2688" t="s">
        <v>1462</v>
      </c>
      <c r="C2688" t="s">
        <v>3083</v>
      </c>
      <c r="D2688" t="s">
        <v>26</v>
      </c>
      <c r="E2688" t="s">
        <v>27</v>
      </c>
      <c r="F2688" s="17">
        <v>5000</v>
      </c>
      <c r="G2688" s="17">
        <v>90000</v>
      </c>
      <c r="H2688" s="17">
        <v>85000</v>
      </c>
      <c r="I2688" s="18">
        <v>0.37</v>
      </c>
      <c r="J2688" s="14">
        <f t="shared" si="0"/>
        <v>17</v>
      </c>
      <c r="K2688" s="15" t="str">
        <f t="shared" si="1"/>
        <v>Exceeds Target</v>
      </c>
    </row>
    <row r="2689" spans="2:11" ht="15" customHeight="1">
      <c r="B2689" t="s">
        <v>1157</v>
      </c>
      <c r="C2689" t="s">
        <v>3084</v>
      </c>
      <c r="D2689" t="s">
        <v>32</v>
      </c>
      <c r="E2689" t="s">
        <v>27</v>
      </c>
      <c r="F2689" s="17">
        <v>1500</v>
      </c>
      <c r="G2689" s="17">
        <v>38000</v>
      </c>
      <c r="H2689" s="17">
        <v>36500</v>
      </c>
      <c r="I2689" s="18">
        <v>0.47</v>
      </c>
      <c r="J2689" s="14">
        <f t="shared" si="0"/>
        <v>24.333333333333332</v>
      </c>
      <c r="K2689" s="15" t="str">
        <f t="shared" si="1"/>
        <v>Exceeds Target</v>
      </c>
    </row>
    <row r="2690" spans="2:11" ht="15" customHeight="1">
      <c r="B2690" t="s">
        <v>1614</v>
      </c>
      <c r="C2690" t="s">
        <v>3085</v>
      </c>
      <c r="D2690" t="s">
        <v>80</v>
      </c>
      <c r="E2690" t="s">
        <v>27</v>
      </c>
      <c r="F2690" s="17">
        <v>1000</v>
      </c>
      <c r="G2690" s="17">
        <v>99000</v>
      </c>
      <c r="H2690" s="17">
        <v>98000</v>
      </c>
      <c r="I2690" s="18">
        <v>0.6</v>
      </c>
      <c r="J2690" s="14">
        <f t="shared" si="0"/>
        <v>98</v>
      </c>
      <c r="K2690" s="15" t="str">
        <f t="shared" si="1"/>
        <v>Exceeds Target</v>
      </c>
    </row>
    <row r="2691" spans="2:11" ht="15" customHeight="1">
      <c r="B2691" t="s">
        <v>267</v>
      </c>
      <c r="C2691" t="s">
        <v>3086</v>
      </c>
      <c r="D2691" t="s">
        <v>69</v>
      </c>
      <c r="E2691" t="s">
        <v>70</v>
      </c>
      <c r="F2691" s="17">
        <v>1000</v>
      </c>
      <c r="G2691" s="17">
        <v>85000</v>
      </c>
      <c r="H2691" s="17">
        <v>84000</v>
      </c>
      <c r="I2691" s="18">
        <v>0.75</v>
      </c>
      <c r="J2691" s="14">
        <f t="shared" si="0"/>
        <v>84</v>
      </c>
      <c r="K2691" s="15" t="str">
        <f t="shared" si="1"/>
        <v>Exceeds Target</v>
      </c>
    </row>
    <row r="2692" spans="2:11" ht="15" customHeight="1">
      <c r="B2692" t="s">
        <v>685</v>
      </c>
      <c r="C2692" t="s">
        <v>3087</v>
      </c>
      <c r="D2692" t="s">
        <v>26</v>
      </c>
      <c r="E2692" t="s">
        <v>27</v>
      </c>
      <c r="F2692" s="17">
        <v>5000</v>
      </c>
      <c r="G2692" s="17">
        <v>150000</v>
      </c>
      <c r="H2692" s="17">
        <v>145000</v>
      </c>
      <c r="I2692" s="18">
        <v>0.13</v>
      </c>
      <c r="J2692" s="14">
        <f t="shared" si="0"/>
        <v>29</v>
      </c>
      <c r="K2692" s="15" t="str">
        <f t="shared" si="1"/>
        <v>Exceeds Target</v>
      </c>
    </row>
    <row r="2693" spans="2:11" ht="15" customHeight="1">
      <c r="B2693" t="s">
        <v>252</v>
      </c>
      <c r="C2693" t="s">
        <v>3088</v>
      </c>
      <c r="D2693" t="s">
        <v>80</v>
      </c>
      <c r="E2693" t="s">
        <v>27</v>
      </c>
      <c r="F2693" s="17">
        <v>1000</v>
      </c>
      <c r="G2693" s="17">
        <v>87000</v>
      </c>
      <c r="H2693" s="17">
        <v>86000</v>
      </c>
      <c r="I2693" s="18">
        <v>0.75</v>
      </c>
      <c r="J2693" s="14">
        <f t="shared" si="0"/>
        <v>86</v>
      </c>
      <c r="K2693" s="15" t="str">
        <f t="shared" si="1"/>
        <v>Exceeds Target</v>
      </c>
    </row>
    <row r="2694" spans="2:11" ht="15" customHeight="1">
      <c r="B2694" t="s">
        <v>613</v>
      </c>
      <c r="C2694" t="s">
        <v>3089</v>
      </c>
      <c r="D2694" t="s">
        <v>35</v>
      </c>
      <c r="E2694" t="s">
        <v>27</v>
      </c>
      <c r="F2694" s="17">
        <v>3000</v>
      </c>
      <c r="G2694" s="17">
        <v>120000</v>
      </c>
      <c r="H2694" s="17">
        <v>117000</v>
      </c>
      <c r="I2694" s="18">
        <v>0.26</v>
      </c>
      <c r="J2694" s="14">
        <f t="shared" si="0"/>
        <v>39</v>
      </c>
      <c r="K2694" s="15" t="str">
        <f t="shared" si="1"/>
        <v>Exceeds Target</v>
      </c>
    </row>
    <row r="2695" spans="2:11" ht="15" customHeight="1">
      <c r="B2695" t="s">
        <v>475</v>
      </c>
      <c r="C2695" t="s">
        <v>3090</v>
      </c>
      <c r="D2695" t="s">
        <v>80</v>
      </c>
      <c r="E2695" t="s">
        <v>27</v>
      </c>
      <c r="F2695" s="17">
        <v>1000</v>
      </c>
      <c r="G2695" s="17">
        <v>45000</v>
      </c>
      <c r="H2695" s="17">
        <v>44000</v>
      </c>
      <c r="I2695" s="18">
        <v>0.88</v>
      </c>
      <c r="J2695" s="14">
        <f t="shared" si="0"/>
        <v>44</v>
      </c>
      <c r="K2695" s="15" t="str">
        <f t="shared" si="1"/>
        <v>Exceeds Target</v>
      </c>
    </row>
    <row r="2696" spans="2:11" ht="15" customHeight="1">
      <c r="B2696" t="s">
        <v>238</v>
      </c>
      <c r="C2696" t="s">
        <v>3091</v>
      </c>
      <c r="D2696" t="s">
        <v>69</v>
      </c>
      <c r="E2696" t="s">
        <v>70</v>
      </c>
      <c r="F2696" s="17">
        <v>1000</v>
      </c>
      <c r="G2696" s="17">
        <v>70000</v>
      </c>
      <c r="H2696" s="17">
        <v>69000</v>
      </c>
      <c r="I2696" s="18">
        <v>0.88</v>
      </c>
      <c r="J2696" s="14">
        <f t="shared" si="0"/>
        <v>69</v>
      </c>
      <c r="K2696" s="15" t="str">
        <f t="shared" si="1"/>
        <v>Exceeds Target</v>
      </c>
    </row>
    <row r="2697" spans="2:11" ht="15" customHeight="1">
      <c r="B2697" t="s">
        <v>46</v>
      </c>
      <c r="C2697" t="s">
        <v>3092</v>
      </c>
      <c r="D2697" t="s">
        <v>69</v>
      </c>
      <c r="E2697" t="s">
        <v>70</v>
      </c>
      <c r="F2697" s="17">
        <v>1000</v>
      </c>
      <c r="G2697" s="17">
        <v>50000</v>
      </c>
      <c r="H2697" s="17">
        <v>49000</v>
      </c>
      <c r="I2697" s="18">
        <v>0.87</v>
      </c>
      <c r="J2697" s="14">
        <f t="shared" si="0"/>
        <v>49</v>
      </c>
      <c r="K2697" s="15" t="str">
        <f t="shared" si="1"/>
        <v>Exceeds Target</v>
      </c>
    </row>
    <row r="2698" spans="2:11" ht="15" customHeight="1">
      <c r="B2698" t="s">
        <v>197</v>
      </c>
      <c r="C2698" t="s">
        <v>3093</v>
      </c>
      <c r="D2698" t="s">
        <v>80</v>
      </c>
      <c r="E2698" t="s">
        <v>27</v>
      </c>
      <c r="F2698" s="17">
        <v>1000</v>
      </c>
      <c r="G2698" s="17">
        <v>78000</v>
      </c>
      <c r="H2698" s="17">
        <v>77000</v>
      </c>
      <c r="I2698" s="18">
        <v>0.9</v>
      </c>
      <c r="J2698" s="14">
        <f t="shared" si="0"/>
        <v>77</v>
      </c>
      <c r="K2698" s="15" t="str">
        <f t="shared" si="1"/>
        <v>Exceeds Target</v>
      </c>
    </row>
    <row r="2699" spans="2:11" ht="15" customHeight="1">
      <c r="B2699" t="s">
        <v>916</v>
      </c>
      <c r="C2699" t="s">
        <v>3094</v>
      </c>
      <c r="D2699" t="s">
        <v>32</v>
      </c>
      <c r="E2699" t="s">
        <v>27</v>
      </c>
      <c r="F2699" s="17">
        <v>1500</v>
      </c>
      <c r="G2699" s="17">
        <v>30000</v>
      </c>
      <c r="H2699" s="17">
        <v>28500</v>
      </c>
      <c r="I2699" s="18">
        <v>0.35</v>
      </c>
      <c r="J2699" s="14">
        <f t="shared" si="0"/>
        <v>19</v>
      </c>
      <c r="K2699" s="15" t="str">
        <f t="shared" si="1"/>
        <v>Exceeds Target</v>
      </c>
    </row>
    <row r="2700" spans="2:11" ht="15" customHeight="1">
      <c r="B2700" t="s">
        <v>880</v>
      </c>
      <c r="C2700" t="s">
        <v>3095</v>
      </c>
      <c r="D2700" t="s">
        <v>69</v>
      </c>
      <c r="E2700" t="s">
        <v>70</v>
      </c>
      <c r="F2700" s="17">
        <v>1000</v>
      </c>
      <c r="G2700" s="17">
        <v>90000</v>
      </c>
      <c r="H2700" s="17">
        <v>89000</v>
      </c>
      <c r="I2700" s="18">
        <v>0.64</v>
      </c>
      <c r="J2700" s="14">
        <f t="shared" si="0"/>
        <v>89</v>
      </c>
      <c r="K2700" s="15" t="str">
        <f t="shared" si="1"/>
        <v>Exceeds Target</v>
      </c>
    </row>
    <row r="2701" spans="2:11" ht="15" customHeight="1">
      <c r="B2701" t="s">
        <v>574</v>
      </c>
      <c r="C2701" t="s">
        <v>3096</v>
      </c>
      <c r="D2701" t="s">
        <v>80</v>
      </c>
      <c r="E2701" t="s">
        <v>27</v>
      </c>
      <c r="F2701" s="17">
        <v>1000</v>
      </c>
      <c r="G2701" s="17">
        <v>108000</v>
      </c>
      <c r="H2701" s="17">
        <v>107000</v>
      </c>
      <c r="I2701" s="18">
        <v>0.79</v>
      </c>
      <c r="J2701" s="14">
        <f t="shared" si="0"/>
        <v>107</v>
      </c>
      <c r="K2701" s="15" t="str">
        <f t="shared" si="1"/>
        <v>Exceeds Target</v>
      </c>
    </row>
    <row r="2702" spans="2:11" ht="15" customHeight="1">
      <c r="B2702" t="s">
        <v>1621</v>
      </c>
      <c r="C2702" t="s">
        <v>3097</v>
      </c>
      <c r="D2702" t="s">
        <v>26</v>
      </c>
      <c r="E2702" t="s">
        <v>27</v>
      </c>
      <c r="F2702" s="17">
        <v>5000</v>
      </c>
      <c r="G2702" s="17">
        <v>150000</v>
      </c>
      <c r="H2702" s="17">
        <v>145000</v>
      </c>
      <c r="I2702" s="18">
        <v>0.25</v>
      </c>
      <c r="J2702" s="14">
        <f t="shared" si="0"/>
        <v>29</v>
      </c>
      <c r="K2702" s="15" t="str">
        <f t="shared" si="1"/>
        <v>Exceeds Target</v>
      </c>
    </row>
    <row r="2703" spans="2:11" ht="15" customHeight="1">
      <c r="B2703" t="s">
        <v>143</v>
      </c>
      <c r="C2703" t="s">
        <v>3098</v>
      </c>
      <c r="D2703" t="s">
        <v>69</v>
      </c>
      <c r="E2703" t="s">
        <v>70</v>
      </c>
      <c r="F2703" s="17">
        <v>1000</v>
      </c>
      <c r="G2703" s="17">
        <v>65000</v>
      </c>
      <c r="H2703" s="17">
        <v>64000</v>
      </c>
      <c r="I2703" s="18">
        <v>0.84</v>
      </c>
      <c r="J2703" s="14">
        <f t="shared" si="0"/>
        <v>64</v>
      </c>
      <c r="K2703" s="15" t="str">
        <f t="shared" si="1"/>
        <v>Exceeds Target</v>
      </c>
    </row>
    <row r="2704" spans="2:11" ht="15" customHeight="1">
      <c r="B2704" t="s">
        <v>642</v>
      </c>
      <c r="C2704" t="s">
        <v>3099</v>
      </c>
      <c r="D2704" t="s">
        <v>35</v>
      </c>
      <c r="E2704" t="s">
        <v>27</v>
      </c>
      <c r="F2704" s="17">
        <v>3000</v>
      </c>
      <c r="G2704" s="17">
        <v>100000</v>
      </c>
      <c r="H2704" s="17">
        <v>97000</v>
      </c>
      <c r="I2704" s="18">
        <v>0.64</v>
      </c>
      <c r="J2704" s="14">
        <f t="shared" si="0"/>
        <v>32.333333333333336</v>
      </c>
      <c r="K2704" s="15" t="str">
        <f t="shared" si="1"/>
        <v>Exceeds Target</v>
      </c>
    </row>
    <row r="2705" spans="2:11" ht="15" customHeight="1">
      <c r="B2705" t="s">
        <v>736</v>
      </c>
      <c r="C2705" t="s">
        <v>3100</v>
      </c>
      <c r="D2705" t="s">
        <v>69</v>
      </c>
      <c r="E2705" t="s">
        <v>70</v>
      </c>
      <c r="F2705" s="17">
        <v>1000</v>
      </c>
      <c r="G2705" s="17">
        <v>80000</v>
      </c>
      <c r="H2705" s="17">
        <v>79000</v>
      </c>
      <c r="I2705" s="18">
        <v>0.36</v>
      </c>
      <c r="J2705" s="14">
        <f t="shared" si="0"/>
        <v>79</v>
      </c>
      <c r="K2705" s="15" t="str">
        <f t="shared" si="1"/>
        <v>Exceeds Target</v>
      </c>
    </row>
    <row r="2706" spans="2:11" ht="15" customHeight="1">
      <c r="B2706" t="s">
        <v>225</v>
      </c>
      <c r="C2706" t="s">
        <v>3101</v>
      </c>
      <c r="D2706" t="s">
        <v>35</v>
      </c>
      <c r="E2706" t="s">
        <v>27</v>
      </c>
      <c r="F2706" s="17">
        <v>3000</v>
      </c>
      <c r="G2706" s="17">
        <v>200000</v>
      </c>
      <c r="H2706" s="17">
        <v>197000</v>
      </c>
      <c r="I2706" s="18">
        <v>0.62</v>
      </c>
      <c r="J2706" s="14">
        <f t="shared" si="0"/>
        <v>65.666666666666671</v>
      </c>
      <c r="K2706" s="15" t="str">
        <f t="shared" si="1"/>
        <v>Exceeds Target</v>
      </c>
    </row>
    <row r="2707" spans="2:11" ht="15" customHeight="1">
      <c r="B2707" t="s">
        <v>1210</v>
      </c>
      <c r="C2707" t="s">
        <v>3102</v>
      </c>
      <c r="D2707" t="s">
        <v>26</v>
      </c>
      <c r="E2707" t="s">
        <v>27</v>
      </c>
      <c r="F2707" s="17">
        <v>5000</v>
      </c>
      <c r="G2707" s="17">
        <v>90000</v>
      </c>
      <c r="H2707" s="17">
        <v>85000</v>
      </c>
      <c r="I2707" s="18">
        <v>0.06</v>
      </c>
      <c r="J2707" s="14">
        <f t="shared" si="0"/>
        <v>17</v>
      </c>
      <c r="K2707" s="15" t="str">
        <f t="shared" si="1"/>
        <v>Exceeds Target</v>
      </c>
    </row>
    <row r="2708" spans="2:11" ht="15" customHeight="1">
      <c r="B2708" t="s">
        <v>1216</v>
      </c>
      <c r="C2708" t="s">
        <v>3103</v>
      </c>
      <c r="D2708" t="s">
        <v>35</v>
      </c>
      <c r="E2708" t="s">
        <v>27</v>
      </c>
      <c r="F2708" s="17">
        <v>3000</v>
      </c>
      <c r="G2708" s="17">
        <v>250000</v>
      </c>
      <c r="H2708" s="17">
        <v>247000</v>
      </c>
      <c r="I2708" s="18">
        <v>0.43</v>
      </c>
      <c r="J2708" s="14">
        <f t="shared" si="0"/>
        <v>82.333333333333329</v>
      </c>
      <c r="K2708" s="15" t="str">
        <f t="shared" si="1"/>
        <v>Exceeds Target</v>
      </c>
    </row>
    <row r="2709" spans="2:11" ht="15" customHeight="1">
      <c r="B2709" t="s">
        <v>1241</v>
      </c>
      <c r="C2709" t="s">
        <v>3104</v>
      </c>
      <c r="D2709" t="s">
        <v>80</v>
      </c>
      <c r="E2709" t="s">
        <v>27</v>
      </c>
      <c r="F2709" s="17">
        <v>1000</v>
      </c>
      <c r="G2709" s="17">
        <v>99000</v>
      </c>
      <c r="H2709" s="17">
        <v>98000</v>
      </c>
      <c r="I2709" s="18">
        <v>0.9</v>
      </c>
      <c r="J2709" s="14">
        <f t="shared" si="0"/>
        <v>98</v>
      </c>
      <c r="K2709" s="15" t="str">
        <f t="shared" si="1"/>
        <v>Exceeds Target</v>
      </c>
    </row>
    <row r="2710" spans="2:11" ht="15" customHeight="1">
      <c r="B2710" t="s">
        <v>1604</v>
      </c>
      <c r="C2710" t="s">
        <v>3105</v>
      </c>
      <c r="D2710" t="s">
        <v>80</v>
      </c>
      <c r="E2710" t="s">
        <v>27</v>
      </c>
      <c r="F2710" s="17">
        <v>1000</v>
      </c>
      <c r="G2710" s="17">
        <v>81000</v>
      </c>
      <c r="H2710" s="17">
        <v>80000</v>
      </c>
      <c r="I2710" s="18">
        <v>0.81</v>
      </c>
      <c r="J2710" s="14">
        <f t="shared" si="0"/>
        <v>80</v>
      </c>
      <c r="K2710" s="15" t="str">
        <f t="shared" si="1"/>
        <v>Exceeds Target</v>
      </c>
    </row>
    <row r="2711" spans="2:11" ht="15" customHeight="1">
      <c r="B2711" t="s">
        <v>352</v>
      </c>
      <c r="C2711" t="s">
        <v>3106</v>
      </c>
      <c r="D2711" t="s">
        <v>32</v>
      </c>
      <c r="E2711" t="s">
        <v>27</v>
      </c>
      <c r="F2711" s="17">
        <v>1500</v>
      </c>
      <c r="G2711" s="17">
        <v>48000</v>
      </c>
      <c r="H2711" s="17">
        <v>46500</v>
      </c>
      <c r="I2711" s="18">
        <v>0.68</v>
      </c>
      <c r="J2711" s="14">
        <f t="shared" si="0"/>
        <v>31</v>
      </c>
      <c r="K2711" s="15" t="str">
        <f t="shared" si="1"/>
        <v>Exceeds Target</v>
      </c>
    </row>
    <row r="2712" spans="2:11" ht="15" customHeight="1">
      <c r="B2712" t="s">
        <v>1222</v>
      </c>
      <c r="C2712" t="s">
        <v>3107</v>
      </c>
      <c r="D2712" t="s">
        <v>69</v>
      </c>
      <c r="E2712" t="s">
        <v>70</v>
      </c>
      <c r="F2712" s="17">
        <v>1000</v>
      </c>
      <c r="G2712" s="17">
        <v>90000</v>
      </c>
      <c r="H2712" s="17">
        <v>89000</v>
      </c>
      <c r="I2712" s="18">
        <v>0.71</v>
      </c>
      <c r="J2712" s="14">
        <f t="shared" si="0"/>
        <v>89</v>
      </c>
      <c r="K2712" s="15" t="str">
        <f t="shared" si="1"/>
        <v>Exceeds Target</v>
      </c>
    </row>
    <row r="2713" spans="2:11" ht="15" customHeight="1">
      <c r="B2713" t="s">
        <v>580</v>
      </c>
      <c r="C2713" t="s">
        <v>3108</v>
      </c>
      <c r="D2713" t="s">
        <v>32</v>
      </c>
      <c r="E2713" t="s">
        <v>27</v>
      </c>
      <c r="F2713" s="17">
        <v>1500</v>
      </c>
      <c r="G2713" s="17">
        <v>54000</v>
      </c>
      <c r="H2713" s="17">
        <v>52500</v>
      </c>
      <c r="I2713" s="18">
        <v>0.7</v>
      </c>
      <c r="J2713" s="14">
        <f t="shared" si="0"/>
        <v>35</v>
      </c>
      <c r="K2713" s="15" t="str">
        <f t="shared" si="1"/>
        <v>Exceeds Target</v>
      </c>
    </row>
    <row r="2714" spans="2:11" ht="15" customHeight="1">
      <c r="B2714" t="s">
        <v>841</v>
      </c>
      <c r="C2714" t="s">
        <v>3109</v>
      </c>
      <c r="D2714" t="s">
        <v>26</v>
      </c>
      <c r="E2714" t="s">
        <v>27</v>
      </c>
      <c r="F2714" s="17">
        <v>5000</v>
      </c>
      <c r="G2714" s="17">
        <v>30000</v>
      </c>
      <c r="H2714" s="17">
        <v>25000</v>
      </c>
      <c r="I2714" s="18">
        <v>0.28000000000000003</v>
      </c>
      <c r="J2714" s="14">
        <f t="shared" si="0"/>
        <v>5</v>
      </c>
      <c r="K2714" s="15" t="str">
        <f t="shared" si="1"/>
        <v>Exceeds Target</v>
      </c>
    </row>
    <row r="2715" spans="2:11" ht="15" customHeight="1">
      <c r="B2715" t="s">
        <v>115</v>
      </c>
      <c r="C2715" t="s">
        <v>3110</v>
      </c>
      <c r="D2715" t="s">
        <v>32</v>
      </c>
      <c r="E2715" t="s">
        <v>27</v>
      </c>
      <c r="F2715" s="17">
        <v>1500</v>
      </c>
      <c r="G2715" s="17">
        <v>12000</v>
      </c>
      <c r="H2715" s="17">
        <v>10500</v>
      </c>
      <c r="I2715" s="18">
        <v>0.45</v>
      </c>
      <c r="J2715" s="14">
        <f t="shared" si="0"/>
        <v>7</v>
      </c>
      <c r="K2715" s="15" t="str">
        <f t="shared" si="1"/>
        <v>Exceeds Target</v>
      </c>
    </row>
    <row r="2716" spans="2:11" ht="15" customHeight="1">
      <c r="B2716" t="s">
        <v>1170</v>
      </c>
      <c r="C2716" t="s">
        <v>3111</v>
      </c>
      <c r="D2716" t="s">
        <v>35</v>
      </c>
      <c r="E2716" t="s">
        <v>27</v>
      </c>
      <c r="F2716" s="17">
        <v>3000</v>
      </c>
      <c r="G2716" s="17">
        <v>80000</v>
      </c>
      <c r="H2716" s="17">
        <v>77000</v>
      </c>
      <c r="I2716" s="18">
        <v>0.4</v>
      </c>
      <c r="J2716" s="14">
        <f t="shared" si="0"/>
        <v>25.666666666666668</v>
      </c>
      <c r="K2716" s="15" t="str">
        <f t="shared" si="1"/>
        <v>Exceeds Target</v>
      </c>
    </row>
    <row r="2717" spans="2:11" ht="15" customHeight="1">
      <c r="B2717" t="s">
        <v>746</v>
      </c>
      <c r="C2717" t="s">
        <v>3112</v>
      </c>
      <c r="D2717" t="s">
        <v>80</v>
      </c>
      <c r="E2717" t="s">
        <v>27</v>
      </c>
      <c r="F2717" s="17">
        <v>1000</v>
      </c>
      <c r="G2717" s="17">
        <v>96000</v>
      </c>
      <c r="H2717" s="17">
        <v>95000</v>
      </c>
      <c r="I2717" s="18">
        <v>0.69</v>
      </c>
      <c r="J2717" s="14">
        <f t="shared" si="0"/>
        <v>95</v>
      </c>
      <c r="K2717" s="15" t="str">
        <f t="shared" si="1"/>
        <v>Exceeds Target</v>
      </c>
    </row>
    <row r="2718" spans="2:11" ht="15" customHeight="1">
      <c r="B2718" t="s">
        <v>1029</v>
      </c>
      <c r="C2718" t="s">
        <v>3113</v>
      </c>
      <c r="D2718" t="s">
        <v>35</v>
      </c>
      <c r="E2718" t="s">
        <v>27</v>
      </c>
      <c r="F2718" s="17">
        <v>3000</v>
      </c>
      <c r="G2718" s="17">
        <v>140000</v>
      </c>
      <c r="H2718" s="17">
        <v>137000</v>
      </c>
      <c r="I2718" s="18">
        <v>0.48</v>
      </c>
      <c r="J2718" s="14">
        <f t="shared" si="0"/>
        <v>45.666666666666664</v>
      </c>
      <c r="K2718" s="15" t="str">
        <f t="shared" si="1"/>
        <v>Exceeds Target</v>
      </c>
    </row>
    <row r="2719" spans="2:11" ht="15" customHeight="1">
      <c r="B2719" t="s">
        <v>167</v>
      </c>
      <c r="C2719" t="s">
        <v>3114</v>
      </c>
      <c r="D2719" t="s">
        <v>80</v>
      </c>
      <c r="E2719" t="s">
        <v>27</v>
      </c>
      <c r="F2719" s="17">
        <v>1000</v>
      </c>
      <c r="G2719" s="17">
        <v>96000</v>
      </c>
      <c r="H2719" s="17">
        <v>95000</v>
      </c>
      <c r="I2719" s="18">
        <v>0.94</v>
      </c>
      <c r="J2719" s="14">
        <f t="shared" si="0"/>
        <v>95</v>
      </c>
      <c r="K2719" s="15" t="str">
        <f t="shared" si="1"/>
        <v>Exceeds Target</v>
      </c>
    </row>
    <row r="2720" spans="2:11" ht="15" customHeight="1">
      <c r="B2720" t="s">
        <v>247</v>
      </c>
      <c r="C2720" t="s">
        <v>3115</v>
      </c>
      <c r="D2720" t="s">
        <v>26</v>
      </c>
      <c r="E2720" t="s">
        <v>27</v>
      </c>
      <c r="F2720" s="17">
        <v>5000</v>
      </c>
      <c r="G2720" s="17">
        <v>30000</v>
      </c>
      <c r="H2720" s="17">
        <v>25000</v>
      </c>
      <c r="I2720" s="18">
        <v>0.22</v>
      </c>
      <c r="J2720" s="14">
        <f t="shared" si="0"/>
        <v>5</v>
      </c>
      <c r="K2720" s="15" t="str">
        <f t="shared" si="1"/>
        <v>Exceeds Target</v>
      </c>
    </row>
    <row r="2721" spans="2:11" ht="15" customHeight="1">
      <c r="B2721" t="s">
        <v>1053</v>
      </c>
      <c r="C2721" t="s">
        <v>3116</v>
      </c>
      <c r="D2721" t="s">
        <v>80</v>
      </c>
      <c r="E2721" t="s">
        <v>27</v>
      </c>
      <c r="F2721" s="17">
        <v>1000</v>
      </c>
      <c r="G2721" s="17">
        <v>102000</v>
      </c>
      <c r="H2721" s="17">
        <v>101000</v>
      </c>
      <c r="I2721" s="18">
        <v>0.99</v>
      </c>
      <c r="J2721" s="14">
        <f t="shared" si="0"/>
        <v>101</v>
      </c>
      <c r="K2721" s="15" t="str">
        <f t="shared" si="1"/>
        <v>Exceeds Target</v>
      </c>
    </row>
    <row r="2722" spans="2:11" ht="15" customHeight="1">
      <c r="B2722" t="s">
        <v>1320</v>
      </c>
      <c r="C2722" t="s">
        <v>3117</v>
      </c>
      <c r="D2722" t="s">
        <v>26</v>
      </c>
      <c r="E2722" t="s">
        <v>27</v>
      </c>
      <c r="F2722" s="17">
        <v>5000</v>
      </c>
      <c r="G2722" s="17">
        <v>120000</v>
      </c>
      <c r="H2722" s="17">
        <v>115000</v>
      </c>
      <c r="I2722" s="18">
        <v>0.14000000000000001</v>
      </c>
      <c r="J2722" s="14">
        <f t="shared" si="0"/>
        <v>23</v>
      </c>
      <c r="K2722" s="15" t="str">
        <f t="shared" si="1"/>
        <v>Exceeds Target</v>
      </c>
    </row>
    <row r="2723" spans="2:11" ht="15" customHeight="1">
      <c r="B2723" t="s">
        <v>734</v>
      </c>
      <c r="C2723" t="s">
        <v>3118</v>
      </c>
      <c r="D2723" t="s">
        <v>26</v>
      </c>
      <c r="E2723" t="s">
        <v>27</v>
      </c>
      <c r="F2723" s="17">
        <v>5000</v>
      </c>
      <c r="G2723" s="17">
        <v>120000</v>
      </c>
      <c r="H2723" s="17">
        <v>115000</v>
      </c>
      <c r="I2723" s="18">
        <v>0.23</v>
      </c>
      <c r="J2723" s="14">
        <f t="shared" si="0"/>
        <v>23</v>
      </c>
      <c r="K2723" s="15" t="str">
        <f t="shared" si="1"/>
        <v>Exceeds Target</v>
      </c>
    </row>
    <row r="2724" spans="2:11" ht="15" customHeight="1">
      <c r="B2724" t="s">
        <v>448</v>
      </c>
      <c r="C2724" t="s">
        <v>3119</v>
      </c>
      <c r="D2724" t="s">
        <v>80</v>
      </c>
      <c r="E2724" t="s">
        <v>27</v>
      </c>
      <c r="F2724" s="17">
        <v>1000</v>
      </c>
      <c r="G2724" s="17">
        <v>84000</v>
      </c>
      <c r="H2724" s="17">
        <v>83000</v>
      </c>
      <c r="I2724" s="18">
        <v>0.94</v>
      </c>
      <c r="J2724" s="14">
        <f t="shared" si="0"/>
        <v>83</v>
      </c>
      <c r="K2724" s="15" t="str">
        <f t="shared" si="1"/>
        <v>Exceeds Target</v>
      </c>
    </row>
    <row r="2725" spans="2:11" ht="15" customHeight="1">
      <c r="B2725" t="s">
        <v>259</v>
      </c>
      <c r="C2725" t="s">
        <v>3120</v>
      </c>
      <c r="D2725" t="s">
        <v>69</v>
      </c>
      <c r="E2725" t="s">
        <v>70</v>
      </c>
      <c r="F2725" s="17">
        <v>1000</v>
      </c>
      <c r="G2725" s="17">
        <v>150000</v>
      </c>
      <c r="H2725" s="17">
        <v>149000</v>
      </c>
      <c r="I2725" s="18">
        <v>0.22</v>
      </c>
      <c r="J2725" s="14">
        <f t="shared" si="0"/>
        <v>149</v>
      </c>
      <c r="K2725" s="15" t="str">
        <f t="shared" si="1"/>
        <v>Exceeds Target</v>
      </c>
    </row>
    <row r="2726" spans="2:11" ht="15" customHeight="1">
      <c r="B2726" t="s">
        <v>272</v>
      </c>
      <c r="C2726" t="s">
        <v>3121</v>
      </c>
      <c r="D2726" t="s">
        <v>80</v>
      </c>
      <c r="E2726" t="s">
        <v>27</v>
      </c>
      <c r="F2726" s="17">
        <v>1000</v>
      </c>
      <c r="G2726" s="17">
        <v>66000</v>
      </c>
      <c r="H2726" s="17">
        <v>65000</v>
      </c>
      <c r="I2726" s="18">
        <v>0.98</v>
      </c>
      <c r="J2726" s="14">
        <f t="shared" si="0"/>
        <v>65</v>
      </c>
      <c r="K2726" s="15" t="str">
        <f t="shared" si="1"/>
        <v>Exceeds Target</v>
      </c>
    </row>
    <row r="2727" spans="2:11" ht="15" customHeight="1">
      <c r="B2727" t="s">
        <v>397</v>
      </c>
      <c r="C2727" t="s">
        <v>3122</v>
      </c>
      <c r="D2727" t="s">
        <v>69</v>
      </c>
      <c r="E2727" t="s">
        <v>70</v>
      </c>
      <c r="F2727" s="17">
        <v>1000</v>
      </c>
      <c r="G2727" s="17">
        <v>145000</v>
      </c>
      <c r="H2727" s="17">
        <v>144000</v>
      </c>
      <c r="I2727" s="18">
        <v>0.26</v>
      </c>
      <c r="J2727" s="14">
        <f t="shared" si="0"/>
        <v>144</v>
      </c>
      <c r="K2727" s="15" t="str">
        <f t="shared" si="1"/>
        <v>Exceeds Target</v>
      </c>
    </row>
    <row r="2728" spans="2:11" ht="15" customHeight="1">
      <c r="B2728" t="s">
        <v>459</v>
      </c>
      <c r="C2728" t="s">
        <v>3123</v>
      </c>
      <c r="D2728" t="s">
        <v>26</v>
      </c>
      <c r="E2728" t="s">
        <v>27</v>
      </c>
      <c r="F2728" s="17">
        <v>5000</v>
      </c>
      <c r="G2728" s="17">
        <v>30000</v>
      </c>
      <c r="H2728" s="17">
        <v>25000</v>
      </c>
      <c r="I2728" s="18">
        <v>0.12</v>
      </c>
      <c r="J2728" s="14">
        <f t="shared" si="0"/>
        <v>5</v>
      </c>
      <c r="K2728" s="15" t="str">
        <f t="shared" si="1"/>
        <v>Exceeds Target</v>
      </c>
    </row>
    <row r="2729" spans="2:11" ht="15" customHeight="1">
      <c r="B2729" t="s">
        <v>670</v>
      </c>
      <c r="C2729" t="s">
        <v>3124</v>
      </c>
      <c r="D2729" t="s">
        <v>26</v>
      </c>
      <c r="E2729" t="s">
        <v>27</v>
      </c>
      <c r="F2729" s="17">
        <v>5000</v>
      </c>
      <c r="G2729" s="17">
        <v>30000</v>
      </c>
      <c r="H2729" s="17">
        <v>25000</v>
      </c>
      <c r="I2729" s="18">
        <v>0.27</v>
      </c>
      <c r="J2729" s="14">
        <f t="shared" si="0"/>
        <v>5</v>
      </c>
      <c r="K2729" s="15" t="str">
        <f t="shared" si="1"/>
        <v>Exceeds Target</v>
      </c>
    </row>
    <row r="2730" spans="2:11" ht="15" customHeight="1">
      <c r="B2730" t="s">
        <v>993</v>
      </c>
      <c r="C2730" t="s">
        <v>3125</v>
      </c>
      <c r="D2730" t="s">
        <v>80</v>
      </c>
      <c r="E2730" t="s">
        <v>27</v>
      </c>
      <c r="F2730" s="17">
        <v>1000</v>
      </c>
      <c r="G2730" s="17">
        <v>81000</v>
      </c>
      <c r="H2730" s="17">
        <v>80000</v>
      </c>
      <c r="I2730" s="18">
        <v>0.96</v>
      </c>
      <c r="J2730" s="14">
        <f t="shared" si="0"/>
        <v>80</v>
      </c>
      <c r="K2730" s="15" t="str">
        <f t="shared" si="1"/>
        <v>Exceeds Target</v>
      </c>
    </row>
    <row r="2731" spans="2:11" ht="15" customHeight="1">
      <c r="B2731" t="s">
        <v>382</v>
      </c>
      <c r="C2731" t="s">
        <v>3126</v>
      </c>
      <c r="D2731" t="s">
        <v>80</v>
      </c>
      <c r="E2731" t="s">
        <v>27</v>
      </c>
      <c r="F2731" s="17">
        <v>1000</v>
      </c>
      <c r="G2731" s="17">
        <v>105000</v>
      </c>
      <c r="H2731" s="17">
        <v>104000</v>
      </c>
      <c r="I2731" s="18">
        <v>0.73</v>
      </c>
      <c r="J2731" s="14">
        <f t="shared" si="0"/>
        <v>104</v>
      </c>
      <c r="K2731" s="15" t="str">
        <f t="shared" si="1"/>
        <v>Exceeds Target</v>
      </c>
    </row>
    <row r="2732" spans="2:11" ht="15" customHeight="1">
      <c r="B2732" t="s">
        <v>999</v>
      </c>
      <c r="C2732" t="s">
        <v>3127</v>
      </c>
      <c r="D2732" t="s">
        <v>80</v>
      </c>
      <c r="E2732" t="s">
        <v>27</v>
      </c>
      <c r="F2732" s="17">
        <v>1000</v>
      </c>
      <c r="G2732" s="17">
        <v>99000</v>
      </c>
      <c r="H2732" s="17">
        <v>98000</v>
      </c>
      <c r="I2732" s="18">
        <v>0.73</v>
      </c>
      <c r="J2732" s="14">
        <f t="shared" si="0"/>
        <v>98</v>
      </c>
      <c r="K2732" s="15" t="str">
        <f t="shared" si="1"/>
        <v>Exceeds Target</v>
      </c>
    </row>
    <row r="2733" spans="2:11" ht="15" customHeight="1">
      <c r="B2733" t="s">
        <v>93</v>
      </c>
      <c r="C2733" t="s">
        <v>3128</v>
      </c>
      <c r="D2733" t="s">
        <v>80</v>
      </c>
      <c r="E2733" t="s">
        <v>27</v>
      </c>
      <c r="F2733" s="17">
        <v>1000</v>
      </c>
      <c r="G2733" s="17">
        <v>102000</v>
      </c>
      <c r="H2733" s="17">
        <v>101000</v>
      </c>
      <c r="I2733" s="18">
        <v>0.66</v>
      </c>
      <c r="J2733" s="14">
        <f t="shared" si="0"/>
        <v>101</v>
      </c>
      <c r="K2733" s="15" t="str">
        <f t="shared" si="1"/>
        <v>Exceeds Target</v>
      </c>
    </row>
    <row r="2734" spans="2:11" ht="15" customHeight="1">
      <c r="B2734" t="s">
        <v>1007</v>
      </c>
      <c r="C2734" t="s">
        <v>3129</v>
      </c>
      <c r="D2734" t="s">
        <v>35</v>
      </c>
      <c r="E2734" t="s">
        <v>27</v>
      </c>
      <c r="F2734" s="17">
        <v>3000</v>
      </c>
      <c r="G2734" s="17">
        <v>80000</v>
      </c>
      <c r="H2734" s="17">
        <v>77000</v>
      </c>
      <c r="I2734" s="18">
        <v>0.45</v>
      </c>
      <c r="J2734" s="14">
        <f t="shared" si="0"/>
        <v>25.666666666666668</v>
      </c>
      <c r="K2734" s="15" t="str">
        <f t="shared" si="1"/>
        <v>Exceeds Target</v>
      </c>
    </row>
    <row r="2735" spans="2:11" ht="15" customHeight="1">
      <c r="B2735" t="s">
        <v>776</v>
      </c>
      <c r="C2735" t="s">
        <v>3130</v>
      </c>
      <c r="D2735" t="s">
        <v>32</v>
      </c>
      <c r="E2735" t="s">
        <v>27</v>
      </c>
      <c r="F2735" s="17">
        <v>1500</v>
      </c>
      <c r="G2735" s="17">
        <v>20000</v>
      </c>
      <c r="H2735" s="17">
        <v>18500</v>
      </c>
      <c r="I2735" s="18">
        <v>0.3</v>
      </c>
      <c r="J2735" s="14">
        <f t="shared" si="0"/>
        <v>12.333333333333334</v>
      </c>
      <c r="K2735" s="15" t="str">
        <f t="shared" si="1"/>
        <v>Exceeds Target</v>
      </c>
    </row>
    <row r="2736" spans="2:11" ht="15" customHeight="1">
      <c r="B2736" t="s">
        <v>563</v>
      </c>
      <c r="C2736" t="s">
        <v>3131</v>
      </c>
      <c r="D2736" t="s">
        <v>35</v>
      </c>
      <c r="E2736" t="s">
        <v>27</v>
      </c>
      <c r="F2736" s="17">
        <v>3000</v>
      </c>
      <c r="G2736" s="17">
        <v>120000</v>
      </c>
      <c r="H2736" s="17">
        <v>117000</v>
      </c>
      <c r="I2736" s="18">
        <v>0.66</v>
      </c>
      <c r="J2736" s="14">
        <f t="shared" si="0"/>
        <v>39</v>
      </c>
      <c r="K2736" s="15" t="str">
        <f t="shared" si="1"/>
        <v>Exceeds Target</v>
      </c>
    </row>
    <row r="2737" spans="2:11" ht="15" customHeight="1">
      <c r="B2737" t="s">
        <v>475</v>
      </c>
      <c r="C2737" t="s">
        <v>3132</v>
      </c>
      <c r="D2737" t="s">
        <v>32</v>
      </c>
      <c r="E2737" t="s">
        <v>27</v>
      </c>
      <c r="F2737" s="17">
        <v>1500</v>
      </c>
      <c r="G2737" s="17">
        <v>60000</v>
      </c>
      <c r="H2737" s="17">
        <v>58500</v>
      </c>
      <c r="I2737" s="18">
        <v>0.55000000000000004</v>
      </c>
      <c r="J2737" s="14">
        <f t="shared" si="0"/>
        <v>39</v>
      </c>
      <c r="K2737" s="15" t="str">
        <f t="shared" si="1"/>
        <v>Exceeds Target</v>
      </c>
    </row>
    <row r="2738" spans="2:11" ht="15" customHeight="1">
      <c r="B2738" t="s">
        <v>403</v>
      </c>
      <c r="C2738" t="s">
        <v>3133</v>
      </c>
      <c r="D2738" t="s">
        <v>80</v>
      </c>
      <c r="E2738" t="s">
        <v>27</v>
      </c>
      <c r="F2738" s="17">
        <v>1000</v>
      </c>
      <c r="G2738" s="17">
        <v>90000</v>
      </c>
      <c r="H2738" s="17">
        <v>89000</v>
      </c>
      <c r="I2738" s="18">
        <v>0.83</v>
      </c>
      <c r="J2738" s="14">
        <f t="shared" si="0"/>
        <v>89</v>
      </c>
      <c r="K2738" s="15" t="str">
        <f t="shared" si="1"/>
        <v>Exceeds Target</v>
      </c>
    </row>
    <row r="2739" spans="2:11" ht="15" customHeight="1">
      <c r="B2739" t="s">
        <v>384</v>
      </c>
      <c r="C2739" t="s">
        <v>3134</v>
      </c>
      <c r="D2739" t="s">
        <v>35</v>
      </c>
      <c r="E2739" t="s">
        <v>27</v>
      </c>
      <c r="F2739" s="17">
        <v>3000</v>
      </c>
      <c r="G2739" s="17">
        <v>270000</v>
      </c>
      <c r="H2739" s="17">
        <v>267000</v>
      </c>
      <c r="I2739" s="18">
        <v>0.22</v>
      </c>
      <c r="J2739" s="14">
        <f t="shared" si="0"/>
        <v>89</v>
      </c>
      <c r="K2739" s="15" t="str">
        <f t="shared" si="1"/>
        <v>Exceeds Target</v>
      </c>
    </row>
    <row r="2740" spans="2:11" ht="15" customHeight="1">
      <c r="B2740" t="s">
        <v>67</v>
      </c>
      <c r="C2740" t="s">
        <v>3135</v>
      </c>
      <c r="D2740" t="s">
        <v>26</v>
      </c>
      <c r="E2740" t="s">
        <v>27</v>
      </c>
      <c r="F2740" s="17">
        <v>5000</v>
      </c>
      <c r="G2740" s="17">
        <v>60000</v>
      </c>
      <c r="H2740" s="17">
        <v>55000</v>
      </c>
      <c r="I2740" s="18">
        <v>0.12</v>
      </c>
      <c r="J2740" s="14">
        <f t="shared" si="0"/>
        <v>11</v>
      </c>
      <c r="K2740" s="15" t="str">
        <f t="shared" si="1"/>
        <v>Exceeds Target</v>
      </c>
    </row>
    <row r="2741" spans="2:11" ht="15" customHeight="1">
      <c r="B2741" t="s">
        <v>231</v>
      </c>
      <c r="C2741" t="s">
        <v>3136</v>
      </c>
      <c r="D2741" t="s">
        <v>80</v>
      </c>
      <c r="E2741" t="s">
        <v>27</v>
      </c>
      <c r="F2741" s="17">
        <v>1000</v>
      </c>
      <c r="G2741" s="17">
        <v>57000</v>
      </c>
      <c r="H2741" s="17">
        <v>56000</v>
      </c>
      <c r="I2741" s="18">
        <v>0.53</v>
      </c>
      <c r="J2741" s="14">
        <f t="shared" si="0"/>
        <v>56</v>
      </c>
      <c r="K2741" s="15" t="str">
        <f t="shared" si="1"/>
        <v>Exceeds Target</v>
      </c>
    </row>
    <row r="2742" spans="2:11" ht="15" customHeight="1">
      <c r="B2742" t="s">
        <v>364</v>
      </c>
      <c r="C2742" t="s">
        <v>3137</v>
      </c>
      <c r="D2742" t="s">
        <v>26</v>
      </c>
      <c r="E2742" t="s">
        <v>27</v>
      </c>
      <c r="F2742" s="17">
        <v>5000</v>
      </c>
      <c r="G2742" s="17">
        <v>120000</v>
      </c>
      <c r="H2742" s="17">
        <v>115000</v>
      </c>
      <c r="I2742" s="18">
        <v>7.0000000000000007E-2</v>
      </c>
      <c r="J2742" s="14">
        <f t="shared" si="0"/>
        <v>23</v>
      </c>
      <c r="K2742" s="15" t="str">
        <f t="shared" si="1"/>
        <v>Exceeds Target</v>
      </c>
    </row>
    <row r="2743" spans="2:11" ht="15" customHeight="1">
      <c r="B2743" t="s">
        <v>150</v>
      </c>
      <c r="C2743" t="s">
        <v>3138</v>
      </c>
      <c r="D2743" t="s">
        <v>26</v>
      </c>
      <c r="E2743" t="s">
        <v>27</v>
      </c>
      <c r="F2743" s="17">
        <v>5000</v>
      </c>
      <c r="G2743" s="17">
        <v>90000</v>
      </c>
      <c r="H2743" s="17">
        <v>85000</v>
      </c>
      <c r="I2743" s="18">
        <v>0.04</v>
      </c>
      <c r="J2743" s="14">
        <f t="shared" si="0"/>
        <v>17</v>
      </c>
      <c r="K2743" s="15" t="str">
        <f t="shared" si="1"/>
        <v>Exceeds Target</v>
      </c>
    </row>
    <row r="2744" spans="2:11" ht="15" customHeight="1">
      <c r="B2744" t="s">
        <v>61</v>
      </c>
      <c r="C2744" t="s">
        <v>3139</v>
      </c>
      <c r="D2744" t="s">
        <v>69</v>
      </c>
      <c r="E2744" t="s">
        <v>70</v>
      </c>
      <c r="F2744" s="17">
        <v>1000</v>
      </c>
      <c r="G2744" s="17">
        <v>120000</v>
      </c>
      <c r="H2744" s="17">
        <v>119000</v>
      </c>
      <c r="I2744" s="18">
        <v>0.33</v>
      </c>
      <c r="J2744" s="14">
        <f t="shared" si="0"/>
        <v>119</v>
      </c>
      <c r="K2744" s="15" t="str">
        <f t="shared" si="1"/>
        <v>Exceeds Target</v>
      </c>
    </row>
    <row r="2745" spans="2:11" ht="15" customHeight="1">
      <c r="B2745" t="s">
        <v>347</v>
      </c>
      <c r="C2745" t="s">
        <v>3140</v>
      </c>
      <c r="D2745" t="s">
        <v>26</v>
      </c>
      <c r="E2745" t="s">
        <v>27</v>
      </c>
      <c r="F2745" s="17">
        <v>5000</v>
      </c>
      <c r="G2745" s="17">
        <v>30000</v>
      </c>
      <c r="H2745" s="17">
        <v>25000</v>
      </c>
      <c r="I2745" s="18">
        <v>0.16</v>
      </c>
      <c r="J2745" s="14">
        <f t="shared" si="0"/>
        <v>5</v>
      </c>
      <c r="K2745" s="15" t="str">
        <f t="shared" si="1"/>
        <v>Exceeds Target</v>
      </c>
    </row>
    <row r="2746" spans="2:11" ht="15" customHeight="1">
      <c r="B2746" t="s">
        <v>178</v>
      </c>
      <c r="C2746" t="s">
        <v>3141</v>
      </c>
      <c r="D2746" t="s">
        <v>80</v>
      </c>
      <c r="E2746" t="s">
        <v>27</v>
      </c>
      <c r="F2746" s="17">
        <v>1000</v>
      </c>
      <c r="G2746" s="17">
        <v>90000</v>
      </c>
      <c r="H2746" s="17">
        <v>89000</v>
      </c>
      <c r="I2746" s="18">
        <v>0.91</v>
      </c>
      <c r="J2746" s="14">
        <f t="shared" si="0"/>
        <v>89</v>
      </c>
      <c r="K2746" s="15" t="str">
        <f t="shared" si="1"/>
        <v>Exceeds Target</v>
      </c>
    </row>
    <row r="2747" spans="2:11" ht="15" customHeight="1">
      <c r="B2747" t="s">
        <v>577</v>
      </c>
      <c r="C2747" t="s">
        <v>3142</v>
      </c>
      <c r="D2747" t="s">
        <v>32</v>
      </c>
      <c r="E2747" t="s">
        <v>27</v>
      </c>
      <c r="F2747" s="17">
        <v>1500</v>
      </c>
      <c r="G2747" s="17">
        <v>26000</v>
      </c>
      <c r="H2747" s="17">
        <v>24500</v>
      </c>
      <c r="I2747" s="18">
        <v>0.77</v>
      </c>
      <c r="J2747" s="14">
        <f t="shared" si="0"/>
        <v>16.333333333333332</v>
      </c>
      <c r="K2747" s="15" t="str">
        <f t="shared" si="1"/>
        <v>Exceeds Target</v>
      </c>
    </row>
    <row r="2748" spans="2:11" ht="15" customHeight="1">
      <c r="B2748" t="s">
        <v>882</v>
      </c>
      <c r="C2748" t="s">
        <v>3143</v>
      </c>
      <c r="D2748" t="s">
        <v>69</v>
      </c>
      <c r="E2748" t="s">
        <v>70</v>
      </c>
      <c r="F2748" s="17">
        <v>1000</v>
      </c>
      <c r="G2748" s="17">
        <v>50000</v>
      </c>
      <c r="H2748" s="17">
        <v>49000</v>
      </c>
      <c r="I2748" s="18">
        <v>0.32</v>
      </c>
      <c r="J2748" s="14">
        <f t="shared" si="0"/>
        <v>49</v>
      </c>
      <c r="K2748" s="15" t="str">
        <f t="shared" si="1"/>
        <v>Exceeds Target</v>
      </c>
    </row>
    <row r="2749" spans="2:11" ht="15" customHeight="1">
      <c r="B2749" t="s">
        <v>227</v>
      </c>
      <c r="C2749" t="s">
        <v>3144</v>
      </c>
      <c r="D2749" t="s">
        <v>32</v>
      </c>
      <c r="E2749" t="s">
        <v>27</v>
      </c>
      <c r="F2749" s="17">
        <v>1500</v>
      </c>
      <c r="G2749" s="17">
        <v>42000</v>
      </c>
      <c r="H2749" s="17">
        <v>40500</v>
      </c>
      <c r="I2749" s="18">
        <v>0.23</v>
      </c>
      <c r="J2749" s="14">
        <f t="shared" si="0"/>
        <v>27</v>
      </c>
      <c r="K2749" s="15" t="str">
        <f t="shared" si="1"/>
        <v>Exceeds Target</v>
      </c>
    </row>
    <row r="2750" spans="2:11" ht="15" customHeight="1">
      <c r="B2750" t="s">
        <v>548</v>
      </c>
      <c r="C2750" t="s">
        <v>3145</v>
      </c>
      <c r="D2750" t="s">
        <v>80</v>
      </c>
      <c r="E2750" t="s">
        <v>27</v>
      </c>
      <c r="F2750" s="17">
        <v>1000</v>
      </c>
      <c r="G2750" s="17">
        <v>99000</v>
      </c>
      <c r="H2750" s="17">
        <v>98000</v>
      </c>
      <c r="I2750" s="18">
        <v>0.75</v>
      </c>
      <c r="J2750" s="14">
        <f t="shared" si="0"/>
        <v>98</v>
      </c>
      <c r="K2750" s="15" t="str">
        <f t="shared" si="1"/>
        <v>Exceeds Target</v>
      </c>
    </row>
    <row r="2751" spans="2:11" ht="15" customHeight="1">
      <c r="B2751" t="s">
        <v>188</v>
      </c>
      <c r="C2751" t="s">
        <v>3146</v>
      </c>
      <c r="D2751" t="s">
        <v>69</v>
      </c>
      <c r="E2751" t="s">
        <v>70</v>
      </c>
      <c r="F2751" s="17">
        <v>1000</v>
      </c>
      <c r="G2751" s="17">
        <v>40000</v>
      </c>
      <c r="H2751" s="17">
        <v>39000</v>
      </c>
      <c r="I2751" s="18">
        <v>0.6</v>
      </c>
      <c r="J2751" s="14">
        <f t="shared" si="0"/>
        <v>39</v>
      </c>
      <c r="K2751" s="15" t="str">
        <f t="shared" si="1"/>
        <v>Exceeds Target</v>
      </c>
    </row>
    <row r="2752" spans="2:11" ht="15" customHeight="1">
      <c r="B2752" t="s">
        <v>454</v>
      </c>
      <c r="C2752" t="s">
        <v>3147</v>
      </c>
      <c r="D2752" t="s">
        <v>69</v>
      </c>
      <c r="E2752" t="s">
        <v>70</v>
      </c>
      <c r="F2752" s="17">
        <v>1000</v>
      </c>
      <c r="G2752" s="17">
        <v>140000</v>
      </c>
      <c r="H2752" s="17">
        <v>139000</v>
      </c>
      <c r="I2752" s="18">
        <v>0.28999999999999998</v>
      </c>
      <c r="J2752" s="14">
        <f t="shared" si="0"/>
        <v>139</v>
      </c>
      <c r="K2752" s="15" t="str">
        <f t="shared" si="1"/>
        <v>Exceeds Target</v>
      </c>
    </row>
    <row r="2753" spans="2:11" ht="15" customHeight="1">
      <c r="B2753" t="s">
        <v>465</v>
      </c>
      <c r="C2753" t="s">
        <v>3148</v>
      </c>
      <c r="D2753" t="s">
        <v>32</v>
      </c>
      <c r="E2753" t="s">
        <v>27</v>
      </c>
      <c r="F2753" s="17">
        <v>1500</v>
      </c>
      <c r="G2753" s="17">
        <v>52000</v>
      </c>
      <c r="H2753" s="17">
        <v>50500</v>
      </c>
      <c r="I2753" s="18">
        <v>0.66</v>
      </c>
      <c r="J2753" s="14">
        <f t="shared" si="0"/>
        <v>33.666666666666664</v>
      </c>
      <c r="K2753" s="15" t="str">
        <f t="shared" si="1"/>
        <v>Exceeds Target</v>
      </c>
    </row>
    <row r="2754" spans="2:11" ht="15" customHeight="1">
      <c r="B2754" t="s">
        <v>769</v>
      </c>
      <c r="C2754" t="s">
        <v>3149</v>
      </c>
      <c r="D2754" t="s">
        <v>35</v>
      </c>
      <c r="E2754" t="s">
        <v>27</v>
      </c>
      <c r="F2754" s="17">
        <v>3000</v>
      </c>
      <c r="G2754" s="17">
        <v>200000</v>
      </c>
      <c r="H2754" s="17">
        <v>197000</v>
      </c>
      <c r="I2754" s="18">
        <v>0.65</v>
      </c>
      <c r="J2754" s="14">
        <f t="shared" si="0"/>
        <v>65.666666666666671</v>
      </c>
      <c r="K2754" s="15" t="str">
        <f t="shared" si="1"/>
        <v>Exceeds Target</v>
      </c>
    </row>
    <row r="2755" spans="2:11" ht="15" customHeight="1">
      <c r="B2755" t="s">
        <v>143</v>
      </c>
      <c r="C2755" t="s">
        <v>3150</v>
      </c>
      <c r="D2755" t="s">
        <v>80</v>
      </c>
      <c r="E2755" t="s">
        <v>27</v>
      </c>
      <c r="F2755" s="17">
        <v>1000</v>
      </c>
      <c r="G2755" s="17">
        <v>78000</v>
      </c>
      <c r="H2755" s="17">
        <v>77000</v>
      </c>
      <c r="I2755" s="18">
        <v>0.79</v>
      </c>
      <c r="J2755" s="14">
        <f t="shared" si="0"/>
        <v>77</v>
      </c>
      <c r="K2755" s="15" t="str">
        <f t="shared" si="1"/>
        <v>Exceeds Target</v>
      </c>
    </row>
    <row r="2756" spans="2:11" ht="15" customHeight="1">
      <c r="B2756" t="s">
        <v>157</v>
      </c>
      <c r="C2756" t="s">
        <v>3151</v>
      </c>
      <c r="D2756" t="s">
        <v>32</v>
      </c>
      <c r="E2756" t="s">
        <v>27</v>
      </c>
      <c r="F2756" s="17">
        <v>1500</v>
      </c>
      <c r="G2756" s="17">
        <v>54000</v>
      </c>
      <c r="H2756" s="17">
        <v>52500</v>
      </c>
      <c r="I2756" s="18">
        <v>0.84</v>
      </c>
      <c r="J2756" s="14">
        <f t="shared" si="0"/>
        <v>35</v>
      </c>
      <c r="K2756" s="15" t="str">
        <f t="shared" si="1"/>
        <v>Exceeds Target</v>
      </c>
    </row>
    <row r="2757" spans="2:11" ht="15" customHeight="1">
      <c r="B2757" t="s">
        <v>309</v>
      </c>
      <c r="C2757" t="s">
        <v>3152</v>
      </c>
      <c r="D2757" t="s">
        <v>32</v>
      </c>
      <c r="E2757" t="s">
        <v>27</v>
      </c>
      <c r="F2757" s="17">
        <v>1500</v>
      </c>
      <c r="G2757" s="17">
        <v>50000</v>
      </c>
      <c r="H2757" s="17">
        <v>48500</v>
      </c>
      <c r="I2757" s="18">
        <v>0.4</v>
      </c>
      <c r="J2757" s="14">
        <f t="shared" si="0"/>
        <v>32.333333333333336</v>
      </c>
      <c r="K2757" s="15" t="str">
        <f t="shared" si="1"/>
        <v>Exceeds Target</v>
      </c>
    </row>
    <row r="2758" spans="2:11" ht="15" customHeight="1">
      <c r="B2758" t="s">
        <v>272</v>
      </c>
      <c r="C2758" t="s">
        <v>3153</v>
      </c>
      <c r="D2758" t="s">
        <v>80</v>
      </c>
      <c r="E2758" t="s">
        <v>27</v>
      </c>
      <c r="F2758" s="17">
        <v>1000</v>
      </c>
      <c r="G2758" s="17">
        <v>54000</v>
      </c>
      <c r="H2758" s="17">
        <v>53000</v>
      </c>
      <c r="I2758" s="18">
        <v>0.93</v>
      </c>
      <c r="J2758" s="14">
        <f t="shared" si="0"/>
        <v>53</v>
      </c>
      <c r="K2758" s="15" t="str">
        <f t="shared" si="1"/>
        <v>Exceeds Target</v>
      </c>
    </row>
    <row r="2759" spans="2:11" ht="15" customHeight="1">
      <c r="B2759" t="s">
        <v>571</v>
      </c>
      <c r="C2759" t="s">
        <v>3154</v>
      </c>
      <c r="D2759" t="s">
        <v>26</v>
      </c>
      <c r="E2759" t="s">
        <v>27</v>
      </c>
      <c r="F2759" s="17">
        <v>5000</v>
      </c>
      <c r="G2759" s="17">
        <v>90000</v>
      </c>
      <c r="H2759" s="17">
        <v>85000</v>
      </c>
      <c r="I2759" s="18">
        <v>0.28000000000000003</v>
      </c>
      <c r="J2759" s="14">
        <f t="shared" si="0"/>
        <v>17</v>
      </c>
      <c r="K2759" s="15" t="str">
        <f t="shared" si="1"/>
        <v>Exceeds Target</v>
      </c>
    </row>
    <row r="2760" spans="2:11" ht="15" customHeight="1">
      <c r="B2760" t="s">
        <v>33</v>
      </c>
      <c r="C2760" t="s">
        <v>3155</v>
      </c>
      <c r="D2760" t="s">
        <v>80</v>
      </c>
      <c r="E2760" t="s">
        <v>27</v>
      </c>
      <c r="F2760" s="17">
        <v>1000</v>
      </c>
      <c r="G2760" s="17">
        <v>60000</v>
      </c>
      <c r="H2760" s="17">
        <v>59000</v>
      </c>
      <c r="I2760" s="18">
        <v>0.9</v>
      </c>
      <c r="J2760" s="14">
        <f t="shared" si="0"/>
        <v>59</v>
      </c>
      <c r="K2760" s="15" t="str">
        <f t="shared" si="1"/>
        <v>Exceeds Target</v>
      </c>
    </row>
    <row r="2761" spans="2:11" ht="15" customHeight="1">
      <c r="B2761" t="s">
        <v>352</v>
      </c>
      <c r="C2761" t="s">
        <v>3156</v>
      </c>
      <c r="D2761" t="s">
        <v>80</v>
      </c>
      <c r="E2761" t="s">
        <v>27</v>
      </c>
      <c r="F2761" s="17">
        <v>1000</v>
      </c>
      <c r="G2761" s="17">
        <v>60000</v>
      </c>
      <c r="H2761" s="17">
        <v>59000</v>
      </c>
      <c r="I2761" s="18">
        <v>0.99</v>
      </c>
      <c r="J2761" s="14">
        <f t="shared" si="0"/>
        <v>59</v>
      </c>
      <c r="K2761" s="15" t="str">
        <f t="shared" si="1"/>
        <v>Exceeds Target</v>
      </c>
    </row>
    <row r="2762" spans="2:11" ht="15" customHeight="1">
      <c r="B2762" t="s">
        <v>78</v>
      </c>
      <c r="C2762" t="s">
        <v>3157</v>
      </c>
      <c r="D2762" t="s">
        <v>69</v>
      </c>
      <c r="E2762" t="s">
        <v>70</v>
      </c>
      <c r="F2762" s="17">
        <v>1000</v>
      </c>
      <c r="G2762" s="17">
        <v>150000</v>
      </c>
      <c r="H2762" s="17">
        <v>149000</v>
      </c>
      <c r="I2762" s="18">
        <v>0.84</v>
      </c>
      <c r="J2762" s="14">
        <f t="shared" si="0"/>
        <v>149</v>
      </c>
      <c r="K2762" s="15" t="str">
        <f t="shared" si="1"/>
        <v>Exceeds Target</v>
      </c>
    </row>
    <row r="2763" spans="2:11" ht="15" customHeight="1">
      <c r="B2763" t="s">
        <v>2985</v>
      </c>
      <c r="C2763" t="s">
        <v>3158</v>
      </c>
      <c r="D2763" t="s">
        <v>26</v>
      </c>
      <c r="E2763" t="s">
        <v>27</v>
      </c>
      <c r="F2763" s="17">
        <v>5000</v>
      </c>
      <c r="G2763" s="17">
        <v>90000</v>
      </c>
      <c r="H2763" s="17">
        <v>85000</v>
      </c>
      <c r="I2763" s="18">
        <v>0.16</v>
      </c>
      <c r="J2763" s="14">
        <f t="shared" si="0"/>
        <v>17</v>
      </c>
      <c r="K2763" s="15" t="str">
        <f t="shared" si="1"/>
        <v>Exceeds Target</v>
      </c>
    </row>
    <row r="2764" spans="2:11" ht="15" customHeight="1">
      <c r="B2764" t="s">
        <v>83</v>
      </c>
      <c r="C2764" t="s">
        <v>3159</v>
      </c>
      <c r="D2764" t="s">
        <v>80</v>
      </c>
      <c r="E2764" t="s">
        <v>27</v>
      </c>
      <c r="F2764" s="17">
        <v>1000</v>
      </c>
      <c r="G2764" s="17">
        <v>87000</v>
      </c>
      <c r="H2764" s="17">
        <v>86000</v>
      </c>
      <c r="I2764" s="18">
        <v>0.91</v>
      </c>
      <c r="J2764" s="14">
        <f t="shared" si="0"/>
        <v>86</v>
      </c>
      <c r="K2764" s="15" t="str">
        <f t="shared" si="1"/>
        <v>Exceeds Target</v>
      </c>
    </row>
    <row r="2765" spans="2:11" ht="15" customHeight="1">
      <c r="B2765" t="s">
        <v>293</v>
      </c>
      <c r="C2765" t="s">
        <v>3160</v>
      </c>
      <c r="D2765" t="s">
        <v>80</v>
      </c>
      <c r="E2765" t="s">
        <v>27</v>
      </c>
      <c r="F2765" s="17">
        <v>1000</v>
      </c>
      <c r="G2765" s="17">
        <v>60000</v>
      </c>
      <c r="H2765" s="17">
        <v>59000</v>
      </c>
      <c r="I2765" s="18">
        <v>0.65</v>
      </c>
      <c r="J2765" s="14">
        <f t="shared" si="0"/>
        <v>59</v>
      </c>
      <c r="K2765" s="15" t="str">
        <f t="shared" si="1"/>
        <v>Exceeds Target</v>
      </c>
    </row>
    <row r="2766" spans="2:11" ht="15" customHeight="1">
      <c r="B2766" t="s">
        <v>958</v>
      </c>
      <c r="C2766" t="s">
        <v>3161</v>
      </c>
      <c r="D2766" t="s">
        <v>35</v>
      </c>
      <c r="E2766" t="s">
        <v>27</v>
      </c>
      <c r="F2766" s="17">
        <v>3000</v>
      </c>
      <c r="G2766" s="17">
        <v>250000</v>
      </c>
      <c r="H2766" s="17">
        <v>247000</v>
      </c>
      <c r="I2766" s="18">
        <v>0.69</v>
      </c>
      <c r="J2766" s="14">
        <f t="shared" si="0"/>
        <v>82.333333333333329</v>
      </c>
      <c r="K2766" s="15" t="str">
        <f t="shared" si="1"/>
        <v>Exceeds Target</v>
      </c>
    </row>
    <row r="2767" spans="2:11" ht="15" customHeight="1">
      <c r="B2767" t="s">
        <v>1614</v>
      </c>
      <c r="C2767" t="s">
        <v>3162</v>
      </c>
      <c r="D2767" t="s">
        <v>35</v>
      </c>
      <c r="E2767" t="s">
        <v>27</v>
      </c>
      <c r="F2767" s="17">
        <v>3000</v>
      </c>
      <c r="G2767" s="17">
        <v>80000</v>
      </c>
      <c r="H2767" s="17">
        <v>77000</v>
      </c>
      <c r="I2767" s="18">
        <v>0.91</v>
      </c>
      <c r="J2767" s="14">
        <f t="shared" si="0"/>
        <v>25.666666666666668</v>
      </c>
      <c r="K2767" s="15" t="str">
        <f t="shared" si="1"/>
        <v>Exceeds Target</v>
      </c>
    </row>
    <row r="2768" spans="2:11" ht="15" customHeight="1">
      <c r="B2768" t="s">
        <v>459</v>
      </c>
      <c r="C2768" t="s">
        <v>3163</v>
      </c>
      <c r="D2768" t="s">
        <v>26</v>
      </c>
      <c r="E2768" t="s">
        <v>27</v>
      </c>
      <c r="F2768" s="17">
        <v>5000</v>
      </c>
      <c r="G2768" s="17">
        <v>120000</v>
      </c>
      <c r="H2768" s="17">
        <v>115000</v>
      </c>
      <c r="I2768" s="18">
        <v>7.0000000000000007E-2</v>
      </c>
      <c r="J2768" s="14">
        <f t="shared" si="0"/>
        <v>23</v>
      </c>
      <c r="K2768" s="15" t="str">
        <f t="shared" si="1"/>
        <v>Exceeds Target</v>
      </c>
    </row>
    <row r="2769" spans="2:11" ht="15" customHeight="1">
      <c r="B2769" t="s">
        <v>517</v>
      </c>
      <c r="C2769" t="s">
        <v>3164</v>
      </c>
      <c r="D2769" t="s">
        <v>80</v>
      </c>
      <c r="E2769" t="s">
        <v>27</v>
      </c>
      <c r="F2769" s="17">
        <v>1000</v>
      </c>
      <c r="G2769" s="17">
        <v>90000</v>
      </c>
      <c r="H2769" s="17">
        <v>89000</v>
      </c>
      <c r="I2769" s="18">
        <v>0.86</v>
      </c>
      <c r="J2769" s="14">
        <f t="shared" si="0"/>
        <v>89</v>
      </c>
      <c r="K2769" s="15" t="str">
        <f t="shared" si="1"/>
        <v>Exceeds Target</v>
      </c>
    </row>
    <row r="2770" spans="2:11" ht="15" customHeight="1">
      <c r="B2770" t="s">
        <v>74</v>
      </c>
      <c r="C2770" t="s">
        <v>3165</v>
      </c>
      <c r="D2770" t="s">
        <v>32</v>
      </c>
      <c r="E2770" t="s">
        <v>27</v>
      </c>
      <c r="F2770" s="17">
        <v>1500</v>
      </c>
      <c r="G2770" s="17">
        <v>22000</v>
      </c>
      <c r="H2770" s="17">
        <v>20500</v>
      </c>
      <c r="I2770" s="18">
        <v>0.57999999999999996</v>
      </c>
      <c r="J2770" s="14">
        <f t="shared" si="0"/>
        <v>13.666666666666666</v>
      </c>
      <c r="K2770" s="15" t="str">
        <f t="shared" si="1"/>
        <v>Exceeds Target</v>
      </c>
    </row>
    <row r="2771" spans="2:11" ht="15" customHeight="1">
      <c r="B2771" t="s">
        <v>139</v>
      </c>
      <c r="C2771" t="s">
        <v>3166</v>
      </c>
      <c r="D2771" t="s">
        <v>26</v>
      </c>
      <c r="E2771" t="s">
        <v>27</v>
      </c>
      <c r="F2771" s="17">
        <v>5000</v>
      </c>
      <c r="G2771" s="17">
        <v>120000</v>
      </c>
      <c r="H2771" s="17">
        <v>115000</v>
      </c>
      <c r="I2771" s="18">
        <v>0.14000000000000001</v>
      </c>
      <c r="J2771" s="14">
        <f t="shared" si="0"/>
        <v>23</v>
      </c>
      <c r="K2771" s="15" t="str">
        <f t="shared" si="1"/>
        <v>Exceeds Target</v>
      </c>
    </row>
    <row r="2772" spans="2:11" ht="15" customHeight="1">
      <c r="B2772" t="s">
        <v>973</v>
      </c>
      <c r="C2772" t="s">
        <v>3167</v>
      </c>
      <c r="D2772" t="s">
        <v>32</v>
      </c>
      <c r="E2772" t="s">
        <v>27</v>
      </c>
      <c r="F2772" s="17">
        <v>1500</v>
      </c>
      <c r="G2772" s="17">
        <v>52000</v>
      </c>
      <c r="H2772" s="17">
        <v>50500</v>
      </c>
      <c r="I2772" s="18">
        <v>0.91</v>
      </c>
      <c r="J2772" s="14">
        <f t="shared" si="0"/>
        <v>33.666666666666664</v>
      </c>
      <c r="K2772" s="15" t="str">
        <f t="shared" si="1"/>
        <v>Exceeds Target</v>
      </c>
    </row>
    <row r="2773" spans="2:11" ht="15" customHeight="1">
      <c r="B2773" t="s">
        <v>109</v>
      </c>
      <c r="C2773" t="s">
        <v>3168</v>
      </c>
      <c r="D2773" t="s">
        <v>69</v>
      </c>
      <c r="E2773" t="s">
        <v>70</v>
      </c>
      <c r="F2773" s="17">
        <v>1000</v>
      </c>
      <c r="G2773" s="17">
        <v>130000</v>
      </c>
      <c r="H2773" s="17">
        <v>129000</v>
      </c>
      <c r="I2773" s="18">
        <v>0.28000000000000003</v>
      </c>
      <c r="J2773" s="14">
        <f t="shared" si="0"/>
        <v>129</v>
      </c>
      <c r="K2773" s="15" t="str">
        <f t="shared" si="1"/>
        <v>Exceeds Target</v>
      </c>
    </row>
    <row r="2774" spans="2:11" ht="15" customHeight="1">
      <c r="B2774" t="s">
        <v>40</v>
      </c>
      <c r="C2774" t="s">
        <v>3169</v>
      </c>
      <c r="D2774" t="s">
        <v>32</v>
      </c>
      <c r="E2774" t="s">
        <v>27</v>
      </c>
      <c r="F2774" s="17">
        <v>1500</v>
      </c>
      <c r="G2774" s="17">
        <v>30000</v>
      </c>
      <c r="H2774" s="17">
        <v>28500</v>
      </c>
      <c r="I2774" s="18">
        <v>0.7</v>
      </c>
      <c r="J2774" s="14">
        <f t="shared" si="0"/>
        <v>19</v>
      </c>
      <c r="K2774" s="15" t="str">
        <f t="shared" si="1"/>
        <v>Exceeds Target</v>
      </c>
    </row>
    <row r="2775" spans="2:11" ht="15" customHeight="1">
      <c r="B2775" t="s">
        <v>325</v>
      </c>
      <c r="C2775" t="s">
        <v>3170</v>
      </c>
      <c r="D2775" t="s">
        <v>26</v>
      </c>
      <c r="E2775" t="s">
        <v>27</v>
      </c>
      <c r="F2775" s="17">
        <v>5000</v>
      </c>
      <c r="G2775" s="17">
        <v>150000</v>
      </c>
      <c r="H2775" s="17">
        <v>145000</v>
      </c>
      <c r="I2775" s="18">
        <v>7.0000000000000007E-2</v>
      </c>
      <c r="J2775" s="14">
        <f t="shared" si="0"/>
        <v>29</v>
      </c>
      <c r="K2775" s="15" t="str">
        <f t="shared" si="1"/>
        <v>Exceeds Target</v>
      </c>
    </row>
    <row r="2776" spans="2:11" ht="15" customHeight="1">
      <c r="B2776" t="s">
        <v>364</v>
      </c>
      <c r="C2776" t="s">
        <v>3171</v>
      </c>
      <c r="D2776" t="s">
        <v>35</v>
      </c>
      <c r="E2776" t="s">
        <v>27</v>
      </c>
      <c r="F2776" s="17">
        <v>3000</v>
      </c>
      <c r="G2776" s="17">
        <v>160000</v>
      </c>
      <c r="H2776" s="17">
        <v>157000</v>
      </c>
      <c r="I2776" s="18">
        <v>0.26</v>
      </c>
      <c r="J2776" s="14">
        <f t="shared" si="0"/>
        <v>52.333333333333336</v>
      </c>
      <c r="K2776" s="15" t="str">
        <f t="shared" si="1"/>
        <v>Exceeds Target</v>
      </c>
    </row>
    <row r="2777" spans="2:11" ht="15" customHeight="1">
      <c r="B2777" t="s">
        <v>195</v>
      </c>
      <c r="C2777" t="s">
        <v>3172</v>
      </c>
      <c r="D2777" t="s">
        <v>35</v>
      </c>
      <c r="E2777" t="s">
        <v>27</v>
      </c>
      <c r="F2777" s="17">
        <v>3000</v>
      </c>
      <c r="G2777" s="17">
        <v>160000</v>
      </c>
      <c r="H2777" s="17">
        <v>157000</v>
      </c>
      <c r="I2777" s="18">
        <v>0.45</v>
      </c>
      <c r="J2777" s="14">
        <f t="shared" si="0"/>
        <v>52.333333333333336</v>
      </c>
      <c r="K2777" s="15" t="str">
        <f t="shared" si="1"/>
        <v>Exceeds Target</v>
      </c>
    </row>
    <row r="2778" spans="2:11" ht="15" customHeight="1">
      <c r="B2778" t="s">
        <v>127</v>
      </c>
      <c r="C2778" t="s">
        <v>3173</v>
      </c>
      <c r="D2778" t="s">
        <v>26</v>
      </c>
      <c r="E2778" t="s">
        <v>27</v>
      </c>
      <c r="F2778" s="17">
        <v>5000</v>
      </c>
      <c r="G2778" s="17">
        <v>90000</v>
      </c>
      <c r="H2778" s="17">
        <v>85000</v>
      </c>
      <c r="I2778" s="18">
        <v>0.25</v>
      </c>
      <c r="J2778" s="14">
        <f t="shared" si="0"/>
        <v>17</v>
      </c>
      <c r="K2778" s="15" t="str">
        <f t="shared" si="1"/>
        <v>Exceeds Target</v>
      </c>
    </row>
    <row r="2779" spans="2:11" ht="15" customHeight="1">
      <c r="B2779" t="s">
        <v>125</v>
      </c>
      <c r="C2779" t="s">
        <v>3174</v>
      </c>
      <c r="D2779" t="s">
        <v>32</v>
      </c>
      <c r="E2779" t="s">
        <v>27</v>
      </c>
      <c r="F2779" s="17">
        <v>1500</v>
      </c>
      <c r="G2779" s="17">
        <v>60000</v>
      </c>
      <c r="H2779" s="17">
        <v>58500</v>
      </c>
      <c r="I2779" s="18">
        <v>0.54</v>
      </c>
      <c r="J2779" s="14">
        <f t="shared" si="0"/>
        <v>39</v>
      </c>
      <c r="K2779" s="15" t="str">
        <f t="shared" si="1"/>
        <v>Exceeds Target</v>
      </c>
    </row>
    <row r="2780" spans="2:11" ht="15" customHeight="1">
      <c r="B2780" t="s">
        <v>43</v>
      </c>
      <c r="C2780" t="s">
        <v>3175</v>
      </c>
      <c r="D2780" t="s">
        <v>35</v>
      </c>
      <c r="E2780" t="s">
        <v>27</v>
      </c>
      <c r="F2780" s="17">
        <v>3000</v>
      </c>
      <c r="G2780" s="17">
        <v>210000</v>
      </c>
      <c r="H2780" s="17">
        <v>207000</v>
      </c>
      <c r="I2780" s="18">
        <v>0.57999999999999996</v>
      </c>
      <c r="J2780" s="14">
        <f t="shared" si="0"/>
        <v>69</v>
      </c>
      <c r="K2780" s="15" t="str">
        <f t="shared" si="1"/>
        <v>Exceeds Target</v>
      </c>
    </row>
    <row r="2781" spans="2:11" ht="15" customHeight="1">
      <c r="B2781" t="s">
        <v>571</v>
      </c>
      <c r="C2781" t="s">
        <v>3176</v>
      </c>
      <c r="D2781" t="s">
        <v>26</v>
      </c>
      <c r="E2781" t="s">
        <v>27</v>
      </c>
      <c r="F2781" s="17">
        <v>5000</v>
      </c>
      <c r="G2781" s="17">
        <v>60000</v>
      </c>
      <c r="H2781" s="17">
        <v>55000</v>
      </c>
      <c r="I2781" s="18">
        <v>0.11</v>
      </c>
      <c r="J2781" s="14">
        <f t="shared" si="0"/>
        <v>11</v>
      </c>
      <c r="K2781" s="15" t="str">
        <f t="shared" si="1"/>
        <v>Exceeds Target</v>
      </c>
    </row>
    <row r="2782" spans="2:11" ht="15" customHeight="1">
      <c r="B2782" t="s">
        <v>390</v>
      </c>
      <c r="C2782" t="s">
        <v>3177</v>
      </c>
      <c r="D2782" t="s">
        <v>35</v>
      </c>
      <c r="E2782" t="s">
        <v>27</v>
      </c>
      <c r="F2782" s="17">
        <v>3000</v>
      </c>
      <c r="G2782" s="17">
        <v>100000</v>
      </c>
      <c r="H2782" s="17">
        <v>97000</v>
      </c>
      <c r="I2782" s="18">
        <v>0.57999999999999996</v>
      </c>
      <c r="J2782" s="14">
        <f t="shared" si="0"/>
        <v>32.333333333333336</v>
      </c>
      <c r="K2782" s="15" t="str">
        <f t="shared" si="1"/>
        <v>Exceeds Target</v>
      </c>
    </row>
    <row r="2783" spans="2:11" ht="15" customHeight="1">
      <c r="B2783" t="s">
        <v>247</v>
      </c>
      <c r="C2783" t="s">
        <v>3178</v>
      </c>
      <c r="D2783" t="s">
        <v>35</v>
      </c>
      <c r="E2783" t="s">
        <v>27</v>
      </c>
      <c r="F2783" s="17">
        <v>3000</v>
      </c>
      <c r="G2783" s="17">
        <v>130000</v>
      </c>
      <c r="H2783" s="17">
        <v>127000</v>
      </c>
      <c r="I2783" s="18">
        <v>0.38</v>
      </c>
      <c r="J2783" s="14">
        <f t="shared" si="0"/>
        <v>42.333333333333336</v>
      </c>
      <c r="K2783" s="15" t="str">
        <f t="shared" si="1"/>
        <v>Exceeds Target</v>
      </c>
    </row>
    <row r="2784" spans="2:11" ht="15" customHeight="1">
      <c r="B2784" t="s">
        <v>46</v>
      </c>
      <c r="C2784" t="s">
        <v>3179</v>
      </c>
      <c r="D2784" t="s">
        <v>80</v>
      </c>
      <c r="E2784" t="s">
        <v>27</v>
      </c>
      <c r="F2784" s="17">
        <v>1000</v>
      </c>
      <c r="G2784" s="17">
        <v>93000</v>
      </c>
      <c r="H2784" s="17">
        <v>92000</v>
      </c>
      <c r="I2784" s="18">
        <v>0.75</v>
      </c>
      <c r="J2784" s="14">
        <f t="shared" si="0"/>
        <v>92</v>
      </c>
      <c r="K2784" s="15" t="str">
        <f t="shared" si="1"/>
        <v>Exceeds Target</v>
      </c>
    </row>
    <row r="2785" spans="2:11" ht="15" customHeight="1">
      <c r="B2785" t="s">
        <v>837</v>
      </c>
      <c r="C2785" t="s">
        <v>3180</v>
      </c>
      <c r="D2785" t="s">
        <v>32</v>
      </c>
      <c r="E2785" t="s">
        <v>27</v>
      </c>
      <c r="F2785" s="17">
        <v>1500</v>
      </c>
      <c r="G2785" s="17">
        <v>14000</v>
      </c>
      <c r="H2785" s="17">
        <v>12500</v>
      </c>
      <c r="I2785" s="18">
        <v>0.67</v>
      </c>
      <c r="J2785" s="14">
        <f t="shared" si="0"/>
        <v>8.3333333333333339</v>
      </c>
      <c r="K2785" s="15" t="str">
        <f t="shared" si="1"/>
        <v>Exceeds Target</v>
      </c>
    </row>
    <row r="2786" spans="2:11" ht="15" customHeight="1">
      <c r="B2786" t="s">
        <v>971</v>
      </c>
      <c r="C2786" t="s">
        <v>3181</v>
      </c>
      <c r="D2786" t="s">
        <v>26</v>
      </c>
      <c r="E2786" t="s">
        <v>27</v>
      </c>
      <c r="F2786" s="17">
        <v>5000</v>
      </c>
      <c r="G2786" s="17">
        <v>60000</v>
      </c>
      <c r="H2786" s="17">
        <v>55000</v>
      </c>
      <c r="I2786" s="18">
        <v>0.18</v>
      </c>
      <c r="J2786" s="14">
        <f t="shared" si="0"/>
        <v>11</v>
      </c>
      <c r="K2786" s="15" t="str">
        <f t="shared" si="1"/>
        <v>Exceeds Target</v>
      </c>
    </row>
    <row r="2787" spans="2:11" ht="15" customHeight="1">
      <c r="B2787" t="s">
        <v>601</v>
      </c>
      <c r="C2787" t="s">
        <v>3182</v>
      </c>
      <c r="D2787" t="s">
        <v>26</v>
      </c>
      <c r="E2787" t="s">
        <v>27</v>
      </c>
      <c r="F2787" s="17">
        <v>5000</v>
      </c>
      <c r="G2787" s="17">
        <v>150000</v>
      </c>
      <c r="H2787" s="17">
        <v>145000</v>
      </c>
      <c r="I2787" s="18">
        <v>0.16</v>
      </c>
      <c r="J2787" s="14">
        <f t="shared" si="0"/>
        <v>29</v>
      </c>
      <c r="K2787" s="15" t="str">
        <f t="shared" si="1"/>
        <v>Exceeds Target</v>
      </c>
    </row>
    <row r="2788" spans="2:11" ht="15" customHeight="1">
      <c r="B2788" t="s">
        <v>319</v>
      </c>
      <c r="C2788" t="s">
        <v>3183</v>
      </c>
      <c r="D2788" t="s">
        <v>26</v>
      </c>
      <c r="E2788" t="s">
        <v>27</v>
      </c>
      <c r="F2788" s="17">
        <v>5000</v>
      </c>
      <c r="G2788" s="17">
        <v>90000</v>
      </c>
      <c r="H2788" s="17">
        <v>85000</v>
      </c>
      <c r="I2788" s="18">
        <v>0.17</v>
      </c>
      <c r="J2788" s="14">
        <f t="shared" si="0"/>
        <v>17</v>
      </c>
      <c r="K2788" s="15" t="str">
        <f t="shared" si="1"/>
        <v>Exceeds Target</v>
      </c>
    </row>
    <row r="2789" spans="2:11" ht="15" customHeight="1">
      <c r="B2789" t="s">
        <v>1065</v>
      </c>
      <c r="C2789" t="s">
        <v>3184</v>
      </c>
      <c r="D2789" t="s">
        <v>35</v>
      </c>
      <c r="E2789" t="s">
        <v>27</v>
      </c>
      <c r="F2789" s="17">
        <v>3000</v>
      </c>
      <c r="G2789" s="17">
        <v>280000</v>
      </c>
      <c r="H2789" s="17">
        <v>277000</v>
      </c>
      <c r="I2789" s="18">
        <v>0.64</v>
      </c>
      <c r="J2789" s="14">
        <f t="shared" si="0"/>
        <v>92.333333333333329</v>
      </c>
      <c r="K2789" s="15" t="str">
        <f t="shared" si="1"/>
        <v>Exceeds Target</v>
      </c>
    </row>
    <row r="2790" spans="2:11" ht="15" customHeight="1">
      <c r="B2790" t="s">
        <v>195</v>
      </c>
      <c r="C2790" t="s">
        <v>3185</v>
      </c>
      <c r="D2790" t="s">
        <v>69</v>
      </c>
      <c r="E2790" t="s">
        <v>70</v>
      </c>
      <c r="F2790" s="17">
        <v>1000</v>
      </c>
      <c r="G2790" s="17">
        <v>75000</v>
      </c>
      <c r="H2790" s="17">
        <v>74000</v>
      </c>
      <c r="I2790" s="18">
        <v>0.56000000000000005</v>
      </c>
      <c r="J2790" s="14">
        <f t="shared" si="0"/>
        <v>74</v>
      </c>
      <c r="K2790" s="15" t="str">
        <f t="shared" si="1"/>
        <v>Exceeds Target</v>
      </c>
    </row>
    <row r="2791" spans="2:11" ht="15" customHeight="1">
      <c r="B2791" t="s">
        <v>1937</v>
      </c>
      <c r="C2791" t="s">
        <v>3186</v>
      </c>
      <c r="D2791" t="s">
        <v>80</v>
      </c>
      <c r="E2791" t="s">
        <v>27</v>
      </c>
      <c r="F2791" s="17">
        <v>1000</v>
      </c>
      <c r="G2791" s="17">
        <v>57000</v>
      </c>
      <c r="H2791" s="17">
        <v>56000</v>
      </c>
      <c r="I2791" s="18">
        <v>0.6</v>
      </c>
      <c r="J2791" s="14">
        <f t="shared" si="0"/>
        <v>56</v>
      </c>
      <c r="K2791" s="15" t="str">
        <f t="shared" si="1"/>
        <v>Exceeds Target</v>
      </c>
    </row>
    <row r="2792" spans="2:11" ht="15" customHeight="1">
      <c r="B2792" t="s">
        <v>615</v>
      </c>
      <c r="C2792" t="s">
        <v>3187</v>
      </c>
      <c r="D2792" t="s">
        <v>80</v>
      </c>
      <c r="E2792" t="s">
        <v>27</v>
      </c>
      <c r="F2792" s="17">
        <v>1000</v>
      </c>
      <c r="G2792" s="17">
        <v>102000</v>
      </c>
      <c r="H2792" s="17">
        <v>101000</v>
      </c>
      <c r="I2792" s="18">
        <v>0.89</v>
      </c>
      <c r="J2792" s="14">
        <f t="shared" si="0"/>
        <v>101</v>
      </c>
      <c r="K2792" s="15" t="str">
        <f t="shared" si="1"/>
        <v>Exceeds Target</v>
      </c>
    </row>
    <row r="2793" spans="2:11" ht="15" customHeight="1">
      <c r="B2793" t="s">
        <v>227</v>
      </c>
      <c r="C2793" t="s">
        <v>3188</v>
      </c>
      <c r="D2793" t="s">
        <v>26</v>
      </c>
      <c r="E2793" t="s">
        <v>27</v>
      </c>
      <c r="F2793" s="17">
        <v>5000</v>
      </c>
      <c r="G2793" s="17">
        <v>60000</v>
      </c>
      <c r="H2793" s="17">
        <v>55000</v>
      </c>
      <c r="I2793" s="18">
        <v>0.17</v>
      </c>
      <c r="J2793" s="14">
        <f t="shared" si="0"/>
        <v>11</v>
      </c>
      <c r="K2793" s="15" t="str">
        <f t="shared" si="1"/>
        <v>Exceeds Target</v>
      </c>
    </row>
    <row r="2794" spans="2:11" ht="15" customHeight="1">
      <c r="B2794" t="s">
        <v>201</v>
      </c>
      <c r="C2794" t="s">
        <v>3189</v>
      </c>
      <c r="D2794" t="s">
        <v>80</v>
      </c>
      <c r="E2794" t="s">
        <v>27</v>
      </c>
      <c r="F2794" s="17">
        <v>1000</v>
      </c>
      <c r="G2794" s="17">
        <v>120000</v>
      </c>
      <c r="H2794" s="17">
        <v>119000</v>
      </c>
      <c r="I2794" s="18">
        <v>0.84</v>
      </c>
      <c r="J2794" s="14">
        <f t="shared" si="0"/>
        <v>119</v>
      </c>
      <c r="K2794" s="15" t="str">
        <f t="shared" si="1"/>
        <v>Exceeds Target</v>
      </c>
    </row>
    <row r="2795" spans="2:11" ht="15" customHeight="1">
      <c r="B2795" t="s">
        <v>815</v>
      </c>
      <c r="C2795" t="s">
        <v>3190</v>
      </c>
      <c r="D2795" t="s">
        <v>35</v>
      </c>
      <c r="E2795" t="s">
        <v>27</v>
      </c>
      <c r="F2795" s="17">
        <v>3000</v>
      </c>
      <c r="G2795" s="17">
        <v>210000</v>
      </c>
      <c r="H2795" s="17">
        <v>207000</v>
      </c>
      <c r="I2795" s="18">
        <v>0.4</v>
      </c>
      <c r="J2795" s="14">
        <f t="shared" si="0"/>
        <v>69</v>
      </c>
      <c r="K2795" s="15" t="str">
        <f t="shared" si="1"/>
        <v>Exceeds Target</v>
      </c>
    </row>
    <row r="2796" spans="2:11" ht="15" customHeight="1">
      <c r="B2796" t="s">
        <v>252</v>
      </c>
      <c r="C2796" t="s">
        <v>3191</v>
      </c>
      <c r="D2796" t="s">
        <v>32</v>
      </c>
      <c r="E2796" t="s">
        <v>27</v>
      </c>
      <c r="F2796" s="17">
        <v>1500</v>
      </c>
      <c r="G2796" s="17">
        <v>18000</v>
      </c>
      <c r="H2796" s="17">
        <v>16500</v>
      </c>
      <c r="I2796" s="18">
        <v>0.75</v>
      </c>
      <c r="J2796" s="14">
        <f t="shared" si="0"/>
        <v>11</v>
      </c>
      <c r="K2796" s="15" t="str">
        <f t="shared" si="1"/>
        <v>Exceeds Target</v>
      </c>
    </row>
    <row r="2797" spans="2:11" ht="15" customHeight="1">
      <c r="B2797" t="s">
        <v>659</v>
      </c>
      <c r="C2797" t="s">
        <v>3192</v>
      </c>
      <c r="D2797" t="s">
        <v>32</v>
      </c>
      <c r="E2797" t="s">
        <v>27</v>
      </c>
      <c r="F2797" s="17">
        <v>1500</v>
      </c>
      <c r="G2797" s="17">
        <v>56000</v>
      </c>
      <c r="H2797" s="17">
        <v>54500</v>
      </c>
      <c r="I2797" s="18">
        <v>0.28000000000000003</v>
      </c>
      <c r="J2797" s="14">
        <f t="shared" si="0"/>
        <v>36.333333333333336</v>
      </c>
      <c r="K2797" s="15" t="str">
        <f t="shared" si="1"/>
        <v>Exceeds Target</v>
      </c>
    </row>
    <row r="2798" spans="2:11" ht="15" customHeight="1">
      <c r="B2798" t="s">
        <v>1216</v>
      </c>
      <c r="C2798" t="s">
        <v>3193</v>
      </c>
      <c r="D2798" t="s">
        <v>26</v>
      </c>
      <c r="E2798" t="s">
        <v>27</v>
      </c>
      <c r="F2798" s="17">
        <v>5000</v>
      </c>
      <c r="G2798" s="17">
        <v>60000</v>
      </c>
      <c r="H2798" s="17">
        <v>55000</v>
      </c>
      <c r="I2798" s="18">
        <v>0.17</v>
      </c>
      <c r="J2798" s="14">
        <f t="shared" si="0"/>
        <v>11</v>
      </c>
      <c r="K2798" s="15" t="str">
        <f t="shared" si="1"/>
        <v>Exceeds Target</v>
      </c>
    </row>
    <row r="2799" spans="2:11" ht="15" customHeight="1">
      <c r="B2799" t="s">
        <v>890</v>
      </c>
      <c r="C2799" t="s">
        <v>3194</v>
      </c>
      <c r="D2799" t="s">
        <v>26</v>
      </c>
      <c r="E2799" t="s">
        <v>27</v>
      </c>
      <c r="F2799" s="17">
        <v>5000</v>
      </c>
      <c r="G2799" s="17">
        <v>120000</v>
      </c>
      <c r="H2799" s="17">
        <v>115000</v>
      </c>
      <c r="I2799" s="18">
        <v>0.2</v>
      </c>
      <c r="J2799" s="14">
        <f t="shared" si="0"/>
        <v>23</v>
      </c>
      <c r="K2799" s="15" t="str">
        <f t="shared" si="1"/>
        <v>Exceeds Target</v>
      </c>
    </row>
    <row r="2800" spans="2:11" ht="15" customHeight="1">
      <c r="B2800" t="s">
        <v>255</v>
      </c>
      <c r="C2800" t="s">
        <v>3195</v>
      </c>
      <c r="D2800" t="s">
        <v>26</v>
      </c>
      <c r="E2800" t="s">
        <v>27</v>
      </c>
      <c r="F2800" s="17">
        <v>5000</v>
      </c>
      <c r="G2800" s="17">
        <v>90000</v>
      </c>
      <c r="H2800" s="17">
        <v>85000</v>
      </c>
      <c r="I2800" s="18">
        <v>0.31</v>
      </c>
      <c r="J2800" s="14">
        <f t="shared" si="0"/>
        <v>17</v>
      </c>
      <c r="K2800" s="15" t="str">
        <f t="shared" si="1"/>
        <v>Exceeds Target</v>
      </c>
    </row>
    <row r="2801" spans="2:11" ht="15" customHeight="1">
      <c r="B2801" t="s">
        <v>83</v>
      </c>
      <c r="C2801" t="s">
        <v>3196</v>
      </c>
      <c r="D2801" t="s">
        <v>26</v>
      </c>
      <c r="E2801" t="s">
        <v>27</v>
      </c>
      <c r="F2801" s="17">
        <v>5000</v>
      </c>
      <c r="G2801" s="17">
        <v>60000</v>
      </c>
      <c r="H2801" s="17">
        <v>55000</v>
      </c>
      <c r="I2801" s="18">
        <v>0.43</v>
      </c>
      <c r="J2801" s="14">
        <f t="shared" si="0"/>
        <v>11</v>
      </c>
      <c r="K2801" s="15" t="str">
        <f t="shared" si="1"/>
        <v>Exceeds Target</v>
      </c>
    </row>
    <row r="2802" spans="2:11" ht="15" customHeight="1">
      <c r="B2802" t="s">
        <v>448</v>
      </c>
      <c r="C2802" t="s">
        <v>3197</v>
      </c>
      <c r="D2802" t="s">
        <v>80</v>
      </c>
      <c r="E2802" t="s">
        <v>27</v>
      </c>
      <c r="F2802" s="17">
        <v>1000</v>
      </c>
      <c r="G2802" s="17">
        <v>66000</v>
      </c>
      <c r="H2802" s="17">
        <v>65000</v>
      </c>
      <c r="I2802" s="18">
        <v>0.72</v>
      </c>
      <c r="J2802" s="14">
        <f t="shared" si="0"/>
        <v>65</v>
      </c>
      <c r="K2802" s="15" t="str">
        <f t="shared" si="1"/>
        <v>Exceeds Target</v>
      </c>
    </row>
    <row r="2803" spans="2:11" ht="15" customHeight="1">
      <c r="B2803" t="s">
        <v>249</v>
      </c>
      <c r="C2803" t="s">
        <v>3198</v>
      </c>
      <c r="D2803" t="s">
        <v>35</v>
      </c>
      <c r="E2803" t="s">
        <v>27</v>
      </c>
      <c r="F2803" s="17">
        <v>3000</v>
      </c>
      <c r="G2803" s="17">
        <v>90000</v>
      </c>
      <c r="H2803" s="17">
        <v>87000</v>
      </c>
      <c r="I2803" s="18">
        <v>0.65</v>
      </c>
      <c r="J2803" s="14">
        <f t="shared" si="0"/>
        <v>29</v>
      </c>
      <c r="K2803" s="15" t="str">
        <f t="shared" si="1"/>
        <v>Exceeds Target</v>
      </c>
    </row>
    <row r="2804" spans="2:11" ht="15" customHeight="1">
      <c r="B2804" t="s">
        <v>244</v>
      </c>
      <c r="C2804" t="s">
        <v>3199</v>
      </c>
      <c r="D2804" t="s">
        <v>35</v>
      </c>
      <c r="E2804" t="s">
        <v>27</v>
      </c>
      <c r="F2804" s="17">
        <v>3000</v>
      </c>
      <c r="G2804" s="17">
        <v>190000</v>
      </c>
      <c r="H2804" s="17">
        <v>187000</v>
      </c>
      <c r="I2804" s="18">
        <v>0.66</v>
      </c>
      <c r="J2804" s="14">
        <f t="shared" si="0"/>
        <v>62.333333333333336</v>
      </c>
      <c r="K2804" s="15" t="str">
        <f t="shared" si="1"/>
        <v>Exceeds Target</v>
      </c>
    </row>
    <row r="2805" spans="2:11" ht="15" customHeight="1">
      <c r="B2805" t="s">
        <v>74</v>
      </c>
      <c r="C2805" t="s">
        <v>3200</v>
      </c>
      <c r="D2805" t="s">
        <v>69</v>
      </c>
      <c r="E2805" t="s">
        <v>70</v>
      </c>
      <c r="F2805" s="17">
        <v>1000</v>
      </c>
      <c r="G2805" s="17">
        <v>50000</v>
      </c>
      <c r="H2805" s="17">
        <v>49000</v>
      </c>
      <c r="I2805" s="18">
        <v>0.9</v>
      </c>
      <c r="J2805" s="14">
        <f t="shared" si="0"/>
        <v>49</v>
      </c>
      <c r="K2805" s="15" t="str">
        <f t="shared" si="1"/>
        <v>Exceeds Target</v>
      </c>
    </row>
    <row r="2806" spans="2:11" ht="15" customHeight="1">
      <c r="B2806" t="s">
        <v>582</v>
      </c>
      <c r="C2806" t="s">
        <v>3201</v>
      </c>
      <c r="D2806" t="s">
        <v>35</v>
      </c>
      <c r="E2806" t="s">
        <v>27</v>
      </c>
      <c r="F2806" s="17">
        <v>3000</v>
      </c>
      <c r="G2806" s="17">
        <v>190000</v>
      </c>
      <c r="H2806" s="17">
        <v>187000</v>
      </c>
      <c r="I2806" s="18">
        <v>0.61</v>
      </c>
      <c r="J2806" s="14">
        <f t="shared" si="0"/>
        <v>62.333333333333336</v>
      </c>
      <c r="K2806" s="15" t="str">
        <f t="shared" si="1"/>
        <v>Exceeds Target</v>
      </c>
    </row>
    <row r="2807" spans="2:11" ht="15" customHeight="1">
      <c r="B2807" t="s">
        <v>509</v>
      </c>
      <c r="C2807" t="s">
        <v>3202</v>
      </c>
      <c r="D2807" t="s">
        <v>26</v>
      </c>
      <c r="E2807" t="s">
        <v>27</v>
      </c>
      <c r="F2807" s="17">
        <v>5000</v>
      </c>
      <c r="G2807" s="17">
        <v>90000</v>
      </c>
      <c r="H2807" s="17">
        <v>85000</v>
      </c>
      <c r="I2807" s="18">
        <v>0.32</v>
      </c>
      <c r="J2807" s="14">
        <f t="shared" si="0"/>
        <v>17</v>
      </c>
      <c r="K2807" s="15" t="str">
        <f t="shared" si="1"/>
        <v>Exceeds Target</v>
      </c>
    </row>
    <row r="2808" spans="2:11" ht="15" customHeight="1">
      <c r="B2808" t="s">
        <v>1065</v>
      </c>
      <c r="C2808" t="s">
        <v>3203</v>
      </c>
      <c r="D2808" t="s">
        <v>69</v>
      </c>
      <c r="E2808" t="s">
        <v>70</v>
      </c>
      <c r="F2808" s="17">
        <v>1000</v>
      </c>
      <c r="G2808" s="17">
        <v>85000</v>
      </c>
      <c r="H2808" s="17">
        <v>84000</v>
      </c>
      <c r="I2808" s="18">
        <v>0.71</v>
      </c>
      <c r="J2808" s="14">
        <f t="shared" si="0"/>
        <v>84</v>
      </c>
      <c r="K2808" s="15" t="str">
        <f t="shared" si="1"/>
        <v>Exceeds Target</v>
      </c>
    </row>
    <row r="2809" spans="2:11" ht="15" customHeight="1">
      <c r="B2809" t="s">
        <v>2985</v>
      </c>
      <c r="C2809" t="s">
        <v>3204</v>
      </c>
      <c r="D2809" t="s">
        <v>26</v>
      </c>
      <c r="E2809" t="s">
        <v>27</v>
      </c>
      <c r="F2809" s="17">
        <v>5000</v>
      </c>
      <c r="G2809" s="17">
        <v>150000</v>
      </c>
      <c r="H2809" s="17">
        <v>145000</v>
      </c>
      <c r="I2809" s="18">
        <v>0.11</v>
      </c>
      <c r="J2809" s="14">
        <f t="shared" si="0"/>
        <v>29</v>
      </c>
      <c r="K2809" s="15" t="str">
        <f t="shared" si="1"/>
        <v>Exceeds Target</v>
      </c>
    </row>
    <row r="2810" spans="2:11" ht="15" customHeight="1">
      <c r="B2810" t="s">
        <v>956</v>
      </c>
      <c r="C2810" t="s">
        <v>3205</v>
      </c>
      <c r="D2810" t="s">
        <v>26</v>
      </c>
      <c r="E2810" t="s">
        <v>27</v>
      </c>
      <c r="F2810" s="17">
        <v>5000</v>
      </c>
      <c r="G2810" s="17">
        <v>60000</v>
      </c>
      <c r="H2810" s="17">
        <v>55000</v>
      </c>
      <c r="I2810" s="18">
        <v>7.0000000000000007E-2</v>
      </c>
      <c r="J2810" s="14">
        <f t="shared" si="0"/>
        <v>11</v>
      </c>
      <c r="K2810" s="15" t="str">
        <f t="shared" si="1"/>
        <v>Exceeds Target</v>
      </c>
    </row>
    <row r="2811" spans="2:11" ht="15" customHeight="1">
      <c r="B2811" t="s">
        <v>1516</v>
      </c>
      <c r="C2811" t="s">
        <v>3206</v>
      </c>
      <c r="D2811" t="s">
        <v>35</v>
      </c>
      <c r="E2811" t="s">
        <v>27</v>
      </c>
      <c r="F2811" s="17">
        <v>3000</v>
      </c>
      <c r="G2811" s="17">
        <v>210000</v>
      </c>
      <c r="H2811" s="17">
        <v>207000</v>
      </c>
      <c r="I2811" s="18">
        <v>0.84</v>
      </c>
      <c r="J2811" s="14">
        <f t="shared" si="0"/>
        <v>69</v>
      </c>
      <c r="K2811" s="15" t="str">
        <f t="shared" si="1"/>
        <v>Exceeds Target</v>
      </c>
    </row>
    <row r="2812" spans="2:11" ht="15" customHeight="1">
      <c r="B2812" t="s">
        <v>63</v>
      </c>
      <c r="C2812" t="s">
        <v>3207</v>
      </c>
      <c r="D2812" t="s">
        <v>26</v>
      </c>
      <c r="E2812" t="s">
        <v>27</v>
      </c>
      <c r="F2812" s="17">
        <v>5000</v>
      </c>
      <c r="G2812" s="17">
        <v>30000</v>
      </c>
      <c r="H2812" s="17">
        <v>25000</v>
      </c>
      <c r="I2812" s="18">
        <v>0.16</v>
      </c>
      <c r="J2812" s="14">
        <f t="shared" si="0"/>
        <v>5</v>
      </c>
      <c r="K2812" s="15" t="str">
        <f t="shared" si="1"/>
        <v>Exceeds Target</v>
      </c>
    </row>
    <row r="2813" spans="2:11" ht="15" customHeight="1">
      <c r="B2813" t="s">
        <v>197</v>
      </c>
      <c r="C2813" t="s">
        <v>3208</v>
      </c>
      <c r="D2813" t="s">
        <v>35</v>
      </c>
      <c r="E2813" t="s">
        <v>27</v>
      </c>
      <c r="F2813" s="17">
        <v>3000</v>
      </c>
      <c r="G2813" s="17">
        <v>110000</v>
      </c>
      <c r="H2813" s="17">
        <v>107000</v>
      </c>
      <c r="I2813" s="18">
        <v>0.54</v>
      </c>
      <c r="J2813" s="14">
        <f t="shared" si="0"/>
        <v>35.666666666666664</v>
      </c>
      <c r="K2813" s="15" t="str">
        <f t="shared" si="1"/>
        <v>Exceeds Target</v>
      </c>
    </row>
    <row r="2814" spans="2:11" ht="15" customHeight="1">
      <c r="B2814" t="s">
        <v>392</v>
      </c>
      <c r="C2814" t="s">
        <v>3209</v>
      </c>
      <c r="D2814" t="s">
        <v>80</v>
      </c>
      <c r="E2814" t="s">
        <v>27</v>
      </c>
      <c r="F2814" s="17">
        <v>1000</v>
      </c>
      <c r="G2814" s="17">
        <v>75000</v>
      </c>
      <c r="H2814" s="17">
        <v>74000</v>
      </c>
      <c r="I2814" s="18">
        <v>0.85</v>
      </c>
      <c r="J2814" s="14">
        <f t="shared" si="0"/>
        <v>74</v>
      </c>
      <c r="K2814" s="15" t="str">
        <f t="shared" si="1"/>
        <v>Exceeds Target</v>
      </c>
    </row>
    <row r="2815" spans="2:11" ht="15" customHeight="1">
      <c r="B2815" t="s">
        <v>418</v>
      </c>
      <c r="C2815" t="s">
        <v>3210</v>
      </c>
      <c r="D2815" t="s">
        <v>32</v>
      </c>
      <c r="E2815" t="s">
        <v>27</v>
      </c>
      <c r="F2815" s="17">
        <v>1500</v>
      </c>
      <c r="G2815" s="17">
        <v>36000</v>
      </c>
      <c r="H2815" s="17">
        <v>34500</v>
      </c>
      <c r="I2815" s="18">
        <v>0.69</v>
      </c>
      <c r="J2815" s="14">
        <f t="shared" si="0"/>
        <v>23</v>
      </c>
      <c r="K2815" s="15" t="str">
        <f t="shared" si="1"/>
        <v>Exceeds Target</v>
      </c>
    </row>
    <row r="2816" spans="2:11" ht="15" customHeight="1">
      <c r="B2816" t="s">
        <v>249</v>
      </c>
      <c r="C2816" t="s">
        <v>3211</v>
      </c>
      <c r="D2816" t="s">
        <v>32</v>
      </c>
      <c r="E2816" t="s">
        <v>27</v>
      </c>
      <c r="F2816" s="17">
        <v>1500</v>
      </c>
      <c r="G2816" s="17">
        <v>36000</v>
      </c>
      <c r="H2816" s="17">
        <v>34500</v>
      </c>
      <c r="I2816" s="18">
        <v>0.56000000000000005</v>
      </c>
      <c r="J2816" s="14">
        <f t="shared" si="0"/>
        <v>23</v>
      </c>
      <c r="K2816" s="15" t="str">
        <f t="shared" si="1"/>
        <v>Exceeds Target</v>
      </c>
    </row>
    <row r="2817" spans="2:11" ht="15" customHeight="1">
      <c r="B2817" t="s">
        <v>240</v>
      </c>
      <c r="C2817" t="s">
        <v>3212</v>
      </c>
      <c r="D2817" t="s">
        <v>69</v>
      </c>
      <c r="E2817" t="s">
        <v>70</v>
      </c>
      <c r="F2817" s="17">
        <v>1000</v>
      </c>
      <c r="G2817" s="17">
        <v>65000</v>
      </c>
      <c r="H2817" s="17">
        <v>64000</v>
      </c>
      <c r="I2817" s="18">
        <v>0.71</v>
      </c>
      <c r="J2817" s="14">
        <f t="shared" si="0"/>
        <v>64</v>
      </c>
      <c r="K2817" s="15" t="str">
        <f t="shared" si="1"/>
        <v>Exceeds Target</v>
      </c>
    </row>
    <row r="2818" spans="2:11" ht="15" customHeight="1">
      <c r="B2818" t="s">
        <v>487</v>
      </c>
      <c r="C2818" t="s">
        <v>3213</v>
      </c>
      <c r="D2818" t="s">
        <v>32</v>
      </c>
      <c r="E2818" t="s">
        <v>27</v>
      </c>
      <c r="F2818" s="17">
        <v>1500</v>
      </c>
      <c r="G2818" s="17">
        <v>60000</v>
      </c>
      <c r="H2818" s="17">
        <v>58500</v>
      </c>
      <c r="I2818" s="18">
        <v>0.51</v>
      </c>
      <c r="J2818" s="14">
        <f t="shared" si="0"/>
        <v>39</v>
      </c>
      <c r="K2818" s="15" t="str">
        <f t="shared" si="1"/>
        <v>Exceeds Target</v>
      </c>
    </row>
    <row r="2819" spans="2:11" ht="15" customHeight="1">
      <c r="B2819" t="s">
        <v>199</v>
      </c>
      <c r="C2819" t="s">
        <v>3214</v>
      </c>
      <c r="D2819" t="s">
        <v>26</v>
      </c>
      <c r="E2819" t="s">
        <v>27</v>
      </c>
      <c r="F2819" s="17">
        <v>5000</v>
      </c>
      <c r="G2819" s="17">
        <v>60000</v>
      </c>
      <c r="H2819" s="17">
        <v>55000</v>
      </c>
      <c r="I2819" s="18">
        <v>0.1</v>
      </c>
      <c r="J2819" s="14">
        <f t="shared" si="0"/>
        <v>11</v>
      </c>
      <c r="K2819" s="15" t="str">
        <f t="shared" si="1"/>
        <v>Exceeds Target</v>
      </c>
    </row>
    <row r="2820" spans="2:11" ht="15" customHeight="1">
      <c r="B2820" t="s">
        <v>1210</v>
      </c>
      <c r="C2820" t="s">
        <v>3215</v>
      </c>
      <c r="D2820" t="s">
        <v>26</v>
      </c>
      <c r="E2820" t="s">
        <v>27</v>
      </c>
      <c r="F2820" s="17">
        <v>5000</v>
      </c>
      <c r="G2820" s="17">
        <v>150000</v>
      </c>
      <c r="H2820" s="17">
        <v>145000</v>
      </c>
      <c r="I2820" s="18">
        <v>0.23</v>
      </c>
      <c r="J2820" s="14">
        <f t="shared" si="0"/>
        <v>29</v>
      </c>
      <c r="K2820" s="15" t="str">
        <f t="shared" si="1"/>
        <v>Exceeds Target</v>
      </c>
    </row>
    <row r="2821" spans="2:11" ht="15" customHeight="1">
      <c r="B2821" t="s">
        <v>378</v>
      </c>
      <c r="C2821" t="s">
        <v>3216</v>
      </c>
      <c r="D2821" t="s">
        <v>35</v>
      </c>
      <c r="E2821" t="s">
        <v>27</v>
      </c>
      <c r="F2821" s="17">
        <v>3000</v>
      </c>
      <c r="G2821" s="17">
        <v>150000</v>
      </c>
      <c r="H2821" s="17">
        <v>147000</v>
      </c>
      <c r="I2821" s="18">
        <v>0.37</v>
      </c>
      <c r="J2821" s="14">
        <f t="shared" si="0"/>
        <v>49</v>
      </c>
      <c r="K2821" s="15" t="str">
        <f t="shared" si="1"/>
        <v>Exceeds Target</v>
      </c>
    </row>
    <row r="2822" spans="2:11" ht="15" customHeight="1">
      <c r="B2822" t="s">
        <v>370</v>
      </c>
      <c r="C2822" t="s">
        <v>3217</v>
      </c>
      <c r="D2822" t="s">
        <v>69</v>
      </c>
      <c r="E2822" t="s">
        <v>70</v>
      </c>
      <c r="F2822" s="17">
        <v>1000</v>
      </c>
      <c r="G2822" s="17">
        <v>145000</v>
      </c>
      <c r="H2822" s="17">
        <v>144000</v>
      </c>
      <c r="I2822" s="18">
        <v>0.49</v>
      </c>
      <c r="J2822" s="14">
        <f t="shared" si="0"/>
        <v>144</v>
      </c>
      <c r="K2822" s="15" t="str">
        <f t="shared" si="1"/>
        <v>Exceeds Target</v>
      </c>
    </row>
    <row r="2823" spans="2:11" ht="15" customHeight="1">
      <c r="B2823" t="s">
        <v>1477</v>
      </c>
      <c r="C2823" t="s">
        <v>3218</v>
      </c>
      <c r="D2823" t="s">
        <v>80</v>
      </c>
      <c r="E2823" t="s">
        <v>27</v>
      </c>
      <c r="F2823" s="17">
        <v>1000</v>
      </c>
      <c r="G2823" s="17">
        <v>84000</v>
      </c>
      <c r="H2823" s="17">
        <v>83000</v>
      </c>
      <c r="I2823" s="18">
        <v>0.8</v>
      </c>
      <c r="J2823" s="14">
        <f t="shared" si="0"/>
        <v>83</v>
      </c>
      <c r="K2823" s="15" t="str">
        <f t="shared" si="1"/>
        <v>Exceeds Target</v>
      </c>
    </row>
    <row r="2824" spans="2:11" ht="15" customHeight="1">
      <c r="B2824" t="s">
        <v>982</v>
      </c>
      <c r="C2824" t="s">
        <v>3219</v>
      </c>
      <c r="D2824" t="s">
        <v>69</v>
      </c>
      <c r="E2824" t="s">
        <v>70</v>
      </c>
      <c r="F2824" s="17">
        <v>1000</v>
      </c>
      <c r="G2824" s="17">
        <v>105000</v>
      </c>
      <c r="H2824" s="17">
        <v>104000</v>
      </c>
      <c r="I2824" s="18">
        <v>0.41</v>
      </c>
      <c r="J2824" s="14">
        <f t="shared" si="0"/>
        <v>104</v>
      </c>
      <c r="K2824" s="15" t="str">
        <f t="shared" si="1"/>
        <v>Exceeds Target</v>
      </c>
    </row>
    <row r="2825" spans="2:11" ht="15" customHeight="1">
      <c r="B2825" t="s">
        <v>880</v>
      </c>
      <c r="C2825" t="s">
        <v>3220</v>
      </c>
      <c r="D2825" t="s">
        <v>69</v>
      </c>
      <c r="E2825" t="s">
        <v>70</v>
      </c>
      <c r="F2825" s="17">
        <v>1000</v>
      </c>
      <c r="G2825" s="17">
        <v>95000</v>
      </c>
      <c r="H2825" s="17">
        <v>94000</v>
      </c>
      <c r="I2825" s="18">
        <v>0.62</v>
      </c>
      <c r="J2825" s="14">
        <f t="shared" si="0"/>
        <v>94</v>
      </c>
      <c r="K2825" s="15" t="str">
        <f t="shared" si="1"/>
        <v>Exceeds Target</v>
      </c>
    </row>
    <row r="2826" spans="2:11" ht="15" customHeight="1">
      <c r="B2826" t="s">
        <v>644</v>
      </c>
      <c r="C2826" t="s">
        <v>3221</v>
      </c>
      <c r="D2826" t="s">
        <v>69</v>
      </c>
      <c r="E2826" t="s">
        <v>70</v>
      </c>
      <c r="F2826" s="17">
        <v>1000</v>
      </c>
      <c r="G2826" s="17">
        <v>75000</v>
      </c>
      <c r="H2826" s="17">
        <v>74000</v>
      </c>
      <c r="I2826" s="18">
        <v>0.53</v>
      </c>
      <c r="J2826" s="14">
        <f t="shared" si="0"/>
        <v>74</v>
      </c>
      <c r="K2826" s="15" t="str">
        <f t="shared" si="1"/>
        <v>Exceeds Target</v>
      </c>
    </row>
    <row r="2827" spans="2:11" ht="15" customHeight="1">
      <c r="B2827" t="s">
        <v>263</v>
      </c>
      <c r="C2827" t="s">
        <v>3222</v>
      </c>
      <c r="D2827" t="s">
        <v>35</v>
      </c>
      <c r="E2827" t="s">
        <v>27</v>
      </c>
      <c r="F2827" s="17">
        <v>3000</v>
      </c>
      <c r="G2827" s="17">
        <v>180000</v>
      </c>
      <c r="H2827" s="17">
        <v>177000</v>
      </c>
      <c r="I2827" s="18">
        <v>0.76</v>
      </c>
      <c r="J2827" s="14">
        <f t="shared" si="0"/>
        <v>59</v>
      </c>
      <c r="K2827" s="15" t="str">
        <f t="shared" si="1"/>
        <v>Exceeds Target</v>
      </c>
    </row>
    <row r="2828" spans="2:11" ht="15" customHeight="1">
      <c r="B2828" t="s">
        <v>973</v>
      </c>
      <c r="C2828" t="s">
        <v>3223</v>
      </c>
      <c r="D2828" t="s">
        <v>69</v>
      </c>
      <c r="E2828" t="s">
        <v>70</v>
      </c>
      <c r="F2828" s="17">
        <v>1000</v>
      </c>
      <c r="G2828" s="17">
        <v>75000</v>
      </c>
      <c r="H2828" s="17">
        <v>74000</v>
      </c>
      <c r="I2828" s="18">
        <v>0.96</v>
      </c>
      <c r="J2828" s="14">
        <f t="shared" si="0"/>
        <v>74</v>
      </c>
      <c r="K2828" s="15" t="str">
        <f t="shared" si="1"/>
        <v>Exceeds Target</v>
      </c>
    </row>
    <row r="2829" spans="2:11" ht="15" customHeight="1">
      <c r="B2829" t="s">
        <v>252</v>
      </c>
      <c r="C2829" t="s">
        <v>3224</v>
      </c>
      <c r="D2829" t="s">
        <v>80</v>
      </c>
      <c r="E2829" t="s">
        <v>27</v>
      </c>
      <c r="F2829" s="17">
        <v>1000</v>
      </c>
      <c r="G2829" s="17">
        <v>57000</v>
      </c>
      <c r="H2829" s="17">
        <v>56000</v>
      </c>
      <c r="I2829" s="18">
        <v>0.93</v>
      </c>
      <c r="J2829" s="14">
        <f t="shared" si="0"/>
        <v>56</v>
      </c>
      <c r="K2829" s="15" t="str">
        <f t="shared" si="1"/>
        <v>Exceeds Target</v>
      </c>
    </row>
    <row r="2830" spans="2:11" ht="15" customHeight="1">
      <c r="B2830" t="s">
        <v>448</v>
      </c>
      <c r="C2830" t="s">
        <v>3225</v>
      </c>
      <c r="D2830" t="s">
        <v>80</v>
      </c>
      <c r="E2830" t="s">
        <v>27</v>
      </c>
      <c r="F2830" s="17">
        <v>1000</v>
      </c>
      <c r="G2830" s="17">
        <v>66000</v>
      </c>
      <c r="H2830" s="17">
        <v>65000</v>
      </c>
      <c r="I2830" s="18">
        <v>0.67</v>
      </c>
      <c r="J2830" s="14">
        <f t="shared" si="0"/>
        <v>65</v>
      </c>
      <c r="K2830" s="15" t="str">
        <f t="shared" si="1"/>
        <v>Exceeds Target</v>
      </c>
    </row>
    <row r="2831" spans="2:11" ht="15" customHeight="1">
      <c r="B2831" t="s">
        <v>489</v>
      </c>
      <c r="C2831" t="s">
        <v>3226</v>
      </c>
      <c r="D2831" t="s">
        <v>35</v>
      </c>
      <c r="E2831" t="s">
        <v>27</v>
      </c>
      <c r="F2831" s="17">
        <v>3000</v>
      </c>
      <c r="G2831" s="17">
        <v>200000</v>
      </c>
      <c r="H2831" s="17">
        <v>197000</v>
      </c>
      <c r="I2831" s="18">
        <v>0.52</v>
      </c>
      <c r="J2831" s="14">
        <f t="shared" si="0"/>
        <v>65.666666666666671</v>
      </c>
      <c r="K2831" s="15" t="str">
        <f t="shared" si="1"/>
        <v>Exceeds Target</v>
      </c>
    </row>
    <row r="2832" spans="2:11" ht="15" customHeight="1">
      <c r="B2832" t="s">
        <v>1115</v>
      </c>
      <c r="C2832" t="s">
        <v>3227</v>
      </c>
      <c r="D2832" t="s">
        <v>80</v>
      </c>
      <c r="E2832" t="s">
        <v>27</v>
      </c>
      <c r="F2832" s="17">
        <v>1000</v>
      </c>
      <c r="G2832" s="17">
        <v>60000</v>
      </c>
      <c r="H2832" s="17">
        <v>59000</v>
      </c>
      <c r="I2832" s="18">
        <v>0.78</v>
      </c>
      <c r="J2832" s="14">
        <f t="shared" si="0"/>
        <v>59</v>
      </c>
      <c r="K2832" s="15" t="str">
        <f t="shared" si="1"/>
        <v>Exceeds Target</v>
      </c>
    </row>
    <row r="2833" spans="2:11" ht="15" customHeight="1">
      <c r="B2833" t="s">
        <v>374</v>
      </c>
      <c r="C2833" t="s">
        <v>3228</v>
      </c>
      <c r="D2833" t="s">
        <v>35</v>
      </c>
      <c r="E2833" t="s">
        <v>27</v>
      </c>
      <c r="F2833" s="17">
        <v>3000</v>
      </c>
      <c r="G2833" s="17">
        <v>60000</v>
      </c>
      <c r="H2833" s="17">
        <v>57000</v>
      </c>
      <c r="I2833" s="18">
        <v>0.43</v>
      </c>
      <c r="J2833" s="14">
        <f t="shared" si="0"/>
        <v>19</v>
      </c>
      <c r="K2833" s="15" t="str">
        <f t="shared" si="1"/>
        <v>Exceeds Target</v>
      </c>
    </row>
    <row r="2834" spans="2:11" ht="15" customHeight="1">
      <c r="B2834" t="s">
        <v>99</v>
      </c>
      <c r="C2834" t="s">
        <v>3229</v>
      </c>
      <c r="D2834" t="s">
        <v>32</v>
      </c>
      <c r="E2834" t="s">
        <v>27</v>
      </c>
      <c r="F2834" s="17">
        <v>1500</v>
      </c>
      <c r="G2834" s="17">
        <v>46000</v>
      </c>
      <c r="H2834" s="17">
        <v>44500</v>
      </c>
      <c r="I2834" s="18">
        <v>0.9</v>
      </c>
      <c r="J2834" s="14">
        <f t="shared" si="0"/>
        <v>29.666666666666668</v>
      </c>
      <c r="K2834" s="15" t="str">
        <f t="shared" si="1"/>
        <v>Exceeds Target</v>
      </c>
    </row>
    <row r="2835" spans="2:11" ht="15" customHeight="1">
      <c r="B2835" t="s">
        <v>161</v>
      </c>
      <c r="C2835" t="s">
        <v>3230</v>
      </c>
      <c r="D2835" t="s">
        <v>35</v>
      </c>
      <c r="E2835" t="s">
        <v>27</v>
      </c>
      <c r="F2835" s="17">
        <v>3000</v>
      </c>
      <c r="G2835" s="17">
        <v>210000</v>
      </c>
      <c r="H2835" s="17">
        <v>207000</v>
      </c>
      <c r="I2835" s="18">
        <v>0.95</v>
      </c>
      <c r="J2835" s="14">
        <f t="shared" si="0"/>
        <v>69</v>
      </c>
      <c r="K2835" s="15" t="str">
        <f t="shared" si="1"/>
        <v>Exceeds Target</v>
      </c>
    </row>
    <row r="2836" spans="2:11" ht="15" customHeight="1">
      <c r="B2836" t="s">
        <v>644</v>
      </c>
      <c r="C2836" t="s">
        <v>3231</v>
      </c>
      <c r="D2836" t="s">
        <v>69</v>
      </c>
      <c r="E2836" t="s">
        <v>70</v>
      </c>
      <c r="F2836" s="17">
        <v>1000</v>
      </c>
      <c r="G2836" s="17">
        <v>75000</v>
      </c>
      <c r="H2836" s="17">
        <v>74000</v>
      </c>
      <c r="I2836" s="18">
        <v>0.49</v>
      </c>
      <c r="J2836" s="14">
        <f t="shared" si="0"/>
        <v>74</v>
      </c>
      <c r="K2836" s="15" t="str">
        <f t="shared" si="1"/>
        <v>Exceeds Target</v>
      </c>
    </row>
    <row r="2837" spans="2:11" ht="15" customHeight="1">
      <c r="B2837" t="s">
        <v>601</v>
      </c>
      <c r="C2837" t="s">
        <v>3232</v>
      </c>
      <c r="D2837" t="s">
        <v>69</v>
      </c>
      <c r="E2837" t="s">
        <v>70</v>
      </c>
      <c r="F2837" s="17">
        <v>1000</v>
      </c>
      <c r="G2837" s="17">
        <v>140000</v>
      </c>
      <c r="H2837" s="17">
        <v>139000</v>
      </c>
      <c r="I2837" s="18">
        <v>0.82</v>
      </c>
      <c r="J2837" s="14">
        <f t="shared" si="0"/>
        <v>139</v>
      </c>
      <c r="K2837" s="15" t="str">
        <f t="shared" si="1"/>
        <v>Exceeds Target</v>
      </c>
    </row>
    <row r="2838" spans="2:11" ht="15" customHeight="1">
      <c r="B2838" t="s">
        <v>89</v>
      </c>
      <c r="C2838" t="s">
        <v>3233</v>
      </c>
      <c r="D2838" t="s">
        <v>80</v>
      </c>
      <c r="E2838" t="s">
        <v>27</v>
      </c>
      <c r="F2838" s="17">
        <v>1000</v>
      </c>
      <c r="G2838" s="17">
        <v>48000</v>
      </c>
      <c r="H2838" s="17">
        <v>47000</v>
      </c>
      <c r="I2838" s="18">
        <v>0.72</v>
      </c>
      <c r="J2838" s="14">
        <f t="shared" si="0"/>
        <v>47</v>
      </c>
      <c r="K2838" s="15" t="str">
        <f t="shared" si="1"/>
        <v>Exceeds Target</v>
      </c>
    </row>
    <row r="2839" spans="2:11" ht="15" customHeight="1">
      <c r="B2839" t="s">
        <v>1323</v>
      </c>
      <c r="C2839" t="s">
        <v>3234</v>
      </c>
      <c r="D2839" t="s">
        <v>80</v>
      </c>
      <c r="E2839" t="s">
        <v>27</v>
      </c>
      <c r="F2839" s="17">
        <v>1000</v>
      </c>
      <c r="G2839" s="17">
        <v>120000</v>
      </c>
      <c r="H2839" s="17">
        <v>119000</v>
      </c>
      <c r="I2839" s="18">
        <v>0.63</v>
      </c>
      <c r="J2839" s="14">
        <f t="shared" si="0"/>
        <v>119</v>
      </c>
      <c r="K2839" s="15" t="str">
        <f t="shared" si="1"/>
        <v>Exceeds Target</v>
      </c>
    </row>
    <row r="2840" spans="2:11" ht="15" customHeight="1">
      <c r="B2840" t="s">
        <v>824</v>
      </c>
      <c r="C2840" t="s">
        <v>3235</v>
      </c>
      <c r="D2840" t="s">
        <v>69</v>
      </c>
      <c r="E2840" t="s">
        <v>70</v>
      </c>
      <c r="F2840" s="17">
        <v>1000</v>
      </c>
      <c r="G2840" s="17">
        <v>40000</v>
      </c>
      <c r="H2840" s="17">
        <v>39000</v>
      </c>
      <c r="I2840" s="18">
        <v>0.36</v>
      </c>
      <c r="J2840" s="14">
        <f t="shared" si="0"/>
        <v>39</v>
      </c>
      <c r="K2840" s="15" t="str">
        <f t="shared" si="1"/>
        <v>Exceeds Target</v>
      </c>
    </row>
    <row r="2841" spans="2:11" ht="15" customHeight="1">
      <c r="B2841" t="s">
        <v>999</v>
      </c>
      <c r="C2841" t="s">
        <v>3236</v>
      </c>
      <c r="D2841" t="s">
        <v>80</v>
      </c>
      <c r="E2841" t="s">
        <v>27</v>
      </c>
      <c r="F2841" s="17">
        <v>1000</v>
      </c>
      <c r="G2841" s="17">
        <v>111000</v>
      </c>
      <c r="H2841" s="17">
        <v>110000</v>
      </c>
      <c r="I2841" s="18">
        <v>0.56999999999999995</v>
      </c>
      <c r="J2841" s="14">
        <f t="shared" si="0"/>
        <v>110</v>
      </c>
      <c r="K2841" s="15" t="str">
        <f t="shared" si="1"/>
        <v>Exceeds Target</v>
      </c>
    </row>
    <row r="2842" spans="2:11" ht="15" customHeight="1">
      <c r="B2842" t="s">
        <v>58</v>
      </c>
      <c r="C2842" t="s">
        <v>3237</v>
      </c>
      <c r="D2842" t="s">
        <v>32</v>
      </c>
      <c r="E2842" t="s">
        <v>27</v>
      </c>
      <c r="F2842" s="17">
        <v>1500</v>
      </c>
      <c r="G2842" s="17">
        <v>30000</v>
      </c>
      <c r="H2842" s="17">
        <v>28500</v>
      </c>
      <c r="I2842" s="18">
        <v>0.24</v>
      </c>
      <c r="J2842" s="14">
        <f t="shared" si="0"/>
        <v>19</v>
      </c>
      <c r="K2842" s="15" t="str">
        <f t="shared" si="1"/>
        <v>Exceeds Target</v>
      </c>
    </row>
    <row r="2843" spans="2:11" ht="15" customHeight="1">
      <c r="B2843" t="s">
        <v>760</v>
      </c>
      <c r="C2843" t="s">
        <v>3238</v>
      </c>
      <c r="D2843" t="s">
        <v>80</v>
      </c>
      <c r="E2843" t="s">
        <v>27</v>
      </c>
      <c r="F2843" s="17">
        <v>1000</v>
      </c>
      <c r="G2843" s="17">
        <v>45000</v>
      </c>
      <c r="H2843" s="17">
        <v>44000</v>
      </c>
      <c r="I2843" s="18">
        <v>0.7</v>
      </c>
      <c r="J2843" s="14">
        <f t="shared" si="0"/>
        <v>44</v>
      </c>
      <c r="K2843" s="15" t="str">
        <f t="shared" si="1"/>
        <v>Exceeds Target</v>
      </c>
    </row>
    <row r="2844" spans="2:11" ht="15" customHeight="1">
      <c r="B2844" t="s">
        <v>815</v>
      </c>
      <c r="C2844" t="s">
        <v>3239</v>
      </c>
      <c r="D2844" t="s">
        <v>80</v>
      </c>
      <c r="E2844" t="s">
        <v>27</v>
      </c>
      <c r="F2844" s="17">
        <v>1000</v>
      </c>
      <c r="G2844" s="17">
        <v>117000</v>
      </c>
      <c r="H2844" s="17">
        <v>116000</v>
      </c>
      <c r="I2844" s="18">
        <v>0.88</v>
      </c>
      <c r="J2844" s="14">
        <f t="shared" si="0"/>
        <v>116</v>
      </c>
      <c r="K2844" s="15" t="str">
        <f t="shared" si="1"/>
        <v>Exceeds Target</v>
      </c>
    </row>
    <row r="2845" spans="2:11" ht="15" customHeight="1">
      <c r="B2845" t="s">
        <v>832</v>
      </c>
      <c r="C2845" t="s">
        <v>3240</v>
      </c>
      <c r="D2845" t="s">
        <v>69</v>
      </c>
      <c r="E2845" t="s">
        <v>70</v>
      </c>
      <c r="F2845" s="17">
        <v>1000</v>
      </c>
      <c r="G2845" s="17">
        <v>70000</v>
      </c>
      <c r="H2845" s="17">
        <v>69000</v>
      </c>
      <c r="I2845" s="18">
        <v>0.82</v>
      </c>
      <c r="J2845" s="14">
        <f t="shared" si="0"/>
        <v>69</v>
      </c>
      <c r="K2845" s="15" t="str">
        <f t="shared" si="1"/>
        <v>Exceeds Target</v>
      </c>
    </row>
    <row r="2846" spans="2:11" ht="15" customHeight="1">
      <c r="B2846" t="s">
        <v>309</v>
      </c>
      <c r="C2846" t="s">
        <v>3241</v>
      </c>
      <c r="D2846" t="s">
        <v>32</v>
      </c>
      <c r="E2846" t="s">
        <v>27</v>
      </c>
      <c r="F2846" s="17">
        <v>1500</v>
      </c>
      <c r="G2846" s="17">
        <v>44000</v>
      </c>
      <c r="H2846" s="17">
        <v>42500</v>
      </c>
      <c r="I2846" s="18">
        <v>0.17</v>
      </c>
      <c r="J2846" s="14">
        <f t="shared" si="0"/>
        <v>28.333333333333332</v>
      </c>
      <c r="K2846" s="15" t="str">
        <f t="shared" si="1"/>
        <v>Exceeds Target</v>
      </c>
    </row>
    <row r="2847" spans="2:11" ht="15" customHeight="1">
      <c r="B2847" t="s">
        <v>413</v>
      </c>
      <c r="C2847" t="s">
        <v>3242</v>
      </c>
      <c r="D2847" t="s">
        <v>80</v>
      </c>
      <c r="E2847" t="s">
        <v>27</v>
      </c>
      <c r="F2847" s="17">
        <v>1000</v>
      </c>
      <c r="G2847" s="17">
        <v>60000</v>
      </c>
      <c r="H2847" s="17">
        <v>59000</v>
      </c>
      <c r="I2847" s="18">
        <v>0.91</v>
      </c>
      <c r="J2847" s="14">
        <f t="shared" si="0"/>
        <v>59</v>
      </c>
      <c r="K2847" s="15" t="str">
        <f t="shared" si="1"/>
        <v>Exceeds Target</v>
      </c>
    </row>
    <row r="2848" spans="2:11" ht="15" customHeight="1">
      <c r="B2848" t="s">
        <v>644</v>
      </c>
      <c r="C2848" t="s">
        <v>3243</v>
      </c>
      <c r="D2848" t="s">
        <v>26</v>
      </c>
      <c r="E2848" t="s">
        <v>27</v>
      </c>
      <c r="F2848" s="17">
        <v>5000</v>
      </c>
      <c r="G2848" s="17">
        <v>30000</v>
      </c>
      <c r="H2848" s="17">
        <v>25000</v>
      </c>
      <c r="I2848" s="18">
        <v>0.39</v>
      </c>
      <c r="J2848" s="14">
        <f t="shared" si="0"/>
        <v>5</v>
      </c>
      <c r="K2848" s="15" t="str">
        <f t="shared" si="1"/>
        <v>Exceeds Target</v>
      </c>
    </row>
    <row r="2849" spans="2:11" ht="15" customHeight="1">
      <c r="B2849" t="s">
        <v>1007</v>
      </c>
      <c r="C2849" t="s">
        <v>3244</v>
      </c>
      <c r="D2849" t="s">
        <v>69</v>
      </c>
      <c r="E2849" t="s">
        <v>70</v>
      </c>
      <c r="F2849" s="17">
        <v>1000</v>
      </c>
      <c r="G2849" s="17">
        <v>70000</v>
      </c>
      <c r="H2849" s="17">
        <v>69000</v>
      </c>
      <c r="I2849" s="18">
        <v>0.41</v>
      </c>
      <c r="J2849" s="14">
        <f t="shared" si="0"/>
        <v>69</v>
      </c>
      <c r="K2849" s="15" t="str">
        <f t="shared" si="1"/>
        <v>Exceeds Target</v>
      </c>
    </row>
    <row r="2850" spans="2:11" ht="15" customHeight="1">
      <c r="B2850" t="s">
        <v>850</v>
      </c>
      <c r="C2850" t="s">
        <v>3245</v>
      </c>
      <c r="D2850" t="s">
        <v>32</v>
      </c>
      <c r="E2850" t="s">
        <v>27</v>
      </c>
      <c r="F2850" s="17">
        <v>1500</v>
      </c>
      <c r="G2850" s="17">
        <v>38000</v>
      </c>
      <c r="H2850" s="17">
        <v>36500</v>
      </c>
      <c r="I2850" s="18">
        <v>0.61</v>
      </c>
      <c r="J2850" s="14">
        <f t="shared" si="0"/>
        <v>24.333333333333332</v>
      </c>
      <c r="K2850" s="15" t="str">
        <f t="shared" si="1"/>
        <v>Exceeds Target</v>
      </c>
    </row>
    <row r="2851" spans="2:11" ht="15" customHeight="1">
      <c r="B2851" t="s">
        <v>231</v>
      </c>
      <c r="C2851" t="s">
        <v>3246</v>
      </c>
      <c r="D2851" t="s">
        <v>32</v>
      </c>
      <c r="E2851" t="s">
        <v>27</v>
      </c>
      <c r="F2851" s="17">
        <v>1500</v>
      </c>
      <c r="G2851" s="17">
        <v>42000</v>
      </c>
      <c r="H2851" s="17">
        <v>40500</v>
      </c>
      <c r="I2851" s="18">
        <v>0.9</v>
      </c>
      <c r="J2851" s="14">
        <f t="shared" si="0"/>
        <v>27</v>
      </c>
      <c r="K2851" s="15" t="str">
        <f t="shared" si="1"/>
        <v>Exceeds Target</v>
      </c>
    </row>
    <row r="2852" spans="2:11" ht="15" customHeight="1">
      <c r="B2852" t="s">
        <v>72</v>
      </c>
      <c r="C2852" t="s">
        <v>3247</v>
      </c>
      <c r="D2852" t="s">
        <v>32</v>
      </c>
      <c r="E2852" t="s">
        <v>27</v>
      </c>
      <c r="F2852" s="17">
        <v>1500</v>
      </c>
      <c r="G2852" s="17">
        <v>24000</v>
      </c>
      <c r="H2852" s="17">
        <v>22500</v>
      </c>
      <c r="I2852" s="18">
        <v>0.71</v>
      </c>
      <c r="J2852" s="14">
        <f t="shared" si="0"/>
        <v>15</v>
      </c>
      <c r="K2852" s="15" t="str">
        <f t="shared" si="1"/>
        <v>Exceeds Target</v>
      </c>
    </row>
    <row r="2853" spans="2:11" ht="15" customHeight="1">
      <c r="B2853" t="s">
        <v>832</v>
      </c>
      <c r="C2853" t="s">
        <v>3248</v>
      </c>
      <c r="D2853" t="s">
        <v>69</v>
      </c>
      <c r="E2853" t="s">
        <v>70</v>
      </c>
      <c r="F2853" s="17">
        <v>1000</v>
      </c>
      <c r="G2853" s="17">
        <v>50000</v>
      </c>
      <c r="H2853" s="17">
        <v>49000</v>
      </c>
      <c r="I2853" s="18">
        <v>0.75</v>
      </c>
      <c r="J2853" s="14">
        <f t="shared" si="0"/>
        <v>49</v>
      </c>
      <c r="K2853" s="15" t="str">
        <f t="shared" si="1"/>
        <v>Exceeds Target</v>
      </c>
    </row>
    <row r="2854" spans="2:11" ht="15" customHeight="1">
      <c r="B2854" t="s">
        <v>150</v>
      </c>
      <c r="C2854" t="s">
        <v>3249</v>
      </c>
      <c r="D2854" t="s">
        <v>69</v>
      </c>
      <c r="E2854" t="s">
        <v>70</v>
      </c>
      <c r="F2854" s="17">
        <v>1000</v>
      </c>
      <c r="G2854" s="17">
        <v>105000</v>
      </c>
      <c r="H2854" s="17">
        <v>104000</v>
      </c>
      <c r="I2854" s="18">
        <v>0.76</v>
      </c>
      <c r="J2854" s="14">
        <f t="shared" si="0"/>
        <v>104</v>
      </c>
      <c r="K2854" s="15" t="str">
        <f t="shared" si="1"/>
        <v>Exceeds Target</v>
      </c>
    </row>
    <row r="2855" spans="2:11" ht="15" customHeight="1">
      <c r="B2855" t="s">
        <v>424</v>
      </c>
      <c r="C2855" t="s">
        <v>3250</v>
      </c>
      <c r="D2855" t="s">
        <v>80</v>
      </c>
      <c r="E2855" t="s">
        <v>27</v>
      </c>
      <c r="F2855" s="17">
        <v>1000</v>
      </c>
      <c r="G2855" s="17">
        <v>105000</v>
      </c>
      <c r="H2855" s="17">
        <v>104000</v>
      </c>
      <c r="I2855" s="18">
        <v>0.85</v>
      </c>
      <c r="J2855" s="14">
        <f t="shared" si="0"/>
        <v>104</v>
      </c>
      <c r="K2855" s="15" t="str">
        <f t="shared" si="1"/>
        <v>Exceeds Target</v>
      </c>
    </row>
    <row r="2856" spans="2:11" ht="15" customHeight="1">
      <c r="B2856" t="s">
        <v>337</v>
      </c>
      <c r="C2856" t="s">
        <v>3251</v>
      </c>
      <c r="D2856" t="s">
        <v>35</v>
      </c>
      <c r="E2856" t="s">
        <v>27</v>
      </c>
      <c r="F2856" s="17">
        <v>3000</v>
      </c>
      <c r="G2856" s="17">
        <v>230000</v>
      </c>
      <c r="H2856" s="17">
        <v>227000</v>
      </c>
      <c r="I2856" s="18">
        <v>0.38</v>
      </c>
      <c r="J2856" s="14">
        <f t="shared" si="0"/>
        <v>75.666666666666671</v>
      </c>
      <c r="K2856" s="15" t="str">
        <f t="shared" si="1"/>
        <v>Exceeds Target</v>
      </c>
    </row>
    <row r="2857" spans="2:11" ht="15" customHeight="1">
      <c r="B2857" t="s">
        <v>263</v>
      </c>
      <c r="C2857" t="s">
        <v>3252</v>
      </c>
      <c r="D2857" t="s">
        <v>69</v>
      </c>
      <c r="E2857" t="s">
        <v>70</v>
      </c>
      <c r="F2857" s="17">
        <v>1000</v>
      </c>
      <c r="G2857" s="17">
        <v>50000</v>
      </c>
      <c r="H2857" s="17">
        <v>49000</v>
      </c>
      <c r="I2857" s="18">
        <v>0.75</v>
      </c>
      <c r="J2857" s="14">
        <f t="shared" si="0"/>
        <v>49</v>
      </c>
      <c r="K2857" s="15" t="str">
        <f t="shared" si="1"/>
        <v>Exceeds Target</v>
      </c>
    </row>
    <row r="2858" spans="2:11" ht="15" customHeight="1">
      <c r="B2858" t="s">
        <v>289</v>
      </c>
      <c r="C2858" t="s">
        <v>3253</v>
      </c>
      <c r="D2858" t="s">
        <v>69</v>
      </c>
      <c r="E2858" t="s">
        <v>70</v>
      </c>
      <c r="F2858" s="17">
        <v>1000</v>
      </c>
      <c r="G2858" s="17">
        <v>35000</v>
      </c>
      <c r="H2858" s="17">
        <v>34000</v>
      </c>
      <c r="I2858" s="18">
        <v>0.41</v>
      </c>
      <c r="J2858" s="14">
        <f t="shared" si="0"/>
        <v>34</v>
      </c>
      <c r="K2858" s="15" t="str">
        <f t="shared" si="1"/>
        <v>Exceeds Target</v>
      </c>
    </row>
    <row r="2859" spans="2:11" ht="15" customHeight="1">
      <c r="B2859" t="s">
        <v>24</v>
      </c>
      <c r="C2859" t="s">
        <v>3254</v>
      </c>
      <c r="D2859" t="s">
        <v>80</v>
      </c>
      <c r="E2859" t="s">
        <v>27</v>
      </c>
      <c r="F2859" s="17">
        <v>1000</v>
      </c>
      <c r="G2859" s="17">
        <v>105000</v>
      </c>
      <c r="H2859" s="17">
        <v>104000</v>
      </c>
      <c r="I2859" s="18">
        <v>0.57999999999999996</v>
      </c>
      <c r="J2859" s="14">
        <f t="shared" si="0"/>
        <v>104</v>
      </c>
      <c r="K2859" s="15" t="str">
        <f t="shared" si="1"/>
        <v>Exceeds Target</v>
      </c>
    </row>
    <row r="2860" spans="2:11" ht="15" customHeight="1">
      <c r="B2860" t="s">
        <v>274</v>
      </c>
      <c r="C2860" t="s">
        <v>3255</v>
      </c>
      <c r="D2860" t="s">
        <v>32</v>
      </c>
      <c r="E2860" t="s">
        <v>27</v>
      </c>
      <c r="F2860" s="17">
        <v>1500</v>
      </c>
      <c r="G2860" s="17">
        <v>22000</v>
      </c>
      <c r="H2860" s="17">
        <v>20500</v>
      </c>
      <c r="I2860" s="18">
        <v>0.41</v>
      </c>
      <c r="J2860" s="14">
        <f t="shared" si="0"/>
        <v>13.666666666666666</v>
      </c>
      <c r="K2860" s="15" t="str">
        <f t="shared" si="1"/>
        <v>Exceeds Target</v>
      </c>
    </row>
    <row r="2861" spans="2:11" ht="15" customHeight="1">
      <c r="B2861" t="s">
        <v>1083</v>
      </c>
      <c r="C2861" t="s">
        <v>3256</v>
      </c>
      <c r="D2861" t="s">
        <v>26</v>
      </c>
      <c r="E2861" t="s">
        <v>27</v>
      </c>
      <c r="F2861" s="17">
        <v>5000</v>
      </c>
      <c r="G2861" s="17">
        <v>90000</v>
      </c>
      <c r="H2861" s="17">
        <v>85000</v>
      </c>
      <c r="I2861" s="18">
        <v>0.26</v>
      </c>
      <c r="J2861" s="14">
        <f t="shared" si="0"/>
        <v>17</v>
      </c>
      <c r="K2861" s="15" t="str">
        <f t="shared" si="1"/>
        <v>Exceeds Target</v>
      </c>
    </row>
    <row r="2862" spans="2:11" ht="15" customHeight="1">
      <c r="B2862" t="s">
        <v>489</v>
      </c>
      <c r="C2862" t="s">
        <v>3257</v>
      </c>
      <c r="D2862" t="s">
        <v>69</v>
      </c>
      <c r="E2862" t="s">
        <v>70</v>
      </c>
      <c r="F2862" s="17">
        <v>1000</v>
      </c>
      <c r="G2862" s="17">
        <v>50000</v>
      </c>
      <c r="H2862" s="17">
        <v>49000</v>
      </c>
      <c r="I2862" s="18">
        <v>0.77</v>
      </c>
      <c r="J2862" s="14">
        <f t="shared" si="0"/>
        <v>49</v>
      </c>
      <c r="K2862" s="15" t="str">
        <f t="shared" si="1"/>
        <v>Exceeds Target</v>
      </c>
    </row>
    <row r="2863" spans="2:11" ht="15" customHeight="1">
      <c r="B2863" t="s">
        <v>1115</v>
      </c>
      <c r="C2863" t="s">
        <v>3258</v>
      </c>
      <c r="D2863" t="s">
        <v>69</v>
      </c>
      <c r="E2863" t="s">
        <v>70</v>
      </c>
      <c r="F2863" s="17">
        <v>1000</v>
      </c>
      <c r="G2863" s="17">
        <v>45000</v>
      </c>
      <c r="H2863" s="17">
        <v>44000</v>
      </c>
      <c r="I2863" s="18">
        <v>0.26</v>
      </c>
      <c r="J2863" s="14">
        <f t="shared" si="0"/>
        <v>44</v>
      </c>
      <c r="K2863" s="15" t="str">
        <f t="shared" si="1"/>
        <v>Exceeds Target</v>
      </c>
    </row>
    <row r="2864" spans="2:11" ht="15" customHeight="1">
      <c r="B2864" t="s">
        <v>54</v>
      </c>
      <c r="C2864" t="s">
        <v>3259</v>
      </c>
      <c r="D2864" t="s">
        <v>35</v>
      </c>
      <c r="E2864" t="s">
        <v>27</v>
      </c>
      <c r="F2864" s="17">
        <v>3000</v>
      </c>
      <c r="G2864" s="17">
        <v>110000</v>
      </c>
      <c r="H2864" s="17">
        <v>107000</v>
      </c>
      <c r="I2864" s="18">
        <v>0.68</v>
      </c>
      <c r="J2864" s="14">
        <f t="shared" si="0"/>
        <v>35.666666666666664</v>
      </c>
      <c r="K2864" s="15" t="str">
        <f t="shared" si="1"/>
        <v>Exceeds Target</v>
      </c>
    </row>
    <row r="2865" spans="2:11" ht="15" customHeight="1">
      <c r="B2865" t="s">
        <v>1346</v>
      </c>
      <c r="C2865" t="s">
        <v>3260</v>
      </c>
      <c r="D2865" t="s">
        <v>26</v>
      </c>
      <c r="E2865" t="s">
        <v>27</v>
      </c>
      <c r="F2865" s="17">
        <v>5000</v>
      </c>
      <c r="G2865" s="17">
        <v>90000</v>
      </c>
      <c r="H2865" s="17">
        <v>85000</v>
      </c>
      <c r="I2865" s="18">
        <v>0.17</v>
      </c>
      <c r="J2865" s="14">
        <f t="shared" si="0"/>
        <v>17</v>
      </c>
      <c r="K2865" s="15" t="str">
        <f t="shared" si="1"/>
        <v>Exceeds Target</v>
      </c>
    </row>
    <row r="2866" spans="2:11" ht="15" customHeight="1">
      <c r="B2866" t="s">
        <v>382</v>
      </c>
      <c r="C2866" t="s">
        <v>3261</v>
      </c>
      <c r="D2866" t="s">
        <v>69</v>
      </c>
      <c r="E2866" t="s">
        <v>70</v>
      </c>
      <c r="F2866" s="17">
        <v>1000</v>
      </c>
      <c r="G2866" s="17">
        <v>90000</v>
      </c>
      <c r="H2866" s="17">
        <v>89000</v>
      </c>
      <c r="I2866" s="18">
        <v>0.46</v>
      </c>
      <c r="J2866" s="14">
        <f t="shared" si="0"/>
        <v>89</v>
      </c>
      <c r="K2866" s="15" t="str">
        <f t="shared" si="1"/>
        <v>Exceeds Target</v>
      </c>
    </row>
    <row r="2867" spans="2:11" ht="15" customHeight="1">
      <c r="B2867" t="s">
        <v>242</v>
      </c>
      <c r="C2867" t="s">
        <v>3262</v>
      </c>
      <c r="D2867" t="s">
        <v>26</v>
      </c>
      <c r="E2867" t="s">
        <v>27</v>
      </c>
      <c r="F2867" s="17">
        <v>5000</v>
      </c>
      <c r="G2867" s="17">
        <v>150000</v>
      </c>
      <c r="H2867" s="17">
        <v>145000</v>
      </c>
      <c r="I2867" s="18">
        <v>0.31</v>
      </c>
      <c r="J2867" s="14">
        <f t="shared" si="0"/>
        <v>29</v>
      </c>
      <c r="K2867" s="15" t="str">
        <f t="shared" si="1"/>
        <v>Exceeds Target</v>
      </c>
    </row>
    <row r="2868" spans="2:11" ht="15" customHeight="1">
      <c r="B2868" t="s">
        <v>598</v>
      </c>
      <c r="C2868" t="s">
        <v>3263</v>
      </c>
      <c r="D2868" t="s">
        <v>80</v>
      </c>
      <c r="E2868" t="s">
        <v>27</v>
      </c>
      <c r="F2868" s="17">
        <v>1000</v>
      </c>
      <c r="G2868" s="17">
        <v>60000</v>
      </c>
      <c r="H2868" s="17">
        <v>59000</v>
      </c>
      <c r="I2868" s="18">
        <v>0.84</v>
      </c>
      <c r="J2868" s="14">
        <f t="shared" si="0"/>
        <v>59</v>
      </c>
      <c r="K2868" s="15" t="str">
        <f t="shared" si="1"/>
        <v>Exceeds Target</v>
      </c>
    </row>
    <row r="2869" spans="2:11" ht="15" customHeight="1">
      <c r="B2869" t="s">
        <v>192</v>
      </c>
      <c r="C2869" t="s">
        <v>3264</v>
      </c>
      <c r="D2869" t="s">
        <v>26</v>
      </c>
      <c r="E2869" t="s">
        <v>27</v>
      </c>
      <c r="F2869" s="17">
        <v>5000</v>
      </c>
      <c r="G2869" s="17">
        <v>150000</v>
      </c>
      <c r="H2869" s="17">
        <v>145000</v>
      </c>
      <c r="I2869" s="18">
        <v>0.21</v>
      </c>
      <c r="J2869" s="14">
        <f t="shared" si="0"/>
        <v>29</v>
      </c>
      <c r="K2869" s="15" t="str">
        <f t="shared" si="1"/>
        <v>Exceeds Target</v>
      </c>
    </row>
    <row r="2870" spans="2:11" ht="15" customHeight="1">
      <c r="B2870" t="s">
        <v>1510</v>
      </c>
      <c r="C2870" t="s">
        <v>3265</v>
      </c>
      <c r="D2870" t="s">
        <v>35</v>
      </c>
      <c r="E2870" t="s">
        <v>27</v>
      </c>
      <c r="F2870" s="17">
        <v>3000</v>
      </c>
      <c r="G2870" s="17">
        <v>270000</v>
      </c>
      <c r="H2870" s="17">
        <v>267000</v>
      </c>
      <c r="I2870" s="18">
        <v>0.2</v>
      </c>
      <c r="J2870" s="14">
        <f t="shared" si="0"/>
        <v>89</v>
      </c>
      <c r="K2870" s="15" t="str">
        <f t="shared" si="1"/>
        <v>Exceeds Target</v>
      </c>
    </row>
    <row r="2871" spans="2:11" ht="15" customHeight="1">
      <c r="B2871" t="s">
        <v>730</v>
      </c>
      <c r="C2871" t="s">
        <v>3266</v>
      </c>
      <c r="D2871" t="s">
        <v>35</v>
      </c>
      <c r="E2871" t="s">
        <v>27</v>
      </c>
      <c r="F2871" s="17">
        <v>3000</v>
      </c>
      <c r="G2871" s="17">
        <v>140000</v>
      </c>
      <c r="H2871" s="17">
        <v>137000</v>
      </c>
      <c r="I2871" s="18">
        <v>0.97</v>
      </c>
      <c r="J2871" s="14">
        <f t="shared" si="0"/>
        <v>45.666666666666664</v>
      </c>
      <c r="K2871" s="15" t="str">
        <f t="shared" si="1"/>
        <v>Exceeds Target</v>
      </c>
    </row>
    <row r="2872" spans="2:11" ht="15" customHeight="1">
      <c r="B2872" t="s">
        <v>129</v>
      </c>
      <c r="C2872" t="s">
        <v>3267</v>
      </c>
      <c r="D2872" t="s">
        <v>80</v>
      </c>
      <c r="E2872" t="s">
        <v>27</v>
      </c>
      <c r="F2872" s="17">
        <v>1000</v>
      </c>
      <c r="G2872" s="17">
        <v>54000</v>
      </c>
      <c r="H2872" s="17">
        <v>53000</v>
      </c>
      <c r="I2872" s="18">
        <v>0.9</v>
      </c>
      <c r="J2872" s="14">
        <f t="shared" si="0"/>
        <v>53</v>
      </c>
      <c r="K2872" s="15" t="str">
        <f t="shared" si="1"/>
        <v>Exceeds Target</v>
      </c>
    </row>
    <row r="2873" spans="2:11" ht="15" customHeight="1">
      <c r="B2873" t="s">
        <v>141</v>
      </c>
      <c r="C2873" t="s">
        <v>3268</v>
      </c>
      <c r="D2873" t="s">
        <v>26</v>
      </c>
      <c r="E2873" t="s">
        <v>27</v>
      </c>
      <c r="F2873" s="17">
        <v>5000</v>
      </c>
      <c r="G2873" s="17">
        <v>90000</v>
      </c>
      <c r="H2873" s="17">
        <v>85000</v>
      </c>
      <c r="I2873" s="18">
        <v>0.2</v>
      </c>
      <c r="J2873" s="14">
        <f t="shared" si="0"/>
        <v>17</v>
      </c>
      <c r="K2873" s="15" t="str">
        <f t="shared" si="1"/>
        <v>Exceeds Target</v>
      </c>
    </row>
    <row r="2874" spans="2:11" ht="15" customHeight="1">
      <c r="B2874" t="s">
        <v>113</v>
      </c>
      <c r="C2874" t="s">
        <v>3269</v>
      </c>
      <c r="D2874" t="s">
        <v>69</v>
      </c>
      <c r="E2874" t="s">
        <v>70</v>
      </c>
      <c r="F2874" s="17">
        <v>1000</v>
      </c>
      <c r="G2874" s="17">
        <v>125000</v>
      </c>
      <c r="H2874" s="17">
        <v>124000</v>
      </c>
      <c r="I2874" s="18">
        <v>0.32</v>
      </c>
      <c r="J2874" s="14">
        <f t="shared" si="0"/>
        <v>124</v>
      </c>
      <c r="K2874" s="15" t="str">
        <f t="shared" si="1"/>
        <v>Exceeds Target</v>
      </c>
    </row>
    <row r="2875" spans="2:11" ht="15" customHeight="1">
      <c r="B2875" t="s">
        <v>125</v>
      </c>
      <c r="C2875" t="s">
        <v>3270</v>
      </c>
      <c r="D2875" t="s">
        <v>69</v>
      </c>
      <c r="E2875" t="s">
        <v>70</v>
      </c>
      <c r="F2875" s="17">
        <v>1000</v>
      </c>
      <c r="G2875" s="17">
        <v>105000</v>
      </c>
      <c r="H2875" s="17">
        <v>104000</v>
      </c>
      <c r="I2875" s="18">
        <v>0.2</v>
      </c>
      <c r="J2875" s="14">
        <f t="shared" si="0"/>
        <v>104</v>
      </c>
      <c r="K2875" s="15" t="str">
        <f t="shared" si="1"/>
        <v>Exceeds Target</v>
      </c>
    </row>
    <row r="2876" spans="2:11" ht="15" customHeight="1">
      <c r="B2876" t="s">
        <v>155</v>
      </c>
      <c r="C2876" t="s">
        <v>3271</v>
      </c>
      <c r="D2876" t="s">
        <v>26</v>
      </c>
      <c r="E2876" t="s">
        <v>27</v>
      </c>
      <c r="F2876" s="17">
        <v>5000</v>
      </c>
      <c r="G2876" s="17">
        <v>90000</v>
      </c>
      <c r="H2876" s="17">
        <v>85000</v>
      </c>
      <c r="I2876" s="18">
        <v>0.23</v>
      </c>
      <c r="J2876" s="14">
        <f t="shared" si="0"/>
        <v>17</v>
      </c>
      <c r="K2876" s="15" t="str">
        <f t="shared" si="1"/>
        <v>Exceeds Target</v>
      </c>
    </row>
    <row r="2877" spans="2:11" ht="15" customHeight="1">
      <c r="B2877" t="s">
        <v>178</v>
      </c>
      <c r="C2877" t="s">
        <v>3272</v>
      </c>
      <c r="D2877" t="s">
        <v>35</v>
      </c>
      <c r="E2877" t="s">
        <v>27</v>
      </c>
      <c r="F2877" s="17">
        <v>3000</v>
      </c>
      <c r="G2877" s="17">
        <v>80000</v>
      </c>
      <c r="H2877" s="17">
        <v>77000</v>
      </c>
      <c r="I2877" s="18">
        <v>0.45</v>
      </c>
      <c r="J2877" s="14">
        <f t="shared" si="0"/>
        <v>25.666666666666668</v>
      </c>
      <c r="K2877" s="15" t="str">
        <f t="shared" si="1"/>
        <v>Exceeds Target</v>
      </c>
    </row>
    <row r="2878" spans="2:11" ht="15" customHeight="1">
      <c r="B2878" t="s">
        <v>413</v>
      </c>
      <c r="C2878" t="s">
        <v>3273</v>
      </c>
      <c r="D2878" t="s">
        <v>80</v>
      </c>
      <c r="E2878" t="s">
        <v>27</v>
      </c>
      <c r="F2878" s="17">
        <v>1000</v>
      </c>
      <c r="G2878" s="17">
        <v>93000</v>
      </c>
      <c r="H2878" s="17">
        <v>92000</v>
      </c>
      <c r="I2878" s="18">
        <v>0.82</v>
      </c>
      <c r="J2878" s="14">
        <f t="shared" si="0"/>
        <v>92</v>
      </c>
      <c r="K2878" s="15" t="str">
        <f t="shared" si="1"/>
        <v>Exceeds Target</v>
      </c>
    </row>
    <row r="2879" spans="2:11" ht="15" customHeight="1">
      <c r="B2879" t="s">
        <v>171</v>
      </c>
      <c r="C2879" t="s">
        <v>3274</v>
      </c>
      <c r="D2879" t="s">
        <v>35</v>
      </c>
      <c r="E2879" t="s">
        <v>27</v>
      </c>
      <c r="F2879" s="17">
        <v>3000</v>
      </c>
      <c r="G2879" s="17">
        <v>90000</v>
      </c>
      <c r="H2879" s="17">
        <v>87000</v>
      </c>
      <c r="I2879" s="18">
        <v>0.96</v>
      </c>
      <c r="J2879" s="14">
        <f t="shared" si="0"/>
        <v>29</v>
      </c>
      <c r="K2879" s="15" t="str">
        <f t="shared" si="1"/>
        <v>Exceeds Target</v>
      </c>
    </row>
    <row r="2880" spans="2:11" ht="15" customHeight="1">
      <c r="B2880" t="s">
        <v>1349</v>
      </c>
      <c r="C2880" t="s">
        <v>3275</v>
      </c>
      <c r="D2880" t="s">
        <v>26</v>
      </c>
      <c r="E2880" t="s">
        <v>27</v>
      </c>
      <c r="F2880" s="17">
        <v>5000</v>
      </c>
      <c r="G2880" s="17">
        <v>120000</v>
      </c>
      <c r="H2880" s="17">
        <v>115000</v>
      </c>
      <c r="I2880" s="18">
        <v>0.25</v>
      </c>
      <c r="J2880" s="14">
        <f t="shared" si="0"/>
        <v>23</v>
      </c>
      <c r="K2880" s="15" t="str">
        <f t="shared" si="1"/>
        <v>Exceeds Target</v>
      </c>
    </row>
    <row r="2881" spans="2:11" ht="15" customHeight="1">
      <c r="B2881" t="s">
        <v>860</v>
      </c>
      <c r="C2881" t="s">
        <v>3276</v>
      </c>
      <c r="D2881" t="s">
        <v>69</v>
      </c>
      <c r="E2881" t="s">
        <v>70</v>
      </c>
      <c r="F2881" s="17">
        <v>1000</v>
      </c>
      <c r="G2881" s="17">
        <v>145000</v>
      </c>
      <c r="H2881" s="17">
        <v>144000</v>
      </c>
      <c r="I2881" s="18">
        <v>0.51</v>
      </c>
      <c r="J2881" s="14">
        <f t="shared" si="0"/>
        <v>144</v>
      </c>
      <c r="K2881" s="15" t="str">
        <f t="shared" si="1"/>
        <v>Exceeds Target</v>
      </c>
    </row>
    <row r="2882" spans="2:11" ht="15" customHeight="1">
      <c r="B2882" t="s">
        <v>551</v>
      </c>
      <c r="C2882" t="s">
        <v>3277</v>
      </c>
      <c r="D2882" t="s">
        <v>32</v>
      </c>
      <c r="E2882" t="s">
        <v>27</v>
      </c>
      <c r="F2882" s="17">
        <v>1500</v>
      </c>
      <c r="G2882" s="17">
        <v>16000</v>
      </c>
      <c r="H2882" s="17">
        <v>14500</v>
      </c>
      <c r="I2882" s="18">
        <v>0.67</v>
      </c>
      <c r="J2882" s="14">
        <f t="shared" si="0"/>
        <v>9.6666666666666661</v>
      </c>
      <c r="K2882" s="15" t="str">
        <f t="shared" si="1"/>
        <v>Exceeds Target</v>
      </c>
    </row>
    <row r="2883" spans="2:11" ht="15" customHeight="1">
      <c r="B2883" t="s">
        <v>1282</v>
      </c>
      <c r="C2883" t="s">
        <v>3278</v>
      </c>
      <c r="D2883" t="s">
        <v>26</v>
      </c>
      <c r="E2883" t="s">
        <v>27</v>
      </c>
      <c r="F2883" s="17">
        <v>5000</v>
      </c>
      <c r="G2883" s="17">
        <v>120000</v>
      </c>
      <c r="H2883" s="17">
        <v>115000</v>
      </c>
      <c r="I2883" s="18">
        <v>0.19</v>
      </c>
      <c r="J2883" s="14">
        <f t="shared" si="0"/>
        <v>23</v>
      </c>
      <c r="K2883" s="15" t="str">
        <f t="shared" si="1"/>
        <v>Exceeds Target</v>
      </c>
    </row>
    <row r="2884" spans="2:11" ht="15" customHeight="1">
      <c r="B2884" t="s">
        <v>670</v>
      </c>
      <c r="C2884" t="s">
        <v>3279</v>
      </c>
      <c r="D2884" t="s">
        <v>32</v>
      </c>
      <c r="E2884" t="s">
        <v>27</v>
      </c>
      <c r="F2884" s="17">
        <v>1500</v>
      </c>
      <c r="G2884" s="17">
        <v>52000</v>
      </c>
      <c r="H2884" s="17">
        <v>50500</v>
      </c>
      <c r="I2884" s="18">
        <v>0.69</v>
      </c>
      <c r="J2884" s="14">
        <f t="shared" si="0"/>
        <v>33.666666666666664</v>
      </c>
      <c r="K2884" s="15" t="str">
        <f t="shared" si="1"/>
        <v>Exceeds Target</v>
      </c>
    </row>
    <row r="2885" spans="2:11" ht="15" customHeight="1">
      <c r="B2885" t="s">
        <v>153</v>
      </c>
      <c r="C2885" t="s">
        <v>3280</v>
      </c>
      <c r="D2885" t="s">
        <v>32</v>
      </c>
      <c r="E2885" t="s">
        <v>27</v>
      </c>
      <c r="F2885" s="17">
        <v>1500</v>
      </c>
      <c r="G2885" s="17">
        <v>12000</v>
      </c>
      <c r="H2885" s="17">
        <v>10500</v>
      </c>
      <c r="I2885" s="18">
        <v>0.63</v>
      </c>
      <c r="J2885" s="14">
        <f t="shared" si="0"/>
        <v>7</v>
      </c>
      <c r="K2885" s="15" t="str">
        <f t="shared" si="1"/>
        <v>Exceeds Target</v>
      </c>
    </row>
    <row r="2886" spans="2:11" ht="15" customHeight="1">
      <c r="B2886" t="s">
        <v>216</v>
      </c>
      <c r="C2886" t="s">
        <v>3281</v>
      </c>
      <c r="D2886" t="s">
        <v>26</v>
      </c>
      <c r="E2886" t="s">
        <v>27</v>
      </c>
      <c r="F2886" s="17">
        <v>5000</v>
      </c>
      <c r="G2886" s="17">
        <v>150000</v>
      </c>
      <c r="H2886" s="17">
        <v>145000</v>
      </c>
      <c r="I2886" s="18">
        <v>0.09</v>
      </c>
      <c r="J2886" s="14">
        <f t="shared" si="0"/>
        <v>29</v>
      </c>
      <c r="K2886" s="15" t="str">
        <f t="shared" si="1"/>
        <v>Exceeds Target</v>
      </c>
    </row>
    <row r="2887" spans="2:11" ht="15" customHeight="1">
      <c r="B2887" t="s">
        <v>46</v>
      </c>
      <c r="C2887" t="s">
        <v>3282</v>
      </c>
      <c r="D2887" t="s">
        <v>35</v>
      </c>
      <c r="E2887" t="s">
        <v>27</v>
      </c>
      <c r="F2887" s="17">
        <v>3000</v>
      </c>
      <c r="G2887" s="17">
        <v>290000</v>
      </c>
      <c r="H2887" s="17">
        <v>287000</v>
      </c>
      <c r="I2887" s="18">
        <v>0.78</v>
      </c>
      <c r="J2887" s="14">
        <f t="shared" si="0"/>
        <v>95.666666666666671</v>
      </c>
      <c r="K2887" s="15" t="str">
        <f t="shared" si="1"/>
        <v>Exceeds Target</v>
      </c>
    </row>
    <row r="2888" spans="2:11" ht="15" customHeight="1">
      <c r="B2888" t="s">
        <v>1194</v>
      </c>
      <c r="C2888" t="s">
        <v>3283</v>
      </c>
      <c r="D2888" t="s">
        <v>26</v>
      </c>
      <c r="E2888" t="s">
        <v>27</v>
      </c>
      <c r="F2888" s="17">
        <v>5000</v>
      </c>
      <c r="G2888" s="17">
        <v>30000</v>
      </c>
      <c r="H2888" s="17">
        <v>25000</v>
      </c>
      <c r="I2888" s="18">
        <v>0.21</v>
      </c>
      <c r="J2888" s="14">
        <f t="shared" si="0"/>
        <v>5</v>
      </c>
      <c r="K2888" s="15" t="str">
        <f t="shared" si="1"/>
        <v>Exceeds Target</v>
      </c>
    </row>
    <row r="2889" spans="2:11" ht="15" customHeight="1">
      <c r="B2889" t="s">
        <v>238</v>
      </c>
      <c r="C2889" t="s">
        <v>3284</v>
      </c>
      <c r="D2889" t="s">
        <v>80</v>
      </c>
      <c r="E2889" t="s">
        <v>27</v>
      </c>
      <c r="F2889" s="17">
        <v>1000</v>
      </c>
      <c r="G2889" s="17">
        <v>81000</v>
      </c>
      <c r="H2889" s="17">
        <v>80000</v>
      </c>
      <c r="I2889" s="18">
        <v>0.87</v>
      </c>
      <c r="J2889" s="14">
        <f t="shared" si="0"/>
        <v>80</v>
      </c>
      <c r="K2889" s="15" t="str">
        <f t="shared" si="1"/>
        <v>Exceeds Target</v>
      </c>
    </row>
    <row r="2890" spans="2:11" ht="15" customHeight="1">
      <c r="B2890" t="s">
        <v>886</v>
      </c>
      <c r="C2890" t="s">
        <v>3285</v>
      </c>
      <c r="D2890" t="s">
        <v>35</v>
      </c>
      <c r="E2890" t="s">
        <v>27</v>
      </c>
      <c r="F2890" s="17">
        <v>3000</v>
      </c>
      <c r="G2890" s="17">
        <v>110000</v>
      </c>
      <c r="H2890" s="17">
        <v>107000</v>
      </c>
      <c r="I2890" s="18">
        <v>0.84</v>
      </c>
      <c r="J2890" s="14">
        <f t="shared" si="0"/>
        <v>35.666666666666664</v>
      </c>
      <c r="K2890" s="15" t="str">
        <f t="shared" si="1"/>
        <v>Exceeds Target</v>
      </c>
    </row>
    <row r="2891" spans="2:11" ht="15" customHeight="1">
      <c r="B2891" t="s">
        <v>137</v>
      </c>
      <c r="C2891" t="s">
        <v>3286</v>
      </c>
      <c r="D2891" t="s">
        <v>35</v>
      </c>
      <c r="E2891" t="s">
        <v>27</v>
      </c>
      <c r="F2891" s="17">
        <v>3000</v>
      </c>
      <c r="G2891" s="17">
        <v>270000</v>
      </c>
      <c r="H2891" s="17">
        <v>267000</v>
      </c>
      <c r="I2891" s="18">
        <v>0.71</v>
      </c>
      <c r="J2891" s="14">
        <f t="shared" si="0"/>
        <v>89</v>
      </c>
      <c r="K2891" s="15" t="str">
        <f t="shared" si="1"/>
        <v>Exceeds Target</v>
      </c>
    </row>
    <row r="2892" spans="2:11" ht="15" customHeight="1">
      <c r="B2892" t="s">
        <v>401</v>
      </c>
      <c r="C2892" t="s">
        <v>3287</v>
      </c>
      <c r="D2892" t="s">
        <v>32</v>
      </c>
      <c r="E2892" t="s">
        <v>27</v>
      </c>
      <c r="F2892" s="17">
        <v>1500</v>
      </c>
      <c r="G2892" s="17">
        <v>30000</v>
      </c>
      <c r="H2892" s="17">
        <v>28500</v>
      </c>
      <c r="I2892" s="18">
        <v>0.81</v>
      </c>
      <c r="J2892" s="14">
        <f t="shared" si="0"/>
        <v>19</v>
      </c>
      <c r="K2892" s="15" t="str">
        <f t="shared" si="1"/>
        <v>Exceeds Target</v>
      </c>
    </row>
    <row r="2893" spans="2:11" ht="15" customHeight="1">
      <c r="B2893" t="s">
        <v>267</v>
      </c>
      <c r="C2893" t="s">
        <v>3288</v>
      </c>
      <c r="D2893" t="s">
        <v>26</v>
      </c>
      <c r="E2893" t="s">
        <v>27</v>
      </c>
      <c r="F2893" s="17">
        <v>5000</v>
      </c>
      <c r="G2893" s="17">
        <v>90000</v>
      </c>
      <c r="H2893" s="17">
        <v>85000</v>
      </c>
      <c r="I2893" s="18">
        <v>0.24</v>
      </c>
      <c r="J2893" s="14">
        <f t="shared" si="0"/>
        <v>17</v>
      </c>
      <c r="K2893" s="15" t="str">
        <f t="shared" si="1"/>
        <v>Exceeds Target</v>
      </c>
    </row>
    <row r="2894" spans="2:11" ht="15" customHeight="1">
      <c r="B2894" t="s">
        <v>399</v>
      </c>
      <c r="C2894" t="s">
        <v>3289</v>
      </c>
      <c r="D2894" t="s">
        <v>69</v>
      </c>
      <c r="E2894" t="s">
        <v>70</v>
      </c>
      <c r="F2894" s="17">
        <v>1000</v>
      </c>
      <c r="G2894" s="17">
        <v>70000</v>
      </c>
      <c r="H2894" s="17">
        <v>69000</v>
      </c>
      <c r="I2894" s="18">
        <v>0.79</v>
      </c>
      <c r="J2894" s="14">
        <f t="shared" si="0"/>
        <v>69</v>
      </c>
      <c r="K2894" s="15" t="str">
        <f t="shared" si="1"/>
        <v>Exceeds Target</v>
      </c>
    </row>
    <row r="2895" spans="2:11" ht="15" customHeight="1">
      <c r="B2895" t="s">
        <v>203</v>
      </c>
      <c r="C2895" t="s">
        <v>3290</v>
      </c>
      <c r="D2895" t="s">
        <v>35</v>
      </c>
      <c r="E2895" t="s">
        <v>27</v>
      </c>
      <c r="F2895" s="17">
        <v>3000</v>
      </c>
      <c r="G2895" s="17">
        <v>280000</v>
      </c>
      <c r="H2895" s="17">
        <v>277000</v>
      </c>
      <c r="I2895" s="18">
        <v>0.78</v>
      </c>
      <c r="J2895" s="14">
        <f t="shared" si="0"/>
        <v>92.333333333333329</v>
      </c>
      <c r="K2895" s="15" t="str">
        <f t="shared" si="1"/>
        <v>Exceeds Target</v>
      </c>
    </row>
    <row r="2896" spans="2:11" ht="15" customHeight="1">
      <c r="B2896" t="s">
        <v>475</v>
      </c>
      <c r="C2896" t="s">
        <v>3291</v>
      </c>
      <c r="D2896" t="s">
        <v>35</v>
      </c>
      <c r="E2896" t="s">
        <v>27</v>
      </c>
      <c r="F2896" s="17">
        <v>3000</v>
      </c>
      <c r="G2896" s="17">
        <v>270000</v>
      </c>
      <c r="H2896" s="17">
        <v>267000</v>
      </c>
      <c r="I2896" s="18">
        <v>0.93</v>
      </c>
      <c r="J2896" s="14">
        <f t="shared" si="0"/>
        <v>89</v>
      </c>
      <c r="K2896" s="15" t="str">
        <f t="shared" si="1"/>
        <v>Exceeds Target</v>
      </c>
    </row>
    <row r="2897" spans="2:11" ht="15" customHeight="1">
      <c r="B2897" t="s">
        <v>512</v>
      </c>
      <c r="C2897" t="s">
        <v>3292</v>
      </c>
      <c r="D2897" t="s">
        <v>69</v>
      </c>
      <c r="E2897" t="s">
        <v>70</v>
      </c>
      <c r="F2897" s="17">
        <v>1000</v>
      </c>
      <c r="G2897" s="17">
        <v>35000</v>
      </c>
      <c r="H2897" s="17">
        <v>34000</v>
      </c>
      <c r="I2897" s="18">
        <v>0.42</v>
      </c>
      <c r="J2897" s="14">
        <f t="shared" si="0"/>
        <v>34</v>
      </c>
      <c r="K2897" s="15" t="str">
        <f t="shared" si="1"/>
        <v>Exceeds Target</v>
      </c>
    </row>
    <row r="2898" spans="2:11" ht="15" customHeight="1">
      <c r="B2898" t="s">
        <v>287</v>
      </c>
      <c r="C2898" t="s">
        <v>3293</v>
      </c>
      <c r="D2898" t="s">
        <v>80</v>
      </c>
      <c r="E2898" t="s">
        <v>27</v>
      </c>
      <c r="F2898" s="17">
        <v>1000</v>
      </c>
      <c r="G2898" s="17">
        <v>45000</v>
      </c>
      <c r="H2898" s="17">
        <v>44000</v>
      </c>
      <c r="I2898" s="18">
        <v>0.55000000000000004</v>
      </c>
      <c r="J2898" s="14">
        <f t="shared" si="0"/>
        <v>44</v>
      </c>
      <c r="K2898" s="15" t="str">
        <f t="shared" si="1"/>
        <v>Exceeds Target</v>
      </c>
    </row>
    <row r="2899" spans="2:11" ht="15" customHeight="1">
      <c r="B2899" t="s">
        <v>408</v>
      </c>
      <c r="C2899" t="s">
        <v>3294</v>
      </c>
      <c r="D2899" t="s">
        <v>26</v>
      </c>
      <c r="E2899" t="s">
        <v>27</v>
      </c>
      <c r="F2899" s="17">
        <v>5000</v>
      </c>
      <c r="G2899" s="17">
        <v>30000</v>
      </c>
      <c r="H2899" s="17">
        <v>25000</v>
      </c>
      <c r="I2899" s="18">
        <v>0.08</v>
      </c>
      <c r="J2899" s="14">
        <f t="shared" si="0"/>
        <v>5</v>
      </c>
      <c r="K2899" s="15" t="str">
        <f t="shared" si="1"/>
        <v>Exceeds Target</v>
      </c>
    </row>
    <row r="2900" spans="2:11" ht="15" customHeight="1">
      <c r="B2900" t="s">
        <v>103</v>
      </c>
      <c r="C2900" t="s">
        <v>3295</v>
      </c>
      <c r="D2900" t="s">
        <v>26</v>
      </c>
      <c r="E2900" t="s">
        <v>27</v>
      </c>
      <c r="F2900" s="17">
        <v>5000</v>
      </c>
      <c r="G2900" s="17">
        <v>90000</v>
      </c>
      <c r="H2900" s="17">
        <v>85000</v>
      </c>
      <c r="I2900" s="18">
        <v>0.15</v>
      </c>
      <c r="J2900" s="14">
        <f t="shared" si="0"/>
        <v>17</v>
      </c>
      <c r="K2900" s="15" t="str">
        <f t="shared" si="1"/>
        <v>Exceeds Target</v>
      </c>
    </row>
    <row r="2901" spans="2:11" ht="15" customHeight="1">
      <c r="B2901" t="s">
        <v>804</v>
      </c>
      <c r="C2901" t="s">
        <v>3296</v>
      </c>
      <c r="D2901" t="s">
        <v>69</v>
      </c>
      <c r="E2901" t="s">
        <v>70</v>
      </c>
      <c r="F2901" s="17">
        <v>1000</v>
      </c>
      <c r="G2901" s="17">
        <v>75000</v>
      </c>
      <c r="H2901" s="17">
        <v>74000</v>
      </c>
      <c r="I2901" s="18">
        <v>0.91</v>
      </c>
      <c r="J2901" s="14">
        <f t="shared" si="0"/>
        <v>74</v>
      </c>
      <c r="K2901" s="15" t="str">
        <f t="shared" si="1"/>
        <v>Exceeds Target</v>
      </c>
    </row>
    <row r="2902" spans="2:11" ht="15" customHeight="1">
      <c r="B2902" t="s">
        <v>137</v>
      </c>
      <c r="C2902" t="s">
        <v>3297</v>
      </c>
      <c r="D2902" t="s">
        <v>35</v>
      </c>
      <c r="E2902" t="s">
        <v>27</v>
      </c>
      <c r="F2902" s="17">
        <v>3000</v>
      </c>
      <c r="G2902" s="17">
        <v>210000</v>
      </c>
      <c r="H2902" s="17">
        <v>207000</v>
      </c>
      <c r="I2902" s="18">
        <v>0.4</v>
      </c>
      <c r="J2902" s="14">
        <f t="shared" si="0"/>
        <v>69</v>
      </c>
      <c r="K2902" s="15" t="str">
        <f t="shared" si="1"/>
        <v>Exceeds Target</v>
      </c>
    </row>
    <row r="2903" spans="2:11" ht="15" customHeight="1">
      <c r="B2903" t="s">
        <v>585</v>
      </c>
      <c r="C2903" t="s">
        <v>3298</v>
      </c>
      <c r="D2903" t="s">
        <v>69</v>
      </c>
      <c r="E2903" t="s">
        <v>70</v>
      </c>
      <c r="F2903" s="17">
        <v>1000</v>
      </c>
      <c r="G2903" s="17">
        <v>35000</v>
      </c>
      <c r="H2903" s="17">
        <v>34000</v>
      </c>
      <c r="I2903" s="18">
        <v>0.35</v>
      </c>
      <c r="J2903" s="14">
        <f t="shared" si="0"/>
        <v>34</v>
      </c>
      <c r="K2903" s="15" t="str">
        <f t="shared" si="1"/>
        <v>Exceeds Target</v>
      </c>
    </row>
    <row r="2904" spans="2:11" ht="15" customHeight="1">
      <c r="B2904" t="s">
        <v>207</v>
      </c>
      <c r="C2904" t="s">
        <v>3299</v>
      </c>
      <c r="D2904" t="s">
        <v>35</v>
      </c>
      <c r="E2904" t="s">
        <v>27</v>
      </c>
      <c r="F2904" s="17">
        <v>3000</v>
      </c>
      <c r="G2904" s="17">
        <v>240000</v>
      </c>
      <c r="H2904" s="17">
        <v>237000</v>
      </c>
      <c r="I2904" s="18">
        <v>0.56999999999999995</v>
      </c>
      <c r="J2904" s="14">
        <f t="shared" si="0"/>
        <v>79</v>
      </c>
      <c r="K2904" s="15" t="str">
        <f t="shared" si="1"/>
        <v>Exceeds Target</v>
      </c>
    </row>
    <row r="2905" spans="2:11" ht="15" customHeight="1">
      <c r="B2905" t="s">
        <v>923</v>
      </c>
      <c r="C2905" t="s">
        <v>3300</v>
      </c>
      <c r="D2905" t="s">
        <v>26</v>
      </c>
      <c r="E2905" t="s">
        <v>27</v>
      </c>
      <c r="F2905" s="17">
        <v>5000</v>
      </c>
      <c r="G2905" s="17">
        <v>90000</v>
      </c>
      <c r="H2905" s="17">
        <v>85000</v>
      </c>
      <c r="I2905" s="18">
        <v>0.19</v>
      </c>
      <c r="J2905" s="14">
        <f t="shared" si="0"/>
        <v>17</v>
      </c>
      <c r="K2905" s="15" t="str">
        <f t="shared" si="1"/>
        <v>Exceeds Target</v>
      </c>
    </row>
    <row r="2906" spans="2:11" ht="15" customHeight="1">
      <c r="B2906" t="s">
        <v>343</v>
      </c>
      <c r="C2906" t="s">
        <v>3301</v>
      </c>
      <c r="D2906" t="s">
        <v>35</v>
      </c>
      <c r="E2906" t="s">
        <v>27</v>
      </c>
      <c r="F2906" s="17">
        <v>3000</v>
      </c>
      <c r="G2906" s="17">
        <v>160000</v>
      </c>
      <c r="H2906" s="17">
        <v>157000</v>
      </c>
      <c r="I2906" s="18">
        <v>0.94</v>
      </c>
      <c r="J2906" s="14">
        <f t="shared" si="0"/>
        <v>52.333333333333336</v>
      </c>
      <c r="K2906" s="15" t="str">
        <f t="shared" si="1"/>
        <v>Exceeds Target</v>
      </c>
    </row>
    <row r="2907" spans="2:11" ht="15" customHeight="1">
      <c r="B2907" t="s">
        <v>446</v>
      </c>
      <c r="C2907" t="s">
        <v>3302</v>
      </c>
      <c r="D2907" t="s">
        <v>26</v>
      </c>
      <c r="E2907" t="s">
        <v>27</v>
      </c>
      <c r="F2907" s="17">
        <v>5000</v>
      </c>
      <c r="G2907" s="17">
        <v>60000</v>
      </c>
      <c r="H2907" s="17">
        <v>55000</v>
      </c>
      <c r="I2907" s="18">
        <v>0.13</v>
      </c>
      <c r="J2907" s="14">
        <f t="shared" si="0"/>
        <v>11</v>
      </c>
      <c r="K2907" s="15" t="str">
        <f t="shared" si="1"/>
        <v>Exceeds Target</v>
      </c>
    </row>
    <row r="2908" spans="2:11" ht="15" customHeight="1">
      <c r="B2908" t="s">
        <v>1247</v>
      </c>
      <c r="C2908" t="s">
        <v>3303</v>
      </c>
      <c r="D2908" t="s">
        <v>35</v>
      </c>
      <c r="E2908" t="s">
        <v>27</v>
      </c>
      <c r="F2908" s="17">
        <v>3000</v>
      </c>
      <c r="G2908" s="17">
        <v>280000</v>
      </c>
      <c r="H2908" s="17">
        <v>277000</v>
      </c>
      <c r="I2908" s="18">
        <v>0.74</v>
      </c>
      <c r="J2908" s="14">
        <f t="shared" si="0"/>
        <v>92.333333333333329</v>
      </c>
      <c r="K2908" s="15" t="str">
        <f t="shared" si="1"/>
        <v>Exceeds Target</v>
      </c>
    </row>
    <row r="2909" spans="2:11" ht="15" customHeight="1">
      <c r="B2909" t="s">
        <v>772</v>
      </c>
      <c r="C2909" t="s">
        <v>3304</v>
      </c>
      <c r="D2909" t="s">
        <v>80</v>
      </c>
      <c r="E2909" t="s">
        <v>27</v>
      </c>
      <c r="F2909" s="17">
        <v>1000</v>
      </c>
      <c r="G2909" s="17">
        <v>45000</v>
      </c>
      <c r="H2909" s="17">
        <v>44000</v>
      </c>
      <c r="I2909" s="18">
        <v>0.54</v>
      </c>
      <c r="J2909" s="14">
        <f t="shared" si="0"/>
        <v>44</v>
      </c>
      <c r="K2909" s="15" t="str">
        <f t="shared" si="1"/>
        <v>Exceeds Target</v>
      </c>
    </row>
    <row r="2910" spans="2:11" ht="15" customHeight="1">
      <c r="B2910" t="s">
        <v>765</v>
      </c>
      <c r="C2910" t="s">
        <v>3305</v>
      </c>
      <c r="D2910" t="s">
        <v>35</v>
      </c>
      <c r="E2910" t="s">
        <v>27</v>
      </c>
      <c r="F2910" s="17">
        <v>3000</v>
      </c>
      <c r="G2910" s="17">
        <v>110000</v>
      </c>
      <c r="H2910" s="17">
        <v>107000</v>
      </c>
      <c r="I2910" s="18">
        <v>0.43</v>
      </c>
      <c r="J2910" s="14">
        <f t="shared" si="0"/>
        <v>35.666666666666664</v>
      </c>
      <c r="K2910" s="15" t="str">
        <f t="shared" si="1"/>
        <v>Exceeds Target</v>
      </c>
    </row>
    <row r="2911" spans="2:11" ht="15" customHeight="1">
      <c r="B2911" t="s">
        <v>787</v>
      </c>
      <c r="C2911" t="s">
        <v>3306</v>
      </c>
      <c r="D2911" t="s">
        <v>35</v>
      </c>
      <c r="E2911" t="s">
        <v>27</v>
      </c>
      <c r="F2911" s="17">
        <v>3000</v>
      </c>
      <c r="G2911" s="17">
        <v>60000</v>
      </c>
      <c r="H2911" s="17">
        <v>57000</v>
      </c>
      <c r="I2911" s="18">
        <v>0.81</v>
      </c>
      <c r="J2911" s="14">
        <f t="shared" si="0"/>
        <v>19</v>
      </c>
      <c r="K2911" s="15" t="str">
        <f t="shared" si="1"/>
        <v>Exceeds Target</v>
      </c>
    </row>
    <row r="2912" spans="2:11" ht="15" customHeight="1">
      <c r="B2912" t="s">
        <v>559</v>
      </c>
      <c r="C2912" t="s">
        <v>3307</v>
      </c>
      <c r="D2912" t="s">
        <v>26</v>
      </c>
      <c r="E2912" t="s">
        <v>27</v>
      </c>
      <c r="F2912" s="17">
        <v>5000</v>
      </c>
      <c r="G2912" s="17">
        <v>90000</v>
      </c>
      <c r="H2912" s="17">
        <v>85000</v>
      </c>
      <c r="I2912" s="18">
        <v>0.08</v>
      </c>
      <c r="J2912" s="14">
        <f t="shared" si="0"/>
        <v>17</v>
      </c>
      <c r="K2912" s="15" t="str">
        <f t="shared" si="1"/>
        <v>Exceeds Target</v>
      </c>
    </row>
    <row r="2913" spans="2:11" ht="15" customHeight="1">
      <c r="B2913" t="s">
        <v>103</v>
      </c>
      <c r="C2913" t="s">
        <v>3308</v>
      </c>
      <c r="D2913" t="s">
        <v>35</v>
      </c>
      <c r="E2913" t="s">
        <v>27</v>
      </c>
      <c r="F2913" s="17">
        <v>3000</v>
      </c>
      <c r="G2913" s="17">
        <v>270000</v>
      </c>
      <c r="H2913" s="17">
        <v>267000</v>
      </c>
      <c r="I2913" s="18">
        <v>0.68</v>
      </c>
      <c r="J2913" s="14">
        <f t="shared" si="0"/>
        <v>89</v>
      </c>
      <c r="K2913" s="15" t="str">
        <f t="shared" si="1"/>
        <v>Exceeds Target</v>
      </c>
    </row>
    <row r="2914" spans="2:11" ht="15" customHeight="1">
      <c r="B2914" t="s">
        <v>169</v>
      </c>
      <c r="C2914" t="s">
        <v>3309</v>
      </c>
      <c r="D2914" t="s">
        <v>80</v>
      </c>
      <c r="E2914" t="s">
        <v>27</v>
      </c>
      <c r="F2914" s="17">
        <v>1000</v>
      </c>
      <c r="G2914" s="17">
        <v>51000</v>
      </c>
      <c r="H2914" s="17">
        <v>50000</v>
      </c>
      <c r="I2914" s="18">
        <v>0.72</v>
      </c>
      <c r="J2914" s="14">
        <f t="shared" si="0"/>
        <v>50</v>
      </c>
      <c r="K2914" s="15" t="str">
        <f t="shared" si="1"/>
        <v>Exceeds Target</v>
      </c>
    </row>
    <row r="2915" spans="2:11" ht="15" customHeight="1">
      <c r="B2915" t="s">
        <v>43</v>
      </c>
      <c r="C2915" t="s">
        <v>3310</v>
      </c>
      <c r="D2915" t="s">
        <v>80</v>
      </c>
      <c r="E2915" t="s">
        <v>27</v>
      </c>
      <c r="F2915" s="17">
        <v>1000</v>
      </c>
      <c r="G2915" s="17">
        <v>48000</v>
      </c>
      <c r="H2915" s="17">
        <v>47000</v>
      </c>
      <c r="I2915" s="18">
        <v>0.78</v>
      </c>
      <c r="J2915" s="14">
        <f t="shared" si="0"/>
        <v>47</v>
      </c>
      <c r="K2915" s="15" t="str">
        <f t="shared" si="1"/>
        <v>Exceeds Target</v>
      </c>
    </row>
    <row r="2916" spans="2:11" ht="15" customHeight="1">
      <c r="B2916" t="s">
        <v>40</v>
      </c>
      <c r="C2916" t="s">
        <v>3311</v>
      </c>
      <c r="D2916" t="s">
        <v>32</v>
      </c>
      <c r="E2916" t="s">
        <v>27</v>
      </c>
      <c r="F2916" s="17">
        <v>1500</v>
      </c>
      <c r="G2916" s="17">
        <v>54000</v>
      </c>
      <c r="H2916" s="17">
        <v>52500</v>
      </c>
      <c r="I2916" s="18">
        <v>0.59</v>
      </c>
      <c r="J2916" s="14">
        <f t="shared" si="0"/>
        <v>35</v>
      </c>
      <c r="K2916" s="15" t="str">
        <f t="shared" si="1"/>
        <v>Exceeds Target</v>
      </c>
    </row>
    <row r="2917" spans="2:11" ht="15" customHeight="1">
      <c r="B2917" t="s">
        <v>335</v>
      </c>
      <c r="C2917" t="s">
        <v>3312</v>
      </c>
      <c r="D2917" t="s">
        <v>80</v>
      </c>
      <c r="E2917" t="s">
        <v>27</v>
      </c>
      <c r="F2917" s="17">
        <v>1000</v>
      </c>
      <c r="G2917" s="17">
        <v>81000</v>
      </c>
      <c r="H2917" s="17">
        <v>80000</v>
      </c>
      <c r="I2917" s="18">
        <v>0.76</v>
      </c>
      <c r="J2917" s="14">
        <f t="shared" si="0"/>
        <v>80</v>
      </c>
      <c r="K2917" s="15" t="str">
        <f t="shared" si="1"/>
        <v>Exceeds Target</v>
      </c>
    </row>
    <row r="2918" spans="2:11" ht="15" customHeight="1">
      <c r="B2918" t="s">
        <v>313</v>
      </c>
      <c r="C2918" t="s">
        <v>3313</v>
      </c>
      <c r="D2918" t="s">
        <v>32</v>
      </c>
      <c r="E2918" t="s">
        <v>27</v>
      </c>
      <c r="F2918" s="17">
        <v>1500</v>
      </c>
      <c r="G2918" s="17">
        <v>16000</v>
      </c>
      <c r="H2918" s="17">
        <v>14500</v>
      </c>
      <c r="I2918" s="18">
        <v>0.46</v>
      </c>
      <c r="J2918" s="14">
        <f t="shared" si="0"/>
        <v>9.6666666666666661</v>
      </c>
      <c r="K2918" s="15" t="str">
        <f t="shared" si="1"/>
        <v>Exceeds Target</v>
      </c>
    </row>
    <row r="2919" spans="2:11" ht="15" customHeight="1">
      <c r="B2919" t="s">
        <v>792</v>
      </c>
      <c r="C2919" t="s">
        <v>3314</v>
      </c>
      <c r="D2919" t="s">
        <v>80</v>
      </c>
      <c r="E2919" t="s">
        <v>27</v>
      </c>
      <c r="F2919" s="17">
        <v>1000</v>
      </c>
      <c r="G2919" s="17">
        <v>69000</v>
      </c>
      <c r="H2919" s="17">
        <v>68000</v>
      </c>
      <c r="I2919" s="18">
        <v>0.74</v>
      </c>
      <c r="J2919" s="14">
        <f t="shared" si="0"/>
        <v>68</v>
      </c>
      <c r="K2919" s="15" t="str">
        <f t="shared" si="1"/>
        <v>Exceeds Target</v>
      </c>
    </row>
    <row r="2920" spans="2:11" ht="15" customHeight="1">
      <c r="B2920" t="s">
        <v>85</v>
      </c>
      <c r="C2920" t="s">
        <v>3315</v>
      </c>
      <c r="D2920" t="s">
        <v>35</v>
      </c>
      <c r="E2920" t="s">
        <v>27</v>
      </c>
      <c r="F2920" s="17">
        <v>3000</v>
      </c>
      <c r="G2920" s="17">
        <v>290000</v>
      </c>
      <c r="H2920" s="17">
        <v>287000</v>
      </c>
      <c r="I2920" s="18">
        <v>0.75</v>
      </c>
      <c r="J2920" s="14">
        <f t="shared" si="0"/>
        <v>95.666666666666671</v>
      </c>
      <c r="K2920" s="15" t="str">
        <f t="shared" si="1"/>
        <v>Exceeds Target</v>
      </c>
    </row>
    <row r="2921" spans="2:11" ht="15" customHeight="1">
      <c r="B2921" t="s">
        <v>416</v>
      </c>
      <c r="C2921" t="s">
        <v>3316</v>
      </c>
      <c r="D2921" t="s">
        <v>35</v>
      </c>
      <c r="E2921" t="s">
        <v>27</v>
      </c>
      <c r="F2921" s="17">
        <v>3000</v>
      </c>
      <c r="G2921" s="17">
        <v>60000</v>
      </c>
      <c r="H2921" s="17">
        <v>57000</v>
      </c>
      <c r="I2921" s="18">
        <v>0.28000000000000003</v>
      </c>
      <c r="J2921" s="14">
        <f t="shared" si="0"/>
        <v>19</v>
      </c>
      <c r="K2921" s="15" t="str">
        <f t="shared" si="1"/>
        <v>Exceeds Target</v>
      </c>
    </row>
    <row r="2922" spans="2:11" ht="15" customHeight="1">
      <c r="B2922" t="s">
        <v>625</v>
      </c>
      <c r="C2922" t="s">
        <v>3317</v>
      </c>
      <c r="D2922" t="s">
        <v>32</v>
      </c>
      <c r="E2922" t="s">
        <v>27</v>
      </c>
      <c r="F2922" s="17">
        <v>1500</v>
      </c>
      <c r="G2922" s="17">
        <v>34000</v>
      </c>
      <c r="H2922" s="17">
        <v>32500</v>
      </c>
      <c r="I2922" s="18">
        <v>0.82</v>
      </c>
      <c r="J2922" s="14">
        <f t="shared" si="0"/>
        <v>21.666666666666668</v>
      </c>
      <c r="K2922" s="15" t="str">
        <f t="shared" si="1"/>
        <v>Exceeds Target</v>
      </c>
    </row>
    <row r="2923" spans="2:11" ht="15" customHeight="1">
      <c r="B2923" t="s">
        <v>329</v>
      </c>
      <c r="C2923" t="s">
        <v>3318</v>
      </c>
      <c r="D2923" t="s">
        <v>26</v>
      </c>
      <c r="E2923" t="s">
        <v>27</v>
      </c>
      <c r="F2923" s="17">
        <v>5000</v>
      </c>
      <c r="G2923" s="17">
        <v>30000</v>
      </c>
      <c r="H2923" s="17">
        <v>25000</v>
      </c>
      <c r="I2923" s="18">
        <v>0.11</v>
      </c>
      <c r="J2923" s="14">
        <f t="shared" si="0"/>
        <v>5</v>
      </c>
      <c r="K2923" s="15" t="str">
        <f t="shared" si="1"/>
        <v>Exceeds Target</v>
      </c>
    </row>
    <row r="2924" spans="2:11" ht="15" customHeight="1">
      <c r="B2924" t="s">
        <v>234</v>
      </c>
      <c r="C2924" t="s">
        <v>3319</v>
      </c>
      <c r="D2924" t="s">
        <v>80</v>
      </c>
      <c r="E2924" t="s">
        <v>27</v>
      </c>
      <c r="F2924" s="17">
        <v>1000</v>
      </c>
      <c r="G2924" s="17">
        <v>72000</v>
      </c>
      <c r="H2924" s="17">
        <v>71000</v>
      </c>
      <c r="I2924" s="18">
        <v>0.98</v>
      </c>
      <c r="J2924" s="14">
        <f t="shared" si="0"/>
        <v>71</v>
      </c>
      <c r="K2924" s="15" t="str">
        <f t="shared" si="1"/>
        <v>Exceeds Target</v>
      </c>
    </row>
    <row r="2925" spans="2:11" ht="15" customHeight="1">
      <c r="B2925" t="s">
        <v>157</v>
      </c>
      <c r="C2925" t="s">
        <v>3320</v>
      </c>
      <c r="D2925" t="s">
        <v>32</v>
      </c>
      <c r="E2925" t="s">
        <v>27</v>
      </c>
      <c r="F2925" s="17">
        <v>1500</v>
      </c>
      <c r="G2925" s="17">
        <v>18000</v>
      </c>
      <c r="H2925" s="17">
        <v>16500</v>
      </c>
      <c r="I2925" s="18">
        <v>0.68</v>
      </c>
      <c r="J2925" s="14">
        <f t="shared" si="0"/>
        <v>11</v>
      </c>
      <c r="K2925" s="15" t="str">
        <f t="shared" si="1"/>
        <v>Exceeds Target</v>
      </c>
    </row>
    <row r="2926" spans="2:11" ht="15" customHeight="1">
      <c r="B2926" t="s">
        <v>364</v>
      </c>
      <c r="C2926" t="s">
        <v>3321</v>
      </c>
      <c r="D2926" t="s">
        <v>32</v>
      </c>
      <c r="E2926" t="s">
        <v>27</v>
      </c>
      <c r="F2926" s="17">
        <v>1500</v>
      </c>
      <c r="G2926" s="17">
        <v>22000</v>
      </c>
      <c r="H2926" s="17">
        <v>20500</v>
      </c>
      <c r="I2926" s="18">
        <v>0.71</v>
      </c>
      <c r="J2926" s="14">
        <f t="shared" si="0"/>
        <v>13.666666666666666</v>
      </c>
      <c r="K2926" s="15" t="str">
        <f t="shared" si="1"/>
        <v>Exceeds Target</v>
      </c>
    </row>
    <row r="2927" spans="2:11" ht="15" customHeight="1">
      <c r="B2927" t="s">
        <v>2985</v>
      </c>
      <c r="C2927" t="s">
        <v>3322</v>
      </c>
      <c r="D2927" t="s">
        <v>69</v>
      </c>
      <c r="E2927" t="s">
        <v>70</v>
      </c>
      <c r="F2927" s="17">
        <v>1000</v>
      </c>
      <c r="G2927" s="17">
        <v>85000</v>
      </c>
      <c r="H2927" s="17">
        <v>84000</v>
      </c>
      <c r="I2927" s="18">
        <v>0.94</v>
      </c>
      <c r="J2927" s="14">
        <f t="shared" si="0"/>
        <v>84</v>
      </c>
      <c r="K2927" s="15" t="str">
        <f t="shared" si="1"/>
        <v>Exceeds Target</v>
      </c>
    </row>
    <row r="2928" spans="2:11" ht="15" customHeight="1">
      <c r="B2928" t="s">
        <v>303</v>
      </c>
      <c r="C2928" t="s">
        <v>3323</v>
      </c>
      <c r="D2928" t="s">
        <v>80</v>
      </c>
      <c r="E2928" t="s">
        <v>27</v>
      </c>
      <c r="F2928" s="17">
        <v>1000</v>
      </c>
      <c r="G2928" s="17">
        <v>48000</v>
      </c>
      <c r="H2928" s="17">
        <v>47000</v>
      </c>
      <c r="I2928" s="18">
        <v>0.82</v>
      </c>
      <c r="J2928" s="14">
        <f t="shared" si="0"/>
        <v>47</v>
      </c>
      <c r="K2928" s="15" t="str">
        <f t="shared" si="1"/>
        <v>Exceeds Target</v>
      </c>
    </row>
    <row r="2929" spans="2:11" ht="15" customHeight="1">
      <c r="B2929" t="s">
        <v>195</v>
      </c>
      <c r="C2929" t="s">
        <v>3324</v>
      </c>
      <c r="D2929" t="s">
        <v>26</v>
      </c>
      <c r="E2929" t="s">
        <v>27</v>
      </c>
      <c r="F2929" s="17">
        <v>5000</v>
      </c>
      <c r="G2929" s="17">
        <v>60000</v>
      </c>
      <c r="H2929" s="17">
        <v>55000</v>
      </c>
      <c r="I2929" s="18">
        <v>0.18</v>
      </c>
      <c r="J2929" s="14">
        <f t="shared" si="0"/>
        <v>11</v>
      </c>
      <c r="K2929" s="15" t="str">
        <f t="shared" si="1"/>
        <v>Exceeds Target</v>
      </c>
    </row>
    <row r="2930" spans="2:11" ht="15" customHeight="1">
      <c r="B2930" t="s">
        <v>517</v>
      </c>
      <c r="C2930" t="s">
        <v>3325</v>
      </c>
      <c r="D2930" t="s">
        <v>80</v>
      </c>
      <c r="E2930" t="s">
        <v>27</v>
      </c>
      <c r="F2930" s="17">
        <v>1000</v>
      </c>
      <c r="G2930" s="17">
        <v>75000</v>
      </c>
      <c r="H2930" s="17">
        <v>74000</v>
      </c>
      <c r="I2930" s="18">
        <v>0.53</v>
      </c>
      <c r="J2930" s="14">
        <f t="shared" si="0"/>
        <v>74</v>
      </c>
      <c r="K2930" s="15" t="str">
        <f t="shared" si="1"/>
        <v>Exceeds Target</v>
      </c>
    </row>
    <row r="2931" spans="2:11" ht="15" customHeight="1">
      <c r="B2931" t="s">
        <v>443</v>
      </c>
      <c r="C2931" t="s">
        <v>3326</v>
      </c>
      <c r="D2931" t="s">
        <v>26</v>
      </c>
      <c r="E2931" t="s">
        <v>27</v>
      </c>
      <c r="F2931" s="17">
        <v>5000</v>
      </c>
      <c r="G2931" s="17">
        <v>30000</v>
      </c>
      <c r="H2931" s="17">
        <v>25000</v>
      </c>
      <c r="I2931" s="18">
        <v>0.24</v>
      </c>
      <c r="J2931" s="14">
        <f t="shared" si="0"/>
        <v>5</v>
      </c>
      <c r="K2931" s="15" t="str">
        <f t="shared" si="1"/>
        <v>Exceeds Target</v>
      </c>
    </row>
    <row r="2932" spans="2:11" ht="15" customHeight="1">
      <c r="B2932" t="s">
        <v>91</v>
      </c>
      <c r="C2932" t="s">
        <v>3327</v>
      </c>
      <c r="D2932" t="s">
        <v>26</v>
      </c>
      <c r="E2932" t="s">
        <v>27</v>
      </c>
      <c r="F2932" s="17">
        <v>5000</v>
      </c>
      <c r="G2932" s="17">
        <v>150000</v>
      </c>
      <c r="H2932" s="17">
        <v>145000</v>
      </c>
      <c r="I2932" s="18">
        <v>0.28999999999999998</v>
      </c>
      <c r="J2932" s="14">
        <f t="shared" si="0"/>
        <v>29</v>
      </c>
      <c r="K2932" s="15" t="str">
        <f t="shared" si="1"/>
        <v>Exceeds Target</v>
      </c>
    </row>
    <row r="2933" spans="2:11" ht="15" customHeight="1">
      <c r="B2933" t="s">
        <v>1059</v>
      </c>
      <c r="C2933" t="s">
        <v>3328</v>
      </c>
      <c r="D2933" t="s">
        <v>80</v>
      </c>
      <c r="E2933" t="s">
        <v>27</v>
      </c>
      <c r="F2933" s="17">
        <v>1000</v>
      </c>
      <c r="G2933" s="17">
        <v>48000</v>
      </c>
      <c r="H2933" s="17">
        <v>47000</v>
      </c>
      <c r="I2933" s="18">
        <v>0.68</v>
      </c>
      <c r="J2933" s="14">
        <f t="shared" si="0"/>
        <v>47</v>
      </c>
      <c r="K2933" s="15" t="str">
        <f t="shared" si="1"/>
        <v>Exceeds Target</v>
      </c>
    </row>
    <row r="2934" spans="2:11" ht="15" customHeight="1">
      <c r="B2934" t="s">
        <v>325</v>
      </c>
      <c r="C2934" t="s">
        <v>3329</v>
      </c>
      <c r="D2934" t="s">
        <v>32</v>
      </c>
      <c r="E2934" t="s">
        <v>27</v>
      </c>
      <c r="F2934" s="17">
        <v>1500</v>
      </c>
      <c r="G2934" s="17">
        <v>28000</v>
      </c>
      <c r="H2934" s="17">
        <v>26500</v>
      </c>
      <c r="I2934" s="18">
        <v>0.46</v>
      </c>
      <c r="J2934" s="14">
        <f t="shared" si="0"/>
        <v>17.666666666666668</v>
      </c>
      <c r="K2934" s="15" t="str">
        <f t="shared" si="1"/>
        <v>Exceeds Target</v>
      </c>
    </row>
    <row r="2935" spans="2:11" ht="15" customHeight="1">
      <c r="B2935" t="s">
        <v>376</v>
      </c>
      <c r="C2935" t="s">
        <v>3330</v>
      </c>
      <c r="D2935" t="s">
        <v>32</v>
      </c>
      <c r="E2935" t="s">
        <v>27</v>
      </c>
      <c r="F2935" s="17">
        <v>1500</v>
      </c>
      <c r="G2935" s="17">
        <v>42000</v>
      </c>
      <c r="H2935" s="17">
        <v>40500</v>
      </c>
      <c r="I2935" s="18">
        <v>0.7</v>
      </c>
      <c r="J2935" s="14">
        <f t="shared" si="0"/>
        <v>27</v>
      </c>
      <c r="K2935" s="15" t="str">
        <f t="shared" si="1"/>
        <v>Exceeds Target</v>
      </c>
    </row>
    <row r="2936" spans="2:11" ht="15" customHeight="1">
      <c r="B2936" t="s">
        <v>175</v>
      </c>
      <c r="C2936" t="s">
        <v>3331</v>
      </c>
      <c r="D2936" t="s">
        <v>35</v>
      </c>
      <c r="E2936" t="s">
        <v>27</v>
      </c>
      <c r="F2936" s="17">
        <v>3000</v>
      </c>
      <c r="G2936" s="17">
        <v>180000</v>
      </c>
      <c r="H2936" s="17">
        <v>177000</v>
      </c>
      <c r="I2936" s="18">
        <v>0.18</v>
      </c>
      <c r="J2936" s="14">
        <f t="shared" si="0"/>
        <v>59</v>
      </c>
      <c r="K2936" s="15" t="str">
        <f t="shared" si="1"/>
        <v>Exceeds Target</v>
      </c>
    </row>
    <row r="2937" spans="2:11" ht="15" customHeight="1">
      <c r="B2937" t="s">
        <v>1477</v>
      </c>
      <c r="C2937" t="s">
        <v>3332</v>
      </c>
      <c r="D2937" t="s">
        <v>69</v>
      </c>
      <c r="E2937" t="s">
        <v>70</v>
      </c>
      <c r="F2937" s="17">
        <v>1000</v>
      </c>
      <c r="G2937" s="17">
        <v>30000</v>
      </c>
      <c r="H2937" s="17">
        <v>29000</v>
      </c>
      <c r="I2937" s="18">
        <v>0.94</v>
      </c>
      <c r="J2937" s="14">
        <f t="shared" si="0"/>
        <v>29</v>
      </c>
      <c r="K2937" s="15" t="str">
        <f t="shared" si="1"/>
        <v>Exceeds Target</v>
      </c>
    </row>
    <row r="2938" spans="2:11" ht="15" customHeight="1">
      <c r="B2938" t="s">
        <v>701</v>
      </c>
      <c r="C2938" t="s">
        <v>3333</v>
      </c>
      <c r="D2938" t="s">
        <v>35</v>
      </c>
      <c r="E2938" t="s">
        <v>27</v>
      </c>
      <c r="F2938" s="17">
        <v>3000</v>
      </c>
      <c r="G2938" s="17">
        <v>150000</v>
      </c>
      <c r="H2938" s="17">
        <v>147000</v>
      </c>
      <c r="I2938" s="18">
        <v>0.83</v>
      </c>
      <c r="J2938" s="14">
        <f t="shared" si="0"/>
        <v>49</v>
      </c>
      <c r="K2938" s="15" t="str">
        <f t="shared" si="1"/>
        <v>Exceeds Target</v>
      </c>
    </row>
    <row r="2939" spans="2:11" ht="15" customHeight="1">
      <c r="B2939" t="s">
        <v>837</v>
      </c>
      <c r="C2939" t="s">
        <v>3334</v>
      </c>
      <c r="D2939" t="s">
        <v>35</v>
      </c>
      <c r="E2939" t="s">
        <v>27</v>
      </c>
      <c r="F2939" s="17">
        <v>3000</v>
      </c>
      <c r="G2939" s="17">
        <v>250000</v>
      </c>
      <c r="H2939" s="17">
        <v>247000</v>
      </c>
      <c r="I2939" s="18">
        <v>0.54</v>
      </c>
      <c r="J2939" s="14">
        <f t="shared" si="0"/>
        <v>82.333333333333329</v>
      </c>
      <c r="K2939" s="15" t="str">
        <f t="shared" si="1"/>
        <v>Exceeds Target</v>
      </c>
    </row>
    <row r="2940" spans="2:11" ht="15" customHeight="1">
      <c r="B2940" t="s">
        <v>356</v>
      </c>
      <c r="C2940" t="s">
        <v>3335</v>
      </c>
      <c r="D2940" t="s">
        <v>26</v>
      </c>
      <c r="E2940" t="s">
        <v>27</v>
      </c>
      <c r="F2940" s="17">
        <v>5000</v>
      </c>
      <c r="G2940" s="17">
        <v>90000</v>
      </c>
      <c r="H2940" s="17">
        <v>85000</v>
      </c>
      <c r="I2940" s="18">
        <v>0.25</v>
      </c>
      <c r="J2940" s="14">
        <f t="shared" si="0"/>
        <v>17</v>
      </c>
      <c r="K2940" s="15" t="str">
        <f t="shared" si="1"/>
        <v>Exceeds Target</v>
      </c>
    </row>
    <row r="2941" spans="2:11" ht="15" customHeight="1">
      <c r="B2941" t="s">
        <v>89</v>
      </c>
      <c r="C2941" t="s">
        <v>3336</v>
      </c>
      <c r="D2941" t="s">
        <v>35</v>
      </c>
      <c r="E2941" t="s">
        <v>27</v>
      </c>
      <c r="F2941" s="17">
        <v>3000</v>
      </c>
      <c r="G2941" s="17">
        <v>110000</v>
      </c>
      <c r="H2941" s="17">
        <v>107000</v>
      </c>
      <c r="I2941" s="18">
        <v>0.34</v>
      </c>
      <c r="J2941" s="14">
        <f t="shared" si="0"/>
        <v>35.666666666666664</v>
      </c>
      <c r="K2941" s="15" t="str">
        <f t="shared" si="1"/>
        <v>Exceeds Target</v>
      </c>
    </row>
    <row r="2942" spans="2:11" ht="15" customHeight="1">
      <c r="B2942" t="s">
        <v>1018</v>
      </c>
      <c r="C2942" t="s">
        <v>3337</v>
      </c>
      <c r="D2942" t="s">
        <v>69</v>
      </c>
      <c r="E2942" t="s">
        <v>70</v>
      </c>
      <c r="F2942" s="17">
        <v>1000</v>
      </c>
      <c r="G2942" s="17">
        <v>105000</v>
      </c>
      <c r="H2942" s="17">
        <v>104000</v>
      </c>
      <c r="I2942" s="18">
        <v>0.88</v>
      </c>
      <c r="J2942" s="14">
        <f t="shared" si="0"/>
        <v>104</v>
      </c>
      <c r="K2942" s="15" t="str">
        <f t="shared" si="1"/>
        <v>Exceeds Target</v>
      </c>
    </row>
    <row r="2943" spans="2:11" ht="15" customHeight="1">
      <c r="B2943" t="s">
        <v>307</v>
      </c>
      <c r="C2943" t="s">
        <v>3338</v>
      </c>
      <c r="D2943" t="s">
        <v>69</v>
      </c>
      <c r="E2943" t="s">
        <v>70</v>
      </c>
      <c r="F2943" s="17">
        <v>1000</v>
      </c>
      <c r="G2943" s="17">
        <v>65000</v>
      </c>
      <c r="H2943" s="17">
        <v>64000</v>
      </c>
      <c r="I2943" s="18">
        <v>0.55000000000000004</v>
      </c>
      <c r="J2943" s="14">
        <f t="shared" si="0"/>
        <v>64</v>
      </c>
      <c r="K2943" s="15" t="str">
        <f t="shared" si="1"/>
        <v>Exceeds Target</v>
      </c>
    </row>
    <row r="2944" spans="2:11" ht="15" customHeight="1">
      <c r="B2944" t="s">
        <v>40</v>
      </c>
      <c r="C2944" t="s">
        <v>3339</v>
      </c>
      <c r="D2944" t="s">
        <v>32</v>
      </c>
      <c r="E2944" t="s">
        <v>27</v>
      </c>
      <c r="F2944" s="17">
        <v>1500</v>
      </c>
      <c r="G2944" s="17">
        <v>28000</v>
      </c>
      <c r="H2944" s="17">
        <v>26500</v>
      </c>
      <c r="I2944" s="18">
        <v>0.44</v>
      </c>
      <c r="J2944" s="14">
        <f t="shared" si="0"/>
        <v>17.666666666666668</v>
      </c>
      <c r="K2944" s="15" t="str">
        <f t="shared" si="1"/>
        <v>Exceeds Target</v>
      </c>
    </row>
    <row r="2945" spans="2:11" ht="15" customHeight="1">
      <c r="B2945" t="s">
        <v>1055</v>
      </c>
      <c r="C2945" t="s">
        <v>3340</v>
      </c>
      <c r="D2945" t="s">
        <v>35</v>
      </c>
      <c r="E2945" t="s">
        <v>27</v>
      </c>
      <c r="F2945" s="17">
        <v>3000</v>
      </c>
      <c r="G2945" s="17">
        <v>90000</v>
      </c>
      <c r="H2945" s="17">
        <v>87000</v>
      </c>
      <c r="I2945" s="18">
        <v>0.83</v>
      </c>
      <c r="J2945" s="14">
        <f t="shared" si="0"/>
        <v>29</v>
      </c>
      <c r="K2945" s="15" t="str">
        <f t="shared" si="1"/>
        <v>Exceeds Target</v>
      </c>
    </row>
    <row r="2946" spans="2:11" ht="15" customHeight="1">
      <c r="B2946" t="s">
        <v>315</v>
      </c>
      <c r="C2946" t="s">
        <v>3341</v>
      </c>
      <c r="D2946" t="s">
        <v>80</v>
      </c>
      <c r="E2946" t="s">
        <v>27</v>
      </c>
      <c r="F2946" s="17">
        <v>1000</v>
      </c>
      <c r="G2946" s="17">
        <v>108000</v>
      </c>
      <c r="H2946" s="17">
        <v>107000</v>
      </c>
      <c r="I2946" s="18">
        <v>0.86</v>
      </c>
      <c r="J2946" s="14">
        <f t="shared" si="0"/>
        <v>107</v>
      </c>
      <c r="K2946" s="15" t="str">
        <f t="shared" si="1"/>
        <v>Exceeds Target</v>
      </c>
    </row>
    <row r="2947" spans="2:11" ht="15" customHeight="1">
      <c r="B2947" t="s">
        <v>1841</v>
      </c>
      <c r="C2947" t="s">
        <v>3342</v>
      </c>
      <c r="D2947" t="s">
        <v>32</v>
      </c>
      <c r="E2947" t="s">
        <v>27</v>
      </c>
      <c r="F2947" s="17">
        <v>1500</v>
      </c>
      <c r="G2947" s="17">
        <v>32000</v>
      </c>
      <c r="H2947" s="17">
        <v>30500</v>
      </c>
      <c r="I2947" s="18">
        <v>0.89</v>
      </c>
      <c r="J2947" s="14">
        <f t="shared" si="0"/>
        <v>20.333333333333332</v>
      </c>
      <c r="K2947" s="15" t="str">
        <f t="shared" si="1"/>
        <v>Exceeds Target</v>
      </c>
    </row>
    <row r="2948" spans="2:11" ht="15" customHeight="1">
      <c r="B2948" t="s">
        <v>1059</v>
      </c>
      <c r="C2948" t="s">
        <v>3343</v>
      </c>
      <c r="D2948" t="s">
        <v>32</v>
      </c>
      <c r="E2948" t="s">
        <v>27</v>
      </c>
      <c r="F2948" s="17">
        <v>1500</v>
      </c>
      <c r="G2948" s="17">
        <v>38000</v>
      </c>
      <c r="H2948" s="17">
        <v>36500</v>
      </c>
      <c r="I2948" s="18">
        <v>0.4</v>
      </c>
      <c r="J2948" s="14">
        <f t="shared" si="0"/>
        <v>24.333333333333332</v>
      </c>
      <c r="K2948" s="15" t="str">
        <f t="shared" si="1"/>
        <v>Exceeds Target</v>
      </c>
    </row>
    <row r="2949" spans="2:11" ht="15" customHeight="1">
      <c r="B2949" t="s">
        <v>1644</v>
      </c>
      <c r="C2949" t="s">
        <v>3344</v>
      </c>
      <c r="D2949" t="s">
        <v>69</v>
      </c>
      <c r="E2949" t="s">
        <v>70</v>
      </c>
      <c r="F2949" s="17">
        <v>1000</v>
      </c>
      <c r="G2949" s="17">
        <v>80000</v>
      </c>
      <c r="H2949" s="17">
        <v>79000</v>
      </c>
      <c r="I2949" s="18">
        <v>0.52</v>
      </c>
      <c r="J2949" s="14">
        <f t="shared" si="0"/>
        <v>79</v>
      </c>
      <c r="K2949" s="15" t="str">
        <f t="shared" si="1"/>
        <v>Exceeds Target</v>
      </c>
    </row>
    <row r="2950" spans="2:11" ht="15" customHeight="1">
      <c r="B2950" t="s">
        <v>428</v>
      </c>
      <c r="C2950" t="s">
        <v>3345</v>
      </c>
      <c r="D2950" t="s">
        <v>69</v>
      </c>
      <c r="E2950" t="s">
        <v>70</v>
      </c>
      <c r="F2950" s="17">
        <v>1000</v>
      </c>
      <c r="G2950" s="17">
        <v>30000</v>
      </c>
      <c r="H2950" s="17">
        <v>29000</v>
      </c>
      <c r="I2950" s="18">
        <v>0.23</v>
      </c>
      <c r="J2950" s="14">
        <f t="shared" si="0"/>
        <v>29</v>
      </c>
      <c r="K2950" s="15" t="str">
        <f t="shared" si="1"/>
        <v>Exceeds Target</v>
      </c>
    </row>
    <row r="2951" spans="2:11" ht="15" customHeight="1">
      <c r="B2951" t="s">
        <v>1477</v>
      </c>
      <c r="C2951" t="s">
        <v>3346</v>
      </c>
      <c r="D2951" t="s">
        <v>32</v>
      </c>
      <c r="E2951" t="s">
        <v>27</v>
      </c>
      <c r="F2951" s="17">
        <v>1500</v>
      </c>
      <c r="G2951" s="17">
        <v>52000</v>
      </c>
      <c r="H2951" s="17">
        <v>50500</v>
      </c>
      <c r="I2951" s="18">
        <v>0.4</v>
      </c>
      <c r="J2951" s="14">
        <f t="shared" si="0"/>
        <v>33.666666666666664</v>
      </c>
      <c r="K2951" s="15" t="str">
        <f t="shared" si="1"/>
        <v>Exceeds Target</v>
      </c>
    </row>
    <row r="2952" spans="2:11" ht="15" customHeight="1">
      <c r="B2952" t="s">
        <v>571</v>
      </c>
      <c r="C2952" t="s">
        <v>3347</v>
      </c>
      <c r="D2952" t="s">
        <v>32</v>
      </c>
      <c r="E2952" t="s">
        <v>27</v>
      </c>
      <c r="F2952" s="17">
        <v>1500</v>
      </c>
      <c r="G2952" s="17">
        <v>20000</v>
      </c>
      <c r="H2952" s="17">
        <v>18500</v>
      </c>
      <c r="I2952" s="18">
        <v>0.68</v>
      </c>
      <c r="J2952" s="14">
        <f t="shared" si="0"/>
        <v>12.333333333333334</v>
      </c>
      <c r="K2952" s="15" t="str">
        <f t="shared" si="1"/>
        <v>Exceeds Target</v>
      </c>
    </row>
    <row r="2953" spans="2:11" ht="15" customHeight="1">
      <c r="B2953" t="s">
        <v>291</v>
      </c>
      <c r="C2953" t="s">
        <v>3348</v>
      </c>
      <c r="D2953" t="s">
        <v>35</v>
      </c>
      <c r="E2953" t="s">
        <v>27</v>
      </c>
      <c r="F2953" s="17">
        <v>3000</v>
      </c>
      <c r="G2953" s="17">
        <v>150000</v>
      </c>
      <c r="H2953" s="17">
        <v>147000</v>
      </c>
      <c r="I2953" s="18">
        <v>0.44</v>
      </c>
      <c r="J2953" s="14">
        <f t="shared" si="0"/>
        <v>49</v>
      </c>
      <c r="K2953" s="15" t="str">
        <f t="shared" si="1"/>
        <v>Exceeds Target</v>
      </c>
    </row>
    <row r="2954" spans="2:11" ht="15" customHeight="1">
      <c r="B2954" t="s">
        <v>392</v>
      </c>
      <c r="C2954" t="s">
        <v>3349</v>
      </c>
      <c r="D2954" t="s">
        <v>35</v>
      </c>
      <c r="E2954" t="s">
        <v>27</v>
      </c>
      <c r="F2954" s="17">
        <v>3000</v>
      </c>
      <c r="G2954" s="17">
        <v>210000</v>
      </c>
      <c r="H2954" s="17">
        <v>207000</v>
      </c>
      <c r="I2954" s="18">
        <v>0.43</v>
      </c>
      <c r="J2954" s="14">
        <f t="shared" si="0"/>
        <v>69</v>
      </c>
      <c r="K2954" s="15" t="str">
        <f t="shared" si="1"/>
        <v>Exceeds Target</v>
      </c>
    </row>
    <row r="2955" spans="2:11" ht="15" customHeight="1">
      <c r="B2955" t="s">
        <v>604</v>
      </c>
      <c r="C2955" t="s">
        <v>3350</v>
      </c>
      <c r="D2955" t="s">
        <v>26</v>
      </c>
      <c r="E2955" t="s">
        <v>27</v>
      </c>
      <c r="F2955" s="17">
        <v>5000</v>
      </c>
      <c r="G2955" s="17">
        <v>90000</v>
      </c>
      <c r="H2955" s="17">
        <v>85000</v>
      </c>
      <c r="I2955" s="18">
        <v>0.19</v>
      </c>
      <c r="J2955" s="14">
        <f t="shared" si="0"/>
        <v>17</v>
      </c>
      <c r="K2955" s="15" t="str">
        <f t="shared" si="1"/>
        <v>Exceeds Target</v>
      </c>
    </row>
    <row r="2956" spans="2:11" ht="15" customHeight="1">
      <c r="B2956" t="s">
        <v>99</v>
      </c>
      <c r="C2956" t="s">
        <v>3351</v>
      </c>
      <c r="D2956" t="s">
        <v>26</v>
      </c>
      <c r="E2956" t="s">
        <v>27</v>
      </c>
      <c r="F2956" s="17">
        <v>5000</v>
      </c>
      <c r="G2956" s="17">
        <v>90000</v>
      </c>
      <c r="H2956" s="17">
        <v>85000</v>
      </c>
      <c r="I2956" s="18">
        <v>0.34</v>
      </c>
      <c r="J2956" s="14">
        <f t="shared" si="0"/>
        <v>17</v>
      </c>
      <c r="K2956" s="15" t="str">
        <f t="shared" si="1"/>
        <v>Exceeds Target</v>
      </c>
    </row>
    <row r="2957" spans="2:11" ht="15" customHeight="1">
      <c r="B2957" t="s">
        <v>673</v>
      </c>
      <c r="C2957" t="s">
        <v>3352</v>
      </c>
      <c r="D2957" t="s">
        <v>69</v>
      </c>
      <c r="E2957" t="s">
        <v>70</v>
      </c>
      <c r="F2957" s="17">
        <v>1000</v>
      </c>
      <c r="G2957" s="17">
        <v>125000</v>
      </c>
      <c r="H2957" s="17">
        <v>124000</v>
      </c>
      <c r="I2957" s="18">
        <v>0.88</v>
      </c>
      <c r="J2957" s="14">
        <f t="shared" si="0"/>
        <v>124</v>
      </c>
      <c r="K2957" s="15" t="str">
        <f t="shared" si="1"/>
        <v>Exceeds Target</v>
      </c>
    </row>
    <row r="2958" spans="2:11" ht="15" customHeight="1">
      <c r="B2958" t="s">
        <v>730</v>
      </c>
      <c r="C2958" t="s">
        <v>3353</v>
      </c>
      <c r="D2958" t="s">
        <v>35</v>
      </c>
      <c r="E2958" t="s">
        <v>27</v>
      </c>
      <c r="F2958" s="17">
        <v>3000</v>
      </c>
      <c r="G2958" s="17">
        <v>240000</v>
      </c>
      <c r="H2958" s="17">
        <v>237000</v>
      </c>
      <c r="I2958" s="18">
        <v>0.38</v>
      </c>
      <c r="J2958" s="14">
        <f t="shared" si="0"/>
        <v>79</v>
      </c>
      <c r="K2958" s="15" t="str">
        <f t="shared" si="1"/>
        <v>Exceeds Target</v>
      </c>
    </row>
    <row r="2959" spans="2:11" ht="15" customHeight="1">
      <c r="B2959" t="s">
        <v>772</v>
      </c>
      <c r="C2959" t="s">
        <v>3354</v>
      </c>
      <c r="D2959" t="s">
        <v>35</v>
      </c>
      <c r="E2959" t="s">
        <v>27</v>
      </c>
      <c r="F2959" s="17">
        <v>3000</v>
      </c>
      <c r="G2959" s="17">
        <v>130000</v>
      </c>
      <c r="H2959" s="17">
        <v>127000</v>
      </c>
      <c r="I2959" s="18">
        <v>0.52</v>
      </c>
      <c r="J2959" s="14">
        <f t="shared" si="0"/>
        <v>42.333333333333336</v>
      </c>
      <c r="K2959" s="15" t="str">
        <f t="shared" si="1"/>
        <v>Exceeds Target</v>
      </c>
    </row>
    <row r="2960" spans="2:11" ht="15" customHeight="1">
      <c r="B2960" t="s">
        <v>76</v>
      </c>
      <c r="C2960" t="s">
        <v>3355</v>
      </c>
      <c r="D2960" t="s">
        <v>32</v>
      </c>
      <c r="E2960" t="s">
        <v>27</v>
      </c>
      <c r="F2960" s="17">
        <v>1500</v>
      </c>
      <c r="G2960" s="17">
        <v>22000</v>
      </c>
      <c r="H2960" s="17">
        <v>20500</v>
      </c>
      <c r="I2960" s="18">
        <v>0.64</v>
      </c>
      <c r="J2960" s="14">
        <f t="shared" si="0"/>
        <v>13.666666666666666</v>
      </c>
      <c r="K2960" s="15" t="str">
        <f t="shared" si="1"/>
        <v>Exceeds Target</v>
      </c>
    </row>
    <row r="2961" spans="2:11" ht="15" customHeight="1">
      <c r="B2961" t="s">
        <v>754</v>
      </c>
      <c r="C2961" t="s">
        <v>3356</v>
      </c>
      <c r="D2961" t="s">
        <v>32</v>
      </c>
      <c r="E2961" t="s">
        <v>27</v>
      </c>
      <c r="F2961" s="17">
        <v>1500</v>
      </c>
      <c r="G2961" s="17">
        <v>48000</v>
      </c>
      <c r="H2961" s="17">
        <v>46500</v>
      </c>
      <c r="I2961" s="18">
        <v>0.92</v>
      </c>
      <c r="J2961" s="14">
        <f t="shared" si="0"/>
        <v>31</v>
      </c>
      <c r="K2961" s="15" t="str">
        <f t="shared" si="1"/>
        <v>Exceeds Target</v>
      </c>
    </row>
    <row r="2962" spans="2:11" ht="15" customHeight="1">
      <c r="B2962" t="s">
        <v>475</v>
      </c>
      <c r="C2962" t="s">
        <v>3357</v>
      </c>
      <c r="D2962" t="s">
        <v>80</v>
      </c>
      <c r="E2962" t="s">
        <v>27</v>
      </c>
      <c r="F2962" s="17">
        <v>1000</v>
      </c>
      <c r="G2962" s="17">
        <v>93000</v>
      </c>
      <c r="H2962" s="17">
        <v>92000</v>
      </c>
      <c r="I2962" s="18">
        <v>0.93</v>
      </c>
      <c r="J2962" s="14">
        <f t="shared" si="0"/>
        <v>92</v>
      </c>
      <c r="K2962" s="15" t="str">
        <f t="shared" si="1"/>
        <v>Exceeds Target</v>
      </c>
    </row>
    <row r="2963" spans="2:11" ht="15" customHeight="1">
      <c r="B2963" t="s">
        <v>1126</v>
      </c>
      <c r="C2963" t="s">
        <v>3358</v>
      </c>
      <c r="D2963" t="s">
        <v>26</v>
      </c>
      <c r="E2963" t="s">
        <v>27</v>
      </c>
      <c r="F2963" s="17">
        <v>5000</v>
      </c>
      <c r="G2963" s="17">
        <v>150000</v>
      </c>
      <c r="H2963" s="17">
        <v>145000</v>
      </c>
      <c r="I2963" s="18">
        <v>0.49</v>
      </c>
      <c r="J2963" s="14">
        <f t="shared" si="0"/>
        <v>29</v>
      </c>
      <c r="K2963" s="15" t="str">
        <f t="shared" si="1"/>
        <v>Exceeds Target</v>
      </c>
    </row>
    <row r="2964" spans="2:11" ht="15" customHeight="1">
      <c r="B2964" t="s">
        <v>743</v>
      </c>
      <c r="C2964" t="s">
        <v>3359</v>
      </c>
      <c r="D2964" t="s">
        <v>35</v>
      </c>
      <c r="E2964" t="s">
        <v>27</v>
      </c>
      <c r="F2964" s="17">
        <v>3000</v>
      </c>
      <c r="G2964" s="17">
        <v>240000</v>
      </c>
      <c r="H2964" s="17">
        <v>237000</v>
      </c>
      <c r="I2964" s="18">
        <v>0.26</v>
      </c>
      <c r="J2964" s="14">
        <f t="shared" si="0"/>
        <v>79</v>
      </c>
      <c r="K2964" s="15" t="str">
        <f t="shared" si="1"/>
        <v>Exceeds Target</v>
      </c>
    </row>
    <row r="2965" spans="2:11" ht="15" customHeight="1">
      <c r="B2965" t="s">
        <v>625</v>
      </c>
      <c r="C2965" t="s">
        <v>3360</v>
      </c>
      <c r="D2965" t="s">
        <v>69</v>
      </c>
      <c r="E2965" t="s">
        <v>70</v>
      </c>
      <c r="F2965" s="17">
        <v>1000</v>
      </c>
      <c r="G2965" s="17">
        <v>135000</v>
      </c>
      <c r="H2965" s="17">
        <v>134000</v>
      </c>
      <c r="I2965" s="18">
        <v>0.24</v>
      </c>
      <c r="J2965" s="14">
        <f t="shared" si="0"/>
        <v>134</v>
      </c>
      <c r="K2965" s="15" t="str">
        <f t="shared" si="1"/>
        <v>Exceeds Target</v>
      </c>
    </row>
    <row r="2966" spans="2:11" ht="15" customHeight="1">
      <c r="B2966" t="s">
        <v>201</v>
      </c>
      <c r="C2966" t="s">
        <v>3361</v>
      </c>
      <c r="D2966" t="s">
        <v>26</v>
      </c>
      <c r="E2966" t="s">
        <v>27</v>
      </c>
      <c r="F2966" s="17">
        <v>5000</v>
      </c>
      <c r="G2966" s="17">
        <v>30000</v>
      </c>
      <c r="H2966" s="17">
        <v>25000</v>
      </c>
      <c r="I2966" s="18">
        <v>0.23</v>
      </c>
      <c r="J2966" s="14">
        <f t="shared" si="0"/>
        <v>5</v>
      </c>
      <c r="K2966" s="15" t="str">
        <f t="shared" si="1"/>
        <v>Exceeds Target</v>
      </c>
    </row>
    <row r="2967" spans="2:11" ht="15" customHeight="1">
      <c r="B2967" t="s">
        <v>598</v>
      </c>
      <c r="C2967" t="s">
        <v>3362</v>
      </c>
      <c r="D2967" t="s">
        <v>69</v>
      </c>
      <c r="E2967" t="s">
        <v>70</v>
      </c>
      <c r="F2967" s="17">
        <v>1000</v>
      </c>
      <c r="G2967" s="17">
        <v>130000</v>
      </c>
      <c r="H2967" s="17">
        <v>129000</v>
      </c>
      <c r="I2967" s="18">
        <v>0.56000000000000005</v>
      </c>
      <c r="J2967" s="14">
        <f t="shared" si="0"/>
        <v>129</v>
      </c>
      <c r="K2967" s="15" t="str">
        <f t="shared" si="1"/>
        <v>Exceeds Target</v>
      </c>
    </row>
    <row r="2968" spans="2:11" ht="15" customHeight="1">
      <c r="B2968" t="s">
        <v>1216</v>
      </c>
      <c r="C2968" t="s">
        <v>3363</v>
      </c>
      <c r="D2968" t="s">
        <v>80</v>
      </c>
      <c r="E2968" t="s">
        <v>27</v>
      </c>
      <c r="F2968" s="17">
        <v>1000</v>
      </c>
      <c r="G2968" s="17">
        <v>81000</v>
      </c>
      <c r="H2968" s="17">
        <v>80000</v>
      </c>
      <c r="I2968" s="18">
        <v>0.71</v>
      </c>
      <c r="J2968" s="14">
        <f t="shared" si="0"/>
        <v>80</v>
      </c>
      <c r="K2968" s="15" t="str">
        <f t="shared" si="1"/>
        <v>Exceeds Target</v>
      </c>
    </row>
    <row r="2969" spans="2:11" ht="15" customHeight="1">
      <c r="B2969" t="s">
        <v>418</v>
      </c>
      <c r="C2969" t="s">
        <v>3364</v>
      </c>
      <c r="D2969" t="s">
        <v>69</v>
      </c>
      <c r="E2969" t="s">
        <v>70</v>
      </c>
      <c r="F2969" s="17">
        <v>1000</v>
      </c>
      <c r="G2969" s="17">
        <v>95000</v>
      </c>
      <c r="H2969" s="17">
        <v>94000</v>
      </c>
      <c r="I2969" s="18">
        <v>0.51</v>
      </c>
      <c r="J2969" s="14">
        <f t="shared" si="0"/>
        <v>94</v>
      </c>
      <c r="K2969" s="15" t="str">
        <f t="shared" si="1"/>
        <v>Exceeds Target</v>
      </c>
    </row>
    <row r="2970" spans="2:11" ht="15" customHeight="1">
      <c r="B2970" t="s">
        <v>183</v>
      </c>
      <c r="C2970" t="s">
        <v>3365</v>
      </c>
      <c r="D2970" t="s">
        <v>35</v>
      </c>
      <c r="E2970" t="s">
        <v>27</v>
      </c>
      <c r="F2970" s="17">
        <v>3000</v>
      </c>
      <c r="G2970" s="17">
        <v>110000</v>
      </c>
      <c r="H2970" s="17">
        <v>107000</v>
      </c>
      <c r="I2970" s="18">
        <v>0.41</v>
      </c>
      <c r="J2970" s="14">
        <f t="shared" si="0"/>
        <v>35.666666666666664</v>
      </c>
      <c r="K2970" s="15" t="str">
        <f t="shared" si="1"/>
        <v>Exceeds Target</v>
      </c>
    </row>
    <row r="2971" spans="2:11" ht="15" customHeight="1">
      <c r="B2971" t="s">
        <v>487</v>
      </c>
      <c r="C2971" t="s">
        <v>3366</v>
      </c>
      <c r="D2971" t="s">
        <v>69</v>
      </c>
      <c r="E2971" t="s">
        <v>70</v>
      </c>
      <c r="F2971" s="17">
        <v>1000</v>
      </c>
      <c r="G2971" s="17">
        <v>45000</v>
      </c>
      <c r="H2971" s="17">
        <v>44000</v>
      </c>
      <c r="I2971" s="18">
        <v>0.9</v>
      </c>
      <c r="J2971" s="14">
        <f t="shared" si="0"/>
        <v>44</v>
      </c>
      <c r="K2971" s="15" t="str">
        <f t="shared" si="1"/>
        <v>Exceeds Target</v>
      </c>
    </row>
    <row r="2972" spans="2:11" ht="15" customHeight="1">
      <c r="B2972" t="s">
        <v>386</v>
      </c>
      <c r="C2972" t="s">
        <v>3367</v>
      </c>
      <c r="D2972" t="s">
        <v>26</v>
      </c>
      <c r="E2972" t="s">
        <v>27</v>
      </c>
      <c r="F2972" s="17">
        <v>5000</v>
      </c>
      <c r="G2972" s="17">
        <v>60000</v>
      </c>
      <c r="H2972" s="17">
        <v>55000</v>
      </c>
      <c r="I2972" s="18">
        <v>0.28999999999999998</v>
      </c>
      <c r="J2972" s="14">
        <f t="shared" si="0"/>
        <v>11</v>
      </c>
      <c r="K2972" s="15" t="str">
        <f t="shared" si="1"/>
        <v>Exceeds Target</v>
      </c>
    </row>
    <row r="2973" spans="2:11" ht="15" customHeight="1">
      <c r="B2973" t="s">
        <v>157</v>
      </c>
      <c r="C2973" t="s">
        <v>3368</v>
      </c>
      <c r="D2973" t="s">
        <v>35</v>
      </c>
      <c r="E2973" t="s">
        <v>27</v>
      </c>
      <c r="F2973" s="17">
        <v>3000</v>
      </c>
      <c r="G2973" s="17">
        <v>240000</v>
      </c>
      <c r="H2973" s="17">
        <v>237000</v>
      </c>
      <c r="I2973" s="18">
        <v>0.24</v>
      </c>
      <c r="J2973" s="14">
        <f t="shared" si="0"/>
        <v>79</v>
      </c>
      <c r="K2973" s="15" t="str">
        <f t="shared" si="1"/>
        <v>Exceeds Target</v>
      </c>
    </row>
    <row r="2974" spans="2:11" ht="15" customHeight="1">
      <c r="B2974" t="s">
        <v>557</v>
      </c>
      <c r="C2974" t="s">
        <v>3369</v>
      </c>
      <c r="D2974" t="s">
        <v>26</v>
      </c>
      <c r="E2974" t="s">
        <v>27</v>
      </c>
      <c r="F2974" s="17">
        <v>5000</v>
      </c>
      <c r="G2974" s="17">
        <v>30000</v>
      </c>
      <c r="H2974" s="17">
        <v>25000</v>
      </c>
      <c r="I2974" s="18">
        <v>0.16</v>
      </c>
      <c r="J2974" s="14">
        <f t="shared" si="0"/>
        <v>5</v>
      </c>
      <c r="K2974" s="15" t="str">
        <f t="shared" si="1"/>
        <v>Exceeds Target</v>
      </c>
    </row>
    <row r="2975" spans="2:11" ht="15" customHeight="1">
      <c r="B2975" t="s">
        <v>760</v>
      </c>
      <c r="C2975" t="s">
        <v>3370</v>
      </c>
      <c r="D2975" t="s">
        <v>69</v>
      </c>
      <c r="E2975" t="s">
        <v>70</v>
      </c>
      <c r="F2975" s="17">
        <v>1000</v>
      </c>
      <c r="G2975" s="17">
        <v>60000</v>
      </c>
      <c r="H2975" s="17">
        <v>59000</v>
      </c>
      <c r="I2975" s="18">
        <v>0.31</v>
      </c>
      <c r="J2975" s="14">
        <f t="shared" si="0"/>
        <v>59</v>
      </c>
      <c r="K2975" s="15" t="str">
        <f t="shared" si="1"/>
        <v>Exceeds Target</v>
      </c>
    </row>
    <row r="2976" spans="2:11" ht="15" customHeight="1">
      <c r="B2976" t="s">
        <v>24</v>
      </c>
      <c r="C2976" t="s">
        <v>3371</v>
      </c>
      <c r="D2976" t="s">
        <v>35</v>
      </c>
      <c r="E2976" t="s">
        <v>27</v>
      </c>
      <c r="F2976" s="17">
        <v>3000</v>
      </c>
      <c r="G2976" s="17">
        <v>300000</v>
      </c>
      <c r="H2976" s="17">
        <v>297000</v>
      </c>
      <c r="I2976" s="18">
        <v>0.52</v>
      </c>
      <c r="J2976" s="14">
        <f t="shared" si="0"/>
        <v>99</v>
      </c>
      <c r="K2976" s="15" t="str">
        <f t="shared" si="1"/>
        <v>Exceeds Target</v>
      </c>
    </row>
    <row r="2977" spans="2:11" ht="15" customHeight="1">
      <c r="B2977" t="s">
        <v>343</v>
      </c>
      <c r="C2977" t="s">
        <v>3372</v>
      </c>
      <c r="D2977" t="s">
        <v>69</v>
      </c>
      <c r="E2977" t="s">
        <v>70</v>
      </c>
      <c r="F2977" s="17">
        <v>1000</v>
      </c>
      <c r="G2977" s="17">
        <v>80000</v>
      </c>
      <c r="H2977" s="17">
        <v>79000</v>
      </c>
      <c r="I2977" s="18">
        <v>0.41</v>
      </c>
      <c r="J2977" s="14">
        <f t="shared" si="0"/>
        <v>79</v>
      </c>
      <c r="K2977" s="15" t="str">
        <f t="shared" si="1"/>
        <v>Exceeds Target</v>
      </c>
    </row>
    <row r="2978" spans="2:11" ht="15" customHeight="1">
      <c r="B2978" t="s">
        <v>408</v>
      </c>
      <c r="C2978" t="s">
        <v>3373</v>
      </c>
      <c r="D2978" t="s">
        <v>69</v>
      </c>
      <c r="E2978" t="s">
        <v>70</v>
      </c>
      <c r="F2978" s="17">
        <v>1000</v>
      </c>
      <c r="G2978" s="17">
        <v>45000</v>
      </c>
      <c r="H2978" s="17">
        <v>44000</v>
      </c>
      <c r="I2978" s="18">
        <v>0.94</v>
      </c>
      <c r="J2978" s="14">
        <f t="shared" si="0"/>
        <v>44</v>
      </c>
      <c r="K2978" s="15" t="str">
        <f t="shared" si="1"/>
        <v>Exceeds Target</v>
      </c>
    </row>
    <row r="2979" spans="2:11" ht="15" customHeight="1">
      <c r="B2979" t="s">
        <v>1285</v>
      </c>
      <c r="C2979" t="s">
        <v>3374</v>
      </c>
      <c r="D2979" t="s">
        <v>26</v>
      </c>
      <c r="E2979" t="s">
        <v>27</v>
      </c>
      <c r="F2979" s="17">
        <v>5000</v>
      </c>
      <c r="G2979" s="17">
        <v>60000</v>
      </c>
      <c r="H2979" s="17">
        <v>55000</v>
      </c>
      <c r="I2979" s="18">
        <v>0.21</v>
      </c>
      <c r="J2979" s="14">
        <f t="shared" si="0"/>
        <v>11</v>
      </c>
      <c r="K2979" s="15" t="str">
        <f t="shared" si="1"/>
        <v>Exceeds Target</v>
      </c>
    </row>
    <row r="2980" spans="2:11" ht="15" customHeight="1">
      <c r="B2980" t="s">
        <v>91</v>
      </c>
      <c r="C2980" t="s">
        <v>3375</v>
      </c>
      <c r="D2980" t="s">
        <v>32</v>
      </c>
      <c r="E2980" t="s">
        <v>27</v>
      </c>
      <c r="F2980" s="17">
        <v>1500</v>
      </c>
      <c r="G2980" s="17">
        <v>14000</v>
      </c>
      <c r="H2980" s="17">
        <v>12500</v>
      </c>
      <c r="I2980" s="18">
        <v>0.5</v>
      </c>
      <c r="J2980" s="14">
        <f t="shared" si="0"/>
        <v>8.3333333333333339</v>
      </c>
      <c r="K2980" s="15" t="str">
        <f t="shared" si="1"/>
        <v>Exceeds Target</v>
      </c>
    </row>
    <row r="2981" spans="2:11" ht="15" customHeight="1">
      <c r="B2981" t="s">
        <v>54</v>
      </c>
      <c r="C2981" t="s">
        <v>3376</v>
      </c>
      <c r="D2981" t="s">
        <v>32</v>
      </c>
      <c r="E2981" t="s">
        <v>27</v>
      </c>
      <c r="F2981" s="17">
        <v>1500</v>
      </c>
      <c r="G2981" s="17">
        <v>18000</v>
      </c>
      <c r="H2981" s="17">
        <v>16500</v>
      </c>
      <c r="I2981" s="18">
        <v>0.63</v>
      </c>
      <c r="J2981" s="14">
        <f t="shared" si="0"/>
        <v>11</v>
      </c>
      <c r="K2981" s="15" t="str">
        <f t="shared" si="1"/>
        <v>Exceeds Target</v>
      </c>
    </row>
    <row r="2982" spans="2:11" ht="15" customHeight="1">
      <c r="B2982" t="s">
        <v>792</v>
      </c>
      <c r="C2982" t="s">
        <v>3377</v>
      </c>
      <c r="D2982" t="s">
        <v>26</v>
      </c>
      <c r="E2982" t="s">
        <v>27</v>
      </c>
      <c r="F2982" s="17">
        <v>5000</v>
      </c>
      <c r="G2982" s="17">
        <v>90000</v>
      </c>
      <c r="H2982" s="17">
        <v>85000</v>
      </c>
      <c r="I2982" s="18">
        <v>0.06</v>
      </c>
      <c r="J2982" s="14">
        <f t="shared" si="0"/>
        <v>17</v>
      </c>
      <c r="K2982" s="15" t="str">
        <f t="shared" si="1"/>
        <v>Exceeds Target</v>
      </c>
    </row>
    <row r="2983" spans="2:11" ht="15" customHeight="1">
      <c r="B2983" t="s">
        <v>765</v>
      </c>
      <c r="C2983" t="s">
        <v>3378</v>
      </c>
      <c r="D2983" t="s">
        <v>32</v>
      </c>
      <c r="E2983" t="s">
        <v>27</v>
      </c>
      <c r="F2983" s="17">
        <v>1500</v>
      </c>
      <c r="G2983" s="17">
        <v>28000</v>
      </c>
      <c r="H2983" s="17">
        <v>26500</v>
      </c>
      <c r="I2983" s="18">
        <v>0.33</v>
      </c>
      <c r="J2983" s="14">
        <f t="shared" si="0"/>
        <v>17.666666666666668</v>
      </c>
      <c r="K2983" s="15" t="str">
        <f t="shared" si="1"/>
        <v>Exceeds Target</v>
      </c>
    </row>
    <row r="2984" spans="2:11" ht="15" customHeight="1">
      <c r="B2984" t="s">
        <v>117</v>
      </c>
      <c r="C2984" t="s">
        <v>3379</v>
      </c>
      <c r="D2984" t="s">
        <v>69</v>
      </c>
      <c r="E2984" t="s">
        <v>70</v>
      </c>
      <c r="F2984" s="17">
        <v>1000</v>
      </c>
      <c r="G2984" s="17">
        <v>135000</v>
      </c>
      <c r="H2984" s="17">
        <v>134000</v>
      </c>
      <c r="I2984" s="18">
        <v>0.36</v>
      </c>
      <c r="J2984" s="14">
        <f t="shared" si="0"/>
        <v>134</v>
      </c>
      <c r="K2984" s="15" t="str">
        <f t="shared" si="1"/>
        <v>Exceeds Target</v>
      </c>
    </row>
    <row r="2985" spans="2:11" ht="15" customHeight="1">
      <c r="B2985" t="s">
        <v>416</v>
      </c>
      <c r="C2985" t="s">
        <v>3380</v>
      </c>
      <c r="D2985" t="s">
        <v>35</v>
      </c>
      <c r="E2985" t="s">
        <v>27</v>
      </c>
      <c r="F2985" s="17">
        <v>3000</v>
      </c>
      <c r="G2985" s="17">
        <v>160000</v>
      </c>
      <c r="H2985" s="17">
        <v>157000</v>
      </c>
      <c r="I2985" s="18">
        <v>0.61</v>
      </c>
      <c r="J2985" s="14">
        <f t="shared" si="0"/>
        <v>52.333333333333336</v>
      </c>
      <c r="K2985" s="15" t="str">
        <f t="shared" si="1"/>
        <v>Exceeds Target</v>
      </c>
    </row>
    <row r="2986" spans="2:11" ht="15" customHeight="1">
      <c r="B2986" t="s">
        <v>113</v>
      </c>
      <c r="C2986" t="s">
        <v>3381</v>
      </c>
      <c r="D2986" t="s">
        <v>69</v>
      </c>
      <c r="E2986" t="s">
        <v>70</v>
      </c>
      <c r="F2986" s="17">
        <v>1000</v>
      </c>
      <c r="G2986" s="17">
        <v>125000</v>
      </c>
      <c r="H2986" s="17">
        <v>124000</v>
      </c>
      <c r="I2986" s="18">
        <v>0.34</v>
      </c>
      <c r="J2986" s="14">
        <f t="shared" si="0"/>
        <v>124</v>
      </c>
      <c r="K2986" s="15" t="str">
        <f t="shared" si="1"/>
        <v>Exceeds Target</v>
      </c>
    </row>
    <row r="2987" spans="2:11" ht="15" customHeight="1">
      <c r="B2987" t="s">
        <v>509</v>
      </c>
      <c r="C2987" t="s">
        <v>3382</v>
      </c>
      <c r="D2987" t="s">
        <v>35</v>
      </c>
      <c r="E2987" t="s">
        <v>27</v>
      </c>
      <c r="F2987" s="17">
        <v>3000</v>
      </c>
      <c r="G2987" s="17">
        <v>60000</v>
      </c>
      <c r="H2987" s="17">
        <v>57000</v>
      </c>
      <c r="I2987" s="18">
        <v>0.45</v>
      </c>
      <c r="J2987" s="14">
        <f t="shared" si="0"/>
        <v>19</v>
      </c>
      <c r="K2987" s="15" t="str">
        <f t="shared" si="1"/>
        <v>Exceeds Target</v>
      </c>
    </row>
    <row r="2988" spans="2:11" ht="15" customHeight="1">
      <c r="B2988" t="s">
        <v>912</v>
      </c>
      <c r="C2988" t="s">
        <v>3383</v>
      </c>
      <c r="D2988" t="s">
        <v>26</v>
      </c>
      <c r="E2988" t="s">
        <v>27</v>
      </c>
      <c r="F2988" s="17">
        <v>5000</v>
      </c>
      <c r="G2988" s="17">
        <v>150000</v>
      </c>
      <c r="H2988" s="17">
        <v>145000</v>
      </c>
      <c r="I2988" s="18">
        <v>0.17</v>
      </c>
      <c r="J2988" s="14">
        <f t="shared" si="0"/>
        <v>29</v>
      </c>
      <c r="K2988" s="15" t="str">
        <f t="shared" si="1"/>
        <v>Exceeds Target</v>
      </c>
    </row>
    <row r="2989" spans="2:11" ht="15" customHeight="1">
      <c r="B2989" t="s">
        <v>205</v>
      </c>
      <c r="C2989" t="s">
        <v>3384</v>
      </c>
      <c r="D2989" t="s">
        <v>69</v>
      </c>
      <c r="E2989" t="s">
        <v>70</v>
      </c>
      <c r="F2989" s="17">
        <v>1000</v>
      </c>
      <c r="G2989" s="17">
        <v>140000</v>
      </c>
      <c r="H2989" s="17">
        <v>139000</v>
      </c>
      <c r="I2989" s="18">
        <v>0.77</v>
      </c>
      <c r="J2989" s="14">
        <f t="shared" si="0"/>
        <v>139</v>
      </c>
      <c r="K2989" s="15" t="str">
        <f t="shared" si="1"/>
        <v>Exceeds Target</v>
      </c>
    </row>
    <row r="2990" spans="2:11" ht="15" customHeight="1">
      <c r="B2990" t="s">
        <v>434</v>
      </c>
      <c r="C2990" t="s">
        <v>3385</v>
      </c>
      <c r="D2990" t="s">
        <v>80</v>
      </c>
      <c r="E2990" t="s">
        <v>27</v>
      </c>
      <c r="F2990" s="17">
        <v>1000</v>
      </c>
      <c r="G2990" s="17">
        <v>51000</v>
      </c>
      <c r="H2990" s="17">
        <v>50000</v>
      </c>
      <c r="I2990" s="18">
        <v>0.93</v>
      </c>
      <c r="J2990" s="14">
        <f t="shared" si="0"/>
        <v>50</v>
      </c>
      <c r="K2990" s="15" t="str">
        <f t="shared" si="1"/>
        <v>Exceeds Target</v>
      </c>
    </row>
    <row r="2991" spans="2:11" ht="15" customHeight="1">
      <c r="B2991" t="s">
        <v>815</v>
      </c>
      <c r="C2991" t="s">
        <v>3386</v>
      </c>
      <c r="D2991" t="s">
        <v>26</v>
      </c>
      <c r="E2991" t="s">
        <v>27</v>
      </c>
      <c r="F2991" s="17">
        <v>5000</v>
      </c>
      <c r="G2991" s="17">
        <v>150000</v>
      </c>
      <c r="H2991" s="17">
        <v>145000</v>
      </c>
      <c r="I2991" s="18">
        <v>0.17</v>
      </c>
      <c r="J2991" s="14">
        <f t="shared" si="0"/>
        <v>29</v>
      </c>
      <c r="K2991" s="15" t="str">
        <f t="shared" si="1"/>
        <v>Exceeds Target</v>
      </c>
    </row>
    <row r="2992" spans="2:11" ht="15" customHeight="1">
      <c r="B2992" t="s">
        <v>1115</v>
      </c>
      <c r="C2992" t="s">
        <v>3387</v>
      </c>
      <c r="D2992" t="s">
        <v>69</v>
      </c>
      <c r="E2992" t="s">
        <v>70</v>
      </c>
      <c r="F2992" s="17">
        <v>1000</v>
      </c>
      <c r="G2992" s="17">
        <v>35000</v>
      </c>
      <c r="H2992" s="17">
        <v>34000</v>
      </c>
      <c r="I2992" s="18">
        <v>0.28999999999999998</v>
      </c>
      <c r="J2992" s="14">
        <f t="shared" si="0"/>
        <v>34</v>
      </c>
      <c r="K2992" s="15" t="str">
        <f t="shared" si="1"/>
        <v>Exceeds Target</v>
      </c>
    </row>
    <row r="2993" spans="2:11" ht="15" customHeight="1">
      <c r="B2993" t="s">
        <v>514</v>
      </c>
      <c r="C2993" t="s">
        <v>3388</v>
      </c>
      <c r="D2993" t="s">
        <v>35</v>
      </c>
      <c r="E2993" t="s">
        <v>27</v>
      </c>
      <c r="F2993" s="17">
        <v>3000</v>
      </c>
      <c r="G2993" s="17">
        <v>80000</v>
      </c>
      <c r="H2993" s="17">
        <v>77000</v>
      </c>
      <c r="I2993" s="18">
        <v>0.4</v>
      </c>
      <c r="J2993" s="14">
        <f t="shared" si="0"/>
        <v>25.666666666666668</v>
      </c>
      <c r="K2993" s="15" t="str">
        <f t="shared" si="1"/>
        <v>Exceeds Target</v>
      </c>
    </row>
    <row r="2994" spans="2:11" ht="15" customHeight="1">
      <c r="B2994" t="s">
        <v>1134</v>
      </c>
      <c r="C2994" t="s">
        <v>3389</v>
      </c>
      <c r="D2994" t="s">
        <v>26</v>
      </c>
      <c r="E2994" t="s">
        <v>27</v>
      </c>
      <c r="F2994" s="17">
        <v>5000</v>
      </c>
      <c r="G2994" s="17">
        <v>30000</v>
      </c>
      <c r="H2994" s="17">
        <v>25000</v>
      </c>
      <c r="I2994" s="18">
        <v>0.24</v>
      </c>
      <c r="J2994" s="14">
        <f t="shared" si="0"/>
        <v>5</v>
      </c>
      <c r="K2994" s="15" t="str">
        <f t="shared" si="1"/>
        <v>Exceeds Target</v>
      </c>
    </row>
    <row r="2995" spans="2:11" ht="15" customHeight="1">
      <c r="B2995" t="s">
        <v>625</v>
      </c>
      <c r="C2995" t="s">
        <v>3390</v>
      </c>
      <c r="D2995" t="s">
        <v>80</v>
      </c>
      <c r="E2995" t="s">
        <v>27</v>
      </c>
      <c r="F2995" s="17">
        <v>1000</v>
      </c>
      <c r="G2995" s="17">
        <v>63000</v>
      </c>
      <c r="H2995" s="17">
        <v>62000</v>
      </c>
      <c r="I2995" s="18">
        <v>0.8</v>
      </c>
      <c r="J2995" s="14">
        <f t="shared" si="0"/>
        <v>62</v>
      </c>
      <c r="K2995" s="15" t="str">
        <f t="shared" si="1"/>
        <v>Exceeds Target</v>
      </c>
    </row>
    <row r="2996" spans="2:11" ht="15" customHeight="1">
      <c r="B2996" t="s">
        <v>105</v>
      </c>
      <c r="C2996" t="s">
        <v>3391</v>
      </c>
      <c r="D2996" t="s">
        <v>32</v>
      </c>
      <c r="E2996" t="s">
        <v>27</v>
      </c>
      <c r="F2996" s="17">
        <v>1500</v>
      </c>
      <c r="G2996" s="17">
        <v>40000</v>
      </c>
      <c r="H2996" s="17">
        <v>38500</v>
      </c>
      <c r="I2996" s="18">
        <v>0.42</v>
      </c>
      <c r="J2996" s="14">
        <f t="shared" si="0"/>
        <v>25.666666666666668</v>
      </c>
      <c r="K2996" s="15" t="str">
        <f t="shared" si="1"/>
        <v>Exceeds Target</v>
      </c>
    </row>
    <row r="2997" spans="2:11" ht="15" customHeight="1">
      <c r="B2997" t="s">
        <v>424</v>
      </c>
      <c r="C2997" t="s">
        <v>3392</v>
      </c>
      <c r="D2997" t="s">
        <v>26</v>
      </c>
      <c r="E2997" t="s">
        <v>27</v>
      </c>
      <c r="F2997" s="17">
        <v>5000</v>
      </c>
      <c r="G2997" s="17">
        <v>90000</v>
      </c>
      <c r="H2997" s="17">
        <v>85000</v>
      </c>
      <c r="I2997" s="18">
        <v>0.04</v>
      </c>
      <c r="J2997" s="14">
        <f t="shared" si="0"/>
        <v>17</v>
      </c>
      <c r="K2997" s="15" t="str">
        <f t="shared" si="1"/>
        <v>Exceeds Target</v>
      </c>
    </row>
    <row r="2998" spans="2:11" ht="15" customHeight="1">
      <c r="B2998" t="s">
        <v>596</v>
      </c>
      <c r="C2998" t="s">
        <v>3393</v>
      </c>
      <c r="D2998" t="s">
        <v>26</v>
      </c>
      <c r="E2998" t="s">
        <v>27</v>
      </c>
      <c r="F2998" s="17">
        <v>5000</v>
      </c>
      <c r="G2998" s="17">
        <v>120000</v>
      </c>
      <c r="H2998" s="17">
        <v>115000</v>
      </c>
      <c r="I2998" s="18">
        <v>0.05</v>
      </c>
      <c r="J2998" s="14">
        <f t="shared" si="0"/>
        <v>23</v>
      </c>
      <c r="K2998" s="15" t="str">
        <f t="shared" si="1"/>
        <v>Exceeds Target</v>
      </c>
    </row>
    <row r="2999" spans="2:11" ht="15" customHeight="1">
      <c r="B2999" t="s">
        <v>37</v>
      </c>
      <c r="C2999" t="s">
        <v>3394</v>
      </c>
      <c r="D2999" t="s">
        <v>80</v>
      </c>
      <c r="E2999" t="s">
        <v>27</v>
      </c>
      <c r="F2999" s="17">
        <v>1000</v>
      </c>
      <c r="G2999" s="17">
        <v>60000</v>
      </c>
      <c r="H2999" s="17">
        <v>59000</v>
      </c>
      <c r="I2999" s="18">
        <v>0.85</v>
      </c>
      <c r="J2999" s="14">
        <f t="shared" si="0"/>
        <v>59</v>
      </c>
      <c r="K2999" s="15" t="str">
        <f t="shared" si="1"/>
        <v>Exceeds Target</v>
      </c>
    </row>
    <row r="3000" spans="2:11" ht="15" customHeight="1">
      <c r="B3000" t="s">
        <v>99</v>
      </c>
      <c r="C3000" t="s">
        <v>3395</v>
      </c>
      <c r="D3000" t="s">
        <v>35</v>
      </c>
      <c r="E3000" t="s">
        <v>27</v>
      </c>
      <c r="F3000" s="17">
        <v>3000</v>
      </c>
      <c r="G3000" s="17">
        <v>200000</v>
      </c>
      <c r="H3000" s="17">
        <v>197000</v>
      </c>
      <c r="I3000" s="18">
        <v>0.27</v>
      </c>
      <c r="J3000" s="14">
        <f t="shared" si="0"/>
        <v>65.666666666666671</v>
      </c>
      <c r="K3000" s="15" t="str">
        <f t="shared" si="1"/>
        <v>Exceeds Target</v>
      </c>
    </row>
    <row r="3001" spans="2:11" ht="15" customHeight="1">
      <c r="B3001" t="s">
        <v>399</v>
      </c>
      <c r="C3001" t="s">
        <v>3396</v>
      </c>
      <c r="D3001" t="s">
        <v>26</v>
      </c>
      <c r="E3001" t="s">
        <v>27</v>
      </c>
      <c r="F3001" s="17">
        <v>5000</v>
      </c>
      <c r="G3001" s="17">
        <v>30000</v>
      </c>
      <c r="H3001" s="17">
        <v>25000</v>
      </c>
      <c r="I3001" s="18">
        <v>0.17</v>
      </c>
      <c r="J3001" s="14">
        <f t="shared" si="0"/>
        <v>5</v>
      </c>
      <c r="K3001" s="15" t="str">
        <f t="shared" si="1"/>
        <v>Exceeds Target</v>
      </c>
    </row>
    <row r="3002" spans="2:11" ht="15" customHeight="1">
      <c r="B3002" t="s">
        <v>384</v>
      </c>
      <c r="C3002" t="s">
        <v>3397</v>
      </c>
      <c r="D3002" t="s">
        <v>80</v>
      </c>
      <c r="E3002" t="s">
        <v>27</v>
      </c>
      <c r="F3002" s="17">
        <v>1000</v>
      </c>
      <c r="G3002" s="17">
        <v>51000</v>
      </c>
      <c r="H3002" s="17">
        <v>50000</v>
      </c>
      <c r="I3002" s="18">
        <v>0.76</v>
      </c>
      <c r="J3002" s="14">
        <f t="shared" si="0"/>
        <v>50</v>
      </c>
      <c r="K3002" s="15" t="str">
        <f t="shared" si="1"/>
        <v>Exceeds Target</v>
      </c>
    </row>
    <row r="3003" spans="2:11" ht="15" customHeight="1">
      <c r="B3003" t="s">
        <v>912</v>
      </c>
      <c r="C3003" t="s">
        <v>3398</v>
      </c>
      <c r="D3003" t="s">
        <v>35</v>
      </c>
      <c r="E3003" t="s">
        <v>27</v>
      </c>
      <c r="F3003" s="17">
        <v>3000</v>
      </c>
      <c r="G3003" s="17">
        <v>90000</v>
      </c>
      <c r="H3003" s="17">
        <v>87000</v>
      </c>
      <c r="I3003" s="18">
        <v>0.37</v>
      </c>
      <c r="J3003" s="14">
        <f t="shared" si="0"/>
        <v>29</v>
      </c>
      <c r="K3003" s="15" t="str">
        <f t="shared" si="1"/>
        <v>Exceeds Target</v>
      </c>
    </row>
    <row r="3004" spans="2:11" ht="15" customHeight="1">
      <c r="B3004" t="s">
        <v>123</v>
      </c>
      <c r="C3004" t="s">
        <v>3399</v>
      </c>
      <c r="D3004" t="s">
        <v>26</v>
      </c>
      <c r="E3004" t="s">
        <v>27</v>
      </c>
      <c r="F3004" s="17">
        <v>5000</v>
      </c>
      <c r="G3004" s="17">
        <v>90000</v>
      </c>
      <c r="H3004" s="17">
        <v>85000</v>
      </c>
      <c r="I3004" s="18">
        <v>0.09</v>
      </c>
      <c r="J3004" s="14">
        <f t="shared" si="0"/>
        <v>17</v>
      </c>
      <c r="K3004" s="15" t="str">
        <f t="shared" si="1"/>
        <v>Exceeds Target</v>
      </c>
    </row>
    <row r="3005" spans="2:11" ht="15" customHeight="1">
      <c r="B3005" t="s">
        <v>169</v>
      </c>
      <c r="C3005" t="s">
        <v>3400</v>
      </c>
      <c r="D3005" t="s">
        <v>26</v>
      </c>
      <c r="E3005" t="s">
        <v>27</v>
      </c>
      <c r="F3005" s="17">
        <v>5000</v>
      </c>
      <c r="G3005" s="17">
        <v>120000</v>
      </c>
      <c r="H3005" s="17">
        <v>115000</v>
      </c>
      <c r="I3005" s="18">
        <v>0.25</v>
      </c>
      <c r="J3005" s="14">
        <f t="shared" si="0"/>
        <v>23</v>
      </c>
      <c r="K3005" s="15" t="str">
        <f t="shared" si="1"/>
        <v>Exceeds Target</v>
      </c>
    </row>
    <row r="3006" spans="2:11" ht="15" customHeight="1">
      <c r="B3006" t="s">
        <v>557</v>
      </c>
      <c r="C3006" t="s">
        <v>3401</v>
      </c>
      <c r="D3006" t="s">
        <v>35</v>
      </c>
      <c r="E3006" t="s">
        <v>27</v>
      </c>
      <c r="F3006" s="17">
        <v>3000</v>
      </c>
      <c r="G3006" s="17">
        <v>190000</v>
      </c>
      <c r="H3006" s="17">
        <v>187000</v>
      </c>
      <c r="I3006" s="18">
        <v>0.32</v>
      </c>
      <c r="J3006" s="14">
        <f t="shared" si="0"/>
        <v>62.333333333333336</v>
      </c>
      <c r="K3006" s="15" t="str">
        <f t="shared" si="1"/>
        <v>Exceeds Target</v>
      </c>
    </row>
    <row r="3007" spans="2:11" ht="15" customHeight="1">
      <c r="B3007" t="s">
        <v>319</v>
      </c>
      <c r="C3007" t="s">
        <v>3402</v>
      </c>
      <c r="D3007" t="s">
        <v>26</v>
      </c>
      <c r="E3007" t="s">
        <v>27</v>
      </c>
      <c r="F3007" s="17">
        <v>5000</v>
      </c>
      <c r="G3007" s="17">
        <v>150000</v>
      </c>
      <c r="H3007" s="17">
        <v>145000</v>
      </c>
      <c r="I3007" s="18">
        <v>0.15</v>
      </c>
      <c r="J3007" s="14">
        <f t="shared" si="0"/>
        <v>29</v>
      </c>
      <c r="K3007" s="15" t="str">
        <f t="shared" si="1"/>
        <v>Exceeds Target</v>
      </c>
    </row>
    <row r="3008" spans="2:11" ht="15" customHeight="1">
      <c r="B3008" t="s">
        <v>577</v>
      </c>
      <c r="C3008" t="s">
        <v>3403</v>
      </c>
      <c r="D3008" t="s">
        <v>26</v>
      </c>
      <c r="E3008" t="s">
        <v>27</v>
      </c>
      <c r="F3008" s="17">
        <v>5000</v>
      </c>
      <c r="G3008" s="17">
        <v>150000</v>
      </c>
      <c r="H3008" s="17">
        <v>145000</v>
      </c>
      <c r="I3008" s="18">
        <v>0.28000000000000003</v>
      </c>
      <c r="J3008" s="14">
        <f t="shared" si="0"/>
        <v>29</v>
      </c>
      <c r="K3008" s="15" t="str">
        <f t="shared" si="1"/>
        <v>Exceeds Target</v>
      </c>
    </row>
    <row r="3009" spans="2:11" ht="15" customHeight="1">
      <c r="B3009" t="s">
        <v>287</v>
      </c>
      <c r="C3009" t="s">
        <v>3404</v>
      </c>
      <c r="D3009" t="s">
        <v>35</v>
      </c>
      <c r="E3009" t="s">
        <v>27</v>
      </c>
      <c r="F3009" s="17">
        <v>3000</v>
      </c>
      <c r="G3009" s="17">
        <v>140000</v>
      </c>
      <c r="H3009" s="17">
        <v>137000</v>
      </c>
      <c r="I3009" s="18">
        <v>0.76</v>
      </c>
      <c r="J3009" s="14">
        <f t="shared" si="0"/>
        <v>45.666666666666664</v>
      </c>
      <c r="K3009" s="15" t="str">
        <f t="shared" si="1"/>
        <v>Exceeds Target</v>
      </c>
    </row>
    <row r="3010" spans="2:11" ht="15" customHeight="1">
      <c r="B3010" t="s">
        <v>83</v>
      </c>
      <c r="C3010" t="s">
        <v>3405</v>
      </c>
      <c r="D3010" t="s">
        <v>35</v>
      </c>
      <c r="E3010" t="s">
        <v>27</v>
      </c>
      <c r="F3010" s="17">
        <v>3000</v>
      </c>
      <c r="G3010" s="17">
        <v>110000</v>
      </c>
      <c r="H3010" s="17">
        <v>107000</v>
      </c>
      <c r="I3010" s="18">
        <v>0.37</v>
      </c>
      <c r="J3010" s="14">
        <f t="shared" si="0"/>
        <v>35.666666666666664</v>
      </c>
      <c r="K3010" s="15" t="str">
        <f t="shared" si="1"/>
        <v>Exceeds Target</v>
      </c>
    </row>
    <row r="3011" spans="2:11" ht="15" customHeight="1">
      <c r="B3011" t="s">
        <v>424</v>
      </c>
      <c r="C3011" t="s">
        <v>3406</v>
      </c>
      <c r="D3011" t="s">
        <v>69</v>
      </c>
      <c r="E3011" t="s">
        <v>70</v>
      </c>
      <c r="F3011" s="17">
        <v>1000</v>
      </c>
      <c r="G3011" s="17">
        <v>125000</v>
      </c>
      <c r="H3011" s="17">
        <v>124000</v>
      </c>
      <c r="I3011" s="18">
        <v>0.51</v>
      </c>
      <c r="J3011" s="14">
        <f t="shared" si="0"/>
        <v>124</v>
      </c>
      <c r="K3011" s="15" t="str">
        <f t="shared" si="1"/>
        <v>Exceeds Target</v>
      </c>
    </row>
    <row r="3013" spans="2:11" ht="15" customHeight="1">
      <c r="B3013" s="3" t="s">
        <v>3407</v>
      </c>
      <c r="C3013" s="4"/>
    </row>
    <row r="3014" spans="2:11" ht="15" customHeight="1">
      <c r="B3014" s="4"/>
      <c r="C3014" s="4"/>
    </row>
    <row r="3015" spans="2:11" ht="15" customHeight="1">
      <c r="B3015" s="19" t="s">
        <v>3408</v>
      </c>
      <c r="C3015" s="20">
        <f>SUM(F12:F3011)</f>
        <v>6821500</v>
      </c>
    </row>
    <row r="3016" spans="2:11" ht="15" customHeight="1">
      <c r="B3016" s="19" t="s">
        <v>3409</v>
      </c>
      <c r="C3016" s="20">
        <f>SUM(G12:G3011)</f>
        <v>284764000</v>
      </c>
    </row>
    <row r="3017" spans="2:11" ht="15" customHeight="1">
      <c r="B3017" s="19" t="s">
        <v>3410</v>
      </c>
      <c r="C3017" s="20">
        <f>SUM(H12:H3011)</f>
        <v>277942500</v>
      </c>
    </row>
    <row r="3018" spans="2:11" ht="15" customHeight="1">
      <c r="B3018" s="19" t="s">
        <v>3411</v>
      </c>
      <c r="C3018" s="21">
        <f>AVERAGE(J12:J3011)</f>
        <v>54.325333333333333</v>
      </c>
    </row>
    <row r="3019" spans="2:11" ht="15" customHeight="1">
      <c r="B3019" s="19" t="s">
        <v>3412</v>
      </c>
      <c r="C3019" s="22">
        <f>COUNTIF(K12:K3011,"Exceeds Target")</f>
        <v>3000</v>
      </c>
    </row>
    <row r="3020" spans="2:11" ht="15" customHeight="1">
      <c r="B3020" s="19" t="s">
        <v>3413</v>
      </c>
      <c r="C3020" s="22">
        <f>COUNTIF(K12:K3011,"Positive")+COUNTIF(K12:K3011,"Exceeds Target")</f>
        <v>3000</v>
      </c>
    </row>
    <row r="3022" spans="2:11" ht="15" customHeight="1">
      <c r="B3022" s="23" t="s">
        <v>3414</v>
      </c>
    </row>
    <row r="3024" spans="2:11" ht="15" customHeight="1">
      <c r="B3024" s="24" t="s">
        <v>3415</v>
      </c>
      <c r="G3024" s="24" t="s">
        <v>3416</v>
      </c>
      <c r="K3024" s="24" t="s">
        <v>22</v>
      </c>
    </row>
    <row r="3025" spans="2:12" ht="15.75" customHeight="1">
      <c r="B3025" s="25" t="s">
        <v>15</v>
      </c>
      <c r="C3025" s="25" t="s">
        <v>3417</v>
      </c>
      <c r="D3025" s="25" t="s">
        <v>3409</v>
      </c>
      <c r="E3025" s="25" t="s">
        <v>3418</v>
      </c>
      <c r="G3025" s="25" t="s">
        <v>16</v>
      </c>
      <c r="H3025" s="25" t="s">
        <v>3419</v>
      </c>
      <c r="I3025" s="25" t="s">
        <v>3418</v>
      </c>
      <c r="K3025" s="25" t="s">
        <v>3420</v>
      </c>
      <c r="L3025" s="25" t="s">
        <v>3421</v>
      </c>
    </row>
    <row r="3026" spans="2:12" ht="15.75" customHeight="1">
      <c r="B3026" s="26" t="s">
        <v>26</v>
      </c>
      <c r="C3026" s="17">
        <f>SUMIF($D$12:$D$3011,"MRI Scanner",$F$12:$F$3011)</f>
        <v>3005000</v>
      </c>
      <c r="D3026" s="17">
        <f>SUMIF($D$12:$D$3011,"MRI Scanner",$G$12:$G$3011)</f>
        <v>54930000</v>
      </c>
      <c r="E3026" s="17">
        <f>SUMIF($D$12:$D$3011,"MRI Scanner",$H$12:$H$3011)</f>
        <v>51925000</v>
      </c>
      <c r="G3026" s="26" t="s">
        <v>27</v>
      </c>
      <c r="H3026" s="18">
        <f>AVERAGEIF($E$12:$E$3011,"Radiology",$I$12:$I$3011)</f>
        <v>0.55358361774744202</v>
      </c>
      <c r="I3026" s="17">
        <f>SUMIF($E$12:$E$3011,"Radiology",$H$12:$H$3011)</f>
        <v>219623500</v>
      </c>
      <c r="K3026" s="26" t="s">
        <v>28</v>
      </c>
      <c r="L3026" s="27">
        <f>COUNTIF($K$12:$K$3011,"Exceeds Target")</f>
        <v>3000</v>
      </c>
    </row>
    <row r="3027" spans="2:12" ht="15.75" customHeight="1">
      <c r="B3027" s="26" t="s">
        <v>35</v>
      </c>
      <c r="C3027" s="17">
        <f>SUMIF($D$12:$D$3011,"CT Scanner",$F$12:$F$3011)</f>
        <v>1680000</v>
      </c>
      <c r="D3027" s="17">
        <f>SUMIF($D$12:$D$3011,"CT Scanner",$G$12:$G$3011)</f>
        <v>101220000</v>
      </c>
      <c r="E3027" s="17">
        <f>SUMIF($D$12:$D$3011,"CT Scanner",$H$12:$H$3011)</f>
        <v>99540000</v>
      </c>
      <c r="G3027" s="26" t="s">
        <v>70</v>
      </c>
      <c r="H3027" s="18">
        <f>AVERAGEIF($E$12:$E$3011,"Women's Health",$I$12:$I$3011)</f>
        <v>0.62378048780487849</v>
      </c>
      <c r="I3027" s="17">
        <f>SUMIF($E$12:$E$3011,"Women's Health",$H$12:$H$3011)</f>
        <v>58319000</v>
      </c>
      <c r="K3027" s="26" t="s">
        <v>3422</v>
      </c>
      <c r="L3027" s="27">
        <f>COUNTIF($K$12:$K$3011,"Positive")</f>
        <v>0</v>
      </c>
    </row>
    <row r="3028" spans="2:12" ht="15.75" customHeight="1">
      <c r="B3028" s="26" t="s">
        <v>32</v>
      </c>
      <c r="C3028" s="17">
        <f>SUMIF($D$12:$D$3011,"X-Ray Machine",$F$12:$F$3011)</f>
        <v>892500</v>
      </c>
      <c r="D3028" s="17">
        <f>SUMIF($D$12:$D$3011,"X-Ray Machine",$G$12:$G$3011)</f>
        <v>22092000</v>
      </c>
      <c r="E3028" s="17">
        <f>SUMIF($D$12:$D$3011,"X-Ray Machine",$H$12:$H$3011)</f>
        <v>21199500</v>
      </c>
      <c r="G3028" s="26"/>
      <c r="H3028" s="28"/>
      <c r="I3028" s="28"/>
      <c r="K3028" s="26" t="s">
        <v>3423</v>
      </c>
      <c r="L3028" s="27">
        <f>COUNTIF($K$12:$K$3011,"Negative")</f>
        <v>0</v>
      </c>
    </row>
    <row r="3029" spans="2:12" ht="15.75" customHeight="1">
      <c r="B3029" s="26" t="s">
        <v>69</v>
      </c>
      <c r="C3029" s="17">
        <f>SUMIF($D$12:$D$3011,"Mammography Unit",$F$12:$F$3011)</f>
        <v>656000</v>
      </c>
      <c r="D3029" s="17">
        <f>SUMIF($D$12:$D$3011,"Mammography Unit",$G$12:$G$3011)</f>
        <v>58975000</v>
      </c>
      <c r="E3029" s="17">
        <f>SUMIF($D$12:$D$3011,"Mammography Unit",$H$12:$H$3011)</f>
        <v>58319000</v>
      </c>
      <c r="G3029" s="26"/>
      <c r="H3029" s="28"/>
      <c r="I3029" s="28"/>
    </row>
    <row r="3030" spans="2:12" ht="15" customHeight="1">
      <c r="G3030" s="26"/>
      <c r="H3030" s="28"/>
      <c r="I3030" s="28"/>
    </row>
    <row r="3031" spans="2:12" ht="15" customHeight="1">
      <c r="G3031" s="26"/>
      <c r="H3031" s="28"/>
      <c r="I3031" s="28"/>
    </row>
    <row r="3032" spans="2:12" ht="15" customHeight="1">
      <c r="B3032" s="24" t="s">
        <v>3424</v>
      </c>
      <c r="G3032" s="26"/>
      <c r="H3032" s="28"/>
      <c r="I3032" s="28"/>
    </row>
    <row r="3033" spans="2:12" ht="15.75" customHeight="1">
      <c r="B3033" s="25" t="s">
        <v>3425</v>
      </c>
      <c r="C3033" s="25" t="s">
        <v>3426</v>
      </c>
      <c r="D3033" s="25" t="s">
        <v>3419</v>
      </c>
      <c r="G3033" s="26"/>
      <c r="H3033" s="28"/>
      <c r="I3033" s="28"/>
    </row>
    <row r="3034" spans="2:12" ht="15.75" customHeight="1">
      <c r="B3034" s="26" t="s">
        <v>26</v>
      </c>
      <c r="C3034" s="18">
        <f>AVERAGEIF($D$12:$D$3011,"MRI Scanner",$J$12:$J$3011)</f>
        <v>17.279534109816971</v>
      </c>
      <c r="D3034" s="18">
        <f>AVERAGEIF($D$12:$D$3011,"MRI Scanner",$I$12:$I$3011)</f>
        <v>0.19204658901830285</v>
      </c>
      <c r="G3034" s="26"/>
      <c r="H3034" s="28"/>
      <c r="I3034" s="28"/>
    </row>
    <row r="3035" spans="2:12" ht="15.75" customHeight="1">
      <c r="B3035" s="26" t="s">
        <v>35</v>
      </c>
      <c r="C3035" s="18">
        <f>AVERAGEIF($D$12:$D$3011,"CT Scanner",$J$12:$J$3011)</f>
        <v>59.250000000000014</v>
      </c>
      <c r="D3035" s="18">
        <f>AVERAGEIF($D$12:$D$3011,"CT Scanner",$I$12:$I$3011)</f>
        <v>0.61048214285714231</v>
      </c>
      <c r="G3035" s="26"/>
      <c r="H3035" s="28"/>
      <c r="I3035" s="28"/>
    </row>
    <row r="3036" spans="2:12" ht="15.75" customHeight="1">
      <c r="B3036" s="26" t="s">
        <v>32</v>
      </c>
      <c r="C3036" s="18">
        <f>AVERAGEIF($D$12:$D$3011,"X-Ray Machine",$J$12:$J$3011)</f>
        <v>23.752941176470578</v>
      </c>
      <c r="D3036" s="18">
        <f>AVERAGEIF($D$12:$D$3011,"X-Ray Machine",$I$12:$I$3011)</f>
        <v>0.61870588235294099</v>
      </c>
      <c r="G3036" s="26"/>
      <c r="H3036" s="28"/>
      <c r="I3036" s="28"/>
    </row>
    <row r="3037" spans="2:12" ht="15.75" customHeight="1">
      <c r="B3037" s="26" t="s">
        <v>69</v>
      </c>
      <c r="C3037" s="18">
        <f>AVERAGEIF($D$12:$D$3011,"Mammography Unit",$J$12:$J$3011)</f>
        <v>88.900914634146346</v>
      </c>
      <c r="D3037" s="18">
        <f>AVERAGEIF($D$12:$D$3011,"Mammography Unit",$I$12:$I$3011)</f>
        <v>0.62378048780487849</v>
      </c>
      <c r="G3037" s="26"/>
      <c r="H3037" s="28"/>
      <c r="I3037" s="28"/>
    </row>
    <row r="3040" spans="2:12" ht="15" customHeight="1">
      <c r="B3040" s="24"/>
    </row>
    <row r="3041" spans="2:4" ht="15" customHeight="1">
      <c r="B3041" s="25"/>
      <c r="C3041" s="25"/>
      <c r="D3041" s="25"/>
    </row>
    <row r="3042" spans="2:4" ht="15" customHeight="1">
      <c r="B3042" s="26"/>
      <c r="C3042" s="28"/>
      <c r="D3042" s="18"/>
    </row>
    <row r="3043" spans="2:4" ht="15" customHeight="1">
      <c r="B3043" s="26"/>
      <c r="C3043" s="28"/>
      <c r="D3043" s="18"/>
    </row>
    <row r="3044" spans="2:4" ht="15" customHeight="1">
      <c r="B3044" s="26"/>
      <c r="C3044" s="28"/>
      <c r="D3044" s="18"/>
    </row>
    <row r="3046" spans="2:4" ht="15" customHeight="1">
      <c r="B3046" s="29" t="s">
        <v>3427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1EE8-5398-5A1D-16BC-9C720B5545B7}">
  <dimension ref="B2:I57"/>
  <sheetViews>
    <sheetView showGridLines="0" tabSelected="1" workbookViewId="0">
      <selection activeCell="B4" sqref="B4"/>
    </sheetView>
  </sheetViews>
  <sheetFormatPr defaultColWidth="8.88671875" defaultRowHeight="15" customHeight="1"/>
  <cols>
    <col min="2" max="2" width="36.21875" customWidth="1"/>
    <col min="3" max="4" width="15.6640625" customWidth="1"/>
    <col min="5" max="5" width="14.33203125" customWidth="1"/>
    <col min="6" max="6" width="15.6640625" customWidth="1"/>
    <col min="7" max="7" width="17.109375" customWidth="1"/>
    <col min="8" max="8" width="18.5546875" customWidth="1"/>
  </cols>
  <sheetData>
    <row r="2" spans="2:9" ht="15" customHeight="1">
      <c r="B2" s="30" t="s">
        <v>3434</v>
      </c>
    </row>
    <row r="4" spans="2:9" ht="15" customHeight="1">
      <c r="B4" s="31" t="s">
        <v>3435</v>
      </c>
      <c r="C4" s="32"/>
      <c r="D4" s="32"/>
      <c r="E4" s="32"/>
      <c r="F4" s="32"/>
      <c r="G4" s="32"/>
      <c r="H4" s="32"/>
      <c r="I4" s="32"/>
    </row>
    <row r="5" spans="2:9" ht="15" customHeight="1">
      <c r="B5" s="32"/>
      <c r="C5" s="32"/>
      <c r="D5" s="32"/>
      <c r="E5" s="32"/>
      <c r="F5" s="32"/>
      <c r="G5" s="32"/>
      <c r="H5" s="32"/>
      <c r="I5" s="32"/>
    </row>
    <row r="6" spans="2:9" ht="15" customHeight="1">
      <c r="B6" s="33" t="s">
        <v>15</v>
      </c>
      <c r="C6" s="33" t="s">
        <v>3436</v>
      </c>
      <c r="D6" s="33" t="s">
        <v>3437</v>
      </c>
      <c r="E6" s="33" t="s">
        <v>3438</v>
      </c>
      <c r="F6" s="33" t="s">
        <v>3439</v>
      </c>
      <c r="G6" s="33" t="s">
        <v>3440</v>
      </c>
      <c r="H6" s="33" t="s">
        <v>3441</v>
      </c>
      <c r="I6" s="32"/>
    </row>
    <row r="7" spans="2:9" ht="15.75" customHeight="1">
      <c r="B7" s="34" t="s">
        <v>26</v>
      </c>
      <c r="C7" s="35">
        <f>AVERAGEIF(ROI_Analysis!$D$12:$D$3011,"MRI Scanner",ROI_Analysis!$I$12:$I$3011)</f>
        <v>0.19204658901830285</v>
      </c>
      <c r="D7" s="35">
        <f>_xlfn.MAXIFS(ROI_Analysis!$I$12:$I$3011,ROI_Analysis!$D$12:$D$3011,"MRI Scanner")</f>
        <v>0.5</v>
      </c>
      <c r="E7" s="35">
        <f>_xlfn.MINIFS(ROI_Analysis!$I$12:$I$3011,ROI_Analysis!$D$12:$D$3011,"MRI Scanner")</f>
        <v>0.03</v>
      </c>
      <c r="F7" s="35">
        <f t="shared" ref="F7:F10" si="0">(D7-E7)/4</f>
        <v>0.11749999999999999</v>
      </c>
      <c r="G7" s="36">
        <f>COUNTIF(ROI_Analysis!$D$12:$D$3011,"MRI Scanner")</f>
        <v>601</v>
      </c>
      <c r="H7" s="35">
        <f t="shared" ref="H7:H10" si="1">C7</f>
        <v>0.19204658901830285</v>
      </c>
      <c r="I7" s="32"/>
    </row>
    <row r="8" spans="2:9" ht="15.75" customHeight="1">
      <c r="B8" s="34" t="s">
        <v>35</v>
      </c>
      <c r="C8" s="35">
        <f>AVERAGEIF(ROI_Analysis!$D$12:$D$3011,"CT Scanner",ROI_Analysis!$I$12:$I$3011)</f>
        <v>0.61048214285714231</v>
      </c>
      <c r="D8" s="35">
        <f>_xlfn.MAXIFS(ROI_Analysis!$I$12:$I$3011,ROI_Analysis!$D$12:$D$3011,"CT Scanner")</f>
        <v>1</v>
      </c>
      <c r="E8" s="35">
        <f>_xlfn.MINIFS(ROI_Analysis!$I$12:$I$3011,ROI_Analysis!$D$12:$D$3011,"CT Scanner")</f>
        <v>0.18</v>
      </c>
      <c r="F8" s="35">
        <f t="shared" si="0"/>
        <v>0.20500000000000002</v>
      </c>
      <c r="G8" s="36">
        <f>COUNTIF(ROI_Analysis!$D$12:$D$3011,"CT Scanner")</f>
        <v>560</v>
      </c>
      <c r="H8" s="35">
        <f t="shared" si="1"/>
        <v>0.61048214285714231</v>
      </c>
      <c r="I8" s="32"/>
    </row>
    <row r="9" spans="2:9" ht="15.75" customHeight="1">
      <c r="B9" s="34" t="s">
        <v>32</v>
      </c>
      <c r="C9" s="35">
        <f>AVERAGEIF(ROI_Analysis!$D$12:$D$3011,"X-Ray Machine",ROI_Analysis!$I$12:$I$3011)</f>
        <v>0.61870588235294099</v>
      </c>
      <c r="D9" s="35">
        <f>_xlfn.MAXIFS(ROI_Analysis!$I$12:$I$3011,ROI_Analysis!$D$12:$D$3011,"X-Ray Machine")</f>
        <v>1</v>
      </c>
      <c r="E9" s="35">
        <f>_xlfn.MINIFS(ROI_Analysis!$I$12:$I$3011,ROI_Analysis!$D$12:$D$3011,"X-Ray Machine")</f>
        <v>0.16</v>
      </c>
      <c r="F9" s="35">
        <f t="shared" si="0"/>
        <v>0.21</v>
      </c>
      <c r="G9" s="36">
        <f>COUNTIF(ROI_Analysis!$D$12:$D$3011,"X-Ray Machine")</f>
        <v>595</v>
      </c>
      <c r="H9" s="35">
        <f t="shared" si="1"/>
        <v>0.61870588235294099</v>
      </c>
      <c r="I9" s="32"/>
    </row>
    <row r="10" spans="2:9" ht="15.75" customHeight="1">
      <c r="B10" s="34" t="s">
        <v>69</v>
      </c>
      <c r="C10" s="35">
        <f>AVERAGEIF(ROI_Analysis!$D$12:$D$3011,"Mammography Unit",ROI_Analysis!$I$12:$I$3011)</f>
        <v>0.62378048780487849</v>
      </c>
      <c r="D10" s="35">
        <f>_xlfn.MAXIFS(ROI_Analysis!$I$12:$I$3011,ROI_Analysis!$D$12:$D$3011,"Mammography Unit")</f>
        <v>1</v>
      </c>
      <c r="E10" s="35">
        <f>_xlfn.MINIFS(ROI_Analysis!$I$12:$I$3011,ROI_Analysis!$D$12:$D$3011,"Mammography Unit")</f>
        <v>0.15</v>
      </c>
      <c r="F10" s="35">
        <f t="shared" si="0"/>
        <v>0.21249999999999999</v>
      </c>
      <c r="G10" s="36">
        <f>COUNTIF(ROI_Analysis!$D$12:$D$3011,"Mammography Unit")</f>
        <v>656</v>
      </c>
      <c r="H10" s="35">
        <f t="shared" si="1"/>
        <v>0.62378048780487849</v>
      </c>
      <c r="I10" s="32"/>
    </row>
    <row r="12" spans="2:9" ht="15" customHeight="1">
      <c r="B12" s="37" t="s">
        <v>3442</v>
      </c>
      <c r="C12" s="32"/>
      <c r="D12" s="32"/>
      <c r="E12" s="32"/>
      <c r="F12" s="32"/>
      <c r="G12" s="32"/>
    </row>
    <row r="13" spans="2:9" ht="15" customHeight="1">
      <c r="B13" s="32"/>
      <c r="C13" s="32"/>
      <c r="D13" s="32"/>
      <c r="E13" s="32"/>
      <c r="F13" s="32"/>
      <c r="G13" s="32"/>
    </row>
    <row r="14" spans="2:9" ht="15" customHeight="1">
      <c r="B14" s="38" t="s">
        <v>3443</v>
      </c>
      <c r="C14" s="32"/>
      <c r="D14" s="32"/>
      <c r="E14" s="32"/>
      <c r="F14" s="32"/>
      <c r="G14" s="32"/>
    </row>
    <row r="15" spans="2:9" ht="15" customHeight="1">
      <c r="B15" s="39" t="s">
        <v>15</v>
      </c>
      <c r="C15" s="39" t="s">
        <v>3444</v>
      </c>
      <c r="D15" s="39" t="s">
        <v>3445</v>
      </c>
      <c r="E15" s="39" t="s">
        <v>3446</v>
      </c>
      <c r="F15" s="39" t="s">
        <v>3447</v>
      </c>
      <c r="G15" s="39" t="s">
        <v>3448</v>
      </c>
    </row>
    <row r="16" spans="2:9" ht="15.75" customHeight="1">
      <c r="B16" s="34" t="s">
        <v>26</v>
      </c>
      <c r="C16" s="35">
        <v>0.65</v>
      </c>
      <c r="D16" s="35">
        <f t="shared" ref="D16:D19" si="2">C7</f>
        <v>0.19204658901830285</v>
      </c>
      <c r="E16" s="35">
        <f t="shared" ref="E16:E19" si="3">D16-C16</f>
        <v>-0.45795341098169717</v>
      </c>
      <c r="F16" s="34" t="str">
        <f t="shared" ref="F16:F19" si="4">IF(E16&gt;=0,"Meets/Exceeds Target","Below Target")</f>
        <v>Below Target</v>
      </c>
      <c r="G16" s="35">
        <f t="shared" ref="G16:G19" si="5">ABS(E16)</f>
        <v>0.45795341098169717</v>
      </c>
    </row>
    <row r="17" spans="2:8" ht="15.75" customHeight="1">
      <c r="B17" s="34" t="s">
        <v>35</v>
      </c>
      <c r="C17" s="35">
        <v>0.7</v>
      </c>
      <c r="D17" s="35">
        <f t="shared" si="2"/>
        <v>0.61048214285714231</v>
      </c>
      <c r="E17" s="35">
        <f t="shared" si="3"/>
        <v>-8.9517857142857649E-2</v>
      </c>
      <c r="F17" s="34" t="str">
        <f t="shared" si="4"/>
        <v>Below Target</v>
      </c>
      <c r="G17" s="35">
        <f t="shared" si="5"/>
        <v>8.9517857142857649E-2</v>
      </c>
    </row>
    <row r="18" spans="2:8" ht="15.75" customHeight="1">
      <c r="B18" s="34" t="s">
        <v>32</v>
      </c>
      <c r="C18" s="35">
        <v>0.75</v>
      </c>
      <c r="D18" s="35">
        <f t="shared" si="2"/>
        <v>0.61870588235294099</v>
      </c>
      <c r="E18" s="35">
        <f t="shared" si="3"/>
        <v>-0.13129411764705901</v>
      </c>
      <c r="F18" s="34" t="str">
        <f t="shared" si="4"/>
        <v>Below Target</v>
      </c>
      <c r="G18" s="35">
        <f t="shared" si="5"/>
        <v>0.13129411764705901</v>
      </c>
    </row>
    <row r="19" spans="2:8" ht="15.75" customHeight="1">
      <c r="B19" s="34" t="s">
        <v>69</v>
      </c>
      <c r="C19" s="35">
        <v>0.7</v>
      </c>
      <c r="D19" s="35">
        <f t="shared" si="2"/>
        <v>0.62378048780487849</v>
      </c>
      <c r="E19" s="35">
        <f t="shared" si="3"/>
        <v>-7.6219512195121464E-2</v>
      </c>
      <c r="F19" s="34" t="str">
        <f t="shared" si="4"/>
        <v>Below Target</v>
      </c>
      <c r="G19" s="35">
        <f t="shared" si="5"/>
        <v>7.6219512195121464E-2</v>
      </c>
    </row>
    <row r="21" spans="2:8" ht="15" customHeight="1">
      <c r="B21" s="40" t="s">
        <v>3449</v>
      </c>
    </row>
    <row r="23" spans="2:8" ht="15" customHeight="1">
      <c r="B23" s="41" t="s">
        <v>15</v>
      </c>
      <c r="C23" s="41" t="s">
        <v>3450</v>
      </c>
      <c r="D23" s="41" t="s">
        <v>3451</v>
      </c>
      <c r="E23" s="41" t="s">
        <v>3452</v>
      </c>
      <c r="F23" s="41" t="s">
        <v>3453</v>
      </c>
      <c r="G23" s="41" t="s">
        <v>3454</v>
      </c>
      <c r="H23" s="41" t="s">
        <v>3455</v>
      </c>
    </row>
    <row r="24" spans="2:8" ht="15.75" customHeight="1">
      <c r="B24" s="42" t="s">
        <v>26</v>
      </c>
      <c r="C24" s="42" t="s">
        <v>3456</v>
      </c>
      <c r="D24" s="42" t="s">
        <v>3456</v>
      </c>
      <c r="E24" s="43">
        <f t="shared" ref="E24:E27" si="6">1-C7</f>
        <v>0.80795341098169715</v>
      </c>
      <c r="F24" s="43">
        <f t="shared" ref="F24:F27" si="7">C7</f>
        <v>0.19204658901830285</v>
      </c>
      <c r="G24" s="44">
        <f>AVERAGEIF(ROI_Analysis!$D$12:$D$3011,"MRI Scanner",ROI_Analysis!$H$12:$H$3011)</f>
        <v>86397.670549084854</v>
      </c>
      <c r="H24" s="45">
        <f>AVERAGEIF(ROI_Analysis!$D$12:$D$3011,"MRI Scanner",ROI_Analysis!$G$12:$G$3011)</f>
        <v>91397.670549084854</v>
      </c>
    </row>
    <row r="25" spans="2:8" ht="15.75" customHeight="1">
      <c r="B25" s="42" t="s">
        <v>35</v>
      </c>
      <c r="C25" s="42" t="s">
        <v>3456</v>
      </c>
      <c r="D25" s="42" t="s">
        <v>3456</v>
      </c>
      <c r="E25" s="43">
        <f t="shared" si="6"/>
        <v>0.38951785714285769</v>
      </c>
      <c r="F25" s="43">
        <f t="shared" si="7"/>
        <v>0.61048214285714231</v>
      </c>
      <c r="G25" s="44">
        <f>AVERAGEIF(ROI_Analysis!$D$12:$D$3011,"CT Scanner",ROI_Analysis!$H$12:$H$3011)</f>
        <v>177750</v>
      </c>
      <c r="H25" s="45">
        <f>AVERAGEIF(ROI_Analysis!$D$12:$D$3011,"CT Scanner",ROI_Analysis!$G$12:$G$3011)</f>
        <v>180750</v>
      </c>
    </row>
    <row r="26" spans="2:8" ht="15.75" customHeight="1">
      <c r="B26" s="42" t="s">
        <v>32</v>
      </c>
      <c r="C26" s="42" t="s">
        <v>3456</v>
      </c>
      <c r="D26" s="42" t="s">
        <v>3456</v>
      </c>
      <c r="E26" s="43">
        <f t="shared" si="6"/>
        <v>0.38129411764705901</v>
      </c>
      <c r="F26" s="43">
        <f t="shared" si="7"/>
        <v>0.61870588235294099</v>
      </c>
      <c r="G26" s="44">
        <f>AVERAGEIF(ROI_Analysis!$D$12:$D$3011,"X-Ray Machine",ROI_Analysis!$H$12:$H$3011)</f>
        <v>35629.411764705881</v>
      </c>
      <c r="H26" s="45">
        <f>AVERAGEIF(ROI_Analysis!$D$12:$D$3011,"X-Ray Machine",ROI_Analysis!$G$12:$G$3011)</f>
        <v>37129.411764705881</v>
      </c>
    </row>
    <row r="27" spans="2:8" ht="15.75" customHeight="1">
      <c r="B27" s="42" t="s">
        <v>69</v>
      </c>
      <c r="C27" s="42" t="s">
        <v>3456</v>
      </c>
      <c r="D27" s="42" t="s">
        <v>3456</v>
      </c>
      <c r="E27" s="43">
        <f t="shared" si="6"/>
        <v>0.37621951219512151</v>
      </c>
      <c r="F27" s="43">
        <f t="shared" si="7"/>
        <v>0.62378048780487849</v>
      </c>
      <c r="G27" s="44">
        <f>AVERAGEIF(ROI_Analysis!$D$12:$D$3011,"Mammography Unit",ROI_Analysis!$H$12:$H$3011)</f>
        <v>88900.914634146335</v>
      </c>
      <c r="H27" s="45">
        <f>AVERAGEIF(ROI_Analysis!$D$12:$D$3011,"Mammography Unit",ROI_Analysis!$G$12:$G$3011)</f>
        <v>89900.914634146335</v>
      </c>
    </row>
    <row r="29" spans="2:8" ht="15" customHeight="1">
      <c r="B29" s="46" t="s">
        <v>3457</v>
      </c>
    </row>
    <row r="31" spans="2:8" ht="15" customHeight="1">
      <c r="B31" s="47" t="s">
        <v>3458</v>
      </c>
    </row>
    <row r="32" spans="2:8" ht="15" customHeight="1">
      <c r="B32" s="48" t="s">
        <v>3459</v>
      </c>
      <c r="C32" s="48" t="s">
        <v>3460</v>
      </c>
    </row>
    <row r="33" spans="2:3" ht="15.75" customHeight="1">
      <c r="B33" s="42" t="s">
        <v>3461</v>
      </c>
      <c r="C33" s="43">
        <f>AVERAGE(C7:C10)</f>
        <v>0.51125377550831619</v>
      </c>
    </row>
    <row r="34" spans="2:3" ht="15.75" customHeight="1">
      <c r="B34" s="42" t="s">
        <v>3462</v>
      </c>
      <c r="C34" s="42" t="str">
        <f>INDEX(B7:B10,MATCH(MAX(C7:C10),C7:C10,0))</f>
        <v>Mammography Unit</v>
      </c>
    </row>
    <row r="35" spans="2:3" ht="15.75" customHeight="1">
      <c r="B35" s="42" t="s">
        <v>3463</v>
      </c>
      <c r="C35" s="42" t="str">
        <f>INDEX(B7:B10,MATCH(MIN(C7:C10),C7:C10,0))</f>
        <v>MRI Scanner</v>
      </c>
    </row>
    <row r="36" spans="2:3" ht="15.75" customHeight="1">
      <c r="B36" s="42" t="s">
        <v>3464</v>
      </c>
      <c r="C36" s="44">
        <f>COUNTIF(F16:F19,"Below Target")</f>
        <v>4</v>
      </c>
    </row>
    <row r="37" spans="2:3" ht="15.75" customHeight="1">
      <c r="B37" s="42" t="s">
        <v>3465</v>
      </c>
      <c r="C37" s="43">
        <f>AVERAGE(G16:G19)</f>
        <v>0.18874622449168382</v>
      </c>
    </row>
    <row r="38" spans="2:3" ht="15.75" customHeight="1">
      <c r="B38" s="42" t="s">
        <v>3466</v>
      </c>
      <c r="C38" s="42" t="str">
        <f>INDEX(B24:B27,MATCH(MAX(H24:H27),H24:H27,0))</f>
        <v>CT Scanner</v>
      </c>
    </row>
    <row r="40" spans="2:3" ht="15" customHeight="1">
      <c r="B40" s="49" t="s">
        <v>3467</v>
      </c>
    </row>
    <row r="42" spans="2:3" ht="15" customHeight="1">
      <c r="B42" s="50" t="s">
        <v>3468</v>
      </c>
    </row>
    <row r="43" spans="2:3" ht="15" customHeight="1">
      <c r="B43" s="50" t="s">
        <v>3469</v>
      </c>
    </row>
    <row r="44" spans="2:3" ht="15" customHeight="1">
      <c r="B44" s="50" t="s">
        <v>3470</v>
      </c>
    </row>
    <row r="45" spans="2:3" ht="15" customHeight="1">
      <c r="B45" s="50" t="s">
        <v>3471</v>
      </c>
    </row>
    <row r="46" spans="2:3" ht="15" customHeight="1">
      <c r="B46" s="50">
        <v>0</v>
      </c>
    </row>
    <row r="47" spans="2:3" ht="15" customHeight="1">
      <c r="B47" s="50" t="s">
        <v>3472</v>
      </c>
    </row>
    <row r="48" spans="2:3" ht="15" customHeight="1">
      <c r="B48" s="50" t="s">
        <v>3473</v>
      </c>
    </row>
    <row r="49" spans="2:2" ht="15" customHeight="1">
      <c r="B49" s="50" t="s">
        <v>3474</v>
      </c>
    </row>
    <row r="50" spans="2:2" ht="15" customHeight="1">
      <c r="B50" s="50">
        <v>0</v>
      </c>
    </row>
    <row r="51" spans="2:2" ht="15" customHeight="1">
      <c r="B51" s="50" t="s">
        <v>3475</v>
      </c>
    </row>
    <row r="52" spans="2:2" ht="15" customHeight="1">
      <c r="B52" s="50" t="s">
        <v>3476</v>
      </c>
    </row>
    <row r="53" spans="2:2" ht="15" customHeight="1">
      <c r="B53" s="50" t="s">
        <v>3477</v>
      </c>
    </row>
    <row r="54" spans="2:2" ht="15" customHeight="1">
      <c r="B54" s="50">
        <v>0</v>
      </c>
    </row>
    <row r="55" spans="2:2" ht="15" customHeight="1">
      <c r="B55" s="50" t="s">
        <v>3478</v>
      </c>
    </row>
    <row r="56" spans="2:2" ht="15" customHeight="1">
      <c r="B56" s="50" t="s">
        <v>3479</v>
      </c>
    </row>
    <row r="57" spans="2:2" ht="15" customHeight="1">
      <c r="B57" s="50" t="s">
        <v>3480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D7C8-7D58-8E33-0248-7515289EA608}">
  <dimension ref="A1"/>
  <sheetViews>
    <sheetView showGridLines="0" workbookViewId="0"/>
  </sheetViews>
  <sheetFormatPr defaultColWidth="8.88671875" defaultRowHeight="15" customHeight="1"/>
  <sheetData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ROI_Analysis</vt:lpstr>
      <vt:lpstr>Utilization_Analysis</vt:lpstr>
      <vt:lpstr>Sheet2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USER</cp:lastModifiedBy>
  <dcterms:created xsi:type="dcterms:W3CDTF">2025-11-04T08:37:19Z</dcterms:created>
  <dcterms:modified xsi:type="dcterms:W3CDTF">2025-11-09T10:43:59Z</dcterms:modified>
</cp:coreProperties>
</file>