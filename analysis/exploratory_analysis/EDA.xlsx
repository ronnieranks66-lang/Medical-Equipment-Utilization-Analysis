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FFF7AE-375F-4934-B97B-8DA31CDCD9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ecutive_Summary" sheetId="1" r:id="rId1"/>
    <sheet name="Monthly_Trends" sheetId="2" r:id="rId2"/>
    <sheet name="Sheet1" sheetId="3" r:id="rId3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2" l="1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8" i="1"/>
  <c r="D8" i="1"/>
</calcChain>
</file>

<file path=xl/sharedStrings.xml><?xml version="1.0" encoding="utf-8"?>
<sst xmlns="http://schemas.openxmlformats.org/spreadsheetml/2006/main" count="24068" uniqueCount="3602">
  <si>
    <t>EXECUTIVE SUMMARY</t>
  </si>
  <si>
    <t>Medical Equipment Utilization Analysis - 2023</t>
  </si>
  <si>
    <t>KEY METRICS</t>
  </si>
  <si>
    <t>Total Records</t>
  </si>
  <si>
    <t>Total Procedures</t>
  </si>
  <si>
    <t>Avg Utilization</t>
  </si>
  <si>
    <t>Equipment Types</t>
  </si>
  <si>
    <t>3,000</t>
  </si>
  <si>
    <t>TOP FINDINGS</t>
  </si>
  <si>
    <t>1. Equipment Utilization Varies Significantly</t>
  </si>
  <si>
    <t xml:space="preserve">   • Ultrasound leads at 80.3% utilization</t>
  </si>
  <si>
    <t xml:space="preserve">   • MRI scanners underutilized at only 19.2%</t>
  </si>
  <si>
    <t xml:space="preserve">   • Gap represents potential capacity optimization opportunity</t>
  </si>
  <si>
    <t>2. Radiology Department Dominates Operations</t>
  </si>
  <si>
    <t xml:space="preserve">   • 78.1% of all records from Radiology</t>
  </si>
  <si>
    <t xml:space="preserve">   • 38,848 total procedures (76.7% of total)</t>
  </si>
  <si>
    <t xml:space="preserve">   • Women's Health represents growth opportunity</t>
  </si>
  <si>
    <t>3. Consistent Operations Throughout Week</t>
  </si>
  <si>
    <t xml:space="preserve">   • Weekend operations at 28.2% of total</t>
  </si>
  <si>
    <t xml:space="preserve">   • Minimal difference in utilization (weekday 57% vs weekend 56.7%)</t>
  </si>
  <si>
    <t xml:space="preserve">   • Suggests strong 7-day operational model</t>
  </si>
  <si>
    <t>RECOMMENDATIONS</t>
  </si>
  <si>
    <t>1. Optimize MRI Scanner Utilization</t>
  </si>
  <si>
    <t xml:space="preserve">   • Investigate causes of 19.2% utilization rate</t>
  </si>
  <si>
    <t xml:space="preserve">   • Consider scheduling optimization or marketing initiatives</t>
  </si>
  <si>
    <t xml:space="preserve">   • Potential to 3x volume based on equipment capacity</t>
  </si>
  <si>
    <t>2. Expand Women's Health Services</t>
  </si>
  <si>
    <t xml:space="preserve">   • Only 21.9% of operations despite high efficiency</t>
  </si>
  <si>
    <t xml:space="preserve">   • Mammography showing strong 62.4% utilization</t>
  </si>
  <si>
    <t xml:space="preserve">   • Market opportunity for growth</t>
  </si>
  <si>
    <t>3. Leverage Ultrasound Success</t>
  </si>
  <si>
    <t xml:space="preserve">   • 80.3% utilization demonstrates strong demand</t>
  </si>
  <si>
    <t xml:space="preserve">   • Consider adding capacity to meet excess demand</t>
  </si>
  <si>
    <t xml:space="preserve">   • Model can inform other equipment optimization</t>
  </si>
  <si>
    <t>MONTHLY TRENDS ANALYSIS</t>
  </si>
  <si>
    <t>Average Metrics by Month</t>
  </si>
  <si>
    <t>Month</t>
  </si>
  <si>
    <t>Avg Procedures</t>
  </si>
  <si>
    <t>Avg Operating Hours</t>
  </si>
  <si>
    <t>Record Count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</si>
  <si>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</si>
  <si>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</si>
  <si>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</si>
  <si>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</si>
  <si>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</si>
  <si>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</si>
  <si>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</si>
  <si>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</si>
  <si>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</si>
  <si>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</si>
  <si>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</si>
  <si>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</si>
  <si>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</t>
  </si>
  <si>
    <t>Equipment_ID</t>
  </si>
  <si>
    <t>Equipment_Type</t>
  </si>
  <si>
    <t>Department</t>
  </si>
  <si>
    <t>Available_Hours</t>
  </si>
  <si>
    <t>Actual_Operating_Hours</t>
  </si>
  <si>
    <t>Utilization_Rate</t>
  </si>
  <si>
    <t>Number_of_Procedures</t>
  </si>
  <si>
    <t>Cost_per_procedure</t>
  </si>
  <si>
    <t>Daily_Operating_Cost</t>
  </si>
  <si>
    <t>Procedure_Revenue</t>
  </si>
  <si>
    <t>Day_of_Week</t>
  </si>
  <si>
    <t>Is_Weekend</t>
  </si>
  <si>
    <t>Net-Profit (daily)</t>
  </si>
  <si>
    <t>12/22/2023</t>
  </si>
  <si>
    <t>MRI_0001</t>
  </si>
  <si>
    <t>MRI Scanner</t>
  </si>
  <si>
    <t>Radiology</t>
  </si>
  <si>
    <t>KES 30,000</t>
  </si>
  <si>
    <t>Friday</t>
  </si>
  <si>
    <t>KES 25,000</t>
  </si>
  <si>
    <t>1/24/2023</t>
  </si>
  <si>
    <t>XRAY_0002</t>
  </si>
  <si>
    <t>X-Ray Machine</t>
  </si>
  <si>
    <t>KES 40,000</t>
  </si>
  <si>
    <t>Tuesday</t>
  </si>
  <si>
    <t>KES 38,500</t>
  </si>
  <si>
    <t>12/19/2023</t>
  </si>
  <si>
    <t>CT_0003</t>
  </si>
  <si>
    <t>CT Scanner</t>
  </si>
  <si>
    <t>KES 70,000</t>
  </si>
  <si>
    <t>KES 67,000</t>
  </si>
  <si>
    <t>12/12/2023</t>
  </si>
  <si>
    <t>CT_0004</t>
  </si>
  <si>
    <t>KES 200,000</t>
  </si>
  <si>
    <t>KES 197,000</t>
  </si>
  <si>
    <t>12/31/2023</t>
  </si>
  <si>
    <t>XRAY_0005</t>
  </si>
  <si>
    <t>KES 44,000</t>
  </si>
  <si>
    <t>Sunday</t>
  </si>
  <si>
    <t>KES 42,500</t>
  </si>
  <si>
    <t>1/19/2023</t>
  </si>
  <si>
    <t>MRI_0006</t>
  </si>
  <si>
    <t>KES 120,000</t>
  </si>
  <si>
    <t>Thursday</t>
  </si>
  <si>
    <t>KES 115,000</t>
  </si>
  <si>
    <t>8/16/2023</t>
  </si>
  <si>
    <t>MRI_0007</t>
  </si>
  <si>
    <t>Wednesday</t>
  </si>
  <si>
    <t>2/20/2023</t>
  </si>
  <si>
    <t>CT_0008</t>
  </si>
  <si>
    <t>KES 100,000</t>
  </si>
  <si>
    <t>Monday</t>
  </si>
  <si>
    <t>KES 97,000</t>
  </si>
  <si>
    <t>10/20/2023</t>
  </si>
  <si>
    <t>MRI_0009</t>
  </si>
  <si>
    <t>KES 90,000</t>
  </si>
  <si>
    <t>KES 85,000</t>
  </si>
  <si>
    <t>4/26/2023</t>
  </si>
  <si>
    <t>MRI_0010</t>
  </si>
  <si>
    <t>KES 150,000</t>
  </si>
  <si>
    <t>KES 145,000</t>
  </si>
  <si>
    <t>5/6/2023</t>
  </si>
  <si>
    <t>CT_0011</t>
  </si>
  <si>
    <t>KES 140,000</t>
  </si>
  <si>
    <t>Saturday</t>
  </si>
  <si>
    <t>KES 137,000</t>
  </si>
  <si>
    <t>6/2/2023</t>
  </si>
  <si>
    <t>MRI_0012</t>
  </si>
  <si>
    <t>8/13/2023</t>
  </si>
  <si>
    <t>MRI_0013</t>
  </si>
  <si>
    <t>3/12/2023</t>
  </si>
  <si>
    <t>CT_0014</t>
  </si>
  <si>
    <t>KES 270,000</t>
  </si>
  <si>
    <t>KES 267,000</t>
  </si>
  <si>
    <t>5/27/2023</t>
  </si>
  <si>
    <t>MAMMO_0015</t>
  </si>
  <si>
    <t>Mammography Unit</t>
  </si>
  <si>
    <t>Women's Health</t>
  </si>
  <si>
    <t>KES 105,000</t>
  </si>
  <si>
    <t>KES 104,000</t>
  </si>
  <si>
    <t>MAMMO_0016</t>
  </si>
  <si>
    <t>KES 110,000</t>
  </si>
  <si>
    <t>KES 109,000</t>
  </si>
  <si>
    <t>2/16/2023</t>
  </si>
  <si>
    <t>CT_0017</t>
  </si>
  <si>
    <t>KES 250,000</t>
  </si>
  <si>
    <t>KES 247,000</t>
  </si>
  <si>
    <t>11/2/2023</t>
  </si>
  <si>
    <t>CT_0018</t>
  </si>
  <si>
    <t>KES 180,000</t>
  </si>
  <si>
    <t>KES 177,000</t>
  </si>
  <si>
    <t>5/24/2023</t>
  </si>
  <si>
    <t>MAMMO_0019</t>
  </si>
  <si>
    <t>KES 144,000</t>
  </si>
  <si>
    <t>4/5/2023</t>
  </si>
  <si>
    <t>US_0020</t>
  </si>
  <si>
    <t>Ultrasound</t>
  </si>
  <si>
    <t>KES 54,000</t>
  </si>
  <si>
    <t>KES 53,000</t>
  </si>
  <si>
    <t>9/29/2023</t>
  </si>
  <si>
    <t>US_0021</t>
  </si>
  <si>
    <t>KES 108,000</t>
  </si>
  <si>
    <t>KES 107,000</t>
  </si>
  <si>
    <t>8/1/2023</t>
  </si>
  <si>
    <t>MAMMO_0022</t>
  </si>
  <si>
    <t>KES 50,000</t>
  </si>
  <si>
    <t>KES 49,000</t>
  </si>
  <si>
    <t>6/16/2023</t>
  </si>
  <si>
    <t>MRI_0023</t>
  </si>
  <si>
    <t>KES 60,000</t>
  </si>
  <si>
    <t>KES 55,000</t>
  </si>
  <si>
    <t>12/29/2023</t>
  </si>
  <si>
    <t>MAMMO_0024</t>
  </si>
  <si>
    <t>KES 89,000</t>
  </si>
  <si>
    <t>10/2/2023</t>
  </si>
  <si>
    <t>MAMMO_0025</t>
  </si>
  <si>
    <t>KES 99,000</t>
  </si>
  <si>
    <t>5/4/2023</t>
  </si>
  <si>
    <t>MAMMO_0026</t>
  </si>
  <si>
    <t>KES 135,000</t>
  </si>
  <si>
    <t>KES 134,000</t>
  </si>
  <si>
    <t>8/8/2023</t>
  </si>
  <si>
    <t>US_0027</t>
  </si>
  <si>
    <t>KES 84,000</t>
  </si>
  <si>
    <t>KES 83,000</t>
  </si>
  <si>
    <t>8/27/2023</t>
  </si>
  <si>
    <t>MAMMO_0028</t>
  </si>
  <si>
    <t>KES 59,000</t>
  </si>
  <si>
    <t>3/3/2023</t>
  </si>
  <si>
    <t>US_0029</t>
  </si>
  <si>
    <t>12/6/2023</t>
  </si>
  <si>
    <t>CT_0030</t>
  </si>
  <si>
    <t>KES 300,000</t>
  </si>
  <si>
    <t>KES 297,000</t>
  </si>
  <si>
    <t>1/11/2023</t>
  </si>
  <si>
    <t>MRI_0031</t>
  </si>
  <si>
    <t>12/11/2023</t>
  </si>
  <si>
    <t>MAMMO_0032</t>
  </si>
  <si>
    <t>10/27/2023</t>
  </si>
  <si>
    <t>CT_0033</t>
  </si>
  <si>
    <t>11/25/2023</t>
  </si>
  <si>
    <t>MAMMO_0034</t>
  </si>
  <si>
    <t>KES 149,000</t>
  </si>
  <si>
    <t>8/2/2023</t>
  </si>
  <si>
    <t>CT_0035</t>
  </si>
  <si>
    <t>KES 57,000</t>
  </si>
  <si>
    <t>5/3/2023</t>
  </si>
  <si>
    <t>MRI_0036</t>
  </si>
  <si>
    <t>11/28/2023</t>
  </si>
  <si>
    <t>CT_0037</t>
  </si>
  <si>
    <t>KES 130,000</t>
  </si>
  <si>
    <t>KES 127,000</t>
  </si>
  <si>
    <t>9/13/2023</t>
  </si>
  <si>
    <t>XRAY_0038</t>
  </si>
  <si>
    <t>KES 46,000</t>
  </si>
  <si>
    <t>KES 44,500</t>
  </si>
  <si>
    <t>10/23/2023</t>
  </si>
  <si>
    <t>XRAY_0039</t>
  </si>
  <si>
    <t>KES 26,000</t>
  </si>
  <si>
    <t>KES 24,500</t>
  </si>
  <si>
    <t>8/11/2023</t>
  </si>
  <si>
    <t>MRI_0040</t>
  </si>
  <si>
    <t>9/23/2023</t>
  </si>
  <si>
    <t>US_0041</t>
  </si>
  <si>
    <t>KES 119,000</t>
  </si>
  <si>
    <t>6/20/2023</t>
  </si>
  <si>
    <t>MAMMO_0042</t>
  </si>
  <si>
    <t>KES 114,000</t>
  </si>
  <si>
    <t>10/13/2023</t>
  </si>
  <si>
    <t>MAMMO_0043</t>
  </si>
  <si>
    <t>6/29/2023</t>
  </si>
  <si>
    <t>XRAY_0044</t>
  </si>
  <si>
    <t>KES 36,000</t>
  </si>
  <si>
    <t>KES 34,500</t>
  </si>
  <si>
    <t>2/7/2023</t>
  </si>
  <si>
    <t>MAMMO_0045</t>
  </si>
  <si>
    <t>KES 69,000</t>
  </si>
  <si>
    <t>1/22/2023</t>
  </si>
  <si>
    <t>CT_0046</t>
  </si>
  <si>
    <t>6/4/2023</t>
  </si>
  <si>
    <t>CT_0047</t>
  </si>
  <si>
    <t>KES 147,000</t>
  </si>
  <si>
    <t>6/25/2023</t>
  </si>
  <si>
    <t>XRAY_0048</t>
  </si>
  <si>
    <t>10/3/2023</t>
  </si>
  <si>
    <t>MRI_0049</t>
  </si>
  <si>
    <t>12/15/2023</t>
  </si>
  <si>
    <t>XRAY_0050</t>
  </si>
  <si>
    <t>KES 14,000</t>
  </si>
  <si>
    <t>KES 12,500</t>
  </si>
  <si>
    <t>1/7/2023</t>
  </si>
  <si>
    <t>MAMMO_0051</t>
  </si>
  <si>
    <t>KES 125,000</t>
  </si>
  <si>
    <t>KES 124,000</t>
  </si>
  <si>
    <t>6/28/2023</t>
  </si>
  <si>
    <t>US_0052</t>
  </si>
  <si>
    <t>KES 68,000</t>
  </si>
  <si>
    <t>MRI_0053</t>
  </si>
  <si>
    <t>MAMMO_0054</t>
  </si>
  <si>
    <t>CT_0055</t>
  </si>
  <si>
    <t>MRI_0056</t>
  </si>
  <si>
    <t>MRI_0057</t>
  </si>
  <si>
    <t>8/17/2023</t>
  </si>
  <si>
    <t>US_0058</t>
  </si>
  <si>
    <t>KES 117,000</t>
  </si>
  <si>
    <t>KES 116,000</t>
  </si>
  <si>
    <t>MRI_0059</t>
  </si>
  <si>
    <t>10/19/2023</t>
  </si>
  <si>
    <t>US_0060</t>
  </si>
  <si>
    <t>KES 56,000</t>
  </si>
  <si>
    <t>5/18/2023</t>
  </si>
  <si>
    <t>XRAY_0061</t>
  </si>
  <si>
    <t>KES 24,000</t>
  </si>
  <si>
    <t>KES 22,500</t>
  </si>
  <si>
    <t>9/25/2023</t>
  </si>
  <si>
    <t>XRAY_0062</t>
  </si>
  <si>
    <t>KES 12,000</t>
  </si>
  <si>
    <t>KES 10,500</t>
  </si>
  <si>
    <t>2/12/2023</t>
  </si>
  <si>
    <t>US_0063</t>
  </si>
  <si>
    <t>11/23/2023</t>
  </si>
  <si>
    <t>XRAY_0064</t>
  </si>
  <si>
    <t>KES 16,000</t>
  </si>
  <si>
    <t>KES 14,500</t>
  </si>
  <si>
    <t>4/24/2023</t>
  </si>
  <si>
    <t>CT_0065</t>
  </si>
  <si>
    <t>KES 210,000</t>
  </si>
  <si>
    <t>KES 207,000</t>
  </si>
  <si>
    <t>12/26/2023</t>
  </si>
  <si>
    <t>CT_0066</t>
  </si>
  <si>
    <t>KES 160,000</t>
  </si>
  <si>
    <t>KES 157,000</t>
  </si>
  <si>
    <t>6/27/2023</t>
  </si>
  <si>
    <t>CT_0067</t>
  </si>
  <si>
    <t>2/6/2023</t>
  </si>
  <si>
    <t>XRAY_0068</t>
  </si>
  <si>
    <t>KES 54,500</t>
  </si>
  <si>
    <t>7/10/2023</t>
  </si>
  <si>
    <t>MAMMO_0069</t>
  </si>
  <si>
    <t>12/16/2023</t>
  </si>
  <si>
    <t>US_0070</t>
  </si>
  <si>
    <t>KES 78,000</t>
  </si>
  <si>
    <t>KES 77,000</t>
  </si>
  <si>
    <t>11/15/2023</t>
  </si>
  <si>
    <t>XRAY_0071</t>
  </si>
  <si>
    <t>KES 52,000</t>
  </si>
  <si>
    <t>KES 50,500</t>
  </si>
  <si>
    <t>MAMMO_0072</t>
  </si>
  <si>
    <t>11/1/2023</t>
  </si>
  <si>
    <t>CT_0073</t>
  </si>
  <si>
    <t>KES 87,000</t>
  </si>
  <si>
    <t>6/5/2023</t>
  </si>
  <si>
    <t>CT_0074</t>
  </si>
  <si>
    <t>KES 240,000</t>
  </si>
  <si>
    <t>KES 237,000</t>
  </si>
  <si>
    <t>CT_0075</t>
  </si>
  <si>
    <t>KES 190,000</t>
  </si>
  <si>
    <t>KES 187,000</t>
  </si>
  <si>
    <t>2/5/2023</t>
  </si>
  <si>
    <t>MAMMO_0076</t>
  </si>
  <si>
    <t>KES 65,000</t>
  </si>
  <si>
    <t>KES 64,000</t>
  </si>
  <si>
    <t>11/20/2023</t>
  </si>
  <si>
    <t>MAMMO_0077</t>
  </si>
  <si>
    <t>KES 39,000</t>
  </si>
  <si>
    <t>MAMMO_0078</t>
  </si>
  <si>
    <t>12/28/2023</t>
  </si>
  <si>
    <t>US_0079</t>
  </si>
  <si>
    <t>11/19/2023</t>
  </si>
  <si>
    <t>US_0080</t>
  </si>
  <si>
    <t>KES 86,000</t>
  </si>
  <si>
    <t>9/24/2023</t>
  </si>
  <si>
    <t>US_0081</t>
  </si>
  <si>
    <t>CT_0082</t>
  </si>
  <si>
    <t>10/24/2023</t>
  </si>
  <si>
    <t>MRI_0083</t>
  </si>
  <si>
    <t>10/26/2023</t>
  </si>
  <si>
    <t>MAMMO_0084</t>
  </si>
  <si>
    <t>KES 29,000</t>
  </si>
  <si>
    <t>3/23/2023</t>
  </si>
  <si>
    <t>CT_0085</t>
  </si>
  <si>
    <t>4/18/2023</t>
  </si>
  <si>
    <t>MAMMO_0086</t>
  </si>
  <si>
    <t>KES 95,000</t>
  </si>
  <si>
    <t>KES 94,000</t>
  </si>
  <si>
    <t>1/21/2023</t>
  </si>
  <si>
    <t>CT_0087</t>
  </si>
  <si>
    <t>6/24/2023</t>
  </si>
  <si>
    <t>MAMMO_0088</t>
  </si>
  <si>
    <t>7/21/2023</t>
  </si>
  <si>
    <t>US_0089</t>
  </si>
  <si>
    <t>11/22/2023</t>
  </si>
  <si>
    <t>MAMMO_0090</t>
  </si>
  <si>
    <t>MRI_0091</t>
  </si>
  <si>
    <t>3/6/2023</t>
  </si>
  <si>
    <t>US_0092</t>
  </si>
  <si>
    <t>2/22/2023</t>
  </si>
  <si>
    <t>MAMMO_0093</t>
  </si>
  <si>
    <t>6/23/2023</t>
  </si>
  <si>
    <t>MAMMO_0094</t>
  </si>
  <si>
    <t>8/12/2023</t>
  </si>
  <si>
    <t>XRAY_0095</t>
  </si>
  <si>
    <t>12/4/2023</t>
  </si>
  <si>
    <t>CT_0096</t>
  </si>
  <si>
    <t>KES 80,000</t>
  </si>
  <si>
    <t>MAMMO_0097</t>
  </si>
  <si>
    <t>8/19/2023</t>
  </si>
  <si>
    <t>XRAY_0098</t>
  </si>
  <si>
    <t>KES 48,000</t>
  </si>
  <si>
    <t>KES 46,500</t>
  </si>
  <si>
    <t>4/7/2023</t>
  </si>
  <si>
    <t>XRAY_0099</t>
  </si>
  <si>
    <t>KES 42,000</t>
  </si>
  <si>
    <t>KES 40,500</t>
  </si>
  <si>
    <t>12/1/2023</t>
  </si>
  <si>
    <t>US_0100</t>
  </si>
  <si>
    <t>7/11/2023</t>
  </si>
  <si>
    <t>MAMMO_0101</t>
  </si>
  <si>
    <t>8/9/2023</t>
  </si>
  <si>
    <t>US_0102</t>
  </si>
  <si>
    <t>XRAY_0103</t>
  </si>
  <si>
    <t>3/27/2023</t>
  </si>
  <si>
    <t>MRI_0104</t>
  </si>
  <si>
    <t>11/7/2023</t>
  </si>
  <si>
    <t>MAMMO_0105</t>
  </si>
  <si>
    <t>3/17/2023</t>
  </si>
  <si>
    <t>US_0106</t>
  </si>
  <si>
    <t>KES 63,000</t>
  </si>
  <si>
    <t>KES 62,000</t>
  </si>
  <si>
    <t>7/14/2023</t>
  </si>
  <si>
    <t>US_0107</t>
  </si>
  <si>
    <t>8/14/2023</t>
  </si>
  <si>
    <t>MRI_0108</t>
  </si>
  <si>
    <t>3/7/2023</t>
  </si>
  <si>
    <t>CT_0109</t>
  </si>
  <si>
    <t>CT_0110</t>
  </si>
  <si>
    <t>KES 170,000</t>
  </si>
  <si>
    <t>KES 167,000</t>
  </si>
  <si>
    <t>7/7/2023</t>
  </si>
  <si>
    <t>MRI_0111</t>
  </si>
  <si>
    <t>10/18/2023</t>
  </si>
  <si>
    <t>MRI_0112</t>
  </si>
  <si>
    <t>XRAY_0113</t>
  </si>
  <si>
    <t>KES 28,000</t>
  </si>
  <si>
    <t>KES 26,500</t>
  </si>
  <si>
    <t>4/1/2023</t>
  </si>
  <si>
    <t>XRAY_0114</t>
  </si>
  <si>
    <t>KES 48,500</t>
  </si>
  <si>
    <t>XRAY_0115</t>
  </si>
  <si>
    <t>2/10/2023</t>
  </si>
  <si>
    <t>MAMMO_0116</t>
  </si>
  <si>
    <t>5/16/2023</t>
  </si>
  <si>
    <t>MAMMO_0117</t>
  </si>
  <si>
    <t>8/10/2023</t>
  </si>
  <si>
    <t>XRAY_0118</t>
  </si>
  <si>
    <t>KES 38,000</t>
  </si>
  <si>
    <t>KES 36,500</t>
  </si>
  <si>
    <t>7/20/2023</t>
  </si>
  <si>
    <t>CT_0119</t>
  </si>
  <si>
    <t>12/14/2023</t>
  </si>
  <si>
    <t>MRI_0120</t>
  </si>
  <si>
    <t>7/15/2023</t>
  </si>
  <si>
    <t>MAMMO_0121</t>
  </si>
  <si>
    <t>5/23/2023</t>
  </si>
  <si>
    <t>XRAY_0122</t>
  </si>
  <si>
    <t>KES 20,000</t>
  </si>
  <si>
    <t>KES 18,500</t>
  </si>
  <si>
    <t>MRI_0123</t>
  </si>
  <si>
    <t>8/4/2023</t>
  </si>
  <si>
    <t>MAMMO_0124</t>
  </si>
  <si>
    <t>1/28/2023</t>
  </si>
  <si>
    <t>MAMMO_0125</t>
  </si>
  <si>
    <t>1/26/2023</t>
  </si>
  <si>
    <t>XRAY_0126</t>
  </si>
  <si>
    <t>XRAY_0127</t>
  </si>
  <si>
    <t>7/3/2023</t>
  </si>
  <si>
    <t>CT_0128</t>
  </si>
  <si>
    <t>3/20/2023</t>
  </si>
  <si>
    <t>CT_0129</t>
  </si>
  <si>
    <t>US_0130</t>
  </si>
  <si>
    <t>KES 102,000</t>
  </si>
  <si>
    <t>KES 101,000</t>
  </si>
  <si>
    <t>MAMMO_0131</t>
  </si>
  <si>
    <t>MAMMO_0132</t>
  </si>
  <si>
    <t>US_0133</t>
  </si>
  <si>
    <t>KES 45,000</t>
  </si>
  <si>
    <t>9/8/2023</t>
  </si>
  <si>
    <t>XRAY_0134</t>
  </si>
  <si>
    <t>4/4/2023</t>
  </si>
  <si>
    <t>CT_0135</t>
  </si>
  <si>
    <t>10/29/2023</t>
  </si>
  <si>
    <t>CT_0136</t>
  </si>
  <si>
    <t>6/10/2023</t>
  </si>
  <si>
    <t>XRAY_0137</t>
  </si>
  <si>
    <t>5/5/2023</t>
  </si>
  <si>
    <t>XRAY_0138</t>
  </si>
  <si>
    <t>MRI_0139</t>
  </si>
  <si>
    <t>10/21/2023</t>
  </si>
  <si>
    <t>US_0140</t>
  </si>
  <si>
    <t>MRI_0141</t>
  </si>
  <si>
    <t>MRI_0142</t>
  </si>
  <si>
    <t>CT_0143</t>
  </si>
  <si>
    <t>MAMMO_0144</t>
  </si>
  <si>
    <t>KES 79,000</t>
  </si>
  <si>
    <t>MRI_0145</t>
  </si>
  <si>
    <t>2/14/2023</t>
  </si>
  <si>
    <t>CT_0146</t>
  </si>
  <si>
    <t>2/21/2023</t>
  </si>
  <si>
    <t>MAMMO_0147</t>
  </si>
  <si>
    <t>4/14/2023</t>
  </si>
  <si>
    <t>US_0148</t>
  </si>
  <si>
    <t>2/15/2023</t>
  </si>
  <si>
    <t>MRI_0149</t>
  </si>
  <si>
    <t>9/14/2023</t>
  </si>
  <si>
    <t>XRAY_0150</t>
  </si>
  <si>
    <t>10/14/2023</t>
  </si>
  <si>
    <t>MAMMO_0151</t>
  </si>
  <si>
    <t>KES 139,000</t>
  </si>
  <si>
    <t>8/5/2023</t>
  </si>
  <si>
    <t>MRI_0152</t>
  </si>
  <si>
    <t>3/14/2023</t>
  </si>
  <si>
    <t>MRI_0153</t>
  </si>
  <si>
    <t>8/20/2023</t>
  </si>
  <si>
    <t>MRI_0154</t>
  </si>
  <si>
    <t>3/31/2023</t>
  </si>
  <si>
    <t>US_0155</t>
  </si>
  <si>
    <t>KES 75,000</t>
  </si>
  <si>
    <t>KES 74,000</t>
  </si>
  <si>
    <t>2/13/2023</t>
  </si>
  <si>
    <t>CT_0156</t>
  </si>
  <si>
    <t>5/21/2023</t>
  </si>
  <si>
    <t>MRI_0157</t>
  </si>
  <si>
    <t>11/8/2023</t>
  </si>
  <si>
    <t>XRAY_0158</t>
  </si>
  <si>
    <t>4/27/2023</t>
  </si>
  <si>
    <t>US_0159</t>
  </si>
  <si>
    <t>US_0160</t>
  </si>
  <si>
    <t>KES 72,000</t>
  </si>
  <si>
    <t>KES 71,000</t>
  </si>
  <si>
    <t>XRAY_0161</t>
  </si>
  <si>
    <t>MRI_0162</t>
  </si>
  <si>
    <t>XRAY_0163</t>
  </si>
  <si>
    <t>5/31/2023</t>
  </si>
  <si>
    <t>CT_0164</t>
  </si>
  <si>
    <t>5/22/2023</t>
  </si>
  <si>
    <t>CT_0165</t>
  </si>
  <si>
    <t>MAMMO_0166</t>
  </si>
  <si>
    <t>8/29/2023</t>
  </si>
  <si>
    <t>US_0167</t>
  </si>
  <si>
    <t>MAMMO_0168</t>
  </si>
  <si>
    <t>4/30/2023</t>
  </si>
  <si>
    <t>CT_0169</t>
  </si>
  <si>
    <t>12/20/2023</t>
  </si>
  <si>
    <t>MRI_0170</t>
  </si>
  <si>
    <t>1/9/2023</t>
  </si>
  <si>
    <t>CT_0171</t>
  </si>
  <si>
    <t>XRAY_0172</t>
  </si>
  <si>
    <t>KES 58,500</t>
  </si>
  <si>
    <t>11/6/2023</t>
  </si>
  <si>
    <t>MRI_0173</t>
  </si>
  <si>
    <t>1/12/2023</t>
  </si>
  <si>
    <t>XRAY_0174</t>
  </si>
  <si>
    <t>US_0175</t>
  </si>
  <si>
    <t>CT_0176</t>
  </si>
  <si>
    <t>7/19/2023</t>
  </si>
  <si>
    <t>XRAY_0177</t>
  </si>
  <si>
    <t>KES 58,000</t>
  </si>
  <si>
    <t>KES 56,500</t>
  </si>
  <si>
    <t>MRI_0178</t>
  </si>
  <si>
    <t>9/21/2023</t>
  </si>
  <si>
    <t>US_0179</t>
  </si>
  <si>
    <t>CT_0180</t>
  </si>
  <si>
    <t>KES 260,000</t>
  </si>
  <si>
    <t>KES 257,000</t>
  </si>
  <si>
    <t>XRAY_0181</t>
  </si>
  <si>
    <t>KES 52,500</t>
  </si>
  <si>
    <t>US_0182</t>
  </si>
  <si>
    <t>KES 93,000</t>
  </si>
  <si>
    <t>KES 92,000</t>
  </si>
  <si>
    <t>4/28/2023</t>
  </si>
  <si>
    <t>CT_0183</t>
  </si>
  <si>
    <t>12/8/2023</t>
  </si>
  <si>
    <t>CT_0184</t>
  </si>
  <si>
    <t>5/8/2023</t>
  </si>
  <si>
    <t>MAMMO_0185</t>
  </si>
  <si>
    <t>11/9/2023</t>
  </si>
  <si>
    <t>MAMMO_0186</t>
  </si>
  <si>
    <t>MRI_0187</t>
  </si>
  <si>
    <t>XRAY_0188</t>
  </si>
  <si>
    <t>5/30/2023</t>
  </si>
  <si>
    <t>MRI_0189</t>
  </si>
  <si>
    <t>3/15/2023</t>
  </si>
  <si>
    <t>MAMMO_0190</t>
  </si>
  <si>
    <t>6/7/2023</t>
  </si>
  <si>
    <t>CT_0191</t>
  </si>
  <si>
    <t>KES 220,000</t>
  </si>
  <si>
    <t>KES 217,000</t>
  </si>
  <si>
    <t>MAMMO_0192</t>
  </si>
  <si>
    <t>MAMMO_0193</t>
  </si>
  <si>
    <t>6/9/2023</t>
  </si>
  <si>
    <t>MRI_0194</t>
  </si>
  <si>
    <t>1/27/2023</t>
  </si>
  <si>
    <t>US_0195</t>
  </si>
  <si>
    <t>KES 66,000</t>
  </si>
  <si>
    <t>11/26/2023</t>
  </si>
  <si>
    <t>CT_0196</t>
  </si>
  <si>
    <t>XRAY_0197</t>
  </si>
  <si>
    <t>US_0198</t>
  </si>
  <si>
    <t>11/10/2023</t>
  </si>
  <si>
    <t>CT_0199</t>
  </si>
  <si>
    <t>7/16/2023</t>
  </si>
  <si>
    <t>XRAY_0200</t>
  </si>
  <si>
    <t>3/2/2023</t>
  </si>
  <si>
    <t>MAMMO_0201</t>
  </si>
  <si>
    <t>CT_0202</t>
  </si>
  <si>
    <t>2/28/2023</t>
  </si>
  <si>
    <t>US_0203</t>
  </si>
  <si>
    <t>5/25/2023</t>
  </si>
  <si>
    <t>MRI_0204</t>
  </si>
  <si>
    <t>7/26/2023</t>
  </si>
  <si>
    <t>CT_0205</t>
  </si>
  <si>
    <t>12/5/2023</t>
  </si>
  <si>
    <t>US_0206</t>
  </si>
  <si>
    <t>KES 96,000</t>
  </si>
  <si>
    <t>XRAY_0207</t>
  </si>
  <si>
    <t>XRAY_0208</t>
  </si>
  <si>
    <t>MAMMO_0209</t>
  </si>
  <si>
    <t>4/6/2023</t>
  </si>
  <si>
    <t>XRAY_0210</t>
  </si>
  <si>
    <t>CT_0211</t>
  </si>
  <si>
    <t>1/25/2023</t>
  </si>
  <si>
    <t>MRI_0212</t>
  </si>
  <si>
    <t>5/17/2023</t>
  </si>
  <si>
    <t>US_0213</t>
  </si>
  <si>
    <t>MRI_0214</t>
  </si>
  <si>
    <t>3/13/2023</t>
  </si>
  <si>
    <t>MRI_0215</t>
  </si>
  <si>
    <t>10/10/2023</t>
  </si>
  <si>
    <t>MAMMO_0216</t>
  </si>
  <si>
    <t>12/24/2023</t>
  </si>
  <si>
    <t>MAMMO_0217</t>
  </si>
  <si>
    <t>4/9/2023</t>
  </si>
  <si>
    <t>MAMMO_0218</t>
  </si>
  <si>
    <t>7/27/2023</t>
  </si>
  <si>
    <t>XRAY_0219</t>
  </si>
  <si>
    <t>KES 28,500</t>
  </si>
  <si>
    <t>5/13/2023</t>
  </si>
  <si>
    <t>MAMMO_0220</t>
  </si>
  <si>
    <t>1/14/2023</t>
  </si>
  <si>
    <t>CT_0221</t>
  </si>
  <si>
    <t>KES 290,000</t>
  </si>
  <si>
    <t>KES 287,000</t>
  </si>
  <si>
    <t>3/26/2023</t>
  </si>
  <si>
    <t>XRAY_0222</t>
  </si>
  <si>
    <t>3/22/2023</t>
  </si>
  <si>
    <t>MRI_0223</t>
  </si>
  <si>
    <t>1/1/2023</t>
  </si>
  <si>
    <t>MRI_0224</t>
  </si>
  <si>
    <t>XRAY_0225</t>
  </si>
  <si>
    <t>MAMMO_0226</t>
  </si>
  <si>
    <t>US_0227</t>
  </si>
  <si>
    <t>7/25/2023</t>
  </si>
  <si>
    <t>XRAY_0228</t>
  </si>
  <si>
    <t>3/16/2023</t>
  </si>
  <si>
    <t>MRI_0229</t>
  </si>
  <si>
    <t>7/29/2023</t>
  </si>
  <si>
    <t>MRI_0230</t>
  </si>
  <si>
    <t>XRAY_0231</t>
  </si>
  <si>
    <t>5/29/2023</t>
  </si>
  <si>
    <t>MAMMO_0232</t>
  </si>
  <si>
    <t>KES 129,000</t>
  </si>
  <si>
    <t>6/18/2023</t>
  </si>
  <si>
    <t>CT_0233</t>
  </si>
  <si>
    <t>KES 230,000</t>
  </si>
  <si>
    <t>KES 227,000</t>
  </si>
  <si>
    <t>1/5/2023</t>
  </si>
  <si>
    <t>MAMMO_0234</t>
  </si>
  <si>
    <t>8/22/2023</t>
  </si>
  <si>
    <t>US_0235</t>
  </si>
  <si>
    <t>2/18/2023</t>
  </si>
  <si>
    <t>US_0236</t>
  </si>
  <si>
    <t>KES 51,000</t>
  </si>
  <si>
    <t>CT_0237</t>
  </si>
  <si>
    <t>7/4/2023</t>
  </si>
  <si>
    <t>MAMMO_0238</t>
  </si>
  <si>
    <t>9/5/2023</t>
  </si>
  <si>
    <t>MAMMO_0239</t>
  </si>
  <si>
    <t>CT_0240</t>
  </si>
  <si>
    <t>6/13/2023</t>
  </si>
  <si>
    <t>MAMMO_0241</t>
  </si>
  <si>
    <t>XRAY_0242</t>
  </si>
  <si>
    <t>6/17/2023</t>
  </si>
  <si>
    <t>XRAY_0243</t>
  </si>
  <si>
    <t>1/17/2023</t>
  </si>
  <si>
    <t>XRAY_0244</t>
  </si>
  <si>
    <t>CT_0245</t>
  </si>
  <si>
    <t>MAMMO_0246</t>
  </si>
  <si>
    <t>7/5/2023</t>
  </si>
  <si>
    <t>CT_0247</t>
  </si>
  <si>
    <t>MRI_0248</t>
  </si>
  <si>
    <t>MRI_0249</t>
  </si>
  <si>
    <t>9/30/2023</t>
  </si>
  <si>
    <t>MAMMO_0250</t>
  </si>
  <si>
    <t>2/23/2023</t>
  </si>
  <si>
    <t>MRI_0251</t>
  </si>
  <si>
    <t>CT_0252</t>
  </si>
  <si>
    <t>MRI_0253</t>
  </si>
  <si>
    <t>MAMMO_0254</t>
  </si>
  <si>
    <t>CT_0255</t>
  </si>
  <si>
    <t>XRAY_0256</t>
  </si>
  <si>
    <t>4/3/2023</t>
  </si>
  <si>
    <t>CT_0257</t>
  </si>
  <si>
    <t>MAMMO_0258</t>
  </si>
  <si>
    <t>5/9/2023</t>
  </si>
  <si>
    <t>MAMMO_0259</t>
  </si>
  <si>
    <t>5/1/2023</t>
  </si>
  <si>
    <t>MRI_0260</t>
  </si>
  <si>
    <t>3/19/2023</t>
  </si>
  <si>
    <t>US_0261</t>
  </si>
  <si>
    <t>KES 111,000</t>
  </si>
  <si>
    <t>XRAY_0262</t>
  </si>
  <si>
    <t>1/18/2023</t>
  </si>
  <si>
    <t>MRI_0263</t>
  </si>
  <si>
    <t>10/6/2023</t>
  </si>
  <si>
    <t>CT_0264</t>
  </si>
  <si>
    <t>US_0265</t>
  </si>
  <si>
    <t>MRI_0266</t>
  </si>
  <si>
    <t>1/4/2023</t>
  </si>
  <si>
    <t>MAMMO_0267</t>
  </si>
  <si>
    <t>7/30/2023</t>
  </si>
  <si>
    <t>XRAY_0268</t>
  </si>
  <si>
    <t>US_0269</t>
  </si>
  <si>
    <t>8/18/2023</t>
  </si>
  <si>
    <t>US_0270</t>
  </si>
  <si>
    <t>6/22/2023</t>
  </si>
  <si>
    <t>XRAY_0271</t>
  </si>
  <si>
    <t>KES 22,000</t>
  </si>
  <si>
    <t>KES 20,500</t>
  </si>
  <si>
    <t>8/30/2023</t>
  </si>
  <si>
    <t>XRAY_0272</t>
  </si>
  <si>
    <t>XRAY_0273</t>
  </si>
  <si>
    <t>7/13/2023</t>
  </si>
  <si>
    <t>MRI_0274</t>
  </si>
  <si>
    <t>8/24/2023</t>
  </si>
  <si>
    <t>MRI_0275</t>
  </si>
  <si>
    <t>MAMMO_0276</t>
  </si>
  <si>
    <t>1/10/2023</t>
  </si>
  <si>
    <t>XRAY_0277</t>
  </si>
  <si>
    <t>US_0278</t>
  </si>
  <si>
    <t>KES 98,000</t>
  </si>
  <si>
    <t>MRI_0279</t>
  </si>
  <si>
    <t>MAMMO_0280</t>
  </si>
  <si>
    <t>2/17/2023</t>
  </si>
  <si>
    <t>US_0281</t>
  </si>
  <si>
    <t>MAMMO_0282</t>
  </si>
  <si>
    <t>MAMMO_0283</t>
  </si>
  <si>
    <t>MRI_0284</t>
  </si>
  <si>
    <t>MAMMO_0285</t>
  </si>
  <si>
    <t>MAMMO_0286</t>
  </si>
  <si>
    <t>2/24/2023</t>
  </si>
  <si>
    <t>XRAY_0287</t>
  </si>
  <si>
    <t>5/14/2023</t>
  </si>
  <si>
    <t>MAMMO_0288</t>
  </si>
  <si>
    <t>12/17/2023</t>
  </si>
  <si>
    <t>MRI_0289</t>
  </si>
  <si>
    <t>11/24/2023</t>
  </si>
  <si>
    <t>MRI_0290</t>
  </si>
  <si>
    <t>MRI_0291</t>
  </si>
  <si>
    <t>10/25/2023</t>
  </si>
  <si>
    <t>US_0292</t>
  </si>
  <si>
    <t>11/21/2023</t>
  </si>
  <si>
    <t>US_0293</t>
  </si>
  <si>
    <t>11/11/2023</t>
  </si>
  <si>
    <t>XRAY_0294</t>
  </si>
  <si>
    <t>US_0295</t>
  </si>
  <si>
    <t>XRAY_0296</t>
  </si>
  <si>
    <t>XRAY_0297</t>
  </si>
  <si>
    <t>US_0298</t>
  </si>
  <si>
    <t>5/20/2023</t>
  </si>
  <si>
    <t>MAMMO_0299</t>
  </si>
  <si>
    <t>MAMMO_0300</t>
  </si>
  <si>
    <t>9/20/2023</t>
  </si>
  <si>
    <t>MAMMO_0301</t>
  </si>
  <si>
    <t>4/10/2023</t>
  </si>
  <si>
    <t>MAMMO_0302</t>
  </si>
  <si>
    <t>4/21/2023</t>
  </si>
  <si>
    <t>XRAY_0303</t>
  </si>
  <si>
    <t>KES 18,000</t>
  </si>
  <si>
    <t>KES 16,500</t>
  </si>
  <si>
    <t>9/2/2023</t>
  </si>
  <si>
    <t>US_0304</t>
  </si>
  <si>
    <t>3/25/2023</t>
  </si>
  <si>
    <t>MAMMO_0305</t>
  </si>
  <si>
    <t>11/17/2023</t>
  </si>
  <si>
    <t>CT_0306</t>
  </si>
  <si>
    <t>3/11/2023</t>
  </si>
  <si>
    <t>MRI_0307</t>
  </si>
  <si>
    <t>CT_0308</t>
  </si>
  <si>
    <t>2/1/2023</t>
  </si>
  <si>
    <t>CT_0309</t>
  </si>
  <si>
    <t>3/5/2023</t>
  </si>
  <si>
    <t>MRI_0310</t>
  </si>
  <si>
    <t>MAMMO_0311</t>
  </si>
  <si>
    <t>2/25/2023</t>
  </si>
  <si>
    <t>MAMMO_0312</t>
  </si>
  <si>
    <t>MAMMO_0313</t>
  </si>
  <si>
    <t>12/21/2023</t>
  </si>
  <si>
    <t>MAMMO_0314</t>
  </si>
  <si>
    <t>MAMMO_0315</t>
  </si>
  <si>
    <t>5/10/2023</t>
  </si>
  <si>
    <t>MAMMO_0316</t>
  </si>
  <si>
    <t>US_0317</t>
  </si>
  <si>
    <t>3/10/2023</t>
  </si>
  <si>
    <t>XRAY_0318</t>
  </si>
  <si>
    <t>9/11/2023</t>
  </si>
  <si>
    <t>MAMMO_0319</t>
  </si>
  <si>
    <t>XRAY_0320</t>
  </si>
  <si>
    <t>9/18/2023</t>
  </si>
  <si>
    <t>MAMMO_0321</t>
  </si>
  <si>
    <t>XRAY_0322</t>
  </si>
  <si>
    <t>US_0323</t>
  </si>
  <si>
    <t>MRI_0324</t>
  </si>
  <si>
    <t>CT_0325</t>
  </si>
  <si>
    <t>XRAY_0326</t>
  </si>
  <si>
    <t>MRI_0327</t>
  </si>
  <si>
    <t>11/12/2023</t>
  </si>
  <si>
    <t>MAMMO_0328</t>
  </si>
  <si>
    <t>XRAY_0329</t>
  </si>
  <si>
    <t>6/8/2023</t>
  </si>
  <si>
    <t>XRAY_0330</t>
  </si>
  <si>
    <t>2/3/2023</t>
  </si>
  <si>
    <t>US_0331</t>
  </si>
  <si>
    <t>KES 113,000</t>
  </si>
  <si>
    <t>MRI_0332</t>
  </si>
  <si>
    <t>4/13/2023</t>
  </si>
  <si>
    <t>MRI_0333</t>
  </si>
  <si>
    <t>MAMMO_0334</t>
  </si>
  <si>
    <t>9/1/2023</t>
  </si>
  <si>
    <t>MRI_0335</t>
  </si>
  <si>
    <t>MRI_0336</t>
  </si>
  <si>
    <t>MAMMO_0337</t>
  </si>
  <si>
    <t>6/1/2023</t>
  </si>
  <si>
    <t>MRI_0338</t>
  </si>
  <si>
    <t>4/2/2023</t>
  </si>
  <si>
    <t>MAMMO_0339</t>
  </si>
  <si>
    <t>XRAY_0340</t>
  </si>
  <si>
    <t>7/18/2023</t>
  </si>
  <si>
    <t>US_0341</t>
  </si>
  <si>
    <t>1/15/2023</t>
  </si>
  <si>
    <t>CT_0342</t>
  </si>
  <si>
    <t>XRAY_0343</t>
  </si>
  <si>
    <t>1/2/2023</t>
  </si>
  <si>
    <t>MRI_0344</t>
  </si>
  <si>
    <t>US_0345</t>
  </si>
  <si>
    <t>MRI_0346</t>
  </si>
  <si>
    <t>MAMMO_0347</t>
  </si>
  <si>
    <t>6/12/2023</t>
  </si>
  <si>
    <t>CT_0348</t>
  </si>
  <si>
    <t>7/23/2023</t>
  </si>
  <si>
    <t>MAMMO_0349</t>
  </si>
  <si>
    <t>US_0350</t>
  </si>
  <si>
    <t>6/30/2023</t>
  </si>
  <si>
    <t>MAMMO_0351</t>
  </si>
  <si>
    <t>XRAY_0352</t>
  </si>
  <si>
    <t>XRAY_0353</t>
  </si>
  <si>
    <t>CT_0354</t>
  </si>
  <si>
    <t>MAMMO_0355</t>
  </si>
  <si>
    <t>MRI_0356</t>
  </si>
  <si>
    <t>CT_0357</t>
  </si>
  <si>
    <t>CT_0358</t>
  </si>
  <si>
    <t>XRAY_0359</t>
  </si>
  <si>
    <t>MAMMO_0360</t>
  </si>
  <si>
    <t>1/16/2023</t>
  </si>
  <si>
    <t>CT_0361</t>
  </si>
  <si>
    <t>MRI_0362</t>
  </si>
  <si>
    <t>4/22/2023</t>
  </si>
  <si>
    <t>MAMMO_0363</t>
  </si>
  <si>
    <t>12/23/2023</t>
  </si>
  <si>
    <t>XRAY_0364</t>
  </si>
  <si>
    <t>11/4/2023</t>
  </si>
  <si>
    <t>XRAY_0365</t>
  </si>
  <si>
    <t>2/4/2023</t>
  </si>
  <si>
    <t>MAMMO_0366</t>
  </si>
  <si>
    <t>MRI_0367</t>
  </si>
  <si>
    <t>US_0368</t>
  </si>
  <si>
    <t>MRI_0369</t>
  </si>
  <si>
    <t>US_0370</t>
  </si>
  <si>
    <t>XRAY_0371</t>
  </si>
  <si>
    <t>CT_0372</t>
  </si>
  <si>
    <t>CT_0373</t>
  </si>
  <si>
    <t>5/26/2023</t>
  </si>
  <si>
    <t>US_0374</t>
  </si>
  <si>
    <t>KES 81,000</t>
  </si>
  <si>
    <t>6/19/2023</t>
  </si>
  <si>
    <t>CT_0375</t>
  </si>
  <si>
    <t>9/9/2023</t>
  </si>
  <si>
    <t>MRI_0376</t>
  </si>
  <si>
    <t>MAMMO_0377</t>
  </si>
  <si>
    <t>6/26/2023</t>
  </si>
  <si>
    <t>US_0378</t>
  </si>
  <si>
    <t>US_0379</t>
  </si>
  <si>
    <t>MRI_0380</t>
  </si>
  <si>
    <t>US_0381</t>
  </si>
  <si>
    <t>XRAY_0382</t>
  </si>
  <si>
    <t>9/10/2023</t>
  </si>
  <si>
    <t>MRI_0383</t>
  </si>
  <si>
    <t>US_0384</t>
  </si>
  <si>
    <t>3/9/2023</t>
  </si>
  <si>
    <t>XRAY_0385</t>
  </si>
  <si>
    <t>KES 34,000</t>
  </si>
  <si>
    <t>KES 32,500</t>
  </si>
  <si>
    <t>MAMMO_0386</t>
  </si>
  <si>
    <t>MRI_0387</t>
  </si>
  <si>
    <t>1/30/2023</t>
  </si>
  <si>
    <t>XRAY_0388</t>
  </si>
  <si>
    <t>6/3/2023</t>
  </si>
  <si>
    <t>US_0389</t>
  </si>
  <si>
    <t>KES 47,000</t>
  </si>
  <si>
    <t>US_0390</t>
  </si>
  <si>
    <t>4/19/2023</t>
  </si>
  <si>
    <t>XRAY_0391</t>
  </si>
  <si>
    <t>XRAY_0392</t>
  </si>
  <si>
    <t>8/31/2023</t>
  </si>
  <si>
    <t>MRI_0393</t>
  </si>
  <si>
    <t>1/8/2023</t>
  </si>
  <si>
    <t>MAMMO_0394</t>
  </si>
  <si>
    <t>MAMMO_0395</t>
  </si>
  <si>
    <t>XRAY_0396</t>
  </si>
  <si>
    <t>MAMMO_0397</t>
  </si>
  <si>
    <t>CT_0398</t>
  </si>
  <si>
    <t>XRAY_0399</t>
  </si>
  <si>
    <t>8/15/2023</t>
  </si>
  <si>
    <t>XRAY_0400</t>
  </si>
  <si>
    <t>CT_0401</t>
  </si>
  <si>
    <t>MAMMO_0402</t>
  </si>
  <si>
    <t>MRI_0403</t>
  </si>
  <si>
    <t>MAMMO_0404</t>
  </si>
  <si>
    <t>MAMMO_0405</t>
  </si>
  <si>
    <t>9/26/2023</t>
  </si>
  <si>
    <t>CT_0406</t>
  </si>
  <si>
    <t>MAMMO_0407</t>
  </si>
  <si>
    <t>MRI_0408</t>
  </si>
  <si>
    <t>MAMMO_0409</t>
  </si>
  <si>
    <t>MRI_0410</t>
  </si>
  <si>
    <t>10/30/2023</t>
  </si>
  <si>
    <t>MAMMO_0411</t>
  </si>
  <si>
    <t>XRAY_0412</t>
  </si>
  <si>
    <t>CT_0413</t>
  </si>
  <si>
    <t>MRI_0414</t>
  </si>
  <si>
    <t>CT_0415</t>
  </si>
  <si>
    <t>10/28/2023</t>
  </si>
  <si>
    <t>MAMMO_0416</t>
  </si>
  <si>
    <t>XRAY_0417</t>
  </si>
  <si>
    <t>XRAY_0418</t>
  </si>
  <si>
    <t>US_0419</t>
  </si>
  <si>
    <t>MRI_0420</t>
  </si>
  <si>
    <t>CT_0421</t>
  </si>
  <si>
    <t>CT_0422</t>
  </si>
  <si>
    <t>MRI_0423</t>
  </si>
  <si>
    <t>MRI_0424</t>
  </si>
  <si>
    <t>CT_0425</t>
  </si>
  <si>
    <t>CT_0426</t>
  </si>
  <si>
    <t>MAMMO_0427</t>
  </si>
  <si>
    <t>MRI_0428</t>
  </si>
  <si>
    <t>MAMMO_0429</t>
  </si>
  <si>
    <t>MRI_0430</t>
  </si>
  <si>
    <t>CT_0431</t>
  </si>
  <si>
    <t>12/7/2023</t>
  </si>
  <si>
    <t>MRI_0432</t>
  </si>
  <si>
    <t>MAMMO_0433</t>
  </si>
  <si>
    <t>US_0434</t>
  </si>
  <si>
    <t>10/16/2023</t>
  </si>
  <si>
    <t>MRI_0435</t>
  </si>
  <si>
    <t>2/19/2023</t>
  </si>
  <si>
    <t>XRAY_0436</t>
  </si>
  <si>
    <t>MAMMO_0437</t>
  </si>
  <si>
    <t>MAMMO_0438</t>
  </si>
  <si>
    <t>CT_0439</t>
  </si>
  <si>
    <t>MAMMO_0440</t>
  </si>
  <si>
    <t>XRAY_0441</t>
  </si>
  <si>
    <t>7/28/2023</t>
  </si>
  <si>
    <t>XRAY_0442</t>
  </si>
  <si>
    <t>MRI_0443</t>
  </si>
  <si>
    <t>8/23/2023</t>
  </si>
  <si>
    <t>XRAY_0444</t>
  </si>
  <si>
    <t>KES 32,000</t>
  </si>
  <si>
    <t>KES 30,500</t>
  </si>
  <si>
    <t>XRAY_0445</t>
  </si>
  <si>
    <t>US_0446</t>
  </si>
  <si>
    <t>XRAY_0447</t>
  </si>
  <si>
    <t>CT_0448</t>
  </si>
  <si>
    <t>MRI_0449</t>
  </si>
  <si>
    <t>MRI_0450</t>
  </si>
  <si>
    <t>12/27/2023</t>
  </si>
  <si>
    <t>XRAY_0451</t>
  </si>
  <si>
    <t>XRAY_0452</t>
  </si>
  <si>
    <t>XRAY_0453</t>
  </si>
  <si>
    <t>CT_0454</t>
  </si>
  <si>
    <t>US_0455</t>
  </si>
  <si>
    <t>6/14/2023</t>
  </si>
  <si>
    <t>CT_0456</t>
  </si>
  <si>
    <t>7/24/2023</t>
  </si>
  <si>
    <t>MAMMO_0457</t>
  </si>
  <si>
    <t>CT_0458</t>
  </si>
  <si>
    <t>9/7/2023</t>
  </si>
  <si>
    <t>US_0459</t>
  </si>
  <si>
    <t>US_0460</t>
  </si>
  <si>
    <t>MRI_0461</t>
  </si>
  <si>
    <t>3/1/2023</t>
  </si>
  <si>
    <t>CT_0462</t>
  </si>
  <si>
    <t>US_0463</t>
  </si>
  <si>
    <t>9/28/2023</t>
  </si>
  <si>
    <t>CT_0464</t>
  </si>
  <si>
    <t>KES 280,000</t>
  </si>
  <si>
    <t>KES 277,000</t>
  </si>
  <si>
    <t>US_0465</t>
  </si>
  <si>
    <t>MRI_0466</t>
  </si>
  <si>
    <t>7/8/2023</t>
  </si>
  <si>
    <t>XRAY_0467</t>
  </si>
  <si>
    <t>US_0468</t>
  </si>
  <si>
    <t>XRAY_0469</t>
  </si>
  <si>
    <t>MRI_0470</t>
  </si>
  <si>
    <t>XRAY_0471</t>
  </si>
  <si>
    <t>9/22/2023</t>
  </si>
  <si>
    <t>XRAY_0472</t>
  </si>
  <si>
    <t>MAMMO_0473</t>
  </si>
  <si>
    <t>US_0474</t>
  </si>
  <si>
    <t>MRI_0475</t>
  </si>
  <si>
    <t>9/4/2023</t>
  </si>
  <si>
    <t>MAMMO_0476</t>
  </si>
  <si>
    <t>XRAY_0477</t>
  </si>
  <si>
    <t>US_0478</t>
  </si>
  <si>
    <t>XRAY_0479</t>
  </si>
  <si>
    <t>8/28/2023</t>
  </si>
  <si>
    <t>CT_0480</t>
  </si>
  <si>
    <t>11/13/2023</t>
  </si>
  <si>
    <t>MRI_0481</t>
  </si>
  <si>
    <t>MAMMO_0482</t>
  </si>
  <si>
    <t>MAMMO_0483</t>
  </si>
  <si>
    <t>MRI_0484</t>
  </si>
  <si>
    <t>US_0485</t>
  </si>
  <si>
    <t>XRAY_0486</t>
  </si>
  <si>
    <t>CT_0487</t>
  </si>
  <si>
    <t>MAMMO_0488</t>
  </si>
  <si>
    <t>CT_0489</t>
  </si>
  <si>
    <t>5/11/2023</t>
  </si>
  <si>
    <t>US_0490</t>
  </si>
  <si>
    <t>MAMMO_0491</t>
  </si>
  <si>
    <t>CT_0492</t>
  </si>
  <si>
    <t>XRAY_0493</t>
  </si>
  <si>
    <t>US_0494</t>
  </si>
  <si>
    <t>4/11/2023</t>
  </si>
  <si>
    <t>CT_0495</t>
  </si>
  <si>
    <t>MAMMO_0496</t>
  </si>
  <si>
    <t>XRAY_0497</t>
  </si>
  <si>
    <t>US_0498</t>
  </si>
  <si>
    <t>3/4/2023</t>
  </si>
  <si>
    <t>MAMMO_0499</t>
  </si>
  <si>
    <t>MAMMO_0500</t>
  </si>
  <si>
    <t>2/2/2023</t>
  </si>
  <si>
    <t>XRAY_0501</t>
  </si>
  <si>
    <t>US_0502</t>
  </si>
  <si>
    <t>US_0503</t>
  </si>
  <si>
    <t>CT_0504</t>
  </si>
  <si>
    <t>MAMMO_0505</t>
  </si>
  <si>
    <t>10/5/2023</t>
  </si>
  <si>
    <t>CT_0506</t>
  </si>
  <si>
    <t>US_0507</t>
  </si>
  <si>
    <t>XRAY_0508</t>
  </si>
  <si>
    <t>2/27/2023</t>
  </si>
  <si>
    <t>CT_0509</t>
  </si>
  <si>
    <t>CT_0510</t>
  </si>
  <si>
    <t>US_0511</t>
  </si>
  <si>
    <t>11/16/2023</t>
  </si>
  <si>
    <t>CT_0512</t>
  </si>
  <si>
    <t>CT_0513</t>
  </si>
  <si>
    <t>MAMMO_0514</t>
  </si>
  <si>
    <t>MRI_0515</t>
  </si>
  <si>
    <t>6/11/2023</t>
  </si>
  <si>
    <t>MRI_0516</t>
  </si>
  <si>
    <t>XRAY_0517</t>
  </si>
  <si>
    <t>XRAY_0518</t>
  </si>
  <si>
    <t>9/27/2023</t>
  </si>
  <si>
    <t>XRAY_0519</t>
  </si>
  <si>
    <t>MAMMO_0520</t>
  </si>
  <si>
    <t>CT_0521</t>
  </si>
  <si>
    <t>10/9/2023</t>
  </si>
  <si>
    <t>MRI_0522</t>
  </si>
  <si>
    <t>MAMMO_0523</t>
  </si>
  <si>
    <t>CT_0524</t>
  </si>
  <si>
    <t>MAMMO_0525</t>
  </si>
  <si>
    <t>9/15/2023</t>
  </si>
  <si>
    <t>CT_0526</t>
  </si>
  <si>
    <t>MAMMO_0527</t>
  </si>
  <si>
    <t>XRAY_0528</t>
  </si>
  <si>
    <t>8/6/2023</t>
  </si>
  <si>
    <t>CT_0529</t>
  </si>
  <si>
    <t>CT_0530</t>
  </si>
  <si>
    <t>2/11/2023</t>
  </si>
  <si>
    <t>MRI_0531</t>
  </si>
  <si>
    <t>CT_0532</t>
  </si>
  <si>
    <t>6/6/2023</t>
  </si>
  <si>
    <t>MRI_0533</t>
  </si>
  <si>
    <t>US_0534</t>
  </si>
  <si>
    <t>MRI_0535</t>
  </si>
  <si>
    <t>CT_0536</t>
  </si>
  <si>
    <t>US_0537</t>
  </si>
  <si>
    <t>CT_0538</t>
  </si>
  <si>
    <t>MRI_0539</t>
  </si>
  <si>
    <t>US_0540</t>
  </si>
  <si>
    <t>MRI_0541</t>
  </si>
  <si>
    <t>MRI_0542</t>
  </si>
  <si>
    <t>US_0543</t>
  </si>
  <si>
    <t>XRAY_0544</t>
  </si>
  <si>
    <t>XRAY_0545</t>
  </si>
  <si>
    <t>MAMMO_0546</t>
  </si>
  <si>
    <t>CT_0547</t>
  </si>
  <si>
    <t>CT_0548</t>
  </si>
  <si>
    <t>XRAY_0549</t>
  </si>
  <si>
    <t>CT_0550</t>
  </si>
  <si>
    <t>US_0551</t>
  </si>
  <si>
    <t>3/24/2023</t>
  </si>
  <si>
    <t>XRAY_0552</t>
  </si>
  <si>
    <t>12/10/2023</t>
  </si>
  <si>
    <t>MAMMO_0553</t>
  </si>
  <si>
    <t>XRAY_0554</t>
  </si>
  <si>
    <t>XRAY_0555</t>
  </si>
  <si>
    <t>10/7/2023</t>
  </si>
  <si>
    <t>MAMMO_0556</t>
  </si>
  <si>
    <t>US_0557</t>
  </si>
  <si>
    <t>MAMMO_0558</t>
  </si>
  <si>
    <t>5/2/2023</t>
  </si>
  <si>
    <t>US_0559</t>
  </si>
  <si>
    <t>5/19/2023</t>
  </si>
  <si>
    <t>US_0560</t>
  </si>
  <si>
    <t>CT_0561</t>
  </si>
  <si>
    <t>CT_0562</t>
  </si>
  <si>
    <t>MRI_0563</t>
  </si>
  <si>
    <t>CT_0564</t>
  </si>
  <si>
    <t>XRAY_0565</t>
  </si>
  <si>
    <t>1/31/2023</t>
  </si>
  <si>
    <t>MAMMO_0566</t>
  </si>
  <si>
    <t>US_0567</t>
  </si>
  <si>
    <t>US_0568</t>
  </si>
  <si>
    <t>US_0569</t>
  </si>
  <si>
    <t>MRI_0570</t>
  </si>
  <si>
    <t>XRAY_0571</t>
  </si>
  <si>
    <t>US_0572</t>
  </si>
  <si>
    <t>10/17/2023</t>
  </si>
  <si>
    <t>XRAY_0573</t>
  </si>
  <si>
    <t>MAMMO_0574</t>
  </si>
  <si>
    <t>US_0575</t>
  </si>
  <si>
    <t>MAMMO_0576</t>
  </si>
  <si>
    <t>8/25/2023</t>
  </si>
  <si>
    <t>CT_0577</t>
  </si>
  <si>
    <t>XRAY_0578</t>
  </si>
  <si>
    <t>CT_0579</t>
  </si>
  <si>
    <t>6/15/2023</t>
  </si>
  <si>
    <t>MAMMO_0580</t>
  </si>
  <si>
    <t>MRI_0581</t>
  </si>
  <si>
    <t>CT_0582</t>
  </si>
  <si>
    <t>MRI_0583</t>
  </si>
  <si>
    <t>XRAY_0584</t>
  </si>
  <si>
    <t>CT_0585</t>
  </si>
  <si>
    <t>4/29/2023</t>
  </si>
  <si>
    <t>XRAY_0586</t>
  </si>
  <si>
    <t>US_0587</t>
  </si>
  <si>
    <t>MRI_0588</t>
  </si>
  <si>
    <t>XRAY_0589</t>
  </si>
  <si>
    <t>MRI_0590</t>
  </si>
  <si>
    <t>10/31/2023</t>
  </si>
  <si>
    <t>MAMMO_0591</t>
  </si>
  <si>
    <t>MAMMO_0592</t>
  </si>
  <si>
    <t>7/31/2023</t>
  </si>
  <si>
    <t>MRI_0593</t>
  </si>
  <si>
    <t>US_0594</t>
  </si>
  <si>
    <t>CT_0595</t>
  </si>
  <si>
    <t>US_0596</t>
  </si>
  <si>
    <t>XRAY_0597</t>
  </si>
  <si>
    <t>CT_0598</t>
  </si>
  <si>
    <t>10/12/2023</t>
  </si>
  <si>
    <t>MAMMO_0599</t>
  </si>
  <si>
    <t>KES 35,000</t>
  </si>
  <si>
    <t>MRI_0600</t>
  </si>
  <si>
    <t>XRAY_0601</t>
  </si>
  <si>
    <t>MRI_0602</t>
  </si>
  <si>
    <t>US_0603</t>
  </si>
  <si>
    <t>MAMMO_0604</t>
  </si>
  <si>
    <t>CT_0605</t>
  </si>
  <si>
    <t>XRAY_0606</t>
  </si>
  <si>
    <t>XRAY_0607</t>
  </si>
  <si>
    <t>US_0608</t>
  </si>
  <si>
    <t>CT_0609</t>
  </si>
  <si>
    <t>XRAY_0610</t>
  </si>
  <si>
    <t>US_0611</t>
  </si>
  <si>
    <t>US_0612</t>
  </si>
  <si>
    <t>MRI_0613</t>
  </si>
  <si>
    <t>US_0614</t>
  </si>
  <si>
    <t>3/21/2023</t>
  </si>
  <si>
    <t>MRI_0615</t>
  </si>
  <si>
    <t>1/23/2023</t>
  </si>
  <si>
    <t>US_0616</t>
  </si>
  <si>
    <t>CT_0617</t>
  </si>
  <si>
    <t>MAMMO_0618</t>
  </si>
  <si>
    <t>MAMMO_0619</t>
  </si>
  <si>
    <t>CT_0620</t>
  </si>
  <si>
    <t>9/6/2023</t>
  </si>
  <si>
    <t>MAMMO_0621</t>
  </si>
  <si>
    <t>XRAY_0622</t>
  </si>
  <si>
    <t>MAMMO_0623</t>
  </si>
  <si>
    <t>MAMMO_0624</t>
  </si>
  <si>
    <t>US_0625</t>
  </si>
  <si>
    <t>US_0626</t>
  </si>
  <si>
    <t>7/6/2023</t>
  </si>
  <si>
    <t>MAMMO_0627</t>
  </si>
  <si>
    <t>7/9/2023</t>
  </si>
  <si>
    <t>MRI_0628</t>
  </si>
  <si>
    <t>MRI_0629</t>
  </si>
  <si>
    <t>MRI_0630</t>
  </si>
  <si>
    <t>MAMMO_0631</t>
  </si>
  <si>
    <t>US_0632</t>
  </si>
  <si>
    <t>XRAY_0633</t>
  </si>
  <si>
    <t>US_0634</t>
  </si>
  <si>
    <t>MAMMO_0635</t>
  </si>
  <si>
    <t>3/18/2023</t>
  </si>
  <si>
    <t>XRAY_0636</t>
  </si>
  <si>
    <t>MRI_0637</t>
  </si>
  <si>
    <t>US_0638</t>
  </si>
  <si>
    <t>MAMMO_0639</t>
  </si>
  <si>
    <t>XRAY_0640</t>
  </si>
  <si>
    <t>MAMMO_0641</t>
  </si>
  <si>
    <t>XRAY_0642</t>
  </si>
  <si>
    <t>CT_0643</t>
  </si>
  <si>
    <t>3/30/2023</t>
  </si>
  <si>
    <t>MRI_0644</t>
  </si>
  <si>
    <t>11/18/2023</t>
  </si>
  <si>
    <t>MRI_0645</t>
  </si>
  <si>
    <t>MRI_0646</t>
  </si>
  <si>
    <t>CT_0647</t>
  </si>
  <si>
    <t>MAMMO_0648</t>
  </si>
  <si>
    <t>MRI_0649</t>
  </si>
  <si>
    <t>11/27/2023</t>
  </si>
  <si>
    <t>US_0650</t>
  </si>
  <si>
    <t>CT_0651</t>
  </si>
  <si>
    <t>US_0652</t>
  </si>
  <si>
    <t>XRAY_0653</t>
  </si>
  <si>
    <t>CT_0654</t>
  </si>
  <si>
    <t>US_0655</t>
  </si>
  <si>
    <t>XRAY_0656</t>
  </si>
  <si>
    <t>6/21/2023</t>
  </si>
  <si>
    <t>MRI_0657</t>
  </si>
  <si>
    <t>XRAY_0658</t>
  </si>
  <si>
    <t>MRI_0659</t>
  </si>
  <si>
    <t>MAMMO_0660</t>
  </si>
  <si>
    <t>MAMMO_0661</t>
  </si>
  <si>
    <t>4/8/2023</t>
  </si>
  <si>
    <t>US_0662</t>
  </si>
  <si>
    <t>US_0663</t>
  </si>
  <si>
    <t>10/22/2023</t>
  </si>
  <si>
    <t>XRAY_0664</t>
  </si>
  <si>
    <t>2/8/2023</t>
  </si>
  <si>
    <t>MRI_0665</t>
  </si>
  <si>
    <t>MRI_0666</t>
  </si>
  <si>
    <t>MAMMO_0667</t>
  </si>
  <si>
    <t>MRI_0668</t>
  </si>
  <si>
    <t>XRAY_0669</t>
  </si>
  <si>
    <t>CT_0670</t>
  </si>
  <si>
    <t>MRI_0671</t>
  </si>
  <si>
    <t>CT_0672</t>
  </si>
  <si>
    <t>CT_0673</t>
  </si>
  <si>
    <t>MAMMO_0674</t>
  </si>
  <si>
    <t>10/11/2023</t>
  </si>
  <si>
    <t>XRAY_0675</t>
  </si>
  <si>
    <t>MAMMO_0676</t>
  </si>
  <si>
    <t>MAMMO_0677</t>
  </si>
  <si>
    <t>CT_0678</t>
  </si>
  <si>
    <t>5/15/2023</t>
  </si>
  <si>
    <t>MAMMO_0679</t>
  </si>
  <si>
    <t>12/3/2023</t>
  </si>
  <si>
    <t>CT_0680</t>
  </si>
  <si>
    <t>CT_0681</t>
  </si>
  <si>
    <t>US_0682</t>
  </si>
  <si>
    <t>MRI_0683</t>
  </si>
  <si>
    <t>CT_0684</t>
  </si>
  <si>
    <t>CT_0685</t>
  </si>
  <si>
    <t>MRI_0686</t>
  </si>
  <si>
    <t>MRI_0687</t>
  </si>
  <si>
    <t>MAMMO_0688</t>
  </si>
  <si>
    <t>XRAY_0689</t>
  </si>
  <si>
    <t>MRI_0690</t>
  </si>
  <si>
    <t>MAMMO_0691</t>
  </si>
  <si>
    <t>MRI_0692</t>
  </si>
  <si>
    <t>MRI_0693</t>
  </si>
  <si>
    <t>MRI_0694</t>
  </si>
  <si>
    <t>MRI_0695</t>
  </si>
  <si>
    <t>11/30/2023</t>
  </si>
  <si>
    <t>CT_0696</t>
  </si>
  <si>
    <t>2/9/2023</t>
  </si>
  <si>
    <t>XRAY_0697</t>
  </si>
  <si>
    <t>MRI_0698</t>
  </si>
  <si>
    <t>CT_0699</t>
  </si>
  <si>
    <t>1/3/2023</t>
  </si>
  <si>
    <t>US_0700</t>
  </si>
  <si>
    <t>MAMMO_0701</t>
  </si>
  <si>
    <t>MRI_0702</t>
  </si>
  <si>
    <t>9/3/2023</t>
  </si>
  <si>
    <t>MAMMO_0703</t>
  </si>
  <si>
    <t>12/2/2023</t>
  </si>
  <si>
    <t>MRI_0704</t>
  </si>
  <si>
    <t>US_0705</t>
  </si>
  <si>
    <t>XRAY_0706</t>
  </si>
  <si>
    <t>XRAY_0707</t>
  </si>
  <si>
    <t>MAMMO_0708</t>
  </si>
  <si>
    <t>MRI_0709</t>
  </si>
  <si>
    <t>XRAY_0710</t>
  </si>
  <si>
    <t>XRAY_0711</t>
  </si>
  <si>
    <t>CT_0712</t>
  </si>
  <si>
    <t>MRI_0713</t>
  </si>
  <si>
    <t>MRI_0714</t>
  </si>
  <si>
    <t>CT_0715</t>
  </si>
  <si>
    <t>CT_0716</t>
  </si>
  <si>
    <t>MAMMO_0717</t>
  </si>
  <si>
    <t>XRAY_0718</t>
  </si>
  <si>
    <t>XRAY_0719</t>
  </si>
  <si>
    <t>CT_0720</t>
  </si>
  <si>
    <t>11/14/2023</t>
  </si>
  <si>
    <t>XRAY_0721</t>
  </si>
  <si>
    <t>MRI_0722</t>
  </si>
  <si>
    <t>MAMMO_0723</t>
  </si>
  <si>
    <t>MAMMO_0724</t>
  </si>
  <si>
    <t>US_0725</t>
  </si>
  <si>
    <t>XRAY_0726</t>
  </si>
  <si>
    <t>MRI_0727</t>
  </si>
  <si>
    <t>MRI_0728</t>
  </si>
  <si>
    <t>CT_0729</t>
  </si>
  <si>
    <t>MRI_0730</t>
  </si>
  <si>
    <t>XRAY_0731</t>
  </si>
  <si>
    <t>US_0732</t>
  </si>
  <si>
    <t>XRAY_0733</t>
  </si>
  <si>
    <t>MAMMO_0734</t>
  </si>
  <si>
    <t>XRAY_0735</t>
  </si>
  <si>
    <t>CT_0736</t>
  </si>
  <si>
    <t>CT_0737</t>
  </si>
  <si>
    <t>XRAY_0738</t>
  </si>
  <si>
    <t>MAMMO_0739</t>
  </si>
  <si>
    <t>XRAY_0740</t>
  </si>
  <si>
    <t>CT_0741</t>
  </si>
  <si>
    <t>MRI_0742</t>
  </si>
  <si>
    <t>MRI_0743</t>
  </si>
  <si>
    <t>XRAY_0744</t>
  </si>
  <si>
    <t>XRAY_0745</t>
  </si>
  <si>
    <t>XRAY_0746</t>
  </si>
  <si>
    <t>XRAY_0747</t>
  </si>
  <si>
    <t>US_0748</t>
  </si>
  <si>
    <t>MRI_0749</t>
  </si>
  <si>
    <t>5/28/2023</t>
  </si>
  <si>
    <t>XRAY_0750</t>
  </si>
  <si>
    <t>8/26/2023</t>
  </si>
  <si>
    <t>XRAY_0751</t>
  </si>
  <si>
    <t>US_0752</t>
  </si>
  <si>
    <t>XRAY_0753</t>
  </si>
  <si>
    <t>MAMMO_0754</t>
  </si>
  <si>
    <t>US_0755</t>
  </si>
  <si>
    <t>MAMMO_0756</t>
  </si>
  <si>
    <t>1/20/2023</t>
  </si>
  <si>
    <t>CT_0757</t>
  </si>
  <si>
    <t>CT_0758</t>
  </si>
  <si>
    <t>MAMMO_0759</t>
  </si>
  <si>
    <t>1/13/2023</t>
  </si>
  <si>
    <t>MAMMO_0760</t>
  </si>
  <si>
    <t>XRAY_0761</t>
  </si>
  <si>
    <t>US_0762</t>
  </si>
  <si>
    <t>XRAY_0763</t>
  </si>
  <si>
    <t>CT_0764</t>
  </si>
  <si>
    <t>MRI_0765</t>
  </si>
  <si>
    <t>MAMMO_0766</t>
  </si>
  <si>
    <t>12/18/2023</t>
  </si>
  <si>
    <t>MAMMO_0767</t>
  </si>
  <si>
    <t>MAMMO_0768</t>
  </si>
  <si>
    <t>CT_0769</t>
  </si>
  <si>
    <t>XRAY_0770</t>
  </si>
  <si>
    <t>XRAY_0771</t>
  </si>
  <si>
    <t>MAMMO_0772</t>
  </si>
  <si>
    <t>MAMMO_0773</t>
  </si>
  <si>
    <t>MAMMO_0774</t>
  </si>
  <si>
    <t>8/7/2023</t>
  </si>
  <si>
    <t>US_0775</t>
  </si>
  <si>
    <t>MRI_0776</t>
  </si>
  <si>
    <t>MRI_0777</t>
  </si>
  <si>
    <t>XRAY_0778</t>
  </si>
  <si>
    <t>MRI_0779</t>
  </si>
  <si>
    <t>MAMMO_0780</t>
  </si>
  <si>
    <t>MAMMO_0781</t>
  </si>
  <si>
    <t>MAMMO_0782</t>
  </si>
  <si>
    <t>MRI_0783</t>
  </si>
  <si>
    <t>MRI_0784</t>
  </si>
  <si>
    <t>MAMMO_0785</t>
  </si>
  <si>
    <t>MRI_0786</t>
  </si>
  <si>
    <t>XRAY_0787</t>
  </si>
  <si>
    <t>10/8/2023</t>
  </si>
  <si>
    <t>MRI_0788</t>
  </si>
  <si>
    <t>US_0789</t>
  </si>
  <si>
    <t>US_0790</t>
  </si>
  <si>
    <t>CT_0791</t>
  </si>
  <si>
    <t>CT_0792</t>
  </si>
  <si>
    <t>MAMMO_0793</t>
  </si>
  <si>
    <t>US_0794</t>
  </si>
  <si>
    <t>US_0795</t>
  </si>
  <si>
    <t>MRI_0796</t>
  </si>
  <si>
    <t>XRAY_0797</t>
  </si>
  <si>
    <t>XRAY_0798</t>
  </si>
  <si>
    <t>MRI_0799</t>
  </si>
  <si>
    <t>4/25/2023</t>
  </si>
  <si>
    <t>XRAY_0800</t>
  </si>
  <si>
    <t>US_0801</t>
  </si>
  <si>
    <t>US_0802</t>
  </si>
  <si>
    <t>MAMMO_0803</t>
  </si>
  <si>
    <t>CT_0804</t>
  </si>
  <si>
    <t>4/17/2023</t>
  </si>
  <si>
    <t>XRAY_0805</t>
  </si>
  <si>
    <t>CT_0806</t>
  </si>
  <si>
    <t>MAMMO_0807</t>
  </si>
  <si>
    <t>MAMMO_0808</t>
  </si>
  <si>
    <t>XRAY_0809</t>
  </si>
  <si>
    <t>MRI_0810</t>
  </si>
  <si>
    <t>MAMMO_0811</t>
  </si>
  <si>
    <t>7/22/2023</t>
  </si>
  <si>
    <t>MRI_0812</t>
  </si>
  <si>
    <t>XRAY_0813</t>
  </si>
  <si>
    <t>MRI_0814</t>
  </si>
  <si>
    <t>CT_0815</t>
  </si>
  <si>
    <t>MAMMO_0816</t>
  </si>
  <si>
    <t>MAMMO_0817</t>
  </si>
  <si>
    <t>MAMMO_0818</t>
  </si>
  <si>
    <t>MRI_0819</t>
  </si>
  <si>
    <t>MAMMO_0820</t>
  </si>
  <si>
    <t>5/7/2023</t>
  </si>
  <si>
    <t>MRI_0821</t>
  </si>
  <si>
    <t>MRI_0822</t>
  </si>
  <si>
    <t>MAMMO_0823</t>
  </si>
  <si>
    <t>MAMMO_0824</t>
  </si>
  <si>
    <t>MRI_0825</t>
  </si>
  <si>
    <t>MRI_0826</t>
  </si>
  <si>
    <t>MAMMO_0827</t>
  </si>
  <si>
    <t>XRAY_0828</t>
  </si>
  <si>
    <t>US_0829</t>
  </si>
  <si>
    <t>MAMMO_0830</t>
  </si>
  <si>
    <t>MAMMO_0831</t>
  </si>
  <si>
    <t>XRAY_0832</t>
  </si>
  <si>
    <t>XRAY_0833</t>
  </si>
  <si>
    <t>MRI_0834</t>
  </si>
  <si>
    <t>CT_0835</t>
  </si>
  <si>
    <t>3/8/2023</t>
  </si>
  <si>
    <t>MRI_0836</t>
  </si>
  <si>
    <t>MAMMO_0837</t>
  </si>
  <si>
    <t>XRAY_0838</t>
  </si>
  <si>
    <t>CT_0839</t>
  </si>
  <si>
    <t>XRAY_0840</t>
  </si>
  <si>
    <t>9/12/2023</t>
  </si>
  <si>
    <t>US_0841</t>
  </si>
  <si>
    <t>US_0842</t>
  </si>
  <si>
    <t>XRAY_0843</t>
  </si>
  <si>
    <t>US_0844</t>
  </si>
  <si>
    <t>US_0845</t>
  </si>
  <si>
    <t>11/5/2023</t>
  </si>
  <si>
    <t>MAMMO_0846</t>
  </si>
  <si>
    <t>MRI_0847</t>
  </si>
  <si>
    <t>MRI_0848</t>
  </si>
  <si>
    <t>US_0849</t>
  </si>
  <si>
    <t>CT_0850</t>
  </si>
  <si>
    <t>XRAY_0851</t>
  </si>
  <si>
    <t>CT_0852</t>
  </si>
  <si>
    <t>CT_0853</t>
  </si>
  <si>
    <t>MRI_0854</t>
  </si>
  <si>
    <t>XRAY_0855</t>
  </si>
  <si>
    <t>XRAY_0856</t>
  </si>
  <si>
    <t>XRAY_0857</t>
  </si>
  <si>
    <t>MRI_0858</t>
  </si>
  <si>
    <t>CT_0859</t>
  </si>
  <si>
    <t>MAMMO_0860</t>
  </si>
  <si>
    <t>MRI_0861</t>
  </si>
  <si>
    <t>3/28/2023</t>
  </si>
  <si>
    <t>US_0862</t>
  </si>
  <si>
    <t>9/17/2023</t>
  </si>
  <si>
    <t>MAMMO_0863</t>
  </si>
  <si>
    <t>MAMMO_0864</t>
  </si>
  <si>
    <t>US_0865</t>
  </si>
  <si>
    <t>MAMMO_0866</t>
  </si>
  <si>
    <t>MAMMO_0867</t>
  </si>
  <si>
    <t>8/21/2023</t>
  </si>
  <si>
    <t>MRI_0868</t>
  </si>
  <si>
    <t>MAMMO_0869</t>
  </si>
  <si>
    <t>CT_0870</t>
  </si>
  <si>
    <t>CT_0871</t>
  </si>
  <si>
    <t>CT_0872</t>
  </si>
  <si>
    <t>CT_0873</t>
  </si>
  <si>
    <t>MAMMO_0874</t>
  </si>
  <si>
    <t>CT_0875</t>
  </si>
  <si>
    <t>MAMMO_0876</t>
  </si>
  <si>
    <t>XRAY_0877</t>
  </si>
  <si>
    <t>XRAY_0878</t>
  </si>
  <si>
    <t>MAMMO_0879</t>
  </si>
  <si>
    <t>7/1/2023</t>
  </si>
  <si>
    <t>XRAY_0880</t>
  </si>
  <si>
    <t>CT_0881</t>
  </si>
  <si>
    <t>US_0882</t>
  </si>
  <si>
    <t>MRI_0883</t>
  </si>
  <si>
    <t>US_0884</t>
  </si>
  <si>
    <t>MRI_0885</t>
  </si>
  <si>
    <t>MRI_0886</t>
  </si>
  <si>
    <t>US_0887</t>
  </si>
  <si>
    <t>MAMMO_0888</t>
  </si>
  <si>
    <t>US_0889</t>
  </si>
  <si>
    <t>MAMMO_0890</t>
  </si>
  <si>
    <t>XRAY_0891</t>
  </si>
  <si>
    <t>US_0892</t>
  </si>
  <si>
    <t>MAMMO_0893</t>
  </si>
  <si>
    <t>US_0894</t>
  </si>
  <si>
    <t>CT_0895</t>
  </si>
  <si>
    <t>CT_0896</t>
  </si>
  <si>
    <t>MAMMO_0897</t>
  </si>
  <si>
    <t>XRAY_0898</t>
  </si>
  <si>
    <t>MRI_0899</t>
  </si>
  <si>
    <t>MRI_0900</t>
  </si>
  <si>
    <t>4/16/2023</t>
  </si>
  <si>
    <t>MAMMO_0901</t>
  </si>
  <si>
    <t>CT_0902</t>
  </si>
  <si>
    <t>4/20/2023</t>
  </si>
  <si>
    <t>US_0903</t>
  </si>
  <si>
    <t>MRI_0904</t>
  </si>
  <si>
    <t>MRI_0905</t>
  </si>
  <si>
    <t>XRAY_0906</t>
  </si>
  <si>
    <t>MRI_0907</t>
  </si>
  <si>
    <t>US_0908</t>
  </si>
  <si>
    <t>MRI_0909</t>
  </si>
  <si>
    <t>US_0910</t>
  </si>
  <si>
    <t>CT_0911</t>
  </si>
  <si>
    <t>US_0912</t>
  </si>
  <si>
    <t>MAMMO_0913</t>
  </si>
  <si>
    <t>XRAY_0914</t>
  </si>
  <si>
    <t>US_0915</t>
  </si>
  <si>
    <t>US_0916</t>
  </si>
  <si>
    <t>MAMMO_0917</t>
  </si>
  <si>
    <t>MRI_0918</t>
  </si>
  <si>
    <t>MRI_0919</t>
  </si>
  <si>
    <t>XRAY_0920</t>
  </si>
  <si>
    <t>MAMMO_0921</t>
  </si>
  <si>
    <t>12/9/2023</t>
  </si>
  <si>
    <t>XRAY_0922</t>
  </si>
  <si>
    <t>XRAY_0923</t>
  </si>
  <si>
    <t>CT_0924</t>
  </si>
  <si>
    <t>7/17/2023</t>
  </si>
  <si>
    <t>CT_0925</t>
  </si>
  <si>
    <t>MRI_0926</t>
  </si>
  <si>
    <t>US_0927</t>
  </si>
  <si>
    <t>CT_0928</t>
  </si>
  <si>
    <t>MAMMO_0929</t>
  </si>
  <si>
    <t>CT_0930</t>
  </si>
  <si>
    <t>US_0931</t>
  </si>
  <si>
    <t>MRI_0932</t>
  </si>
  <si>
    <t>CT_0933</t>
  </si>
  <si>
    <t>CT_0934</t>
  </si>
  <si>
    <t>12/25/2023</t>
  </si>
  <si>
    <t>XRAY_0935</t>
  </si>
  <si>
    <t>XRAY_0936</t>
  </si>
  <si>
    <t>12/30/2023</t>
  </si>
  <si>
    <t>CT_0937</t>
  </si>
  <si>
    <t>XRAY_0938</t>
  </si>
  <si>
    <t>US_0939</t>
  </si>
  <si>
    <t>XRAY_0940</t>
  </si>
  <si>
    <t>CT_0941</t>
  </si>
  <si>
    <t>CT_0942</t>
  </si>
  <si>
    <t>CT_0943</t>
  </si>
  <si>
    <t>MAMMO_0944</t>
  </si>
  <si>
    <t>US_0945</t>
  </si>
  <si>
    <t>XRAY_0946</t>
  </si>
  <si>
    <t>MAMMO_0947</t>
  </si>
  <si>
    <t>CT_0948</t>
  </si>
  <si>
    <t>MAMMO_0949</t>
  </si>
  <si>
    <t>1/6/2023</t>
  </si>
  <si>
    <t>XRAY_0950</t>
  </si>
  <si>
    <t>CT_0951</t>
  </si>
  <si>
    <t>CT_0952</t>
  </si>
  <si>
    <t>US_0953</t>
  </si>
  <si>
    <t>XRAY_0954</t>
  </si>
  <si>
    <t>CT_0955</t>
  </si>
  <si>
    <t>XRAY_0956</t>
  </si>
  <si>
    <t>US_0957</t>
  </si>
  <si>
    <t>10/15/2023</t>
  </si>
  <si>
    <t>MAMMO_0958</t>
  </si>
  <si>
    <t>US_0959</t>
  </si>
  <si>
    <t>3/29/2023</t>
  </si>
  <si>
    <t>XRAY_0960</t>
  </si>
  <si>
    <t>CT_0961</t>
  </si>
  <si>
    <t>XRAY_0962</t>
  </si>
  <si>
    <t>XRAY_0963</t>
  </si>
  <si>
    <t>MAMMO_0964</t>
  </si>
  <si>
    <t>MRI_0965</t>
  </si>
  <si>
    <t>XRAY_0966</t>
  </si>
  <si>
    <t>CT_0967</t>
  </si>
  <si>
    <t>5/12/2023</t>
  </si>
  <si>
    <t>MAMMO_0968</t>
  </si>
  <si>
    <t>CT_0969</t>
  </si>
  <si>
    <t>MRI_0970</t>
  </si>
  <si>
    <t>CT_0971</t>
  </si>
  <si>
    <t>CT_0972</t>
  </si>
  <si>
    <t>MAMMO_0973</t>
  </si>
  <si>
    <t>MAMMO_0974</t>
  </si>
  <si>
    <t>US_0975</t>
  </si>
  <si>
    <t>CT_0976</t>
  </si>
  <si>
    <t>XRAY_0977</t>
  </si>
  <si>
    <t>US_0978</t>
  </si>
  <si>
    <t>XRAY_0979</t>
  </si>
  <si>
    <t>US_0980</t>
  </si>
  <si>
    <t>MRI_0981</t>
  </si>
  <si>
    <t>MRI_0982</t>
  </si>
  <si>
    <t>MRI_0983</t>
  </si>
  <si>
    <t>MRI_0984</t>
  </si>
  <si>
    <t>CT_0985</t>
  </si>
  <si>
    <t>US_0986</t>
  </si>
  <si>
    <t>US_0987</t>
  </si>
  <si>
    <t>MRI_0988</t>
  </si>
  <si>
    <t>MRI_0989</t>
  </si>
  <si>
    <t>US_0990</t>
  </si>
  <si>
    <t>XRAY_0991</t>
  </si>
  <si>
    <t>XRAY_0992</t>
  </si>
  <si>
    <t>MAMMO_0993</t>
  </si>
  <si>
    <t>US_0994</t>
  </si>
  <si>
    <t>XRAY_0995</t>
  </si>
  <si>
    <t>CT_0996</t>
  </si>
  <si>
    <t>US_0997</t>
  </si>
  <si>
    <t>XRAY_0998</t>
  </si>
  <si>
    <t>MAMMO_0999</t>
  </si>
  <si>
    <t>CT_1000</t>
  </si>
  <si>
    <t>CT_1001</t>
  </si>
  <si>
    <t>CT_1002</t>
  </si>
  <si>
    <t>US_1003</t>
  </si>
  <si>
    <t>MRI_1004</t>
  </si>
  <si>
    <t>CT_1005</t>
  </si>
  <si>
    <t>MRI_1006</t>
  </si>
  <si>
    <t>MRI_1007</t>
  </si>
  <si>
    <t>MAMMO_1008</t>
  </si>
  <si>
    <t>CT_1009</t>
  </si>
  <si>
    <t>XRAY_1010</t>
  </si>
  <si>
    <t>MRI_1011</t>
  </si>
  <si>
    <t>MAMMO_1012</t>
  </si>
  <si>
    <t>CT_1013</t>
  </si>
  <si>
    <t>CT_1014</t>
  </si>
  <si>
    <t>CT_1015</t>
  </si>
  <si>
    <t>MRI_1016</t>
  </si>
  <si>
    <t>MAMMO_1017</t>
  </si>
  <si>
    <t>XRAY_1018</t>
  </si>
  <si>
    <t>MRI_1019</t>
  </si>
  <si>
    <t>MAMMO_1020</t>
  </si>
  <si>
    <t>US_1021</t>
  </si>
  <si>
    <t>CT_1022</t>
  </si>
  <si>
    <t>US_1023</t>
  </si>
  <si>
    <t>MAMMO_1024</t>
  </si>
  <si>
    <t>MAMMO_1025</t>
  </si>
  <si>
    <t>XRAY_1026</t>
  </si>
  <si>
    <t>MRI_1027</t>
  </si>
  <si>
    <t>CT_1028</t>
  </si>
  <si>
    <t>CT_1029</t>
  </si>
  <si>
    <t>XRAY_1030</t>
  </si>
  <si>
    <t>MAMMO_1031</t>
  </si>
  <si>
    <t>MRI_1032</t>
  </si>
  <si>
    <t>XRAY_1033</t>
  </si>
  <si>
    <t>US_1034</t>
  </si>
  <si>
    <t>MAMMO_1035</t>
  </si>
  <si>
    <t>MRI_1036</t>
  </si>
  <si>
    <t>US_1037</t>
  </si>
  <si>
    <t>MRI_1038</t>
  </si>
  <si>
    <t>US_1039</t>
  </si>
  <si>
    <t>US_1040</t>
  </si>
  <si>
    <t>US_1041</t>
  </si>
  <si>
    <t>XRAY_1042</t>
  </si>
  <si>
    <t>MAMMO_1043</t>
  </si>
  <si>
    <t>CT_1044</t>
  </si>
  <si>
    <t>XRAY_1045</t>
  </si>
  <si>
    <t>US_1046</t>
  </si>
  <si>
    <t>US_1047</t>
  </si>
  <si>
    <t>US_1048</t>
  </si>
  <si>
    <t>MAMMO_1049</t>
  </si>
  <si>
    <t>MRI_1050</t>
  </si>
  <si>
    <t>MAMMO_1051</t>
  </si>
  <si>
    <t>XRAY_1052</t>
  </si>
  <si>
    <t>CT_1053</t>
  </si>
  <si>
    <t>MAMMO_1054</t>
  </si>
  <si>
    <t>XRAY_1055</t>
  </si>
  <si>
    <t>MAMMO_1056</t>
  </si>
  <si>
    <t>MAMMO_1057</t>
  </si>
  <si>
    <t>MAMMO_1058</t>
  </si>
  <si>
    <t>MAMMO_1059</t>
  </si>
  <si>
    <t>CT_1060</t>
  </si>
  <si>
    <t>US_1061</t>
  </si>
  <si>
    <t>MAMMO_1062</t>
  </si>
  <si>
    <t>MRI_1063</t>
  </si>
  <si>
    <t>US_1064</t>
  </si>
  <si>
    <t>XRAY_1065</t>
  </si>
  <si>
    <t>CT_1066</t>
  </si>
  <si>
    <t>CT_1067</t>
  </si>
  <si>
    <t>US_1068</t>
  </si>
  <si>
    <t>CT_1069</t>
  </si>
  <si>
    <t>MAMMO_1070</t>
  </si>
  <si>
    <t>7/2/2023</t>
  </si>
  <si>
    <t>XRAY_1071</t>
  </si>
  <si>
    <t>US_1072</t>
  </si>
  <si>
    <t>US_1073</t>
  </si>
  <si>
    <t>CT_1074</t>
  </si>
  <si>
    <t>XRAY_1075</t>
  </si>
  <si>
    <t>MAMMO_1076</t>
  </si>
  <si>
    <t>US_1077</t>
  </si>
  <si>
    <t>MRI_1078</t>
  </si>
  <si>
    <t>MAMMO_1079</t>
  </si>
  <si>
    <t>MRI_1080</t>
  </si>
  <si>
    <t>XRAY_1081</t>
  </si>
  <si>
    <t>CT_1082</t>
  </si>
  <si>
    <t>US_1083</t>
  </si>
  <si>
    <t>MRI_1084</t>
  </si>
  <si>
    <t>4/15/2023</t>
  </si>
  <si>
    <t>MRI_1085</t>
  </si>
  <si>
    <t>MAMMO_1086</t>
  </si>
  <si>
    <t>MAMMO_1087</t>
  </si>
  <si>
    <t>XRAY_1088</t>
  </si>
  <si>
    <t>CT_1089</t>
  </si>
  <si>
    <t>CT_1090</t>
  </si>
  <si>
    <t>CT_1091</t>
  </si>
  <si>
    <t>MAMMO_1092</t>
  </si>
  <si>
    <t>MAMMO_1093</t>
  </si>
  <si>
    <t>MRI_1094</t>
  </si>
  <si>
    <t>XRAY_1095</t>
  </si>
  <si>
    <t>CT_1096</t>
  </si>
  <si>
    <t>XRAY_1097</t>
  </si>
  <si>
    <t>MAMMO_1098</t>
  </si>
  <si>
    <t>XRAY_1099</t>
  </si>
  <si>
    <t>US_1100</t>
  </si>
  <si>
    <t>MAMMO_1101</t>
  </si>
  <si>
    <t>US_1102</t>
  </si>
  <si>
    <t>MAMMO_1103</t>
  </si>
  <si>
    <t>XRAY_1104</t>
  </si>
  <si>
    <t>CT_1105</t>
  </si>
  <si>
    <t>US_1106</t>
  </si>
  <si>
    <t>XRAY_1107</t>
  </si>
  <si>
    <t>CT_1108</t>
  </si>
  <si>
    <t>MAMMO_1109</t>
  </si>
  <si>
    <t>MRI_1110</t>
  </si>
  <si>
    <t>MRI_1111</t>
  </si>
  <si>
    <t>CT_1112</t>
  </si>
  <si>
    <t>XRAY_1113</t>
  </si>
  <si>
    <t>XRAY_1114</t>
  </si>
  <si>
    <t>US_1115</t>
  </si>
  <si>
    <t>XRAY_1116</t>
  </si>
  <si>
    <t>4/12/2023</t>
  </si>
  <si>
    <t>MRI_1117</t>
  </si>
  <si>
    <t>XRAY_1118</t>
  </si>
  <si>
    <t>US_1119</t>
  </si>
  <si>
    <t>US_1120</t>
  </si>
  <si>
    <t>MAMMO_1121</t>
  </si>
  <si>
    <t>8/3/2023</t>
  </si>
  <si>
    <t>XRAY_1122</t>
  </si>
  <si>
    <t>XRAY_1123</t>
  </si>
  <si>
    <t>XRAY_1124</t>
  </si>
  <si>
    <t>XRAY_1125</t>
  </si>
  <si>
    <t>US_1126</t>
  </si>
  <si>
    <t>CT_1127</t>
  </si>
  <si>
    <t>CT_1128</t>
  </si>
  <si>
    <t>US_1129</t>
  </si>
  <si>
    <t>XRAY_1130</t>
  </si>
  <si>
    <t>MAMMO_1131</t>
  </si>
  <si>
    <t>US_1132</t>
  </si>
  <si>
    <t>MRI_1133</t>
  </si>
  <si>
    <t>CT_1134</t>
  </si>
  <si>
    <t>XRAY_1135</t>
  </si>
  <si>
    <t>MAMMO_1136</t>
  </si>
  <si>
    <t>XRAY_1137</t>
  </si>
  <si>
    <t>CT_1138</t>
  </si>
  <si>
    <t>MRI_1139</t>
  </si>
  <si>
    <t>MAMMO_1140</t>
  </si>
  <si>
    <t>12/13/2023</t>
  </si>
  <si>
    <t>CT_1141</t>
  </si>
  <si>
    <t>MAMMO_1142</t>
  </si>
  <si>
    <t>US_1143</t>
  </si>
  <si>
    <t>MRI_1144</t>
  </si>
  <si>
    <t>CT_1145</t>
  </si>
  <si>
    <t>MAMMO_1146</t>
  </si>
  <si>
    <t>MRI_1147</t>
  </si>
  <si>
    <t>CT_1148</t>
  </si>
  <si>
    <t>CT_1149</t>
  </si>
  <si>
    <t>US_1150</t>
  </si>
  <si>
    <t>MAMMO_1151</t>
  </si>
  <si>
    <t>MRI_1152</t>
  </si>
  <si>
    <t>MAMMO_1153</t>
  </si>
  <si>
    <t>CT_1154</t>
  </si>
  <si>
    <t>MAMMO_1155</t>
  </si>
  <si>
    <t>MRI_1156</t>
  </si>
  <si>
    <t>CT_1157</t>
  </si>
  <si>
    <t>CT_1158</t>
  </si>
  <si>
    <t>CT_1159</t>
  </si>
  <si>
    <t>US_1160</t>
  </si>
  <si>
    <t>XRAY_1161</t>
  </si>
  <si>
    <t>XRAY_1162</t>
  </si>
  <si>
    <t>US_1163</t>
  </si>
  <si>
    <t>MRI_1164</t>
  </si>
  <si>
    <t>XRAY_1165</t>
  </si>
  <si>
    <t>US_1166</t>
  </si>
  <si>
    <t>MRI_1167</t>
  </si>
  <si>
    <t>CT_1168</t>
  </si>
  <si>
    <t>XRAY_1169</t>
  </si>
  <si>
    <t>CT_1170</t>
  </si>
  <si>
    <t>CT_1171</t>
  </si>
  <si>
    <t>US_1172</t>
  </si>
  <si>
    <t>MAMMO_1173</t>
  </si>
  <si>
    <t>US_1174</t>
  </si>
  <si>
    <t>MAMMO_1175</t>
  </si>
  <si>
    <t>MRI_1176</t>
  </si>
  <si>
    <t>XRAY_1177</t>
  </si>
  <si>
    <t>US_1178</t>
  </si>
  <si>
    <t>MAMMO_1179</t>
  </si>
  <si>
    <t>CT_1180</t>
  </si>
  <si>
    <t>US_1181</t>
  </si>
  <si>
    <t>MRI_1182</t>
  </si>
  <si>
    <t>XRAY_1183</t>
  </si>
  <si>
    <t>MRI_1184</t>
  </si>
  <si>
    <t>CT_1185</t>
  </si>
  <si>
    <t>XRAY_1186</t>
  </si>
  <si>
    <t>CT_1187</t>
  </si>
  <si>
    <t>MRI_1188</t>
  </si>
  <si>
    <t>MAMMO_1189</t>
  </si>
  <si>
    <t>XRAY_1190</t>
  </si>
  <si>
    <t>MAMMO_1191</t>
  </si>
  <si>
    <t>XRAY_1192</t>
  </si>
  <si>
    <t>MAMMO_1193</t>
  </si>
  <si>
    <t>XRAY_1194</t>
  </si>
  <si>
    <t>MRI_1195</t>
  </si>
  <si>
    <t>CT_1196</t>
  </si>
  <si>
    <t>CT_1197</t>
  </si>
  <si>
    <t>MRI_1198</t>
  </si>
  <si>
    <t>XRAY_1199</t>
  </si>
  <si>
    <t>XRAY_1200</t>
  </si>
  <si>
    <t>US_1201</t>
  </si>
  <si>
    <t>MAMMO_1202</t>
  </si>
  <si>
    <t>MRI_1203</t>
  </si>
  <si>
    <t>MAMMO_1204</t>
  </si>
  <si>
    <t>CT_1205</t>
  </si>
  <si>
    <t>CT_1206</t>
  </si>
  <si>
    <t>MAMMO_1207</t>
  </si>
  <si>
    <t>11/3/2023</t>
  </si>
  <si>
    <t>XRAY_1208</t>
  </si>
  <si>
    <t>MRI_1209</t>
  </si>
  <si>
    <t>MRI_1210</t>
  </si>
  <si>
    <t>MAMMO_1211</t>
  </si>
  <si>
    <t>CT_1212</t>
  </si>
  <si>
    <t>US_1213</t>
  </si>
  <si>
    <t>XRAY_1214</t>
  </si>
  <si>
    <t>MAMMO_1215</t>
  </si>
  <si>
    <t>XRAY_1216</t>
  </si>
  <si>
    <t>1/29/2023</t>
  </si>
  <si>
    <t>CT_1217</t>
  </si>
  <si>
    <t>XRAY_1218</t>
  </si>
  <si>
    <t>CT_1219</t>
  </si>
  <si>
    <t>MAMMO_1220</t>
  </si>
  <si>
    <t>MAMMO_1221</t>
  </si>
  <si>
    <t>CT_1222</t>
  </si>
  <si>
    <t>2/26/2023</t>
  </si>
  <si>
    <t>US_1223</t>
  </si>
  <si>
    <t>MRI_1224</t>
  </si>
  <si>
    <t>XRAY_1225</t>
  </si>
  <si>
    <t>US_1226</t>
  </si>
  <si>
    <t>XRAY_1227</t>
  </si>
  <si>
    <t>MRI_1228</t>
  </si>
  <si>
    <t>XRAY_1229</t>
  </si>
  <si>
    <t>XRAY_1230</t>
  </si>
  <si>
    <t>CT_1231</t>
  </si>
  <si>
    <t>US_1232</t>
  </si>
  <si>
    <t>MRI_1233</t>
  </si>
  <si>
    <t>XRAY_1234</t>
  </si>
  <si>
    <t>CT_1235</t>
  </si>
  <si>
    <t>XRAY_1236</t>
  </si>
  <si>
    <t>MAMMO_1237</t>
  </si>
  <si>
    <t>MAMMO_1238</t>
  </si>
  <si>
    <t>CT_1239</t>
  </si>
  <si>
    <t>US_1240</t>
  </si>
  <si>
    <t>MAMMO_1241</t>
  </si>
  <si>
    <t>XRAY_1242</t>
  </si>
  <si>
    <t>MAMMO_1243</t>
  </si>
  <si>
    <t>US_1244</t>
  </si>
  <si>
    <t>4/23/2023</t>
  </si>
  <si>
    <t>MRI_1245</t>
  </si>
  <si>
    <t>XRAY_1246</t>
  </si>
  <si>
    <t>MRI_1247</t>
  </si>
  <si>
    <t>MRI_1248</t>
  </si>
  <si>
    <t>XRAY_1249</t>
  </si>
  <si>
    <t>US_1250</t>
  </si>
  <si>
    <t>US_1251</t>
  </si>
  <si>
    <t>US_1252</t>
  </si>
  <si>
    <t>US_1253</t>
  </si>
  <si>
    <t>MRI_1254</t>
  </si>
  <si>
    <t>XRAY_1255</t>
  </si>
  <si>
    <t>MAMMO_1256</t>
  </si>
  <si>
    <t>MRI_1257</t>
  </si>
  <si>
    <t>MAMMO_1258</t>
  </si>
  <si>
    <t>MAMMO_1259</t>
  </si>
  <si>
    <t>US_1260</t>
  </si>
  <si>
    <t>XRAY_1261</t>
  </si>
  <si>
    <t>XRAY_1262</t>
  </si>
  <si>
    <t>XRAY_1263</t>
  </si>
  <si>
    <t>MRI_1264</t>
  </si>
  <si>
    <t>MRI_1265</t>
  </si>
  <si>
    <t>US_1266</t>
  </si>
  <si>
    <t>XRAY_1267</t>
  </si>
  <si>
    <t>MRI_1268</t>
  </si>
  <si>
    <t>MRI_1269</t>
  </si>
  <si>
    <t>US_1270</t>
  </si>
  <si>
    <t>MAMMO_1271</t>
  </si>
  <si>
    <t>CT_1272</t>
  </si>
  <si>
    <t>XRAY_1273</t>
  </si>
  <si>
    <t>US_1274</t>
  </si>
  <si>
    <t>US_1275</t>
  </si>
  <si>
    <t>XRAY_1276</t>
  </si>
  <si>
    <t>MRI_1277</t>
  </si>
  <si>
    <t>MRI_1278</t>
  </si>
  <si>
    <t>XRAY_1279</t>
  </si>
  <si>
    <t>CT_1280</t>
  </si>
  <si>
    <t>CT_1281</t>
  </si>
  <si>
    <t>XRAY_1282</t>
  </si>
  <si>
    <t>XRAY_1283</t>
  </si>
  <si>
    <t>US_1284</t>
  </si>
  <si>
    <t>CT_1285</t>
  </si>
  <si>
    <t>MAMMO_1286</t>
  </si>
  <si>
    <t>XRAY_1287</t>
  </si>
  <si>
    <t>CT_1288</t>
  </si>
  <si>
    <t>US_1289</t>
  </si>
  <si>
    <t>US_1290</t>
  </si>
  <si>
    <t>US_1291</t>
  </si>
  <si>
    <t>MRI_1292</t>
  </si>
  <si>
    <t>XRAY_1293</t>
  </si>
  <si>
    <t>MRI_1294</t>
  </si>
  <si>
    <t>MAMMO_1295</t>
  </si>
  <si>
    <t>XRAY_1296</t>
  </si>
  <si>
    <t>MRI_1297</t>
  </si>
  <si>
    <t>MRI_1298</t>
  </si>
  <si>
    <t>MAMMO_1299</t>
  </si>
  <si>
    <t>US_1300</t>
  </si>
  <si>
    <t>XRAY_1301</t>
  </si>
  <si>
    <t>XRAY_1302</t>
  </si>
  <si>
    <t>MRI_1303</t>
  </si>
  <si>
    <t>MAMMO_1304</t>
  </si>
  <si>
    <t>MAMMO_1305</t>
  </si>
  <si>
    <t>XRAY_1306</t>
  </si>
  <si>
    <t>US_1307</t>
  </si>
  <si>
    <t>MRI_1308</t>
  </si>
  <si>
    <t>MRI_1309</t>
  </si>
  <si>
    <t>MAMMO_1310</t>
  </si>
  <si>
    <t>CT_1311</t>
  </si>
  <si>
    <t>CT_1312</t>
  </si>
  <si>
    <t>MAMMO_1313</t>
  </si>
  <si>
    <t>XRAY_1314</t>
  </si>
  <si>
    <t>MRI_1315</t>
  </si>
  <si>
    <t>MAMMO_1316</t>
  </si>
  <si>
    <t>MAMMO_1317</t>
  </si>
  <si>
    <t>MAMMO_1318</t>
  </si>
  <si>
    <t>US_1319</t>
  </si>
  <si>
    <t>XRAY_1320</t>
  </si>
  <si>
    <t>US_1321</t>
  </si>
  <si>
    <t>MAMMO_1322</t>
  </si>
  <si>
    <t>MRI_1323</t>
  </si>
  <si>
    <t>US_1324</t>
  </si>
  <si>
    <t>US_1325</t>
  </si>
  <si>
    <t>MAMMO_1326</t>
  </si>
  <si>
    <t>XRAY_1327</t>
  </si>
  <si>
    <t>US_1328</t>
  </si>
  <si>
    <t>XRAY_1329</t>
  </si>
  <si>
    <t>MAMMO_1330</t>
  </si>
  <si>
    <t>MAMMO_1331</t>
  </si>
  <si>
    <t>MAMMO_1332</t>
  </si>
  <si>
    <t>US_1333</t>
  </si>
  <si>
    <t>MAMMO_1334</t>
  </si>
  <si>
    <t>CT_1335</t>
  </si>
  <si>
    <t>US_1336</t>
  </si>
  <si>
    <t>MAMMO_1337</t>
  </si>
  <si>
    <t>MAMMO_1338</t>
  </si>
  <si>
    <t>CT_1339</t>
  </si>
  <si>
    <t>MAMMO_1340</t>
  </si>
  <si>
    <t>US_1341</t>
  </si>
  <si>
    <t>MAMMO_1342</t>
  </si>
  <si>
    <t>MAMMO_1343</t>
  </si>
  <si>
    <t>CT_1344</t>
  </si>
  <si>
    <t>XRAY_1345</t>
  </si>
  <si>
    <t>MAMMO_1346</t>
  </si>
  <si>
    <t>CT_1347</t>
  </si>
  <si>
    <t>MRI_1348</t>
  </si>
  <si>
    <t>US_1349</t>
  </si>
  <si>
    <t>XRAY_1350</t>
  </si>
  <si>
    <t>MAMMO_1351</t>
  </si>
  <si>
    <t>MAMMO_1352</t>
  </si>
  <si>
    <t>MAMMO_1353</t>
  </si>
  <si>
    <t>MRI_1354</t>
  </si>
  <si>
    <t>CT_1355</t>
  </si>
  <si>
    <t>MAMMO_1356</t>
  </si>
  <si>
    <t>XRAY_1357</t>
  </si>
  <si>
    <t>MRI_1358</t>
  </si>
  <si>
    <t>MAMMO_1359</t>
  </si>
  <si>
    <t>CT_1360</t>
  </si>
  <si>
    <t>MRI_1361</t>
  </si>
  <si>
    <t>MRI_1362</t>
  </si>
  <si>
    <t>CT_1363</t>
  </si>
  <si>
    <t>MRI_1364</t>
  </si>
  <si>
    <t>XRAY_1365</t>
  </si>
  <si>
    <t>CT_1366</t>
  </si>
  <si>
    <t>XRAY_1367</t>
  </si>
  <si>
    <t>MRI_1368</t>
  </si>
  <si>
    <t>CT_1369</t>
  </si>
  <si>
    <t>MRI_1370</t>
  </si>
  <si>
    <t>CT_1371</t>
  </si>
  <si>
    <t>US_1372</t>
  </si>
  <si>
    <t>US_1373</t>
  </si>
  <si>
    <t>US_1374</t>
  </si>
  <si>
    <t>CT_1375</t>
  </si>
  <si>
    <t>US_1376</t>
  </si>
  <si>
    <t>XRAY_1377</t>
  </si>
  <si>
    <t>CT_1378</t>
  </si>
  <si>
    <t>MRI_1379</t>
  </si>
  <si>
    <t>MAMMO_1380</t>
  </si>
  <si>
    <t>XRAY_1381</t>
  </si>
  <si>
    <t>CT_1382</t>
  </si>
  <si>
    <t>XRAY_1383</t>
  </si>
  <si>
    <t>US_1384</t>
  </si>
  <si>
    <t>MAMMO_1385</t>
  </si>
  <si>
    <t>CT_1386</t>
  </si>
  <si>
    <t>US_1387</t>
  </si>
  <si>
    <t>XRAY_1388</t>
  </si>
  <si>
    <t>US_1389</t>
  </si>
  <si>
    <t>XRAY_1390</t>
  </si>
  <si>
    <t>MRI_1391</t>
  </si>
  <si>
    <t>MAMMO_1392</t>
  </si>
  <si>
    <t>CT_1393</t>
  </si>
  <si>
    <t>XRAY_1394</t>
  </si>
  <si>
    <t>MAMMO_1395</t>
  </si>
  <si>
    <t>MAMMO_1396</t>
  </si>
  <si>
    <t>MRI_1397</t>
  </si>
  <si>
    <t>XRAY_1398</t>
  </si>
  <si>
    <t>US_1399</t>
  </si>
  <si>
    <t>MAMMO_1400</t>
  </si>
  <si>
    <t>US_1401</t>
  </si>
  <si>
    <t>MRI_1402</t>
  </si>
  <si>
    <t>CT_1403</t>
  </si>
  <si>
    <t>XRAY_1404</t>
  </si>
  <si>
    <t>XRAY_1405</t>
  </si>
  <si>
    <t>XRAY_1406</t>
  </si>
  <si>
    <t>MAMMO_1407</t>
  </si>
  <si>
    <t>US_1408</t>
  </si>
  <si>
    <t>XRAY_1409</t>
  </si>
  <si>
    <t>MRI_1410</t>
  </si>
  <si>
    <t>MAMMO_1411</t>
  </si>
  <si>
    <t>MRI_1412</t>
  </si>
  <si>
    <t>US_1413</t>
  </si>
  <si>
    <t>US_1414</t>
  </si>
  <si>
    <t>US_1415</t>
  </si>
  <si>
    <t>XRAY_1416</t>
  </si>
  <si>
    <t>MAMMO_1417</t>
  </si>
  <si>
    <t>CT_1418</t>
  </si>
  <si>
    <t>XRAY_1419</t>
  </si>
  <si>
    <t>MRI_1420</t>
  </si>
  <si>
    <t>CT_1421</t>
  </si>
  <si>
    <t>US_1422</t>
  </si>
  <si>
    <t>US_1423</t>
  </si>
  <si>
    <t>XRAY_1424</t>
  </si>
  <si>
    <t>US_1425</t>
  </si>
  <si>
    <t>US_1426</t>
  </si>
  <si>
    <t>CT_1427</t>
  </si>
  <si>
    <t>US_1428</t>
  </si>
  <si>
    <t>MRI_1429</t>
  </si>
  <si>
    <t>XRAY_1430</t>
  </si>
  <si>
    <t>US_1431</t>
  </si>
  <si>
    <t>MRI_1432</t>
  </si>
  <si>
    <t>US_1433</t>
  </si>
  <si>
    <t>CT_1434</t>
  </si>
  <si>
    <t>MAMMO_1435</t>
  </si>
  <si>
    <t>MRI_1436</t>
  </si>
  <si>
    <t>XRAY_1437</t>
  </si>
  <si>
    <t>CT_1438</t>
  </si>
  <si>
    <t>MAMMO_1439</t>
  </si>
  <si>
    <t>MAMMO_1440</t>
  </si>
  <si>
    <t>9/16/2023</t>
  </si>
  <si>
    <t>XRAY_1441</t>
  </si>
  <si>
    <t>MAMMO_1442</t>
  </si>
  <si>
    <t>MAMMO_1443</t>
  </si>
  <si>
    <t>XRAY_1444</t>
  </si>
  <si>
    <t>US_1445</t>
  </si>
  <si>
    <t>XRAY_1446</t>
  </si>
  <si>
    <t>CT_1447</t>
  </si>
  <si>
    <t>XRAY_1448</t>
  </si>
  <si>
    <t>US_1449</t>
  </si>
  <si>
    <t>MRI_1450</t>
  </si>
  <si>
    <t>MAMMO_1451</t>
  </si>
  <si>
    <t>MAMMO_1452</t>
  </si>
  <si>
    <t>MRI_1453</t>
  </si>
  <si>
    <t>MAMMO_1454</t>
  </si>
  <si>
    <t>US_1455</t>
  </si>
  <si>
    <t>XRAY_1456</t>
  </si>
  <si>
    <t>CT_1457</t>
  </si>
  <si>
    <t>MRI_1458</t>
  </si>
  <si>
    <t>CT_1459</t>
  </si>
  <si>
    <t>US_1460</t>
  </si>
  <si>
    <t>XRAY_1461</t>
  </si>
  <si>
    <t>CT_1462</t>
  </si>
  <si>
    <t>MRI_1463</t>
  </si>
  <si>
    <t>XRAY_1464</t>
  </si>
  <si>
    <t>CT_1465</t>
  </si>
  <si>
    <t>CT_1466</t>
  </si>
  <si>
    <t>MRI_1467</t>
  </si>
  <si>
    <t>US_1468</t>
  </si>
  <si>
    <t>MRI_1469</t>
  </si>
  <si>
    <t>MAMMO_1470</t>
  </si>
  <si>
    <t>MAMMO_1471</t>
  </si>
  <si>
    <t>CT_1472</t>
  </si>
  <si>
    <t>MRI_1473</t>
  </si>
  <si>
    <t>MAMMO_1474</t>
  </si>
  <si>
    <t>XRAY_1475</t>
  </si>
  <si>
    <t>MAMMO_1476</t>
  </si>
  <si>
    <t>US_1477</t>
  </si>
  <si>
    <t>MAMMO_1478</t>
  </si>
  <si>
    <t>MRI_1479</t>
  </si>
  <si>
    <t>XRAY_1480</t>
  </si>
  <si>
    <t>US_1481</t>
  </si>
  <si>
    <t>MAMMO_1482</t>
  </si>
  <si>
    <t>US_1483</t>
  </si>
  <si>
    <t>MAMMO_1484</t>
  </si>
  <si>
    <t>CT_1485</t>
  </si>
  <si>
    <t>XRAY_1486</t>
  </si>
  <si>
    <t>MRI_1487</t>
  </si>
  <si>
    <t>MRI_1488</t>
  </si>
  <si>
    <t>MRI_1489</t>
  </si>
  <si>
    <t>CT_1490</t>
  </si>
  <si>
    <t>MRI_1491</t>
  </si>
  <si>
    <t>CT_1492</t>
  </si>
  <si>
    <t>MRI_1493</t>
  </si>
  <si>
    <t>XRAY_1494</t>
  </si>
  <si>
    <t>MAMMO_1495</t>
  </si>
  <si>
    <t>XRAY_1496</t>
  </si>
  <si>
    <t>CT_1497</t>
  </si>
  <si>
    <t>CT_1498</t>
  </si>
  <si>
    <t>MAMMO_1499</t>
  </si>
  <si>
    <t>MRI_1500</t>
  </si>
  <si>
    <t>MRI_1501</t>
  </si>
  <si>
    <t>MAMMO_1502</t>
  </si>
  <si>
    <t>CT_1503</t>
  </si>
  <si>
    <t>XRAY_1504</t>
  </si>
  <si>
    <t>MAMMO_1505</t>
  </si>
  <si>
    <t>MRI_1506</t>
  </si>
  <si>
    <t>XRAY_1507</t>
  </si>
  <si>
    <t>MAMMO_1508</t>
  </si>
  <si>
    <t>US_1509</t>
  </si>
  <si>
    <t>CT_1510</t>
  </si>
  <si>
    <t>XRAY_1511</t>
  </si>
  <si>
    <t>MAMMO_1512</t>
  </si>
  <si>
    <t>MAMMO_1513</t>
  </si>
  <si>
    <t>MAMMO_1514</t>
  </si>
  <si>
    <t>MAMMO_1515</t>
  </si>
  <si>
    <t>MRI_1516</t>
  </si>
  <si>
    <t>XRAY_1517</t>
  </si>
  <si>
    <t>MAMMO_1518</t>
  </si>
  <si>
    <t>US_1519</t>
  </si>
  <si>
    <t>US_1520</t>
  </si>
  <si>
    <t>MAMMO_1521</t>
  </si>
  <si>
    <t>MAMMO_1522</t>
  </si>
  <si>
    <t>MAMMO_1523</t>
  </si>
  <si>
    <t>MAMMO_1524</t>
  </si>
  <si>
    <t>MAMMO_1525</t>
  </si>
  <si>
    <t>MRI_1526</t>
  </si>
  <si>
    <t>MRI_1527</t>
  </si>
  <si>
    <t>CT_1528</t>
  </si>
  <si>
    <t>XRAY_1529</t>
  </si>
  <si>
    <t>CT_1530</t>
  </si>
  <si>
    <t>MRI_1531</t>
  </si>
  <si>
    <t>XRAY_1532</t>
  </si>
  <si>
    <t>XRAY_1533</t>
  </si>
  <si>
    <t>US_1534</t>
  </si>
  <si>
    <t>XRAY_1535</t>
  </si>
  <si>
    <t>7/12/2023</t>
  </si>
  <si>
    <t>MRI_1536</t>
  </si>
  <si>
    <t>MRI_1537</t>
  </si>
  <si>
    <t>MAMMO_1538</t>
  </si>
  <si>
    <t>MAMMO_1539</t>
  </si>
  <si>
    <t>XRAY_1540</t>
  </si>
  <si>
    <t>MAMMO_1541</t>
  </si>
  <si>
    <t>CT_1542</t>
  </si>
  <si>
    <t>CT_1543</t>
  </si>
  <si>
    <t>US_1544</t>
  </si>
  <si>
    <t>MAMMO_1545</t>
  </si>
  <si>
    <t>US_1546</t>
  </si>
  <si>
    <t>MRI_1547</t>
  </si>
  <si>
    <t>XRAY_1548</t>
  </si>
  <si>
    <t>XRAY_1549</t>
  </si>
  <si>
    <t>XRAY_1550</t>
  </si>
  <si>
    <t>MAMMO_1551</t>
  </si>
  <si>
    <t>MAMMO_1552</t>
  </si>
  <si>
    <t>CT_1553</t>
  </si>
  <si>
    <t>US_1554</t>
  </si>
  <si>
    <t>CT_1555</t>
  </si>
  <si>
    <t>CT_1556</t>
  </si>
  <si>
    <t>MAMMO_1557</t>
  </si>
  <si>
    <t>CT_1558</t>
  </si>
  <si>
    <t>CT_1559</t>
  </si>
  <si>
    <t>MAMMO_1560</t>
  </si>
  <si>
    <t>MAMMO_1561</t>
  </si>
  <si>
    <t>US_1562</t>
  </si>
  <si>
    <t>MAMMO_1563</t>
  </si>
  <si>
    <t>US_1564</t>
  </si>
  <si>
    <t>MRI_1565</t>
  </si>
  <si>
    <t>MRI_1566</t>
  </si>
  <si>
    <t>US_1567</t>
  </si>
  <si>
    <t>MRI_1568</t>
  </si>
  <si>
    <t>XRAY_1569</t>
  </si>
  <si>
    <t>MRI_1570</t>
  </si>
  <si>
    <t>US_1571</t>
  </si>
  <si>
    <t>MAMMO_1572</t>
  </si>
  <si>
    <t>CT_1573</t>
  </si>
  <si>
    <t>XRAY_1574</t>
  </si>
  <si>
    <t>US_1575</t>
  </si>
  <si>
    <t>CT_1576</t>
  </si>
  <si>
    <t>MRI_1577</t>
  </si>
  <si>
    <t>MRI_1578</t>
  </si>
  <si>
    <t>MRI_1579</t>
  </si>
  <si>
    <t>MRI_1580</t>
  </si>
  <si>
    <t>MRI_1581</t>
  </si>
  <si>
    <t>XRAY_1582</t>
  </si>
  <si>
    <t>CT_1583</t>
  </si>
  <si>
    <t>MRI_1584</t>
  </si>
  <si>
    <t>XRAY_1585</t>
  </si>
  <si>
    <t>CT_1586</t>
  </si>
  <si>
    <t>XRAY_1587</t>
  </si>
  <si>
    <t>XRAY_1588</t>
  </si>
  <si>
    <t>MRI_1589</t>
  </si>
  <si>
    <t>MAMMO_1590</t>
  </si>
  <si>
    <t>US_1591</t>
  </si>
  <si>
    <t>MRI_1592</t>
  </si>
  <si>
    <t>CT_1593</t>
  </si>
  <si>
    <t>US_1594</t>
  </si>
  <si>
    <t>MRI_1595</t>
  </si>
  <si>
    <t>CT_1596</t>
  </si>
  <si>
    <t>CT_1597</t>
  </si>
  <si>
    <t>10/1/2023</t>
  </si>
  <si>
    <t>MRI_1598</t>
  </si>
  <si>
    <t>MRI_1599</t>
  </si>
  <si>
    <t>XRAY_1600</t>
  </si>
  <si>
    <t>MRI_1601</t>
  </si>
  <si>
    <t>US_1602</t>
  </si>
  <si>
    <t>MRI_1603</t>
  </si>
  <si>
    <t>MAMMO_1604</t>
  </si>
  <si>
    <t>XRAY_1605</t>
  </si>
  <si>
    <t>CT_1606</t>
  </si>
  <si>
    <t>XRAY_1607</t>
  </si>
  <si>
    <t>MRI_1608</t>
  </si>
  <si>
    <t>MRI_1609</t>
  </si>
  <si>
    <t>MAMMO_1610</t>
  </si>
  <si>
    <t>CT_1611</t>
  </si>
  <si>
    <t>MAMMO_1612</t>
  </si>
  <si>
    <t>XRAY_1613</t>
  </si>
  <si>
    <t>US_1614</t>
  </si>
  <si>
    <t>MRI_1615</t>
  </si>
  <si>
    <t>MRI_1616</t>
  </si>
  <si>
    <t>MAMMO_1617</t>
  </si>
  <si>
    <t>MRI_1618</t>
  </si>
  <si>
    <t>CT_1619</t>
  </si>
  <si>
    <t>US_1620</t>
  </si>
  <si>
    <t>US_1621</t>
  </si>
  <si>
    <t>MAMMO_1622</t>
  </si>
  <si>
    <t>CT_1623</t>
  </si>
  <si>
    <t>CT_1624</t>
  </si>
  <si>
    <t>US_1625</t>
  </si>
  <si>
    <t>CT_1626</t>
  </si>
  <si>
    <t>MAMMO_1627</t>
  </si>
  <si>
    <t>XRAY_1628</t>
  </si>
  <si>
    <t>MRI_1629</t>
  </si>
  <si>
    <t>MRI_1630</t>
  </si>
  <si>
    <t>MAMMO_1631</t>
  </si>
  <si>
    <t>CT_1632</t>
  </si>
  <si>
    <t>XRAY_1633</t>
  </si>
  <si>
    <t>US_1634</t>
  </si>
  <si>
    <t>MAMMO_1635</t>
  </si>
  <si>
    <t>US_1636</t>
  </si>
  <si>
    <t>MRI_1637</t>
  </si>
  <si>
    <t>US_1638</t>
  </si>
  <si>
    <t>XRAY_1639</t>
  </si>
  <si>
    <t>CT_1640</t>
  </si>
  <si>
    <t>US_1641</t>
  </si>
  <si>
    <t>MAMMO_1642</t>
  </si>
  <si>
    <t>MRI_1643</t>
  </si>
  <si>
    <t>XRAY_1644</t>
  </si>
  <si>
    <t>XRAY_1645</t>
  </si>
  <si>
    <t>CT_1646</t>
  </si>
  <si>
    <t>XRAY_1647</t>
  </si>
  <si>
    <t>XRAY_1648</t>
  </si>
  <si>
    <t>MAMMO_1649</t>
  </si>
  <si>
    <t>MAMMO_1650</t>
  </si>
  <si>
    <t>XRAY_1651</t>
  </si>
  <si>
    <t>MAMMO_1652</t>
  </si>
  <si>
    <t>MRI_1653</t>
  </si>
  <si>
    <t>MAMMO_1654</t>
  </si>
  <si>
    <t>MRI_1655</t>
  </si>
  <si>
    <t>US_1656</t>
  </si>
  <si>
    <t>MAMMO_1657</t>
  </si>
  <si>
    <t>US_1658</t>
  </si>
  <si>
    <t>XRAY_1659</t>
  </si>
  <si>
    <t>MRI_1660</t>
  </si>
  <si>
    <t>MRI_1661</t>
  </si>
  <si>
    <t>MRI_1662</t>
  </si>
  <si>
    <t>MRI_1663</t>
  </si>
  <si>
    <t>MAMMO_1664</t>
  </si>
  <si>
    <t>US_1665</t>
  </si>
  <si>
    <t>US_1666</t>
  </si>
  <si>
    <t>MAMMO_1667</t>
  </si>
  <si>
    <t>US_1668</t>
  </si>
  <si>
    <t>MAMMO_1669</t>
  </si>
  <si>
    <t>US_1670</t>
  </si>
  <si>
    <t>CT_1671</t>
  </si>
  <si>
    <t>XRAY_1672</t>
  </si>
  <si>
    <t>US_1673</t>
  </si>
  <si>
    <t>MRI_1674</t>
  </si>
  <si>
    <t>US_1675</t>
  </si>
  <si>
    <t>US_1676</t>
  </si>
  <si>
    <t>MRI_1677</t>
  </si>
  <si>
    <t>XRAY_1678</t>
  </si>
  <si>
    <t>CT_1679</t>
  </si>
  <si>
    <t>MAMMO_1680</t>
  </si>
  <si>
    <t>CT_1681</t>
  </si>
  <si>
    <t>MAMMO_1682</t>
  </si>
  <si>
    <t>US_1683</t>
  </si>
  <si>
    <t>US_1684</t>
  </si>
  <si>
    <t>US_1685</t>
  </si>
  <si>
    <t>CT_1686</t>
  </si>
  <si>
    <t>US_1687</t>
  </si>
  <si>
    <t>MAMMO_1688</t>
  </si>
  <si>
    <t>US_1689</t>
  </si>
  <si>
    <t>CT_1690</t>
  </si>
  <si>
    <t>XRAY_1691</t>
  </si>
  <si>
    <t>CT_1692</t>
  </si>
  <si>
    <t>MRI_1693</t>
  </si>
  <si>
    <t>MRI_1694</t>
  </si>
  <si>
    <t>US_1695</t>
  </si>
  <si>
    <t>MAMMO_1696</t>
  </si>
  <si>
    <t>XRAY_1697</t>
  </si>
  <si>
    <t>XRAY_1698</t>
  </si>
  <si>
    <t>MAMMO_1699</t>
  </si>
  <si>
    <t>MAMMO_1700</t>
  </si>
  <si>
    <t>US_1701</t>
  </si>
  <si>
    <t>MRI_1702</t>
  </si>
  <si>
    <t>US_1703</t>
  </si>
  <si>
    <t>US_1704</t>
  </si>
  <si>
    <t>MAMMO_1705</t>
  </si>
  <si>
    <t>XRAY_1706</t>
  </si>
  <si>
    <t>US_1707</t>
  </si>
  <si>
    <t>CT_1708</t>
  </si>
  <si>
    <t>US_1709</t>
  </si>
  <si>
    <t>CT_1710</t>
  </si>
  <si>
    <t>MRI_1711</t>
  </si>
  <si>
    <t>US_1712</t>
  </si>
  <si>
    <t>US_1713</t>
  </si>
  <si>
    <t>CT_1714</t>
  </si>
  <si>
    <t>MRI_1715</t>
  </si>
  <si>
    <t>US_1716</t>
  </si>
  <si>
    <t>US_1717</t>
  </si>
  <si>
    <t>MAMMO_1718</t>
  </si>
  <si>
    <t>XRAY_1719</t>
  </si>
  <si>
    <t>CT_1720</t>
  </si>
  <si>
    <t>MAMMO_1721</t>
  </si>
  <si>
    <t>CT_1722</t>
  </si>
  <si>
    <t>MRI_1723</t>
  </si>
  <si>
    <t>MRI_1724</t>
  </si>
  <si>
    <t>CT_1725</t>
  </si>
  <si>
    <t>XRAY_1726</t>
  </si>
  <si>
    <t>XRAY_1727</t>
  </si>
  <si>
    <t>MAMMO_1728</t>
  </si>
  <si>
    <t>MAMMO_1729</t>
  </si>
  <si>
    <t>MAMMO_1730</t>
  </si>
  <si>
    <t>XRAY_1731</t>
  </si>
  <si>
    <t>MAMMO_1732</t>
  </si>
  <si>
    <t>CT_1733</t>
  </si>
  <si>
    <t>US_1734</t>
  </si>
  <si>
    <t>MRI_1735</t>
  </si>
  <si>
    <t>US_1736</t>
  </si>
  <si>
    <t>CT_1737</t>
  </si>
  <si>
    <t>MAMMO_1738</t>
  </si>
  <si>
    <t>XRAY_1739</t>
  </si>
  <si>
    <t>US_1740</t>
  </si>
  <si>
    <t>XRAY_1741</t>
  </si>
  <si>
    <t>XRAY_1742</t>
  </si>
  <si>
    <t>XRAY_1743</t>
  </si>
  <si>
    <t>CT_1744</t>
  </si>
  <si>
    <t>MAMMO_1745</t>
  </si>
  <si>
    <t>MRI_1746</t>
  </si>
  <si>
    <t>MRI_1747</t>
  </si>
  <si>
    <t>MRI_1748</t>
  </si>
  <si>
    <t>MRI_1749</t>
  </si>
  <si>
    <t>CT_1750</t>
  </si>
  <si>
    <t>MAMMO_1751</t>
  </si>
  <si>
    <t>CT_1752</t>
  </si>
  <si>
    <t>XRAY_1753</t>
  </si>
  <si>
    <t>9/19/2023</t>
  </si>
  <si>
    <t>MRI_1754</t>
  </si>
  <si>
    <t>MRI_1755</t>
  </si>
  <si>
    <t>MRI_1756</t>
  </si>
  <si>
    <t>MAMMO_1757</t>
  </si>
  <si>
    <t>MAMMO_1758</t>
  </si>
  <si>
    <t>XRAY_1759</t>
  </si>
  <si>
    <t>MRI_1760</t>
  </si>
  <si>
    <t>MAMMO_1761</t>
  </si>
  <si>
    <t>CT_1762</t>
  </si>
  <si>
    <t>CT_1763</t>
  </si>
  <si>
    <t>US_1764</t>
  </si>
  <si>
    <t>MAMMO_1765</t>
  </si>
  <si>
    <t>CT_1766</t>
  </si>
  <si>
    <t>CT_1767</t>
  </si>
  <si>
    <t>US_1768</t>
  </si>
  <si>
    <t>MAMMO_1769</t>
  </si>
  <si>
    <t>MRI_1770</t>
  </si>
  <si>
    <t>XRAY_1771</t>
  </si>
  <si>
    <t>MRI_1772</t>
  </si>
  <si>
    <t>CT_1773</t>
  </si>
  <si>
    <t>XRAY_1774</t>
  </si>
  <si>
    <t>MAMMO_1775</t>
  </si>
  <si>
    <t>MRI_1776</t>
  </si>
  <si>
    <t>CT_1777</t>
  </si>
  <si>
    <t>XRAY_1778</t>
  </si>
  <si>
    <t>US_1779</t>
  </si>
  <si>
    <t>MRI_1780</t>
  </si>
  <si>
    <t>MAMMO_1781</t>
  </si>
  <si>
    <t>XRAY_1782</t>
  </si>
  <si>
    <t>US_1783</t>
  </si>
  <si>
    <t>XRAY_1784</t>
  </si>
  <si>
    <t>US_1785</t>
  </si>
  <si>
    <t>XRAY_1786</t>
  </si>
  <si>
    <t>CT_1787</t>
  </si>
  <si>
    <t>XRAY_1788</t>
  </si>
  <si>
    <t>US_1789</t>
  </si>
  <si>
    <t>US_1790</t>
  </si>
  <si>
    <t>MAMMO_1791</t>
  </si>
  <si>
    <t>CT_1792</t>
  </si>
  <si>
    <t>XRAY_1793</t>
  </si>
  <si>
    <t>XRAY_1794</t>
  </si>
  <si>
    <t>XRAY_1795</t>
  </si>
  <si>
    <t>CT_1796</t>
  </si>
  <si>
    <t>US_1797</t>
  </si>
  <si>
    <t>CT_1798</t>
  </si>
  <si>
    <t>CT_1799</t>
  </si>
  <si>
    <t>MRI_1800</t>
  </si>
  <si>
    <t>MAMMO_1801</t>
  </si>
  <si>
    <t>US_1802</t>
  </si>
  <si>
    <t>MAMMO_1803</t>
  </si>
  <si>
    <t>CT_1804</t>
  </si>
  <si>
    <t>MRI_1805</t>
  </si>
  <si>
    <t>CT_1806</t>
  </si>
  <si>
    <t>CT_1807</t>
  </si>
  <si>
    <t>MRI_1808</t>
  </si>
  <si>
    <t>US_1809</t>
  </si>
  <si>
    <t>CT_1810</t>
  </si>
  <si>
    <t>CT_1811</t>
  </si>
  <si>
    <t>XRAY_1812</t>
  </si>
  <si>
    <t>CT_1813</t>
  </si>
  <si>
    <t>MRI_1814</t>
  </si>
  <si>
    <t>CT_1815</t>
  </si>
  <si>
    <t>US_1816</t>
  </si>
  <si>
    <t>US_1817</t>
  </si>
  <si>
    <t>XRAY_1818</t>
  </si>
  <si>
    <t>US_1819</t>
  </si>
  <si>
    <t>MRI_1820</t>
  </si>
  <si>
    <t>MRI_1821</t>
  </si>
  <si>
    <t>US_1822</t>
  </si>
  <si>
    <t>US_1823</t>
  </si>
  <si>
    <t>XRAY_1824</t>
  </si>
  <si>
    <t>XRAY_1825</t>
  </si>
  <si>
    <t>US_1826</t>
  </si>
  <si>
    <t>XRAY_1827</t>
  </si>
  <si>
    <t>CT_1828</t>
  </si>
  <si>
    <t>XRAY_1829</t>
  </si>
  <si>
    <t>XRAY_1830</t>
  </si>
  <si>
    <t>CT_1831</t>
  </si>
  <si>
    <t>CT_1832</t>
  </si>
  <si>
    <t>MRI_1833</t>
  </si>
  <si>
    <t>MAMMO_1834</t>
  </si>
  <si>
    <t>US_1835</t>
  </si>
  <si>
    <t>MRI_1836</t>
  </si>
  <si>
    <t>XRAY_1837</t>
  </si>
  <si>
    <t>MRI_1838</t>
  </si>
  <si>
    <t>US_1839</t>
  </si>
  <si>
    <t>MAMMO_1840</t>
  </si>
  <si>
    <t>MAMMO_1841</t>
  </si>
  <si>
    <t>CT_1842</t>
  </si>
  <si>
    <t>CT_1843</t>
  </si>
  <si>
    <t>MRI_1844</t>
  </si>
  <si>
    <t>CT_1845</t>
  </si>
  <si>
    <t>MAMMO_1846</t>
  </si>
  <si>
    <t>XRAY_1847</t>
  </si>
  <si>
    <t>CT_1848</t>
  </si>
  <si>
    <t>CT_1849</t>
  </si>
  <si>
    <t>MAMMO_1850</t>
  </si>
  <si>
    <t>XRAY_1851</t>
  </si>
  <si>
    <t>MAMMO_1852</t>
  </si>
  <si>
    <t>MRI_1853</t>
  </si>
  <si>
    <t>US_1854</t>
  </si>
  <si>
    <t>MRI_1855</t>
  </si>
  <si>
    <t>US_1856</t>
  </si>
  <si>
    <t>CT_1857</t>
  </si>
  <si>
    <t>CT_1858</t>
  </si>
  <si>
    <t>CT_1859</t>
  </si>
  <si>
    <t>CT_1860</t>
  </si>
  <si>
    <t>US_1861</t>
  </si>
  <si>
    <t>CT_1862</t>
  </si>
  <si>
    <t>XRAY_1863</t>
  </si>
  <si>
    <t>MAMMO_1864</t>
  </si>
  <si>
    <t>US_1865</t>
  </si>
  <si>
    <t>XRAY_1866</t>
  </si>
  <si>
    <t>MRI_1867</t>
  </si>
  <si>
    <t>US_1868</t>
  </si>
  <si>
    <t>MRI_1869</t>
  </si>
  <si>
    <t>CT_1870</t>
  </si>
  <si>
    <t>CT_1871</t>
  </si>
  <si>
    <t>MAMMO_1872</t>
  </si>
  <si>
    <t>MRI_1873</t>
  </si>
  <si>
    <t>US_1874</t>
  </si>
  <si>
    <t>XRAY_1875</t>
  </si>
  <si>
    <t>CT_1876</t>
  </si>
  <si>
    <t>MAMMO_1877</t>
  </si>
  <si>
    <t>US_1878</t>
  </si>
  <si>
    <t>MAMMO_1879</t>
  </si>
  <si>
    <t>MAMMO_1880</t>
  </si>
  <si>
    <t>XRAY_1881</t>
  </si>
  <si>
    <t>CT_1882</t>
  </si>
  <si>
    <t>CT_1883</t>
  </si>
  <si>
    <t>XRAY_1884</t>
  </si>
  <si>
    <t>CT_1885</t>
  </si>
  <si>
    <t>XRAY_1886</t>
  </si>
  <si>
    <t>MAMMO_1887</t>
  </si>
  <si>
    <t>MAMMO_1888</t>
  </si>
  <si>
    <t>US_1889</t>
  </si>
  <si>
    <t>US_1890</t>
  </si>
  <si>
    <t>XRAY_1891</t>
  </si>
  <si>
    <t>MRI_1892</t>
  </si>
  <si>
    <t>XRAY_1893</t>
  </si>
  <si>
    <t>XRAY_1894</t>
  </si>
  <si>
    <t>US_1895</t>
  </si>
  <si>
    <t>CT_1896</t>
  </si>
  <si>
    <t>CT_1897</t>
  </si>
  <si>
    <t>MAMMO_1898</t>
  </si>
  <si>
    <t>US_1899</t>
  </si>
  <si>
    <t>MRI_1900</t>
  </si>
  <si>
    <t>US_1901</t>
  </si>
  <si>
    <t>MRI_1902</t>
  </si>
  <si>
    <t>US_1903</t>
  </si>
  <si>
    <t>US_1904</t>
  </si>
  <si>
    <t>XRAY_1905</t>
  </si>
  <si>
    <t>MAMMO_1906</t>
  </si>
  <si>
    <t>MRI_1907</t>
  </si>
  <si>
    <t>US_1908</t>
  </si>
  <si>
    <t>MRI_1909</t>
  </si>
  <si>
    <t>US_1910</t>
  </si>
  <si>
    <t>MAMMO_1911</t>
  </si>
  <si>
    <t>MAMMO_1912</t>
  </si>
  <si>
    <t>XRAY_1913</t>
  </si>
  <si>
    <t>US_1914</t>
  </si>
  <si>
    <t>XRAY_1915</t>
  </si>
  <si>
    <t>US_1916</t>
  </si>
  <si>
    <t>US_1917</t>
  </si>
  <si>
    <t>CT_1918</t>
  </si>
  <si>
    <t>MAMMO_1919</t>
  </si>
  <si>
    <t>XRAY_1920</t>
  </si>
  <si>
    <t>MRI_1921</t>
  </si>
  <si>
    <t>MRI_1922</t>
  </si>
  <si>
    <t>MRI_1923</t>
  </si>
  <si>
    <t>MRI_1924</t>
  </si>
  <si>
    <t>MRI_1925</t>
  </si>
  <si>
    <t>MAMMO_1926</t>
  </si>
  <si>
    <t>CT_1927</t>
  </si>
  <si>
    <t>MRI_1928</t>
  </si>
  <si>
    <t>MAMMO_1929</t>
  </si>
  <si>
    <t>US_1930</t>
  </si>
  <si>
    <t>US_1931</t>
  </si>
  <si>
    <t>XRAY_1932</t>
  </si>
  <si>
    <t>MRI_1933</t>
  </si>
  <si>
    <t>CT_1934</t>
  </si>
  <si>
    <t>MRI_1935</t>
  </si>
  <si>
    <t>US_1936</t>
  </si>
  <si>
    <t>XRAY_1937</t>
  </si>
  <si>
    <t>MRI_1938</t>
  </si>
  <si>
    <t>XRAY_1939</t>
  </si>
  <si>
    <t>US_1940</t>
  </si>
  <si>
    <t>MAMMO_1941</t>
  </si>
  <si>
    <t>CT_1942</t>
  </si>
  <si>
    <t>XRAY_1943</t>
  </si>
  <si>
    <t>US_1944</t>
  </si>
  <si>
    <t>XRAY_1945</t>
  </si>
  <si>
    <t>XRAY_1946</t>
  </si>
  <si>
    <t>US_1947</t>
  </si>
  <si>
    <t>XRAY_1948</t>
  </si>
  <si>
    <t>MAMMO_1949</t>
  </si>
  <si>
    <t>MRI_1950</t>
  </si>
  <si>
    <t>US_1951</t>
  </si>
  <si>
    <t>CT_1952</t>
  </si>
  <si>
    <t>US_1953</t>
  </si>
  <si>
    <t>MAMMO_1954</t>
  </si>
  <si>
    <t>CT_1955</t>
  </si>
  <si>
    <t>US_1956</t>
  </si>
  <si>
    <t>MAMMO_1957</t>
  </si>
  <si>
    <t>MAMMO_1958</t>
  </si>
  <si>
    <t>MAMMO_1959</t>
  </si>
  <si>
    <t>XRAY_1960</t>
  </si>
  <si>
    <t>CT_1961</t>
  </si>
  <si>
    <t>MRI_1962</t>
  </si>
  <si>
    <t>MAMMO_1963</t>
  </si>
  <si>
    <t>US_1964</t>
  </si>
  <si>
    <t>US_1965</t>
  </si>
  <si>
    <t>XRAY_1966</t>
  </si>
  <si>
    <t>MRI_1967</t>
  </si>
  <si>
    <t>CT_1968</t>
  </si>
  <si>
    <t>MAMMO_1969</t>
  </si>
  <si>
    <t>MRI_1970</t>
  </si>
  <si>
    <t>MRI_1971</t>
  </si>
  <si>
    <t>CT_1972</t>
  </si>
  <si>
    <t>US_1973</t>
  </si>
  <si>
    <t>US_1974</t>
  </si>
  <si>
    <t>US_1975</t>
  </si>
  <si>
    <t>CT_1976</t>
  </si>
  <si>
    <t>MRI_1977</t>
  </si>
  <si>
    <t>CT_1978</t>
  </si>
  <si>
    <t>MAMMO_1979</t>
  </si>
  <si>
    <t>MRI_1980</t>
  </si>
  <si>
    <t>US_1981</t>
  </si>
  <si>
    <t>US_1982</t>
  </si>
  <si>
    <t>US_1983</t>
  </si>
  <si>
    <t>XRAY_1984</t>
  </si>
  <si>
    <t>MRI_1985</t>
  </si>
  <si>
    <t>US_1986</t>
  </si>
  <si>
    <t>CT_1987</t>
  </si>
  <si>
    <t>US_1988</t>
  </si>
  <si>
    <t>MAMMO_1989</t>
  </si>
  <si>
    <t>MAMMO_1990</t>
  </si>
  <si>
    <t>MRI_1991</t>
  </si>
  <si>
    <t>US_1992</t>
  </si>
  <si>
    <t>US_1993</t>
  </si>
  <si>
    <t>XRAY_1994</t>
  </si>
  <si>
    <t>XRAY_1995</t>
  </si>
  <si>
    <t>US_1996</t>
  </si>
  <si>
    <t>CT_1997</t>
  </si>
  <si>
    <t>MRI_1998</t>
  </si>
  <si>
    <t>US_1999</t>
  </si>
  <si>
    <t>US_2000</t>
  </si>
  <si>
    <t>US_2001</t>
  </si>
  <si>
    <t>MRI_2002</t>
  </si>
  <si>
    <t>MAMMO_2003</t>
  </si>
  <si>
    <t>CT_2004</t>
  </si>
  <si>
    <t>US_2005</t>
  </si>
  <si>
    <t>MAMMO_2006</t>
  </si>
  <si>
    <t>US_2007</t>
  </si>
  <si>
    <t>MAMMO_2008</t>
  </si>
  <si>
    <t>XRAY_2009</t>
  </si>
  <si>
    <t>MAMMO_2010</t>
  </si>
  <si>
    <t>MAMMO_2011</t>
  </si>
  <si>
    <t>MAMMO_2012</t>
  </si>
  <si>
    <t>MRI_2013</t>
  </si>
  <si>
    <t>CT_2014</t>
  </si>
  <si>
    <t>CT_2015</t>
  </si>
  <si>
    <t>MRI_2016</t>
  </si>
  <si>
    <t>MAMMO_2017</t>
  </si>
  <si>
    <t>XRAY_2018</t>
  </si>
  <si>
    <t>MRI_2019</t>
  </si>
  <si>
    <t>CT_2020</t>
  </si>
  <si>
    <t>XRAY_2021</t>
  </si>
  <si>
    <t>US_2022</t>
  </si>
  <si>
    <t>MAMMO_2023</t>
  </si>
  <si>
    <t>CT_2024</t>
  </si>
  <si>
    <t>MAMMO_2025</t>
  </si>
  <si>
    <t>MAMMO_2026</t>
  </si>
  <si>
    <t>XRAY_2027</t>
  </si>
  <si>
    <t>MRI_2028</t>
  </si>
  <si>
    <t>US_2029</t>
  </si>
  <si>
    <t>US_2030</t>
  </si>
  <si>
    <t>US_2031</t>
  </si>
  <si>
    <t>MAMMO_2032</t>
  </si>
  <si>
    <t>MRI_2033</t>
  </si>
  <si>
    <t>MAMMO_2034</t>
  </si>
  <si>
    <t>MAMMO_2035</t>
  </si>
  <si>
    <t>MAMMO_2036</t>
  </si>
  <si>
    <t>MAMMO_2037</t>
  </si>
  <si>
    <t>MRI_2038</t>
  </si>
  <si>
    <t>XRAY_2039</t>
  </si>
  <si>
    <t>US_2040</t>
  </si>
  <si>
    <t>XRAY_2041</t>
  </si>
  <si>
    <t>MRI_2042</t>
  </si>
  <si>
    <t>MRI_2043</t>
  </si>
  <si>
    <t>US_2044</t>
  </si>
  <si>
    <t>US_2045</t>
  </si>
  <si>
    <t>XRAY_2046</t>
  </si>
  <si>
    <t>US_2047</t>
  </si>
  <si>
    <t>XRAY_2048</t>
  </si>
  <si>
    <t>CT_2049</t>
  </si>
  <si>
    <t>MRI_2050</t>
  </si>
  <si>
    <t>MAMMO_2051</t>
  </si>
  <si>
    <t>XRAY_2052</t>
  </si>
  <si>
    <t>CT_2053</t>
  </si>
  <si>
    <t>US_2054</t>
  </si>
  <si>
    <t>MRI_2055</t>
  </si>
  <si>
    <t>CT_2056</t>
  </si>
  <si>
    <t>US_2057</t>
  </si>
  <si>
    <t>MRI_2058</t>
  </si>
  <si>
    <t>MAMMO_2059</t>
  </si>
  <si>
    <t>US_2060</t>
  </si>
  <si>
    <t>US_2061</t>
  </si>
  <si>
    <t>MAMMO_2062</t>
  </si>
  <si>
    <t>MRI_2063</t>
  </si>
  <si>
    <t>XRAY_2064</t>
  </si>
  <si>
    <t>US_2065</t>
  </si>
  <si>
    <t>US_2066</t>
  </si>
  <si>
    <t>MAMMO_2067</t>
  </si>
  <si>
    <t>XRAY_2068</t>
  </si>
  <si>
    <t>MAMMO_2069</t>
  </si>
  <si>
    <t>MRI_2070</t>
  </si>
  <si>
    <t>US_2071</t>
  </si>
  <si>
    <t>XRAY_2072</t>
  </si>
  <si>
    <t>CT_2073</t>
  </si>
  <si>
    <t>CT_2074</t>
  </si>
  <si>
    <t>MAMMO_2075</t>
  </si>
  <si>
    <t>11/29/2023</t>
  </si>
  <si>
    <t>XRAY_2076</t>
  </si>
  <si>
    <t>US_2077</t>
  </si>
  <si>
    <t>XRAY_2078</t>
  </si>
  <si>
    <t>CT_2079</t>
  </si>
  <si>
    <t>MAMMO_2080</t>
  </si>
  <si>
    <t>XRAY_2081</t>
  </si>
  <si>
    <t>MRI_2082</t>
  </si>
  <si>
    <t>MRI_2083</t>
  </si>
  <si>
    <t>CT_2084</t>
  </si>
  <si>
    <t>MAMMO_2085</t>
  </si>
  <si>
    <t>US_2086</t>
  </si>
  <si>
    <t>CT_2087</t>
  </si>
  <si>
    <t>MAMMO_2088</t>
  </si>
  <si>
    <t>MAMMO_2089</t>
  </si>
  <si>
    <t>MRI_2090</t>
  </si>
  <si>
    <t>MRI_2091</t>
  </si>
  <si>
    <t>XRAY_2092</t>
  </si>
  <si>
    <t>CT_2093</t>
  </si>
  <si>
    <t>MAMMO_2094</t>
  </si>
  <si>
    <t>US_2095</t>
  </si>
  <si>
    <t>MRI_2096</t>
  </si>
  <si>
    <t>US_2097</t>
  </si>
  <si>
    <t>MAMMO_2098</t>
  </si>
  <si>
    <t>XRAY_2099</t>
  </si>
  <si>
    <t>US_2100</t>
  </si>
  <si>
    <t>MRI_2101</t>
  </si>
  <si>
    <t>CT_2102</t>
  </si>
  <si>
    <t>CT_2103</t>
  </si>
  <si>
    <t>XRAY_2104</t>
  </si>
  <si>
    <t>MRI_2105</t>
  </si>
  <si>
    <t>CT_2106</t>
  </si>
  <si>
    <t>XRAY_2107</t>
  </si>
  <si>
    <t>CT_2108</t>
  </si>
  <si>
    <t>US_2109</t>
  </si>
  <si>
    <t>US_2110</t>
  </si>
  <si>
    <t>MRI_2111</t>
  </si>
  <si>
    <t>MRI_2112</t>
  </si>
  <si>
    <t>MRI_2113</t>
  </si>
  <si>
    <t>US_2114</t>
  </si>
  <si>
    <t>US_2115</t>
  </si>
  <si>
    <t>MAMMO_2116</t>
  </si>
  <si>
    <t>US_2117</t>
  </si>
  <si>
    <t>CT_2118</t>
  </si>
  <si>
    <t>CT_2119</t>
  </si>
  <si>
    <t>MRI_2120</t>
  </si>
  <si>
    <t>XRAY_2121</t>
  </si>
  <si>
    <t>XRAY_2122</t>
  </si>
  <si>
    <t>XRAY_2123</t>
  </si>
  <si>
    <t>MAMMO_2124</t>
  </si>
  <si>
    <t>MAMMO_2125</t>
  </si>
  <si>
    <t>MAMMO_2126</t>
  </si>
  <si>
    <t>US_2127</t>
  </si>
  <si>
    <t>MAMMO_2128</t>
  </si>
  <si>
    <t>XRAY_2129</t>
  </si>
  <si>
    <t>US_2130</t>
  </si>
  <si>
    <t>US_2131</t>
  </si>
  <si>
    <t>XRAY_2132</t>
  </si>
  <si>
    <t>US_2133</t>
  </si>
  <si>
    <t>XRAY_2134</t>
  </si>
  <si>
    <t>MAMMO_2135</t>
  </si>
  <si>
    <t>MAMMO_2136</t>
  </si>
  <si>
    <t>MRI_2137</t>
  </si>
  <si>
    <t>CT_2138</t>
  </si>
  <si>
    <t>MAMMO_2139</t>
  </si>
  <si>
    <t>US_2140</t>
  </si>
  <si>
    <t>XRAY_2141</t>
  </si>
  <si>
    <t>MAMMO_2142</t>
  </si>
  <si>
    <t>CT_2143</t>
  </si>
  <si>
    <t>XRAY_2144</t>
  </si>
  <si>
    <t>MAMMO_2145</t>
  </si>
  <si>
    <t>US_2146</t>
  </si>
  <si>
    <t>US_2147</t>
  </si>
  <si>
    <t>MAMMO_2148</t>
  </si>
  <si>
    <t>MRI_2149</t>
  </si>
  <si>
    <t>MRI_2150</t>
  </si>
  <si>
    <t>MAMMO_2151</t>
  </si>
  <si>
    <t>MRI_2152</t>
  </si>
  <si>
    <t>MRI_2153</t>
  </si>
  <si>
    <t>MAMMO_2154</t>
  </si>
  <si>
    <t>CT_2155</t>
  </si>
  <si>
    <t>XRAY_2156</t>
  </si>
  <si>
    <t>MAMMO_2157</t>
  </si>
  <si>
    <t>CT_2158</t>
  </si>
  <si>
    <t>CT_2159</t>
  </si>
  <si>
    <t>XRAY_2160</t>
  </si>
  <si>
    <t>CT_2161</t>
  </si>
  <si>
    <t>CT_2162</t>
  </si>
  <si>
    <t>MRI_2163</t>
  </si>
  <si>
    <t>MAMMO_2164</t>
  </si>
  <si>
    <t>CT_2165</t>
  </si>
  <si>
    <t>US_2166</t>
  </si>
  <si>
    <t>MRI_2167</t>
  </si>
  <si>
    <t>MRI_2168</t>
  </si>
  <si>
    <t>MRI_2169</t>
  </si>
  <si>
    <t>MAMMO_2170</t>
  </si>
  <si>
    <t>US_2171</t>
  </si>
  <si>
    <t>XRAY_2172</t>
  </si>
  <si>
    <t>MRI_2173</t>
  </si>
  <si>
    <t>MRI_2174</t>
  </si>
  <si>
    <t>CT_2175</t>
  </si>
  <si>
    <t>XRAY_2176</t>
  </si>
  <si>
    <t>CT_2177</t>
  </si>
  <si>
    <t>MAMMO_2178</t>
  </si>
  <si>
    <t>MAMMO_2179</t>
  </si>
  <si>
    <t>XRAY_2180</t>
  </si>
  <si>
    <t>MAMMO_2181</t>
  </si>
  <si>
    <t>XRAY_2182</t>
  </si>
  <si>
    <t>US_2183</t>
  </si>
  <si>
    <t>MRI_2184</t>
  </si>
  <si>
    <t>US_2185</t>
  </si>
  <si>
    <t>XRAY_2186</t>
  </si>
  <si>
    <t>XRAY_2187</t>
  </si>
  <si>
    <t>XRAY_2188</t>
  </si>
  <si>
    <t>CT_2189</t>
  </si>
  <si>
    <t>US_2190</t>
  </si>
  <si>
    <t>XRAY_2191</t>
  </si>
  <si>
    <t>XRAY_2192</t>
  </si>
  <si>
    <t>XRAY_2193</t>
  </si>
  <si>
    <t>CT_2194</t>
  </si>
  <si>
    <t>MAMMO_2195</t>
  </si>
  <si>
    <t>CT_2196</t>
  </si>
  <si>
    <t>MAMMO_2197</t>
  </si>
  <si>
    <t>MAMMO_2198</t>
  </si>
  <si>
    <t>MAMMO_2199</t>
  </si>
  <si>
    <t>MAMMO_2200</t>
  </si>
  <si>
    <t>XRAY_2201</t>
  </si>
  <si>
    <t>MAMMO_2202</t>
  </si>
  <si>
    <t>US_2203</t>
  </si>
  <si>
    <t>XRAY_2204</t>
  </si>
  <si>
    <t>US_2205</t>
  </si>
  <si>
    <t>MAMMO_2206</t>
  </si>
  <si>
    <t>XRAY_2207</t>
  </si>
  <si>
    <t>US_2208</t>
  </si>
  <si>
    <t>US_2209</t>
  </si>
  <si>
    <t>MAMMO_2210</t>
  </si>
  <si>
    <t>US_2211</t>
  </si>
  <si>
    <t>MAMMO_2212</t>
  </si>
  <si>
    <t>XRAY_2213</t>
  </si>
  <si>
    <t>XRAY_2214</t>
  </si>
  <si>
    <t>XRAY_2215</t>
  </si>
  <si>
    <t>CT_2216</t>
  </si>
  <si>
    <t>MAMMO_2217</t>
  </si>
  <si>
    <t>MRI_2218</t>
  </si>
  <si>
    <t>US_2219</t>
  </si>
  <si>
    <t>MAMMO_2220</t>
  </si>
  <si>
    <t>MRI_2221</t>
  </si>
  <si>
    <t>CT_2222</t>
  </si>
  <si>
    <t>XRAY_2223</t>
  </si>
  <si>
    <t>MAMMO_2224</t>
  </si>
  <si>
    <t>US_2225</t>
  </si>
  <si>
    <t>XRAY_2226</t>
  </si>
  <si>
    <t>US_2227</t>
  </si>
  <si>
    <t>CT_2228</t>
  </si>
  <si>
    <t>US_2229</t>
  </si>
  <si>
    <t>MAMMO_2230</t>
  </si>
  <si>
    <t>CT_2231</t>
  </si>
  <si>
    <t>US_2232</t>
  </si>
  <si>
    <t>US_2233</t>
  </si>
  <si>
    <t>US_2234</t>
  </si>
  <si>
    <t>US_2235</t>
  </si>
  <si>
    <t>MRI_2236</t>
  </si>
  <si>
    <t>MAMMO_2237</t>
  </si>
  <si>
    <t>MRI_2238</t>
  </si>
  <si>
    <t>MAMMO_2239</t>
  </si>
  <si>
    <t>XRAY_2240</t>
  </si>
  <si>
    <t>US_2241</t>
  </si>
  <si>
    <t>MAMMO_2242</t>
  </si>
  <si>
    <t>CT_2243</t>
  </si>
  <si>
    <t>US_2244</t>
  </si>
  <si>
    <t>MAMMO_2245</t>
  </si>
  <si>
    <t>XRAY_2246</t>
  </si>
  <si>
    <t>XRAY_2247</t>
  </si>
  <si>
    <t>US_2248</t>
  </si>
  <si>
    <t>MAMMO_2249</t>
  </si>
  <si>
    <t>MAMMO_2250</t>
  </si>
  <si>
    <t>MRI_2251</t>
  </si>
  <si>
    <t>US_2252</t>
  </si>
  <si>
    <t>XRAY_2253</t>
  </si>
  <si>
    <t>US_2254</t>
  </si>
  <si>
    <t>MAMMO_2255</t>
  </si>
  <si>
    <t>XRAY_2256</t>
  </si>
  <si>
    <t>CT_2257</t>
  </si>
  <si>
    <t>MRI_2258</t>
  </si>
  <si>
    <t>US_2259</t>
  </si>
  <si>
    <t>XRAY_2260</t>
  </si>
  <si>
    <t>MAMMO_2261</t>
  </si>
  <si>
    <t>MRI_2262</t>
  </si>
  <si>
    <t>MRI_2263</t>
  </si>
  <si>
    <t>MAMMO_2264</t>
  </si>
  <si>
    <t>XRAY_2265</t>
  </si>
  <si>
    <t>MAMMO_2266</t>
  </si>
  <si>
    <t>CT_2267</t>
  </si>
  <si>
    <t>US_2268</t>
  </si>
  <si>
    <t>MRI_2269</t>
  </si>
  <si>
    <t>XRAY_2270</t>
  </si>
  <si>
    <t>MAMMO_2271</t>
  </si>
  <si>
    <t>CT_2272</t>
  </si>
  <si>
    <t>US_2273</t>
  </si>
  <si>
    <t>MRI_2274</t>
  </si>
  <si>
    <t>XRAY_2275</t>
  </si>
  <si>
    <t>MRI_2276</t>
  </si>
  <si>
    <t>CT_2277</t>
  </si>
  <si>
    <t>MAMMO_2278</t>
  </si>
  <si>
    <t>CT_2279</t>
  </si>
  <si>
    <t>MRI_2280</t>
  </si>
  <si>
    <t>MRI_2281</t>
  </si>
  <si>
    <t>MRI_2282</t>
  </si>
  <si>
    <t>XRAY_2283</t>
  </si>
  <si>
    <t>XRAY_2284</t>
  </si>
  <si>
    <t>MRI_2285</t>
  </si>
  <si>
    <t>MRI_2286</t>
  </si>
  <si>
    <t>XRAY_2287</t>
  </si>
  <si>
    <t>US_2288</t>
  </si>
  <si>
    <t>XRAY_2289</t>
  </si>
  <si>
    <t>CT_2290</t>
  </si>
  <si>
    <t>MRI_2291</t>
  </si>
  <si>
    <t>US_2292</t>
  </si>
  <si>
    <t>XRAY_2293</t>
  </si>
  <si>
    <t>MAMMO_2294</t>
  </si>
  <si>
    <t>XRAY_2295</t>
  </si>
  <si>
    <t>XRAY_2296</t>
  </si>
  <si>
    <t>MAMMO_2297</t>
  </si>
  <si>
    <t>MAMMO_2298</t>
  </si>
  <si>
    <t>CT_2299</t>
  </si>
  <si>
    <t>US_2300</t>
  </si>
  <si>
    <t>US_2301</t>
  </si>
  <si>
    <t>MAMMO_2302</t>
  </si>
  <si>
    <t>MAMMO_2303</t>
  </si>
  <si>
    <t>XRAY_2304</t>
  </si>
  <si>
    <t>MRI_2305</t>
  </si>
  <si>
    <t>XRAY_2306</t>
  </si>
  <si>
    <t>US_2307</t>
  </si>
  <si>
    <t>CT_2308</t>
  </si>
  <si>
    <t>XRAY_2309</t>
  </si>
  <si>
    <t>US_2310</t>
  </si>
  <si>
    <t>MRI_2311</t>
  </si>
  <si>
    <t>US_2312</t>
  </si>
  <si>
    <t>US_2313</t>
  </si>
  <si>
    <t>CT_2314</t>
  </si>
  <si>
    <t>XRAY_2315</t>
  </si>
  <si>
    <t>MRI_2316</t>
  </si>
  <si>
    <t>XRAY_2317</t>
  </si>
  <si>
    <t>CT_2318</t>
  </si>
  <si>
    <t>US_2319</t>
  </si>
  <si>
    <t>US_2320</t>
  </si>
  <si>
    <t>MAMMO_2321</t>
  </si>
  <si>
    <t>MAMMO_2322</t>
  </si>
  <si>
    <t>US_2323</t>
  </si>
  <si>
    <t>CT_2324</t>
  </si>
  <si>
    <t>CT_2325</t>
  </si>
  <si>
    <t>US_2326</t>
  </si>
  <si>
    <t>MAMMO_2327</t>
  </si>
  <si>
    <t>MAMMO_2328</t>
  </si>
  <si>
    <t>US_2329</t>
  </si>
  <si>
    <t>XRAY_2330</t>
  </si>
  <si>
    <t>CT_2331</t>
  </si>
  <si>
    <t>US_2332</t>
  </si>
  <si>
    <t>XRAY_2333</t>
  </si>
  <si>
    <t>CT_2334</t>
  </si>
  <si>
    <t>MRI_2335</t>
  </si>
  <si>
    <t>CT_2336</t>
  </si>
  <si>
    <t>XRAY_2337</t>
  </si>
  <si>
    <t>XRAY_2338</t>
  </si>
  <si>
    <t>MAMMO_2339</t>
  </si>
  <si>
    <t>CT_2340</t>
  </si>
  <si>
    <t>US_2341</t>
  </si>
  <si>
    <t>US_2342</t>
  </si>
  <si>
    <t>US_2343</t>
  </si>
  <si>
    <t>MAMMO_2344</t>
  </si>
  <si>
    <t>MRI_2345</t>
  </si>
  <si>
    <t>US_2346</t>
  </si>
  <si>
    <t>US_2347</t>
  </si>
  <si>
    <t>US_2348</t>
  </si>
  <si>
    <t>CT_2349</t>
  </si>
  <si>
    <t>US_2350</t>
  </si>
  <si>
    <t>MRI_2351</t>
  </si>
  <si>
    <t>MAMMO_2352</t>
  </si>
  <si>
    <t>CT_2353</t>
  </si>
  <si>
    <t>MAMMO_2354</t>
  </si>
  <si>
    <t>MAMMO_2355</t>
  </si>
  <si>
    <t>MRI_2356</t>
  </si>
  <si>
    <t>CT_2357</t>
  </si>
  <si>
    <t>MRI_2358</t>
  </si>
  <si>
    <t>XRAY_2359</t>
  </si>
  <si>
    <t>XRAY_2360</t>
  </si>
  <si>
    <t>MRI_2361</t>
  </si>
  <si>
    <t>CT_2362</t>
  </si>
  <si>
    <t>CT_2363</t>
  </si>
  <si>
    <t>XRAY_2364</t>
  </si>
  <si>
    <t>MRI_2365</t>
  </si>
  <si>
    <t>XRAY_2366</t>
  </si>
  <si>
    <t>MRI_2367</t>
  </si>
  <si>
    <t>MRI_2368</t>
  </si>
  <si>
    <t>XRAY_2369</t>
  </si>
  <si>
    <t>MRI_2370</t>
  </si>
  <si>
    <t>XRAY_2371</t>
  </si>
  <si>
    <t>XRAY_2372</t>
  </si>
  <si>
    <t>MAMMO_2373</t>
  </si>
  <si>
    <t>MAMMO_2374</t>
  </si>
  <si>
    <t>CT_2375</t>
  </si>
  <si>
    <t>US_2376</t>
  </si>
  <si>
    <t>XRAY_2377</t>
  </si>
  <si>
    <t>MAMMO_2378</t>
  </si>
  <si>
    <t>MRI_2379</t>
  </si>
  <si>
    <t>MRI_2380</t>
  </si>
  <si>
    <t>MRI_2381</t>
  </si>
  <si>
    <t>MRI_2382</t>
  </si>
  <si>
    <t>MAMMO_2383</t>
  </si>
  <si>
    <t>MAMMO_2384</t>
  </si>
  <si>
    <t>MRI_2385</t>
  </si>
  <si>
    <t>CT_2386</t>
  </si>
  <si>
    <t>XRAY_2387</t>
  </si>
  <si>
    <t>MRI_2388</t>
  </si>
  <si>
    <t>MAMMO_2389</t>
  </si>
  <si>
    <t>US_2390</t>
  </si>
  <si>
    <t>MRI_2391</t>
  </si>
  <si>
    <t>US_2392</t>
  </si>
  <si>
    <t>MAMMO_2393</t>
  </si>
  <si>
    <t>MAMMO_2394</t>
  </si>
  <si>
    <t>MRI_2395</t>
  </si>
  <si>
    <t>MAMMO_2396</t>
  </si>
  <si>
    <t>XRAY_2397</t>
  </si>
  <si>
    <t>CT_2398</t>
  </si>
  <si>
    <t>MRI_2399</t>
  </si>
  <si>
    <t>MRI_2400</t>
  </si>
  <si>
    <t>MAMMO_2401</t>
  </si>
  <si>
    <t>MAMMO_2402</t>
  </si>
  <si>
    <t>XRAY_2403</t>
  </si>
  <si>
    <t>US_2404</t>
  </si>
  <si>
    <t>MAMMO_2405</t>
  </si>
  <si>
    <t>XRAY_2406</t>
  </si>
  <si>
    <t>MAMMO_2407</t>
  </si>
  <si>
    <t>XRAY_2408</t>
  </si>
  <si>
    <t>MAMMO_2409</t>
  </si>
  <si>
    <t>XRAY_2410</t>
  </si>
  <si>
    <t>MAMMO_2411</t>
  </si>
  <si>
    <t>CT_2412</t>
  </si>
  <si>
    <t>US_2413</t>
  </si>
  <si>
    <t>MRI_2414</t>
  </si>
  <si>
    <t>US_2415</t>
  </si>
  <si>
    <t>CT_2416</t>
  </si>
  <si>
    <t>CT_2417</t>
  </si>
  <si>
    <t>MRI_2418</t>
  </si>
  <si>
    <t>US_2419</t>
  </si>
  <si>
    <t>US_2420</t>
  </si>
  <si>
    <t>XRAY_2421</t>
  </si>
  <si>
    <t>CT_2422</t>
  </si>
  <si>
    <t>MRI_2423</t>
  </si>
  <si>
    <t>MRI_2424</t>
  </si>
  <si>
    <t>MAMMO_2425</t>
  </si>
  <si>
    <t>XRAY_2426</t>
  </si>
  <si>
    <t>MAMMO_2427</t>
  </si>
  <si>
    <t>MRI_2428</t>
  </si>
  <si>
    <t>CT_2429</t>
  </si>
  <si>
    <t>MRI_2430</t>
  </si>
  <si>
    <t>US_2431</t>
  </si>
  <si>
    <t>MRI_2432</t>
  </si>
  <si>
    <t>XRAY_2433</t>
  </si>
  <si>
    <t>XRAY_2434</t>
  </si>
  <si>
    <t>CT_2435</t>
  </si>
  <si>
    <t>MAMMO_2436</t>
  </si>
  <si>
    <t>XRAY_2437</t>
  </si>
  <si>
    <t>MRI_2438</t>
  </si>
  <si>
    <t>MAMMO_2439</t>
  </si>
  <si>
    <t>XRAY_2440</t>
  </si>
  <si>
    <t>XRAY_2441</t>
  </si>
  <si>
    <t>CT_2442</t>
  </si>
  <si>
    <t>US_2443</t>
  </si>
  <si>
    <t>XRAY_2444</t>
  </si>
  <si>
    <t>US_2445</t>
  </si>
  <si>
    <t>MRI_2446</t>
  </si>
  <si>
    <t>XRAY_2447</t>
  </si>
  <si>
    <t>MRI_2448</t>
  </si>
  <si>
    <t>US_2449</t>
  </si>
  <si>
    <t>XRAY_2450</t>
  </si>
  <si>
    <t>US_2451</t>
  </si>
  <si>
    <t>XRAY_2452</t>
  </si>
  <si>
    <t>XRAY_2453</t>
  </si>
  <si>
    <t>MRI_2454</t>
  </si>
  <si>
    <t>XRAY_2455</t>
  </si>
  <si>
    <t>MRI_2456</t>
  </si>
  <si>
    <t>MAMMO_2457</t>
  </si>
  <si>
    <t>XRAY_2458</t>
  </si>
  <si>
    <t>US_2459</t>
  </si>
  <si>
    <t>US_2460</t>
  </si>
  <si>
    <t>CT_2461</t>
  </si>
  <si>
    <t>XRAY_2462</t>
  </si>
  <si>
    <t>XRAY_2463</t>
  </si>
  <si>
    <t>MRI_2464</t>
  </si>
  <si>
    <t>US_2465</t>
  </si>
  <si>
    <t>MRI_2466</t>
  </si>
  <si>
    <t>MRI_2467</t>
  </si>
  <si>
    <t>US_2468</t>
  </si>
  <si>
    <t>MAMMO_2469</t>
  </si>
  <si>
    <t>US_2470</t>
  </si>
  <si>
    <t>CT_2471</t>
  </si>
  <si>
    <t>US_2472</t>
  </si>
  <si>
    <t>MAMMO_2473</t>
  </si>
  <si>
    <t>CT_2474</t>
  </si>
  <si>
    <t>CT_2475</t>
  </si>
  <si>
    <t>US_2476</t>
  </si>
  <si>
    <t>CT_2477</t>
  </si>
  <si>
    <t>MRI_2478</t>
  </si>
  <si>
    <t>MAMMO_2479</t>
  </si>
  <si>
    <t>MRI_2480</t>
  </si>
  <si>
    <t>CT_2481</t>
  </si>
  <si>
    <t>XRAY_2482</t>
  </si>
  <si>
    <t>MAMMO_2483</t>
  </si>
  <si>
    <t>MAMMO_2484</t>
  </si>
  <si>
    <t>CT_2485</t>
  </si>
  <si>
    <t>CT_2486</t>
  </si>
  <si>
    <t>XRAY_2487</t>
  </si>
  <si>
    <t>US_2488</t>
  </si>
  <si>
    <t>CT_2489</t>
  </si>
  <si>
    <t>CT_2490</t>
  </si>
  <si>
    <t>XRAY_2491</t>
  </si>
  <si>
    <t>CT_2492</t>
  </si>
  <si>
    <t>MRI_2493</t>
  </si>
  <si>
    <t>MAMMO_2494</t>
  </si>
  <si>
    <t>MAMMO_2495</t>
  </si>
  <si>
    <t>CT_2496</t>
  </si>
  <si>
    <t>MAMMO_2497</t>
  </si>
  <si>
    <t>CT_2498</t>
  </si>
  <si>
    <t>CT_2499</t>
  </si>
  <si>
    <t>MRI_2500</t>
  </si>
  <si>
    <t>MAMMO_2501</t>
  </si>
  <si>
    <t>US_2502</t>
  </si>
  <si>
    <t>MAMMO_2503</t>
  </si>
  <si>
    <t>MAMMO_2504</t>
  </si>
  <si>
    <t>MAMMO_2505</t>
  </si>
  <si>
    <t>CT_2506</t>
  </si>
  <si>
    <t>MAMMO_2507</t>
  </si>
  <si>
    <t>XRAY_2508</t>
  </si>
  <si>
    <t>MAMMO_2509</t>
  </si>
  <si>
    <t>MRI_2510</t>
  </si>
  <si>
    <t>US_2511</t>
  </si>
  <si>
    <t>XRAY_2512</t>
  </si>
  <si>
    <t>XRAY_2513</t>
  </si>
  <si>
    <t>US_2514</t>
  </si>
  <si>
    <t>US_2515</t>
  </si>
  <si>
    <t>MAMMO_2516</t>
  </si>
  <si>
    <t>MAMMO_2517</t>
  </si>
  <si>
    <t>XRAY_2518</t>
  </si>
  <si>
    <t>XRAY_2519</t>
  </si>
  <si>
    <t>US_2520</t>
  </si>
  <si>
    <t>MRI_2521</t>
  </si>
  <si>
    <t>MRI_2522</t>
  </si>
  <si>
    <t>CT_2523</t>
  </si>
  <si>
    <t>MRI_2524</t>
  </si>
  <si>
    <t>US_2525</t>
  </si>
  <si>
    <t>XRAY_2526</t>
  </si>
  <si>
    <t>CT_2527</t>
  </si>
  <si>
    <t>US_2528</t>
  </si>
  <si>
    <t>XRAY_2529</t>
  </si>
  <si>
    <t>MRI_2530</t>
  </si>
  <si>
    <t>US_2531</t>
  </si>
  <si>
    <t>CT_2532</t>
  </si>
  <si>
    <t>XRAY_2533</t>
  </si>
  <si>
    <t>MAMMO_2534</t>
  </si>
  <si>
    <t>MAMMO_2535</t>
  </si>
  <si>
    <t>MRI_2536</t>
  </si>
  <si>
    <t>MAMMO_2537</t>
  </si>
  <si>
    <t>MRI_2538</t>
  </si>
  <si>
    <t>MRI_2539</t>
  </si>
  <si>
    <t>CT_2540</t>
  </si>
  <si>
    <t>MAMMO_2541</t>
  </si>
  <si>
    <t>XRAY_2542</t>
  </si>
  <si>
    <t>US_2543</t>
  </si>
  <si>
    <t>CT_2544</t>
  </si>
  <si>
    <t>US_2545</t>
  </si>
  <si>
    <t>MAMMO_2546</t>
  </si>
  <si>
    <t>MAMMO_2547</t>
  </si>
  <si>
    <t>MAMMO_2548</t>
  </si>
  <si>
    <t>MAMMO_2549</t>
  </si>
  <si>
    <t>MAMMO_2550</t>
  </si>
  <si>
    <t>MAMMO_2551</t>
  </si>
  <si>
    <t>US_2552</t>
  </si>
  <si>
    <t>MRI_2553</t>
  </si>
  <si>
    <t>MAMMO_2554</t>
  </si>
  <si>
    <t>CT_2555</t>
  </si>
  <si>
    <t>US_2556</t>
  </si>
  <si>
    <t>CT_2557</t>
  </si>
  <si>
    <t>US_2558</t>
  </si>
  <si>
    <t>XRAY_2559</t>
  </si>
  <si>
    <t>MAMMO_2560</t>
  </si>
  <si>
    <t>MRI_2561</t>
  </si>
  <si>
    <t>US_2562</t>
  </si>
  <si>
    <t>US_2563</t>
  </si>
  <si>
    <t>MAMMO_2564</t>
  </si>
  <si>
    <t>US_2565</t>
  </si>
  <si>
    <t>XRAY_2566</t>
  </si>
  <si>
    <t>CT_2567</t>
  </si>
  <si>
    <t>MRI_2568</t>
  </si>
  <si>
    <t>MAMMO_2569</t>
  </si>
  <si>
    <t>MRI_2570</t>
  </si>
  <si>
    <t>MRI_2571</t>
  </si>
  <si>
    <t>CT_2572</t>
  </si>
  <si>
    <t>US_2573</t>
  </si>
  <si>
    <t>CT_2574</t>
  </si>
  <si>
    <t>MAMMO_2575</t>
  </si>
  <si>
    <t>MRI_2576</t>
  </si>
  <si>
    <t>MRI_2577</t>
  </si>
  <si>
    <t>MAMMO_2578</t>
  </si>
  <si>
    <t>CT_2579</t>
  </si>
  <si>
    <t>10/4/2023</t>
  </si>
  <si>
    <t>XRAY_2580</t>
  </si>
  <si>
    <t>XRAY_2581</t>
  </si>
  <si>
    <t>CT_2582</t>
  </si>
  <si>
    <t>XRAY_2583</t>
  </si>
  <si>
    <t>XRAY_2584</t>
  </si>
  <si>
    <t>US_2585</t>
  </si>
  <si>
    <t>US_2586</t>
  </si>
  <si>
    <t>MAMMO_2587</t>
  </si>
  <si>
    <t>MRI_2588</t>
  </si>
  <si>
    <t>US_2589</t>
  </si>
  <si>
    <t>XRAY_2590</t>
  </si>
  <si>
    <t>MAMMO_2591</t>
  </si>
  <si>
    <t>MRI_2592</t>
  </si>
  <si>
    <t>US_2593</t>
  </si>
  <si>
    <t>XRAY_2594</t>
  </si>
  <si>
    <t>US_2595</t>
  </si>
  <si>
    <t>MRI_2596</t>
  </si>
  <si>
    <t>MAMMO_2597</t>
  </si>
  <si>
    <t>CT_2598</t>
  </si>
  <si>
    <t>XRAY_2599</t>
  </si>
  <si>
    <t>CT_2600</t>
  </si>
  <si>
    <t>XRAY_2601</t>
  </si>
  <si>
    <t>CT_2602</t>
  </si>
  <si>
    <t>CT_2603</t>
  </si>
  <si>
    <t>MRI_2604</t>
  </si>
  <si>
    <t>MAMMO_2605</t>
  </si>
  <si>
    <t>US_2606</t>
  </si>
  <si>
    <t>MAMMO_2607</t>
  </si>
  <si>
    <t>XRAY_2608</t>
  </si>
  <si>
    <t>US_2609</t>
  </si>
  <si>
    <t>US_2610</t>
  </si>
  <si>
    <t>CT_2611</t>
  </si>
  <si>
    <t>CT_2612</t>
  </si>
  <si>
    <t>XRAY_2613</t>
  </si>
  <si>
    <t>MRI_2614</t>
  </si>
  <si>
    <t>US_2615</t>
  </si>
  <si>
    <t>US_2616</t>
  </si>
  <si>
    <t>XRAY_2617</t>
  </si>
  <si>
    <t>MRI_2618</t>
  </si>
  <si>
    <t>MRI_2619</t>
  </si>
  <si>
    <t>MRI_2620</t>
  </si>
  <si>
    <t>MRI_2621</t>
  </si>
  <si>
    <t>US_2622</t>
  </si>
  <si>
    <t>CT_2623</t>
  </si>
  <si>
    <t>CT_2624</t>
  </si>
  <si>
    <t>MAMMO_2625</t>
  </si>
  <si>
    <t>XRAY_2626</t>
  </si>
  <si>
    <t>US_2627</t>
  </si>
  <si>
    <t>MAMMO_2628</t>
  </si>
  <si>
    <t>CT_2629</t>
  </si>
  <si>
    <t>US_2630</t>
  </si>
  <si>
    <t>US_2631</t>
  </si>
  <si>
    <t>US_2632</t>
  </si>
  <si>
    <t>US_2633</t>
  </si>
  <si>
    <t>MAMMO_2634</t>
  </si>
  <si>
    <t>US_2635</t>
  </si>
  <si>
    <t>MAMMO_2636</t>
  </si>
  <si>
    <t>US_2637</t>
  </si>
  <si>
    <t>XRAY_2638</t>
  </si>
  <si>
    <t>US_2639</t>
  </si>
  <si>
    <t>XRAY_2640</t>
  </si>
  <si>
    <t>MAMMO_2641</t>
  </si>
  <si>
    <t>XRAY_2642</t>
  </si>
  <si>
    <t>MRI_2643</t>
  </si>
  <si>
    <t>US_2644</t>
  </si>
  <si>
    <t>MAMMO_2645</t>
  </si>
  <si>
    <t>MAMMO_2646</t>
  </si>
  <si>
    <t>MRI_2647</t>
  </si>
  <si>
    <t>MAMMO_2648</t>
  </si>
  <si>
    <t>US_2649</t>
  </si>
  <si>
    <t>MRI_2650</t>
  </si>
  <si>
    <t>MRI_2651</t>
  </si>
  <si>
    <t>US_2652</t>
  </si>
  <si>
    <t>CT_2653</t>
  </si>
  <si>
    <t>US_2654</t>
  </si>
  <si>
    <t>US_2655</t>
  </si>
  <si>
    <t>US_2656</t>
  </si>
  <si>
    <t>US_2657</t>
  </si>
  <si>
    <t>MRI_2658</t>
  </si>
  <si>
    <t>US_2659</t>
  </si>
  <si>
    <t>US_2660</t>
  </si>
  <si>
    <t>MAMMO_2661</t>
  </si>
  <si>
    <t>XRAY_2662</t>
  </si>
  <si>
    <t>MRI_2663</t>
  </si>
  <si>
    <t>MAMMO_2664</t>
  </si>
  <si>
    <t>US_2665</t>
  </si>
  <si>
    <t>CT_2666</t>
  </si>
  <si>
    <t>MRI_2667</t>
  </si>
  <si>
    <t>XRAY_2668</t>
  </si>
  <si>
    <t>US_2669</t>
  </si>
  <si>
    <t>XRAY_2670</t>
  </si>
  <si>
    <t>MAMMO_2671</t>
  </si>
  <si>
    <t>MAMMO_2672</t>
  </si>
  <si>
    <t>MRI_2673</t>
  </si>
  <si>
    <t>MAMMO_2674</t>
  </si>
  <si>
    <t>MAMMO_2675</t>
  </si>
  <si>
    <t>MAMMO_2676</t>
  </si>
  <si>
    <t>MRI_2677</t>
  </si>
  <si>
    <t>XRAY_2678</t>
  </si>
  <si>
    <t>US_2679</t>
  </si>
  <si>
    <t>MAMMO_2680</t>
  </si>
  <si>
    <t>MRI_2681</t>
  </si>
  <si>
    <t>US_2682</t>
  </si>
  <si>
    <t>CT_2683</t>
  </si>
  <si>
    <t>US_2684</t>
  </si>
  <si>
    <t>MAMMO_2685</t>
  </si>
  <si>
    <t>MAMMO_2686</t>
  </si>
  <si>
    <t>US_2687</t>
  </si>
  <si>
    <t>XRAY_2688</t>
  </si>
  <si>
    <t>MAMMO_2689</t>
  </si>
  <si>
    <t>US_2690</t>
  </si>
  <si>
    <t>MRI_2691</t>
  </si>
  <si>
    <t>MAMMO_2692</t>
  </si>
  <si>
    <t>CT_2693</t>
  </si>
  <si>
    <t>MAMMO_2694</t>
  </si>
  <si>
    <t>CT_2695</t>
  </si>
  <si>
    <t>MRI_2696</t>
  </si>
  <si>
    <t>CT_2697</t>
  </si>
  <si>
    <t>US_2698</t>
  </si>
  <si>
    <t>US_2699</t>
  </si>
  <si>
    <t>XRAY_2700</t>
  </si>
  <si>
    <t>MAMMO_2701</t>
  </si>
  <si>
    <t>XRAY_2702</t>
  </si>
  <si>
    <t>MRI_2703</t>
  </si>
  <si>
    <t>XRAY_2704</t>
  </si>
  <si>
    <t>CT_2705</t>
  </si>
  <si>
    <t>US_2706</t>
  </si>
  <si>
    <t>CT_2707</t>
  </si>
  <si>
    <t>US_2708</t>
  </si>
  <si>
    <t>MRI_2709</t>
  </si>
  <si>
    <t>US_2710</t>
  </si>
  <si>
    <t>MRI_2711</t>
  </si>
  <si>
    <t>MRI_2712</t>
  </si>
  <si>
    <t>US_2713</t>
  </si>
  <si>
    <t>MAMMO_2714</t>
  </si>
  <si>
    <t>US_2715</t>
  </si>
  <si>
    <t>MAMMO_2716</t>
  </si>
  <si>
    <t>MRI_2717</t>
  </si>
  <si>
    <t>MRI_2718</t>
  </si>
  <si>
    <t>US_2719</t>
  </si>
  <si>
    <t>US_2720</t>
  </si>
  <si>
    <t>US_2721</t>
  </si>
  <si>
    <t>US_2722</t>
  </si>
  <si>
    <t>CT_2723</t>
  </si>
  <si>
    <t>XRAY_2724</t>
  </si>
  <si>
    <t>CT_2725</t>
  </si>
  <si>
    <t>XRAY_2726</t>
  </si>
  <si>
    <t>US_2727</t>
  </si>
  <si>
    <t>CT_2728</t>
  </si>
  <si>
    <t>MRI_2729</t>
  </si>
  <si>
    <t>US_2730</t>
  </si>
  <si>
    <t>MRI_2731</t>
  </si>
  <si>
    <t>MRI_2732</t>
  </si>
  <si>
    <t>MAMMO_2733</t>
  </si>
  <si>
    <t>MRI_2734</t>
  </si>
  <si>
    <t>US_2735</t>
  </si>
  <si>
    <t>XRAY_2736</t>
  </si>
  <si>
    <t>MAMMO_2737</t>
  </si>
  <si>
    <t>XRAY_2738</t>
  </si>
  <si>
    <t>US_2739</t>
  </si>
  <si>
    <t>MAMMO_2740</t>
  </si>
  <si>
    <t>MAMMO_2741</t>
  </si>
  <si>
    <t>XRAY_2742</t>
  </si>
  <si>
    <t>CT_2743</t>
  </si>
  <si>
    <t>US_2744</t>
  </si>
  <si>
    <t>XRAY_2745</t>
  </si>
  <si>
    <t>XRAY_2746</t>
  </si>
  <si>
    <t>US_2747</t>
  </si>
  <si>
    <t>MRI_2748</t>
  </si>
  <si>
    <t>US_2749</t>
  </si>
  <si>
    <t>US_2750</t>
  </si>
  <si>
    <t>MAMMO_2751</t>
  </si>
  <si>
    <t>MRI_2752</t>
  </si>
  <si>
    <t>US_2753</t>
  </si>
  <si>
    <t>US_2754</t>
  </si>
  <si>
    <t>CT_2755</t>
  </si>
  <si>
    <t>CT_2756</t>
  </si>
  <si>
    <t>MRI_2757</t>
  </si>
  <si>
    <t>US_2758</t>
  </si>
  <si>
    <t>XRAY_2759</t>
  </si>
  <si>
    <t>MRI_2760</t>
  </si>
  <si>
    <t>XRAY_2761</t>
  </si>
  <si>
    <t>MAMMO_2762</t>
  </si>
  <si>
    <t>XRAY_2763</t>
  </si>
  <si>
    <t>MRI_2764</t>
  </si>
  <si>
    <t>CT_2765</t>
  </si>
  <si>
    <t>CT_2766</t>
  </si>
  <si>
    <t>MRI_2767</t>
  </si>
  <si>
    <t>XRAY_2768</t>
  </si>
  <si>
    <t>CT_2769</t>
  </si>
  <si>
    <t>MRI_2770</t>
  </si>
  <si>
    <t>CT_2771</t>
  </si>
  <si>
    <t>CT_2772</t>
  </si>
  <si>
    <t>US_2773</t>
  </si>
  <si>
    <t>XRAY_2774</t>
  </si>
  <si>
    <t>MRI_2775</t>
  </si>
  <si>
    <t>MRI_2776</t>
  </si>
  <si>
    <t>MRI_2777</t>
  </si>
  <si>
    <t>CT_2778</t>
  </si>
  <si>
    <t>MAMMO_2779</t>
  </si>
  <si>
    <t>US_2780</t>
  </si>
  <si>
    <t>US_2781</t>
  </si>
  <si>
    <t>MRI_2782</t>
  </si>
  <si>
    <t>US_2783</t>
  </si>
  <si>
    <t>CT_2784</t>
  </si>
  <si>
    <t>XRAY_2785</t>
  </si>
  <si>
    <t>XRAY_2786</t>
  </si>
  <si>
    <t>MRI_2787</t>
  </si>
  <si>
    <t>MRI_2788</t>
  </si>
  <si>
    <t>MRI_2789</t>
  </si>
  <si>
    <t>MRI_2790</t>
  </si>
  <si>
    <t>US_2791</t>
  </si>
  <si>
    <t>CT_2792</t>
  </si>
  <si>
    <t>CT_2793</t>
  </si>
  <si>
    <t>MAMMO_2794</t>
  </si>
  <si>
    <t>CT_2795</t>
  </si>
  <si>
    <t>MRI_2796</t>
  </si>
  <si>
    <t>MAMMO_2797</t>
  </si>
  <si>
    <t>MRI_2798</t>
  </si>
  <si>
    <t>MRI_2799</t>
  </si>
  <si>
    <t>CT_2800</t>
  </si>
  <si>
    <t>MRI_2801</t>
  </si>
  <si>
    <t>CT_2802</t>
  </si>
  <si>
    <t>US_2803</t>
  </si>
  <si>
    <t>XRAY_2804</t>
  </si>
  <si>
    <t>XRAY_2805</t>
  </si>
  <si>
    <t>MAMMO_2806</t>
  </si>
  <si>
    <t>XRAY_2807</t>
  </si>
  <si>
    <t>MRI_2808</t>
  </si>
  <si>
    <t>MRI_2809</t>
  </si>
  <si>
    <t>CT_2810</t>
  </si>
  <si>
    <t>MAMMO_2811</t>
  </si>
  <si>
    <t>US_2812</t>
  </si>
  <si>
    <t>MAMMO_2813</t>
  </si>
  <si>
    <t>MAMMO_2814</t>
  </si>
  <si>
    <t>MAMMO_2815</t>
  </si>
  <si>
    <t>CT_2816</t>
  </si>
  <si>
    <t>MAMMO_2817</t>
  </si>
  <si>
    <t>US_2818</t>
  </si>
  <si>
    <t>US_2819</t>
  </si>
  <si>
    <t>CT_2820</t>
  </si>
  <si>
    <t>US_2821</t>
  </si>
  <si>
    <t>CT_2822</t>
  </si>
  <si>
    <t>XRAY_2823</t>
  </si>
  <si>
    <t>CT_2824</t>
  </si>
  <si>
    <t>MAMMO_2825</t>
  </si>
  <si>
    <t>MAMMO_2826</t>
  </si>
  <si>
    <t>US_2827</t>
  </si>
  <si>
    <t>US_2828</t>
  </si>
  <si>
    <t>MAMMO_2829</t>
  </si>
  <si>
    <t>US_2830</t>
  </si>
  <si>
    <t>XRAY_2831</t>
  </si>
  <si>
    <t>US_2832</t>
  </si>
  <si>
    <t>US_2833</t>
  </si>
  <si>
    <t>MAMMO_2834</t>
  </si>
  <si>
    <t>XRAY_2835</t>
  </si>
  <si>
    <t>US_2836</t>
  </si>
  <si>
    <t>MRI_2837</t>
  </si>
  <si>
    <t>MAMMO_2838</t>
  </si>
  <si>
    <t>XRAY_2839</t>
  </si>
  <si>
    <t>XRAY_2840</t>
  </si>
  <si>
    <t>XRAY_2841</t>
  </si>
  <si>
    <t>MAMMO_2842</t>
  </si>
  <si>
    <t>MAMMO_2843</t>
  </si>
  <si>
    <t>US_2844</t>
  </si>
  <si>
    <t>CT_2845</t>
  </si>
  <si>
    <t>MAMMO_2846</t>
  </si>
  <si>
    <t>MAMMO_2847</t>
  </si>
  <si>
    <t>US_2848</t>
  </si>
  <si>
    <t>XRAY_2849</t>
  </si>
  <si>
    <t>MRI_2850</t>
  </si>
  <si>
    <t>MAMMO_2851</t>
  </si>
  <si>
    <t>MAMMO_2852</t>
  </si>
  <si>
    <t>CT_2853</t>
  </si>
  <si>
    <t>MRI_2854</t>
  </si>
  <si>
    <t>MAMMO_2855</t>
  </si>
  <si>
    <t>MRI_2856</t>
  </si>
  <si>
    <t>US_2857</t>
  </si>
  <si>
    <t>MRI_2858</t>
  </si>
  <si>
    <t>CT_2859</t>
  </si>
  <si>
    <t>CT_2860</t>
  </si>
  <si>
    <t>US_2861</t>
  </si>
  <si>
    <t>MRI_2862</t>
  </si>
  <si>
    <t>MAMMO_2863</t>
  </si>
  <si>
    <t>MAMMO_2864</t>
  </si>
  <si>
    <t>MRI_2865</t>
  </si>
  <si>
    <t>CT_2866</t>
  </si>
  <si>
    <t>US_2867</t>
  </si>
  <si>
    <t>CT_2868</t>
  </si>
  <si>
    <t>MRI_2869</t>
  </si>
  <si>
    <t>MAMMO_2870</t>
  </si>
  <si>
    <t>XRAY_2871</t>
  </si>
  <si>
    <t>MRI_2872</t>
  </si>
  <si>
    <t>XRAY_2873</t>
  </si>
  <si>
    <t>XRAY_2874</t>
  </si>
  <si>
    <t>MRI_2875</t>
  </si>
  <si>
    <t>CT_2876</t>
  </si>
  <si>
    <t>MRI_2877</t>
  </si>
  <si>
    <t>US_2878</t>
  </si>
  <si>
    <t>CT_2879</t>
  </si>
  <si>
    <t>CT_2880</t>
  </si>
  <si>
    <t>XRAY_2881</t>
  </si>
  <si>
    <t>MRI_2882</t>
  </si>
  <si>
    <t>MAMMO_2883</t>
  </si>
  <si>
    <t>CT_2884</t>
  </si>
  <si>
    <t>CT_2885</t>
  </si>
  <si>
    <t>MAMMO_2886</t>
  </si>
  <si>
    <t>US_2887</t>
  </si>
  <si>
    <t>MRI_2888</t>
  </si>
  <si>
    <t>MRI_2889</t>
  </si>
  <si>
    <t>MAMMO_2890</t>
  </si>
  <si>
    <t>CT_2891</t>
  </si>
  <si>
    <t>MAMMO_2892</t>
  </si>
  <si>
    <t>CT_2893</t>
  </si>
  <si>
    <t>MRI_2894</t>
  </si>
  <si>
    <t>CT_2895</t>
  </si>
  <si>
    <t>MRI_2896</t>
  </si>
  <si>
    <t>CT_2897</t>
  </si>
  <si>
    <t>US_2898</t>
  </si>
  <si>
    <t>CT_2899</t>
  </si>
  <si>
    <t>CT_2900</t>
  </si>
  <si>
    <t>MRI_2901</t>
  </si>
  <si>
    <t>CT_2902</t>
  </si>
  <si>
    <t>US_2903</t>
  </si>
  <si>
    <t>US_2904</t>
  </si>
  <si>
    <t>XRAY_2905</t>
  </si>
  <si>
    <t>US_2906</t>
  </si>
  <si>
    <t>XRAY_2907</t>
  </si>
  <si>
    <t>US_2908</t>
  </si>
  <si>
    <t>CT_2909</t>
  </si>
  <si>
    <t>CT_2910</t>
  </si>
  <si>
    <t>XRAY_2911</t>
  </si>
  <si>
    <t>MRI_2912</t>
  </si>
  <si>
    <t>US_2913</t>
  </si>
  <si>
    <t>XRAY_2914</t>
  </si>
  <si>
    <t>XRAY_2915</t>
  </si>
  <si>
    <t>MAMMO_2916</t>
  </si>
  <si>
    <t>US_2917</t>
  </si>
  <si>
    <t>MRI_2918</t>
  </si>
  <si>
    <t>US_2919</t>
  </si>
  <si>
    <t>MRI_2920</t>
  </si>
  <si>
    <t>MRI_2921</t>
  </si>
  <si>
    <t>US_2922</t>
  </si>
  <si>
    <t>XRAY_2923</t>
  </si>
  <si>
    <t>XRAY_2924</t>
  </si>
  <si>
    <t>CT_2925</t>
  </si>
  <si>
    <t>MAMMO_2926</t>
  </si>
  <si>
    <t>CT_2927</t>
  </si>
  <si>
    <t>CT_2928</t>
  </si>
  <si>
    <t>MRI_2929</t>
  </si>
  <si>
    <t>CT_2930</t>
  </si>
  <si>
    <t>MAMMO_2931</t>
  </si>
  <si>
    <t>MAMMO_2932</t>
  </si>
  <si>
    <t>XRAY_2933</t>
  </si>
  <si>
    <t>CT_2934</t>
  </si>
  <si>
    <t>US_2935</t>
  </si>
  <si>
    <t>XRAY_2936</t>
  </si>
  <si>
    <t>XRAY_2937</t>
  </si>
  <si>
    <t>MAMMO_2938</t>
  </si>
  <si>
    <t>MAMMO_2939</t>
  </si>
  <si>
    <t>XRAY_2940</t>
  </si>
  <si>
    <t>XRAY_2941</t>
  </si>
  <si>
    <t>CT_2942</t>
  </si>
  <si>
    <t>CT_2943</t>
  </si>
  <si>
    <t>MRI_2944</t>
  </si>
  <si>
    <t>MRI_2945</t>
  </si>
  <si>
    <t>MAMMO_2946</t>
  </si>
  <si>
    <t>CT_2947</t>
  </si>
  <si>
    <t>CT_2948</t>
  </si>
  <si>
    <t>XRAY_2949</t>
  </si>
  <si>
    <t>XRAY_2950</t>
  </si>
  <si>
    <t>US_2951</t>
  </si>
  <si>
    <t>MRI_2952</t>
  </si>
  <si>
    <t>CT_2953</t>
  </si>
  <si>
    <t>MAMMO_2954</t>
  </si>
  <si>
    <t>MRI_2955</t>
  </si>
  <si>
    <t>MAMMO_2956</t>
  </si>
  <si>
    <t>US_2957</t>
  </si>
  <si>
    <t>MAMMO_2958</t>
  </si>
  <si>
    <t>CT_2959</t>
  </si>
  <si>
    <t>MAMMO_2960</t>
  </si>
  <si>
    <t>MRI_2961</t>
  </si>
  <si>
    <t>CT_2962</t>
  </si>
  <si>
    <t>MRI_2963</t>
  </si>
  <si>
    <t>MAMMO_2964</t>
  </si>
  <si>
    <t>CT_2965</t>
  </si>
  <si>
    <t>MAMMO_2966</t>
  </si>
  <si>
    <t>MAMMO_2967</t>
  </si>
  <si>
    <t>MRI_2968</t>
  </si>
  <si>
    <t>XRAY_2969</t>
  </si>
  <si>
    <t>XRAY_2970</t>
  </si>
  <si>
    <t>MRI_2971</t>
  </si>
  <si>
    <t>XRAY_2972</t>
  </si>
  <si>
    <t>MAMMO_2973</t>
  </si>
  <si>
    <t>CT_2974</t>
  </si>
  <si>
    <t>MAMMO_2975</t>
  </si>
  <si>
    <t>CT_2976</t>
  </si>
  <si>
    <t>MRI_2977</t>
  </si>
  <si>
    <t>MAMMO_2978</t>
  </si>
  <si>
    <t>US_2979</t>
  </si>
  <si>
    <t>MRI_2980</t>
  </si>
  <si>
    <t>MAMMO_2981</t>
  </si>
  <si>
    <t>CT_2982</t>
  </si>
  <si>
    <t>MRI_2983</t>
  </si>
  <si>
    <t>US_2984</t>
  </si>
  <si>
    <t>XRAY_2985</t>
  </si>
  <si>
    <t>MRI_2986</t>
  </si>
  <si>
    <t>MRI_2987</t>
  </si>
  <si>
    <t>US_2988</t>
  </si>
  <si>
    <t>CT_2989</t>
  </si>
  <si>
    <t>MRI_2990</t>
  </si>
  <si>
    <t>US_2991</t>
  </si>
  <si>
    <t>CT_2992</t>
  </si>
  <si>
    <t>MRI_2993</t>
  </si>
  <si>
    <t>MRI_2994</t>
  </si>
  <si>
    <t>CT_2995</t>
  </si>
  <si>
    <t>MRI_2996</t>
  </si>
  <si>
    <t>MRI_2997</t>
  </si>
  <si>
    <t>CT_2998</t>
  </si>
  <si>
    <t>CT_2999</t>
  </si>
  <si>
    <t>MAMMO_3000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</si>
</sst>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scheme val="minor"/>
    </font>
    <font>
      <b/>
      <sz val="18"/>
      <color rgb="FF1F4E78"/>
      <name val="Calibri"/>
    </font>
    <font>
      <sz val="12"/>
      <color rgb="FF5B9BD5"/>
      <name val="Calibri"/>
    </font>
    <font>
      <b/>
      <sz val="14"/>
      <color rgb="FFC00000"/>
      <name val="Calibri"/>
    </font>
    <font>
      <b/>
      <sz val="10"/>
      <name val="Calibri"/>
    </font>
    <font>
      <b/>
      <sz val="16"/>
      <color rgb="FF1F4E78"/>
      <name val="Calibri"/>
    </font>
    <font>
      <b/>
      <sz val="11"/>
      <color rgb="FF1F4E78"/>
      <name val="Calibri"/>
    </font>
    <font>
      <sz val="16"/>
      <color rgb="FF1F4E78"/>
      <name val="Calibri"/>
    </font>
    <font>
      <b/>
      <sz val="12"/>
      <color rgb="FF1F4E78"/>
      <name val="Calibri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1">
      <alignment vertical="top"/>
    </xf>
  </cellStyleXfs>
  <cellXfs count="13">
    <xf numFmtId="0" fontId="0" fillId="0" borderId="1" xfId="0">
      <alignment vertical="top"/>
    </xf>
    <xf numFmtId="0" fontId="1" fillId="0" borderId="0" xfId="0" applyFont="1" applyBorder="1">
      <alignment vertical="top"/>
    </xf>
    <xf numFmtId="0" fontId="2" fillId="0" borderId="0" xfId="0" applyFont="1" applyBorder="1">
      <alignment vertical="top"/>
    </xf>
    <xf numFmtId="0" fontId="3" fillId="0" borderId="0" xfId="0" applyFont="1" applyBorder="1">
      <alignment vertical="top"/>
    </xf>
    <xf numFmtId="0" fontId="4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164" fontId="5" fillId="0" borderId="0" xfId="0" applyNumberFormat="1" applyFont="1" applyBorder="1" applyAlignment="1">
      <alignment horizontal="center" vertical="top"/>
    </xf>
    <xf numFmtId="0" fontId="6" fillId="0" borderId="0" xfId="0" applyFont="1" applyBorder="1">
      <alignment vertical="top"/>
    </xf>
    <xf numFmtId="0" fontId="8" fillId="0" borderId="0" xfId="0" applyFont="1" applyBorder="1">
      <alignment vertical="top"/>
    </xf>
    <xf numFmtId="0" fontId="4" fillId="2" borderId="2" xfId="0" applyFont="1" applyFill="1" applyBorder="1">
      <alignment vertical="top"/>
    </xf>
    <xf numFmtId="164" fontId="9" fillId="0" borderId="0" xfId="0" applyNumberFormat="1" applyFont="1" applyBorder="1">
      <alignment vertical="top"/>
    </xf>
    <xf numFmtId="4" fontId="9" fillId="0" borderId="0" xfId="0" applyNumberFormat="1" applyFont="1" applyBorder="1">
      <alignment vertical="top"/>
    </xf>
    <xf numFmtId="0" fontId="7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Utilization Rate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Monthly_Trends!$B$6:$B$18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Monthly_Trends!$C$6:$C$18</c:f>
              <c:numCache>
                <c:formatCode>0.0%</c:formatCode>
                <c:ptCount val="13"/>
                <c:pt idx="0" formatCode="General">
                  <c:v>0</c:v>
                </c:pt>
                <c:pt idx="1">
                  <c:v>0.59888888888888869</c:v>
                </c:pt>
                <c:pt idx="2">
                  <c:v>0.59068085106383006</c:v>
                </c:pt>
                <c:pt idx="3">
                  <c:v>0.54338289962825237</c:v>
                </c:pt>
                <c:pt idx="4">
                  <c:v>0.58496124031007768</c:v>
                </c:pt>
                <c:pt idx="5">
                  <c:v>0.54337254901960763</c:v>
                </c:pt>
                <c:pt idx="6">
                  <c:v>0.53660079051383369</c:v>
                </c:pt>
                <c:pt idx="7">
                  <c:v>0.56161943319838037</c:v>
                </c:pt>
                <c:pt idx="8">
                  <c:v>0.55785440613026815</c:v>
                </c:pt>
                <c:pt idx="9">
                  <c:v>0.59307053941908727</c:v>
                </c:pt>
                <c:pt idx="10">
                  <c:v>0.58628820960698702</c:v>
                </c:pt>
                <c:pt idx="11">
                  <c:v>0.56253112033194996</c:v>
                </c:pt>
                <c:pt idx="12">
                  <c:v>0.57366795366795353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7-4635-8496-D9376E9125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787061"/>
        <c:axId val="36467104"/>
      </c:lineChart>
      <c:catAx>
        <c:axId val="337870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7104"/>
        <c:crosses val="autoZero"/>
        <c:auto val="1"/>
        <c:lblAlgn val="ctr"/>
        <c:lblOffset val="0"/>
        <c:tickMarkSkip val="1"/>
        <c:noMultiLvlLbl val="1"/>
      </c:catAx>
      <c:valAx>
        <c:axId val="364671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7870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4</xdr:row>
      <xdr:rowOff>167640</xdr:rowOff>
    </xdr:from>
    <xdr:to>
      <xdr:col>16</xdr:col>
      <xdr:colOff>586740</xdr:colOff>
      <xdr:row>18</xdr:row>
      <xdr:rowOff>15240</xdr:rowOff>
    </xdr:to>
    <xdr:graphicFrame macro="">
      <xdr:nvGraphicFramePr>
        <xdr:cNvPr id="2" name="MonthlyUtilizatio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101"/>
      </a:dk1>
      <a:lt1>
        <a:srgbClr val="FFFEFE"/>
      </a:lt1>
      <a:dk2>
        <a:srgbClr val="44556B"/>
      </a:dk2>
      <a:lt2>
        <a:srgbClr val="E7E7E7"/>
      </a:lt2>
      <a:accent1>
        <a:srgbClr val="5B9AD4"/>
      </a:accent1>
      <a:accent2>
        <a:srgbClr val="ED7D31"/>
      </a:accent2>
      <a:accent3>
        <a:srgbClr val="A4A4A5"/>
      </a:accent3>
      <a:accent4>
        <a:srgbClr val="FEC001"/>
      </a:accent4>
      <a:accent5>
        <a:srgbClr val="4572C5"/>
      </a:accent5>
      <a:accent6>
        <a:srgbClr val="70AC46"/>
      </a:accent6>
      <a:hlink>
        <a:srgbClr val="0563C1"/>
      </a:hlink>
      <a:folHlink>
        <a:srgbClr val="944F73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F058-A568-20F7-5948-9E692AE922AC}">
  <dimension ref="B2:H43"/>
  <sheetViews>
    <sheetView tabSelected="1" workbookViewId="0">
      <selection activeCell="H7" sqref="H7"/>
    </sheetView>
  </sheetViews>
  <sheetFormatPr defaultColWidth="8.88671875" defaultRowHeight="15" customHeight="1"/>
  <cols>
    <col min="2" max="2" width="71.44140625" customWidth="1"/>
    <col min="4" max="4" width="14.33203125" bestFit="1" customWidth="1"/>
    <col min="6" max="6" width="12.33203125" bestFit="1" customWidth="1"/>
    <col min="8" max="8" width="14.6640625" bestFit="1" customWidth="1"/>
  </cols>
  <sheetData>
    <row r="2" spans="2:8" ht="24.75" customHeight="1">
      <c r="B2" s="1" t="s">
        <v>0</v>
      </c>
    </row>
    <row r="3" spans="2:8" ht="16.5" customHeight="1">
      <c r="B3" s="2" t="s">
        <v>1</v>
      </c>
    </row>
    <row r="5" spans="2:8" ht="18.75" customHeight="1">
      <c r="B5" s="3" t="s">
        <v>2</v>
      </c>
    </row>
    <row r="7" spans="2:8" ht="14.25" customHeight="1">
      <c r="B7" s="4" t="s">
        <v>3</v>
      </c>
      <c r="D7" s="4" t="s">
        <v>4</v>
      </c>
      <c r="F7" s="4" t="s">
        <v>5</v>
      </c>
      <c r="H7" s="4" t="s">
        <v>6</v>
      </c>
    </row>
    <row r="8" spans="2:8" ht="21.75" customHeight="1">
      <c r="B8" s="5" t="s">
        <v>7</v>
      </c>
      <c r="D8" s="5">
        <f>SUM(Sheet1!H:H)</f>
        <v>50643</v>
      </c>
      <c r="F8" s="6">
        <f>AVERAGE(Sheet1!G:G)</f>
        <v>0.56893333333333551</v>
      </c>
      <c r="H8" s="5">
        <v>5</v>
      </c>
    </row>
    <row r="11" spans="2:8" ht="18.75" customHeight="1">
      <c r="B11" s="3" t="s">
        <v>8</v>
      </c>
    </row>
    <row r="13" spans="2:8" ht="15.75" customHeight="1">
      <c r="B13" s="7" t="s">
        <v>9</v>
      </c>
    </row>
    <row r="14" spans="2:8" ht="15.75" customHeight="1">
      <c r="B14" t="s">
        <v>10</v>
      </c>
    </row>
    <row r="15" spans="2:8" ht="15.75" customHeight="1">
      <c r="B15" t="s">
        <v>11</v>
      </c>
    </row>
    <row r="16" spans="2:8" ht="15.75" customHeight="1">
      <c r="B16" t="s">
        <v>12</v>
      </c>
    </row>
    <row r="18" spans="2:2" ht="15.75" customHeight="1">
      <c r="B18" s="7" t="s">
        <v>13</v>
      </c>
    </row>
    <row r="19" spans="2:2" ht="15.75" customHeight="1">
      <c r="B19" t="s">
        <v>14</v>
      </c>
    </row>
    <row r="20" spans="2:2" ht="15.75" customHeight="1">
      <c r="B20" t="s">
        <v>15</v>
      </c>
    </row>
    <row r="21" spans="2:2" ht="15.75" customHeight="1">
      <c r="B21" t="s">
        <v>16</v>
      </c>
    </row>
    <row r="23" spans="2:2" ht="15.75" customHeight="1">
      <c r="B23" s="7" t="s">
        <v>17</v>
      </c>
    </row>
    <row r="24" spans="2:2" ht="15.75" customHeight="1">
      <c r="B24" t="s">
        <v>18</v>
      </c>
    </row>
    <row r="25" spans="2:2" ht="15.75" customHeight="1">
      <c r="B25" t="s">
        <v>19</v>
      </c>
    </row>
    <row r="26" spans="2:2" ht="15.75" customHeight="1">
      <c r="B26" t="s">
        <v>20</v>
      </c>
    </row>
    <row r="28" spans="2:2" ht="18.75" customHeight="1">
      <c r="B28" s="3" t="s">
        <v>21</v>
      </c>
    </row>
    <row r="30" spans="2:2" ht="15.75" customHeight="1">
      <c r="B30" s="7" t="s">
        <v>22</v>
      </c>
    </row>
    <row r="31" spans="2:2" ht="15.75" customHeight="1">
      <c r="B31" t="s">
        <v>23</v>
      </c>
    </row>
    <row r="32" spans="2:2" ht="15.75" customHeight="1">
      <c r="B32" t="s">
        <v>24</v>
      </c>
    </row>
    <row r="33" spans="2:2" ht="15.75" customHeight="1">
      <c r="B33" t="s">
        <v>25</v>
      </c>
    </row>
    <row r="35" spans="2:2" ht="15.75" customHeight="1">
      <c r="B35" s="7" t="s">
        <v>26</v>
      </c>
    </row>
    <row r="36" spans="2:2" ht="15.75" customHeight="1">
      <c r="B36" t="s">
        <v>27</v>
      </c>
    </row>
    <row r="37" spans="2:2" ht="15.75" customHeight="1">
      <c r="B37" t="s">
        <v>28</v>
      </c>
    </row>
    <row r="38" spans="2:2" ht="15.75" customHeight="1">
      <c r="B38" t="s">
        <v>29</v>
      </c>
    </row>
    <row r="40" spans="2:2" ht="15.75" customHeight="1">
      <c r="B40" s="7" t="s">
        <v>30</v>
      </c>
    </row>
    <row r="41" spans="2:2" ht="15.75" customHeight="1">
      <c r="B41" t="s">
        <v>31</v>
      </c>
    </row>
    <row r="42" spans="2:2" ht="15.75" customHeight="1">
      <c r="B42" t="s">
        <v>32</v>
      </c>
    </row>
    <row r="43" spans="2:2" ht="15.75" customHeight="1">
      <c r="B43" t="s">
        <v>33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1CB8-BBDA-6661-414A-05A7BEF6D738}">
  <dimension ref="B2:F18"/>
  <sheetViews>
    <sheetView topLeftCell="A2" workbookViewId="0">
      <selection activeCell="H24" sqref="H24"/>
    </sheetView>
  </sheetViews>
  <sheetFormatPr defaultColWidth="8.88671875" defaultRowHeight="15" customHeight="1"/>
  <cols>
    <col min="2" max="2" width="17.109375" customWidth="1"/>
    <col min="3" max="4" width="18.5546875" customWidth="1"/>
    <col min="5" max="5" width="21.44140625" customWidth="1"/>
    <col min="6" max="6" width="11.6640625" bestFit="1" customWidth="1"/>
  </cols>
  <sheetData>
    <row r="2" spans="2:6" ht="21.75" customHeight="1">
      <c r="B2" s="12" t="s">
        <v>34</v>
      </c>
      <c r="C2" s="12"/>
    </row>
    <row r="4" spans="2:6" ht="16.5" customHeight="1">
      <c r="B4" s="8" t="s">
        <v>35</v>
      </c>
    </row>
    <row r="6" spans="2:6" ht="14.25" customHeight="1">
      <c r="B6" s="9" t="s">
        <v>36</v>
      </c>
      <c r="C6" s="9" t="s">
        <v>5</v>
      </c>
      <c r="D6" s="9" t="s">
        <v>37</v>
      </c>
      <c r="E6" s="9" t="s">
        <v>38</v>
      </c>
      <c r="F6" s="9" t="s">
        <v>39</v>
      </c>
    </row>
    <row r="7" spans="2:6" ht="15.75" customHeight="1">
      <c r="B7" t="s">
        <v>40</v>
      </c>
      <c r="C7" s="10">
        <f>AVERAGEIF(Sheet1!$M:$M,"January",Sheet1!$G:$G)</f>
        <v>0.59888888888888869</v>
      </c>
      <c r="D7" s="11">
        <f>AVERAGEIF(Sheet1!$M:$M,"January",Sheet1!$H:$H)</f>
        <v>17.468253968253968</v>
      </c>
      <c r="E7" s="11">
        <f>AVERAGEIF(Sheet1!$M:$M,"January",Sheet1!$F:$F)</f>
        <v>7.4027777777777803</v>
      </c>
      <c r="F7">
        <f>COUNTIF(Sheet1!$M:$M,"January")</f>
        <v>252</v>
      </c>
    </row>
    <row r="8" spans="2:6" ht="15.75" customHeight="1">
      <c r="B8" t="s">
        <v>41</v>
      </c>
      <c r="C8" s="10">
        <f>AVERAGEIF(Sheet1!$M:$M,"February",Sheet1!$G:$G)</f>
        <v>0.59068085106383006</v>
      </c>
      <c r="D8" s="11">
        <f>AVERAGEIF(Sheet1!$M:$M,"February",Sheet1!$H:$H)</f>
        <v>17.47659574468085</v>
      </c>
      <c r="E8" s="11">
        <f>AVERAGEIF(Sheet1!$M:$M,"February",Sheet1!$F:$F)</f>
        <v>7.5038297872340429</v>
      </c>
      <c r="F8">
        <f>COUNTIF(Sheet1!$M:$M,"February")</f>
        <v>235</v>
      </c>
    </row>
    <row r="9" spans="2:6" ht="15.75" customHeight="1">
      <c r="B9" t="s">
        <v>42</v>
      </c>
      <c r="C9" s="10">
        <f>AVERAGEIF(Sheet1!$M:$M,"March",Sheet1!$G:$G)</f>
        <v>0.54338289962825237</v>
      </c>
      <c r="D9" s="11">
        <f>AVERAGEIF(Sheet1!$M:$M,"March",Sheet1!$H:$H)</f>
        <v>16.832713754646839</v>
      </c>
      <c r="E9" s="11">
        <f>AVERAGEIF(Sheet1!$M:$M,"March",Sheet1!$F:$F)</f>
        <v>6.9765799256505563</v>
      </c>
      <c r="F9">
        <f>COUNTIF(Sheet1!$M:$M,"March")</f>
        <v>269</v>
      </c>
    </row>
    <row r="10" spans="2:6" ht="15.75" customHeight="1">
      <c r="B10" t="s">
        <v>43</v>
      </c>
      <c r="C10" s="10">
        <f>AVERAGEIF(Sheet1!$M:$M,"April",Sheet1!$G:$G)</f>
        <v>0.58496124031007768</v>
      </c>
      <c r="D10" s="11">
        <f>AVERAGEIF(Sheet1!$M:$M,"April",Sheet1!$H:$H)</f>
        <v>16.410852713178294</v>
      </c>
      <c r="E10" s="11">
        <f>AVERAGEIF(Sheet1!$M:$M,"April",Sheet1!$F:$F)</f>
        <v>7.387984496124024</v>
      </c>
      <c r="F10">
        <f>COUNTIF(Sheet1!$M:$M,"April")</f>
        <v>258</v>
      </c>
    </row>
    <row r="11" spans="2:6" ht="15.75" customHeight="1">
      <c r="B11" t="s">
        <v>44</v>
      </c>
      <c r="C11" s="10">
        <f>AVERAGEIF(Sheet1!$M:$M,"May",Sheet1!$G:$G)</f>
        <v>0.54337254901960763</v>
      </c>
      <c r="D11" s="11">
        <f>AVERAGEIF(Sheet1!$M:$M,"May",Sheet1!$H:$H)</f>
        <v>16.474509803921567</v>
      </c>
      <c r="E11" s="11">
        <f>AVERAGEIF(Sheet1!$M:$M,"May",Sheet1!$F:$F)</f>
        <v>6.5184313725490206</v>
      </c>
      <c r="F11">
        <f>COUNTIF(Sheet1!$M:$M,"May")</f>
        <v>255</v>
      </c>
    </row>
    <row r="12" spans="2:6" ht="15.75" customHeight="1">
      <c r="B12" t="s">
        <v>45</v>
      </c>
      <c r="C12" s="10">
        <f>AVERAGEIF(Sheet1!$M:$M,"June",Sheet1!$G:$G)</f>
        <v>0.53660079051383369</v>
      </c>
      <c r="D12" s="11">
        <f>AVERAGEIF(Sheet1!$M:$M,"June",Sheet1!$H:$H)</f>
        <v>16.57707509881423</v>
      </c>
      <c r="E12" s="11">
        <f>AVERAGEIF(Sheet1!$M:$M,"June",Sheet1!$F:$F)</f>
        <v>6.5984189723320172</v>
      </c>
      <c r="F12">
        <f>COUNTIF(Sheet1!$M:$M,"June")</f>
        <v>253</v>
      </c>
    </row>
    <row r="13" spans="2:6" ht="15.75" customHeight="1">
      <c r="B13" t="s">
        <v>46</v>
      </c>
      <c r="C13" s="10">
        <f>AVERAGEIF(Sheet1!$M:$M,"July",Sheet1!$G:$G)</f>
        <v>0.56161943319838037</v>
      </c>
      <c r="D13" s="11">
        <f>AVERAGEIF(Sheet1!$M:$M,"July",Sheet1!$H:$H)</f>
        <v>16.327935222672064</v>
      </c>
      <c r="E13" s="11">
        <f>AVERAGEIF(Sheet1!$M:$M,"July",Sheet1!$F:$F)</f>
        <v>7.0497975708502043</v>
      </c>
      <c r="F13">
        <f>COUNTIF(Sheet1!$M:$M,"July")</f>
        <v>247</v>
      </c>
    </row>
    <row r="14" spans="2:6" ht="15.75" customHeight="1">
      <c r="B14" t="s">
        <v>47</v>
      </c>
      <c r="C14" s="10">
        <f>AVERAGEIF(Sheet1!$M:$M,"August",Sheet1!$G:$G)</f>
        <v>0.55785440613026815</v>
      </c>
      <c r="D14" s="11">
        <f>AVERAGEIF(Sheet1!$M:$M,"August",Sheet1!$H:$H)</f>
        <v>16.417624521072796</v>
      </c>
      <c r="E14" s="11">
        <f>AVERAGEIF(Sheet1!$M:$M,"August",Sheet1!$F:$F)</f>
        <v>6.8490421455938746</v>
      </c>
      <c r="F14">
        <f>COUNTIF(Sheet1!$M:$M,"August")</f>
        <v>261</v>
      </c>
    </row>
    <row r="15" spans="2:6" ht="15.75" customHeight="1">
      <c r="B15" t="s">
        <v>48</v>
      </c>
      <c r="C15" s="10">
        <f>AVERAGEIF(Sheet1!$M:$M,"September",Sheet1!$G:$G)</f>
        <v>0.59307053941908727</v>
      </c>
      <c r="D15" s="11">
        <f>AVERAGEIF(Sheet1!$M:$M,"September",Sheet1!$H:$H)</f>
        <v>18.12863070539419</v>
      </c>
      <c r="E15" s="11">
        <f>AVERAGEIF(Sheet1!$M:$M,"September",Sheet1!$F:$F)</f>
        <v>7.6414937759336095</v>
      </c>
      <c r="F15">
        <f>COUNTIF(Sheet1!$M:$M,"September")</f>
        <v>241</v>
      </c>
    </row>
    <row r="16" spans="2:6" ht="15.75" customHeight="1">
      <c r="B16" t="s">
        <v>49</v>
      </c>
      <c r="C16" s="10">
        <f>AVERAGEIF(Sheet1!$M:$M,"October",Sheet1!$G:$G)</f>
        <v>0.58628820960698702</v>
      </c>
      <c r="D16" s="11">
        <f>AVERAGEIF(Sheet1!$M:$M,"October",Sheet1!$H:$H)</f>
        <v>16.746724890829693</v>
      </c>
      <c r="E16" s="11">
        <f>AVERAGEIF(Sheet1!$M:$M,"October",Sheet1!$F:$F)</f>
        <v>7.5253275109170241</v>
      </c>
      <c r="F16">
        <f>COUNTIF(Sheet1!$M:$M,"October")</f>
        <v>229</v>
      </c>
    </row>
    <row r="17" spans="2:6" ht="15.75" customHeight="1">
      <c r="B17" t="s">
        <v>50</v>
      </c>
      <c r="C17" s="10">
        <f>AVERAGEIF(Sheet1!$M:$M,"November",Sheet1!$G:$G)</f>
        <v>0.56253112033194996</v>
      </c>
      <c r="D17" s="11">
        <f>AVERAGEIF(Sheet1!$M:$M,"November",Sheet1!$H:$H)</f>
        <v>16.734439834024897</v>
      </c>
      <c r="E17" s="11">
        <f>AVERAGEIF(Sheet1!$M:$M,"November",Sheet1!$F:$F)</f>
        <v>6.9576763485477189</v>
      </c>
      <c r="F17">
        <f>COUNTIF(Sheet1!$M:$M,"November")</f>
        <v>241</v>
      </c>
    </row>
    <row r="18" spans="2:6" ht="15.75" customHeight="1">
      <c r="B18" t="s">
        <v>51</v>
      </c>
      <c r="C18" s="10">
        <f>AVERAGEIF(Sheet1!$M:$M,"December",Sheet1!$G:$G)</f>
        <v>0.57366795366795353</v>
      </c>
      <c r="D18" s="11">
        <f>AVERAGEIF(Sheet1!$M:$M,"December",Sheet1!$H:$H)</f>
        <v>17.073359073359072</v>
      </c>
      <c r="E18" s="11">
        <f>AVERAGEIF(Sheet1!$M:$M,"December",Sheet1!$F:$F)</f>
        <v>7.0571428571428614</v>
      </c>
      <c r="F18">
        <f>COUNTIF(Sheet1!$M:$M,"December")</f>
        <v>259</v>
      </c>
    </row>
  </sheetData>
  <mergeCells count="1">
    <mergeCell ref="B2:C2"/>
  </mergeCell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F8DF-BDE8-30A8-9D29-D98BF45B2C48}">
  <dimension ref="A1:O3001"/>
  <sheetViews>
    <sheetView showGridLines="0" workbookViewId="0">
      <selection activeCell="G15" sqref="G15"/>
    </sheetView>
  </sheetViews>
  <sheetFormatPr defaultColWidth="8.88671875" defaultRowHeight="15" customHeight="1"/>
  <cols>
    <col min="1" max="1" width="10.5546875" customWidth="1"/>
    <col min="2" max="2" width="13.6640625" customWidth="1"/>
    <col min="3" max="3" width="17.5546875" customWidth="1"/>
    <col min="4" max="4" width="14.5546875" customWidth="1"/>
    <col min="5" max="5" width="14.33203125" customWidth="1"/>
    <col min="6" max="6" width="21.44140625" customWidth="1"/>
    <col min="7" max="7" width="14" customWidth="1"/>
    <col min="8" max="8" width="20.88671875" customWidth="1"/>
    <col min="9" max="9" width="18" customWidth="1"/>
    <col min="10" max="10" width="19" customWidth="1"/>
    <col min="11" max="11" width="17.5546875" customWidth="1"/>
    <col min="12" max="12" width="12.33203125" customWidth="1"/>
    <col min="13" max="13" width="9.88671875" customWidth="1"/>
    <col min="14" max="14" width="10.88671875" customWidth="1"/>
    <col min="15" max="15" width="14.5546875" customWidth="1"/>
  </cols>
  <sheetData>
    <row r="1" spans="1:15" ht="15" customHeight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36</v>
      </c>
      <c r="N1" t="s">
        <v>64</v>
      </c>
      <c r="O1" t="s">
        <v>65</v>
      </c>
    </row>
    <row r="2" spans="1:15" ht="15" customHeight="1">
      <c r="A2" t="s">
        <v>66</v>
      </c>
      <c r="B2" t="s">
        <v>67</v>
      </c>
      <c r="C2" t="s">
        <v>68</v>
      </c>
      <c r="D2" t="s">
        <v>69</v>
      </c>
      <c r="E2">
        <v>12</v>
      </c>
      <c r="F2">
        <v>0.5</v>
      </c>
      <c r="G2">
        <v>0.04</v>
      </c>
      <c r="H2">
        <v>1</v>
      </c>
      <c r="I2">
        <v>30000</v>
      </c>
      <c r="J2">
        <v>5000</v>
      </c>
      <c r="K2" t="s">
        <v>70</v>
      </c>
      <c r="L2" t="s">
        <v>71</v>
      </c>
      <c r="M2" t="s">
        <v>51</v>
      </c>
      <c r="N2" t="b">
        <v>0</v>
      </c>
      <c r="O2" t="s">
        <v>72</v>
      </c>
    </row>
    <row r="3" spans="1:15" ht="15" customHeight="1">
      <c r="A3" t="s">
        <v>73</v>
      </c>
      <c r="B3" t="s">
        <v>74</v>
      </c>
      <c r="C3" t="s">
        <v>75</v>
      </c>
      <c r="D3" t="s">
        <v>69</v>
      </c>
      <c r="E3">
        <v>19</v>
      </c>
      <c r="F3">
        <v>13.5</v>
      </c>
      <c r="G3">
        <v>0.71</v>
      </c>
      <c r="H3">
        <v>20</v>
      </c>
      <c r="I3">
        <v>2000</v>
      </c>
      <c r="J3">
        <v>1500</v>
      </c>
      <c r="K3" t="s">
        <v>76</v>
      </c>
      <c r="L3" t="s">
        <v>77</v>
      </c>
      <c r="M3" t="s">
        <v>40</v>
      </c>
      <c r="N3" t="b">
        <v>0</v>
      </c>
      <c r="O3" t="s">
        <v>78</v>
      </c>
    </row>
    <row r="4" spans="1:15" ht="15" customHeight="1">
      <c r="A4" t="s">
        <v>79</v>
      </c>
      <c r="B4" t="s">
        <v>80</v>
      </c>
      <c r="C4" t="s">
        <v>81</v>
      </c>
      <c r="D4" t="s">
        <v>69</v>
      </c>
      <c r="E4">
        <v>8</v>
      </c>
      <c r="F4">
        <v>6.7</v>
      </c>
      <c r="G4">
        <v>0.84</v>
      </c>
      <c r="H4">
        <v>7</v>
      </c>
      <c r="I4">
        <v>10000</v>
      </c>
      <c r="J4">
        <v>3000</v>
      </c>
      <c r="K4" t="s">
        <v>82</v>
      </c>
      <c r="L4" t="s">
        <v>77</v>
      </c>
      <c r="M4" t="s">
        <v>51</v>
      </c>
      <c r="N4" t="b">
        <v>0</v>
      </c>
      <c r="O4" t="s">
        <v>83</v>
      </c>
    </row>
    <row r="5" spans="1:15" ht="15" customHeight="1">
      <c r="A5" t="s">
        <v>84</v>
      </c>
      <c r="B5" t="s">
        <v>85</v>
      </c>
      <c r="C5" t="s">
        <v>81</v>
      </c>
      <c r="D5" t="s">
        <v>69</v>
      </c>
      <c r="E5">
        <v>18</v>
      </c>
      <c r="F5">
        <v>9.1999999999999993</v>
      </c>
      <c r="G5">
        <v>0.51</v>
      </c>
      <c r="H5">
        <v>20</v>
      </c>
      <c r="I5">
        <v>10000</v>
      </c>
      <c r="J5">
        <v>3000</v>
      </c>
      <c r="K5" t="s">
        <v>86</v>
      </c>
      <c r="L5" t="s">
        <v>77</v>
      </c>
      <c r="M5" t="s">
        <v>51</v>
      </c>
      <c r="N5" t="b">
        <v>0</v>
      </c>
      <c r="O5" t="s">
        <v>87</v>
      </c>
    </row>
    <row r="6" spans="1:15" ht="15" customHeight="1">
      <c r="A6" t="s">
        <v>88</v>
      </c>
      <c r="B6" t="s">
        <v>89</v>
      </c>
      <c r="C6" t="s">
        <v>75</v>
      </c>
      <c r="D6" t="s">
        <v>69</v>
      </c>
      <c r="E6">
        <v>11</v>
      </c>
      <c r="F6">
        <v>8.3000000000000007</v>
      </c>
      <c r="G6">
        <v>0.75</v>
      </c>
      <c r="H6">
        <v>22</v>
      </c>
      <c r="I6">
        <v>2000</v>
      </c>
      <c r="J6">
        <v>1500</v>
      </c>
      <c r="K6" t="s">
        <v>90</v>
      </c>
      <c r="L6" t="s">
        <v>91</v>
      </c>
      <c r="M6" t="s">
        <v>51</v>
      </c>
      <c r="N6" t="b">
        <v>1</v>
      </c>
      <c r="O6" t="s">
        <v>92</v>
      </c>
    </row>
    <row r="7" spans="1:15" ht="15" customHeight="1">
      <c r="A7" t="s">
        <v>93</v>
      </c>
      <c r="B7" t="s">
        <v>94</v>
      </c>
      <c r="C7" t="s">
        <v>68</v>
      </c>
      <c r="D7" t="s">
        <v>69</v>
      </c>
      <c r="E7">
        <v>8</v>
      </c>
      <c r="F7">
        <v>3</v>
      </c>
      <c r="G7">
        <v>0.38</v>
      </c>
      <c r="H7">
        <v>4</v>
      </c>
      <c r="I7">
        <v>30000</v>
      </c>
      <c r="J7">
        <v>5000</v>
      </c>
      <c r="K7" t="s">
        <v>95</v>
      </c>
      <c r="L7" t="s">
        <v>96</v>
      </c>
      <c r="M7" t="s">
        <v>40</v>
      </c>
      <c r="N7" t="b">
        <v>0</v>
      </c>
      <c r="O7" t="s">
        <v>97</v>
      </c>
    </row>
    <row r="8" spans="1:15" ht="15" customHeight="1">
      <c r="A8" t="s">
        <v>98</v>
      </c>
      <c r="B8" t="s">
        <v>99</v>
      </c>
      <c r="C8" t="s">
        <v>68</v>
      </c>
      <c r="D8" t="s">
        <v>69</v>
      </c>
      <c r="E8">
        <v>16</v>
      </c>
      <c r="F8">
        <v>2.7</v>
      </c>
      <c r="G8">
        <v>0.17</v>
      </c>
      <c r="H8">
        <v>1</v>
      </c>
      <c r="I8">
        <v>30000</v>
      </c>
      <c r="J8">
        <v>5000</v>
      </c>
      <c r="K8" t="s">
        <v>70</v>
      </c>
      <c r="L8" t="s">
        <v>100</v>
      </c>
      <c r="M8" t="s">
        <v>47</v>
      </c>
      <c r="N8" t="b">
        <v>0</v>
      </c>
      <c r="O8" t="s">
        <v>72</v>
      </c>
    </row>
    <row r="9" spans="1:15" ht="15" customHeight="1">
      <c r="A9" t="s">
        <v>101</v>
      </c>
      <c r="B9" t="s">
        <v>102</v>
      </c>
      <c r="C9" t="s">
        <v>81</v>
      </c>
      <c r="D9" t="s">
        <v>69</v>
      </c>
      <c r="E9">
        <v>10</v>
      </c>
      <c r="F9">
        <v>7</v>
      </c>
      <c r="G9">
        <v>0.7</v>
      </c>
      <c r="H9">
        <v>10</v>
      </c>
      <c r="I9">
        <v>10000</v>
      </c>
      <c r="J9">
        <v>3000</v>
      </c>
      <c r="K9" t="s">
        <v>103</v>
      </c>
      <c r="L9" t="s">
        <v>104</v>
      </c>
      <c r="M9" t="s">
        <v>41</v>
      </c>
      <c r="N9" t="b">
        <v>0</v>
      </c>
      <c r="O9" t="s">
        <v>105</v>
      </c>
    </row>
    <row r="10" spans="1:15" ht="15" customHeight="1">
      <c r="A10" t="s">
        <v>106</v>
      </c>
      <c r="B10" t="s">
        <v>107</v>
      </c>
      <c r="C10" t="s">
        <v>68</v>
      </c>
      <c r="D10" t="s">
        <v>69</v>
      </c>
      <c r="E10">
        <v>14</v>
      </c>
      <c r="F10">
        <v>2.1</v>
      </c>
      <c r="G10">
        <v>0.15</v>
      </c>
      <c r="H10">
        <v>3</v>
      </c>
      <c r="I10">
        <v>30000</v>
      </c>
      <c r="J10">
        <v>5000</v>
      </c>
      <c r="K10" t="s">
        <v>108</v>
      </c>
      <c r="L10" t="s">
        <v>71</v>
      </c>
      <c r="M10" t="s">
        <v>49</v>
      </c>
      <c r="N10" t="b">
        <v>0</v>
      </c>
      <c r="O10" t="s">
        <v>109</v>
      </c>
    </row>
    <row r="11" spans="1:15" ht="15" customHeight="1">
      <c r="A11" t="s">
        <v>110</v>
      </c>
      <c r="B11" t="s">
        <v>111</v>
      </c>
      <c r="C11" t="s">
        <v>68</v>
      </c>
      <c r="D11" t="s">
        <v>69</v>
      </c>
      <c r="E11">
        <v>15</v>
      </c>
      <c r="F11">
        <v>3.8</v>
      </c>
      <c r="G11">
        <v>0.25</v>
      </c>
      <c r="H11">
        <v>5</v>
      </c>
      <c r="I11">
        <v>30000</v>
      </c>
      <c r="J11">
        <v>5000</v>
      </c>
      <c r="K11" t="s">
        <v>112</v>
      </c>
      <c r="L11" t="s">
        <v>100</v>
      </c>
      <c r="M11" t="s">
        <v>43</v>
      </c>
      <c r="N11" t="b">
        <v>0</v>
      </c>
      <c r="O11" t="s">
        <v>113</v>
      </c>
    </row>
    <row r="12" spans="1:15" ht="15" customHeight="1">
      <c r="A12" t="s">
        <v>114</v>
      </c>
      <c r="B12" t="s">
        <v>115</v>
      </c>
      <c r="C12" t="s">
        <v>81</v>
      </c>
      <c r="D12" t="s">
        <v>69</v>
      </c>
      <c r="E12">
        <v>14</v>
      </c>
      <c r="F12">
        <v>5</v>
      </c>
      <c r="G12">
        <v>0.36</v>
      </c>
      <c r="H12">
        <v>14</v>
      </c>
      <c r="I12">
        <v>10000</v>
      </c>
      <c r="J12">
        <v>3000</v>
      </c>
      <c r="K12" t="s">
        <v>116</v>
      </c>
      <c r="L12" t="s">
        <v>117</v>
      </c>
      <c r="M12" t="s">
        <v>44</v>
      </c>
      <c r="N12" t="b">
        <v>1</v>
      </c>
      <c r="O12" t="s">
        <v>118</v>
      </c>
    </row>
    <row r="13" spans="1:15" ht="15" customHeight="1">
      <c r="A13" t="s">
        <v>119</v>
      </c>
      <c r="B13" t="s">
        <v>120</v>
      </c>
      <c r="C13" t="s">
        <v>68</v>
      </c>
      <c r="D13" t="s">
        <v>69</v>
      </c>
      <c r="E13">
        <v>15</v>
      </c>
      <c r="F13">
        <v>2.2999999999999998</v>
      </c>
      <c r="G13">
        <v>0.15</v>
      </c>
      <c r="H13">
        <v>3</v>
      </c>
      <c r="I13">
        <v>30000</v>
      </c>
      <c r="J13">
        <v>5000</v>
      </c>
      <c r="K13" t="s">
        <v>108</v>
      </c>
      <c r="L13" t="s">
        <v>71</v>
      </c>
      <c r="M13" t="s">
        <v>45</v>
      </c>
      <c r="N13" t="b">
        <v>0</v>
      </c>
      <c r="O13" t="s">
        <v>109</v>
      </c>
    </row>
    <row r="14" spans="1:15" ht="15" customHeight="1">
      <c r="A14" t="s">
        <v>121</v>
      </c>
      <c r="B14" t="s">
        <v>122</v>
      </c>
      <c r="C14" t="s">
        <v>68</v>
      </c>
      <c r="D14" t="s">
        <v>69</v>
      </c>
      <c r="E14">
        <v>16</v>
      </c>
      <c r="F14">
        <v>3.1</v>
      </c>
      <c r="G14">
        <v>0.19</v>
      </c>
      <c r="H14">
        <v>1</v>
      </c>
      <c r="I14">
        <v>30000</v>
      </c>
      <c r="J14">
        <v>5000</v>
      </c>
      <c r="K14" t="s">
        <v>70</v>
      </c>
      <c r="L14" t="s">
        <v>91</v>
      </c>
      <c r="M14" t="s">
        <v>47</v>
      </c>
      <c r="N14" t="b">
        <v>1</v>
      </c>
      <c r="O14" t="s">
        <v>72</v>
      </c>
    </row>
    <row r="15" spans="1:15" ht="15" customHeight="1">
      <c r="A15" t="s">
        <v>123</v>
      </c>
      <c r="B15" t="s">
        <v>124</v>
      </c>
      <c r="C15" t="s">
        <v>81</v>
      </c>
      <c r="D15" t="s">
        <v>69</v>
      </c>
      <c r="E15">
        <v>17</v>
      </c>
      <c r="F15">
        <v>10</v>
      </c>
      <c r="G15">
        <v>0.59</v>
      </c>
      <c r="H15">
        <v>27</v>
      </c>
      <c r="I15">
        <v>10000</v>
      </c>
      <c r="J15">
        <v>3000</v>
      </c>
      <c r="K15" t="s">
        <v>125</v>
      </c>
      <c r="L15" t="s">
        <v>91</v>
      </c>
      <c r="M15" t="s">
        <v>42</v>
      </c>
      <c r="N15" t="b">
        <v>1</v>
      </c>
      <c r="O15" t="s">
        <v>126</v>
      </c>
    </row>
    <row r="16" spans="1:15" ht="15" customHeight="1">
      <c r="A16" t="s">
        <v>127</v>
      </c>
      <c r="B16" t="s">
        <v>128</v>
      </c>
      <c r="C16" t="s">
        <v>129</v>
      </c>
      <c r="D16" t="s">
        <v>130</v>
      </c>
      <c r="E16">
        <v>13</v>
      </c>
      <c r="F16">
        <v>10.7</v>
      </c>
      <c r="G16">
        <v>0.82</v>
      </c>
      <c r="H16">
        <v>21</v>
      </c>
      <c r="I16">
        <v>5000</v>
      </c>
      <c r="J16">
        <v>1000</v>
      </c>
      <c r="K16" t="s">
        <v>131</v>
      </c>
      <c r="L16" t="s">
        <v>117</v>
      </c>
      <c r="M16" t="s">
        <v>44</v>
      </c>
      <c r="N16" t="b">
        <v>1</v>
      </c>
      <c r="O16" t="s">
        <v>132</v>
      </c>
    </row>
    <row r="17" spans="1:15" ht="15" customHeight="1">
      <c r="A17" t="s">
        <v>98</v>
      </c>
      <c r="B17" t="s">
        <v>133</v>
      </c>
      <c r="C17" t="s">
        <v>129</v>
      </c>
      <c r="D17" t="s">
        <v>130</v>
      </c>
      <c r="E17">
        <v>18</v>
      </c>
      <c r="F17">
        <v>9</v>
      </c>
      <c r="G17">
        <v>0.5</v>
      </c>
      <c r="H17">
        <v>22</v>
      </c>
      <c r="I17">
        <v>5000</v>
      </c>
      <c r="J17">
        <v>1000</v>
      </c>
      <c r="K17" t="s">
        <v>134</v>
      </c>
      <c r="L17" t="s">
        <v>100</v>
      </c>
      <c r="M17" t="s">
        <v>47</v>
      </c>
      <c r="N17" t="b">
        <v>0</v>
      </c>
      <c r="O17" t="s">
        <v>135</v>
      </c>
    </row>
    <row r="18" spans="1:15" ht="15" customHeight="1">
      <c r="A18" t="s">
        <v>136</v>
      </c>
      <c r="B18" t="s">
        <v>137</v>
      </c>
      <c r="C18" t="s">
        <v>81</v>
      </c>
      <c r="D18" t="s">
        <v>69</v>
      </c>
      <c r="E18">
        <v>11</v>
      </c>
      <c r="F18">
        <v>4.5999999999999996</v>
      </c>
      <c r="G18">
        <v>0.42</v>
      </c>
      <c r="H18">
        <v>25</v>
      </c>
      <c r="I18">
        <v>10000</v>
      </c>
      <c r="J18">
        <v>3000</v>
      </c>
      <c r="K18" t="s">
        <v>138</v>
      </c>
      <c r="L18" t="s">
        <v>96</v>
      </c>
      <c r="M18" t="s">
        <v>41</v>
      </c>
      <c r="N18" t="b">
        <v>0</v>
      </c>
      <c r="O18" t="s">
        <v>139</v>
      </c>
    </row>
    <row r="19" spans="1:15" ht="15" customHeight="1">
      <c r="A19" t="s">
        <v>140</v>
      </c>
      <c r="B19" t="s">
        <v>141</v>
      </c>
      <c r="C19" t="s">
        <v>81</v>
      </c>
      <c r="D19" t="s">
        <v>69</v>
      </c>
      <c r="E19">
        <v>8</v>
      </c>
      <c r="F19">
        <v>7</v>
      </c>
      <c r="G19">
        <v>0.88</v>
      </c>
      <c r="H19">
        <v>18</v>
      </c>
      <c r="I19">
        <v>10000</v>
      </c>
      <c r="J19">
        <v>3000</v>
      </c>
      <c r="K19" t="s">
        <v>142</v>
      </c>
      <c r="L19" t="s">
        <v>96</v>
      </c>
      <c r="M19" t="s">
        <v>50</v>
      </c>
      <c r="N19" t="b">
        <v>0</v>
      </c>
      <c r="O19" t="s">
        <v>143</v>
      </c>
    </row>
    <row r="20" spans="1:15" ht="15" customHeight="1">
      <c r="A20" t="s">
        <v>144</v>
      </c>
      <c r="B20" t="s">
        <v>145</v>
      </c>
      <c r="C20" t="s">
        <v>129</v>
      </c>
      <c r="D20" t="s">
        <v>130</v>
      </c>
      <c r="E20">
        <v>16</v>
      </c>
      <c r="F20">
        <v>10.6</v>
      </c>
      <c r="G20">
        <v>0.66</v>
      </c>
      <c r="H20">
        <v>29</v>
      </c>
      <c r="I20">
        <v>5000</v>
      </c>
      <c r="J20">
        <v>1000</v>
      </c>
      <c r="K20" t="s">
        <v>113</v>
      </c>
      <c r="L20" t="s">
        <v>100</v>
      </c>
      <c r="M20" t="s">
        <v>44</v>
      </c>
      <c r="N20" t="b">
        <v>0</v>
      </c>
      <c r="O20" t="s">
        <v>146</v>
      </c>
    </row>
    <row r="21" spans="1:15" ht="15" customHeight="1">
      <c r="A21" t="s">
        <v>147</v>
      </c>
      <c r="B21" t="s">
        <v>148</v>
      </c>
      <c r="C21" t="s">
        <v>149</v>
      </c>
      <c r="D21" t="s">
        <v>69</v>
      </c>
      <c r="E21">
        <v>10</v>
      </c>
      <c r="F21">
        <v>8.8000000000000007</v>
      </c>
      <c r="G21">
        <v>0.88</v>
      </c>
      <c r="H21">
        <v>18</v>
      </c>
      <c r="I21">
        <v>3000</v>
      </c>
      <c r="J21">
        <v>1000</v>
      </c>
      <c r="K21" t="s">
        <v>150</v>
      </c>
      <c r="L21" t="s">
        <v>100</v>
      </c>
      <c r="M21" t="s">
        <v>43</v>
      </c>
      <c r="N21" t="b">
        <v>0</v>
      </c>
      <c r="O21" t="s">
        <v>151</v>
      </c>
    </row>
    <row r="22" spans="1:15" ht="15" customHeight="1">
      <c r="A22" t="s">
        <v>152</v>
      </c>
      <c r="B22" t="s">
        <v>153</v>
      </c>
      <c r="C22" t="s">
        <v>149</v>
      </c>
      <c r="D22" t="s">
        <v>69</v>
      </c>
      <c r="E22">
        <v>9</v>
      </c>
      <c r="F22">
        <v>7.1</v>
      </c>
      <c r="G22">
        <v>0.79</v>
      </c>
      <c r="H22">
        <v>36</v>
      </c>
      <c r="I22">
        <v>3000</v>
      </c>
      <c r="J22">
        <v>1000</v>
      </c>
      <c r="K22" t="s">
        <v>154</v>
      </c>
      <c r="L22" t="s">
        <v>71</v>
      </c>
      <c r="M22" t="s">
        <v>48</v>
      </c>
      <c r="N22" t="b">
        <v>0</v>
      </c>
      <c r="O22" t="s">
        <v>155</v>
      </c>
    </row>
    <row r="23" spans="1:15" ht="15" customHeight="1">
      <c r="A23" t="s">
        <v>156</v>
      </c>
      <c r="B23" t="s">
        <v>157</v>
      </c>
      <c r="C23" t="s">
        <v>129</v>
      </c>
      <c r="D23" t="s">
        <v>130</v>
      </c>
      <c r="E23">
        <v>17</v>
      </c>
      <c r="F23">
        <v>8.9</v>
      </c>
      <c r="G23">
        <v>0.52</v>
      </c>
      <c r="H23">
        <v>10</v>
      </c>
      <c r="I23">
        <v>5000</v>
      </c>
      <c r="J23">
        <v>1000</v>
      </c>
      <c r="K23" t="s">
        <v>158</v>
      </c>
      <c r="L23" t="s">
        <v>77</v>
      </c>
      <c r="M23" t="s">
        <v>47</v>
      </c>
      <c r="N23" t="b">
        <v>0</v>
      </c>
      <c r="O23" t="s">
        <v>159</v>
      </c>
    </row>
    <row r="24" spans="1:15" ht="15" customHeight="1">
      <c r="A24" t="s">
        <v>160</v>
      </c>
      <c r="B24" t="s">
        <v>161</v>
      </c>
      <c r="C24" t="s">
        <v>68</v>
      </c>
      <c r="D24" t="s">
        <v>69</v>
      </c>
      <c r="E24">
        <v>13</v>
      </c>
      <c r="F24">
        <v>2.2000000000000002</v>
      </c>
      <c r="G24">
        <v>0.17</v>
      </c>
      <c r="H24">
        <v>2</v>
      </c>
      <c r="I24">
        <v>30000</v>
      </c>
      <c r="J24">
        <v>5000</v>
      </c>
      <c r="K24" t="s">
        <v>162</v>
      </c>
      <c r="L24" t="s">
        <v>71</v>
      </c>
      <c r="M24" t="s">
        <v>45</v>
      </c>
      <c r="N24" t="b">
        <v>0</v>
      </c>
      <c r="O24" t="s">
        <v>163</v>
      </c>
    </row>
    <row r="25" spans="1:15" ht="15" customHeight="1">
      <c r="A25" t="s">
        <v>164</v>
      </c>
      <c r="B25" t="s">
        <v>165</v>
      </c>
      <c r="C25" t="s">
        <v>129</v>
      </c>
      <c r="D25" t="s">
        <v>130</v>
      </c>
      <c r="E25">
        <v>15</v>
      </c>
      <c r="F25">
        <v>6.8</v>
      </c>
      <c r="G25">
        <v>0.45</v>
      </c>
      <c r="H25">
        <v>18</v>
      </c>
      <c r="I25">
        <v>5000</v>
      </c>
      <c r="J25">
        <v>1000</v>
      </c>
      <c r="K25" t="s">
        <v>108</v>
      </c>
      <c r="L25" t="s">
        <v>71</v>
      </c>
      <c r="M25" t="s">
        <v>51</v>
      </c>
      <c r="N25" t="b">
        <v>0</v>
      </c>
      <c r="O25" t="s">
        <v>166</v>
      </c>
    </row>
    <row r="26" spans="1:15" ht="15" customHeight="1">
      <c r="A26" t="s">
        <v>167</v>
      </c>
      <c r="B26" t="s">
        <v>168</v>
      </c>
      <c r="C26" t="s">
        <v>129</v>
      </c>
      <c r="D26" t="s">
        <v>130</v>
      </c>
      <c r="E26">
        <v>20</v>
      </c>
      <c r="F26">
        <v>18.5</v>
      </c>
      <c r="G26">
        <v>0.93</v>
      </c>
      <c r="H26">
        <v>20</v>
      </c>
      <c r="I26">
        <v>5000</v>
      </c>
      <c r="J26">
        <v>1000</v>
      </c>
      <c r="K26" t="s">
        <v>103</v>
      </c>
      <c r="L26" t="s">
        <v>104</v>
      </c>
      <c r="M26" t="s">
        <v>49</v>
      </c>
      <c r="N26" t="b">
        <v>0</v>
      </c>
      <c r="O26" t="s">
        <v>169</v>
      </c>
    </row>
    <row r="27" spans="1:15" ht="15" customHeight="1">
      <c r="A27" t="s">
        <v>170</v>
      </c>
      <c r="B27" t="s">
        <v>171</v>
      </c>
      <c r="C27" t="s">
        <v>129</v>
      </c>
      <c r="D27" t="s">
        <v>130</v>
      </c>
      <c r="E27">
        <v>12</v>
      </c>
      <c r="F27">
        <v>4</v>
      </c>
      <c r="G27">
        <v>0.33</v>
      </c>
      <c r="H27">
        <v>27</v>
      </c>
      <c r="I27">
        <v>5000</v>
      </c>
      <c r="J27">
        <v>1000</v>
      </c>
      <c r="K27" t="s">
        <v>172</v>
      </c>
      <c r="L27" t="s">
        <v>96</v>
      </c>
      <c r="M27" t="s">
        <v>44</v>
      </c>
      <c r="N27" t="b">
        <v>0</v>
      </c>
      <c r="O27" t="s">
        <v>173</v>
      </c>
    </row>
    <row r="28" spans="1:15" ht="15" customHeight="1">
      <c r="A28" t="s">
        <v>174</v>
      </c>
      <c r="B28" t="s">
        <v>175</v>
      </c>
      <c r="C28" t="s">
        <v>149</v>
      </c>
      <c r="D28" t="s">
        <v>69</v>
      </c>
      <c r="E28">
        <v>9</v>
      </c>
      <c r="F28">
        <v>8.5</v>
      </c>
      <c r="G28">
        <v>0.94</v>
      </c>
      <c r="H28">
        <v>28</v>
      </c>
      <c r="I28">
        <v>3000</v>
      </c>
      <c r="J28">
        <v>1000</v>
      </c>
      <c r="K28" t="s">
        <v>176</v>
      </c>
      <c r="L28" t="s">
        <v>77</v>
      </c>
      <c r="M28" t="s">
        <v>47</v>
      </c>
      <c r="N28" t="b">
        <v>0</v>
      </c>
      <c r="O28" t="s">
        <v>177</v>
      </c>
    </row>
    <row r="29" spans="1:15" ht="15" customHeight="1">
      <c r="A29" t="s">
        <v>178</v>
      </c>
      <c r="B29" t="s">
        <v>179</v>
      </c>
      <c r="C29" t="s">
        <v>129</v>
      </c>
      <c r="D29" t="s">
        <v>130</v>
      </c>
      <c r="E29">
        <v>8</v>
      </c>
      <c r="F29">
        <v>3.4</v>
      </c>
      <c r="G29">
        <v>0.42</v>
      </c>
      <c r="H29">
        <v>12</v>
      </c>
      <c r="I29">
        <v>5000</v>
      </c>
      <c r="J29">
        <v>1000</v>
      </c>
      <c r="K29" t="s">
        <v>162</v>
      </c>
      <c r="L29" t="s">
        <v>91</v>
      </c>
      <c r="M29" t="s">
        <v>47</v>
      </c>
      <c r="N29" t="b">
        <v>1</v>
      </c>
      <c r="O29" t="s">
        <v>180</v>
      </c>
    </row>
    <row r="30" spans="1:15" ht="15" customHeight="1">
      <c r="A30" t="s">
        <v>181</v>
      </c>
      <c r="B30" t="s">
        <v>182</v>
      </c>
      <c r="C30" t="s">
        <v>149</v>
      </c>
      <c r="D30" t="s">
        <v>69</v>
      </c>
      <c r="E30">
        <v>10</v>
      </c>
      <c r="F30">
        <v>8.4</v>
      </c>
      <c r="G30">
        <v>0.84</v>
      </c>
      <c r="H30">
        <v>20</v>
      </c>
      <c r="I30">
        <v>3000</v>
      </c>
      <c r="J30">
        <v>1000</v>
      </c>
      <c r="K30" t="s">
        <v>162</v>
      </c>
      <c r="L30" t="s">
        <v>71</v>
      </c>
      <c r="M30" t="s">
        <v>42</v>
      </c>
      <c r="N30" t="b">
        <v>0</v>
      </c>
      <c r="O30" t="s">
        <v>180</v>
      </c>
    </row>
    <row r="31" spans="1:15" ht="15" customHeight="1">
      <c r="A31" t="s">
        <v>183</v>
      </c>
      <c r="B31" t="s">
        <v>184</v>
      </c>
      <c r="C31" t="s">
        <v>81</v>
      </c>
      <c r="D31" t="s">
        <v>69</v>
      </c>
      <c r="E31">
        <v>20</v>
      </c>
      <c r="F31">
        <v>10.7</v>
      </c>
      <c r="G31">
        <v>0.53</v>
      </c>
      <c r="H31">
        <v>30</v>
      </c>
      <c r="I31">
        <v>10000</v>
      </c>
      <c r="J31">
        <v>3000</v>
      </c>
      <c r="K31" t="s">
        <v>185</v>
      </c>
      <c r="L31" t="s">
        <v>100</v>
      </c>
      <c r="M31" t="s">
        <v>51</v>
      </c>
      <c r="N31" t="b">
        <v>0</v>
      </c>
      <c r="O31" t="s">
        <v>186</v>
      </c>
    </row>
    <row r="32" spans="1:15" ht="15" customHeight="1">
      <c r="A32" t="s">
        <v>187</v>
      </c>
      <c r="B32" t="s">
        <v>188</v>
      </c>
      <c r="C32" t="s">
        <v>68</v>
      </c>
      <c r="D32" t="s">
        <v>69</v>
      </c>
      <c r="E32">
        <v>14</v>
      </c>
      <c r="F32">
        <v>3.2</v>
      </c>
      <c r="G32">
        <v>0.23</v>
      </c>
      <c r="H32">
        <v>3</v>
      </c>
      <c r="I32">
        <v>30000</v>
      </c>
      <c r="J32">
        <v>5000</v>
      </c>
      <c r="K32" t="s">
        <v>108</v>
      </c>
      <c r="L32" t="s">
        <v>100</v>
      </c>
      <c r="M32" t="s">
        <v>40</v>
      </c>
      <c r="N32" t="b">
        <v>0</v>
      </c>
      <c r="O32" t="s">
        <v>109</v>
      </c>
    </row>
    <row r="33" spans="1:15" ht="15" customHeight="1">
      <c r="A33" t="s">
        <v>189</v>
      </c>
      <c r="B33" t="s">
        <v>190</v>
      </c>
      <c r="C33" t="s">
        <v>129</v>
      </c>
      <c r="D33" t="s">
        <v>130</v>
      </c>
      <c r="E33">
        <v>20</v>
      </c>
      <c r="F33">
        <v>18.5</v>
      </c>
      <c r="G33">
        <v>0.93</v>
      </c>
      <c r="H33">
        <v>29</v>
      </c>
      <c r="I33">
        <v>5000</v>
      </c>
      <c r="J33">
        <v>1000</v>
      </c>
      <c r="K33" t="s">
        <v>113</v>
      </c>
      <c r="L33" t="s">
        <v>104</v>
      </c>
      <c r="M33" t="s">
        <v>51</v>
      </c>
      <c r="N33" t="b">
        <v>0</v>
      </c>
      <c r="O33" t="s">
        <v>146</v>
      </c>
    </row>
    <row r="34" spans="1:15" ht="15" customHeight="1">
      <c r="A34" t="s">
        <v>191</v>
      </c>
      <c r="B34" t="s">
        <v>192</v>
      </c>
      <c r="C34" t="s">
        <v>81</v>
      </c>
      <c r="D34" t="s">
        <v>69</v>
      </c>
      <c r="E34">
        <v>20</v>
      </c>
      <c r="F34">
        <v>4.2</v>
      </c>
      <c r="G34">
        <v>0.21</v>
      </c>
      <c r="H34">
        <v>7</v>
      </c>
      <c r="I34">
        <v>10000</v>
      </c>
      <c r="J34">
        <v>3000</v>
      </c>
      <c r="K34" t="s">
        <v>82</v>
      </c>
      <c r="L34" t="s">
        <v>71</v>
      </c>
      <c r="M34" t="s">
        <v>49</v>
      </c>
      <c r="N34" t="b">
        <v>0</v>
      </c>
      <c r="O34" t="s">
        <v>83</v>
      </c>
    </row>
    <row r="35" spans="1:15" ht="15" customHeight="1">
      <c r="A35" t="s">
        <v>193</v>
      </c>
      <c r="B35" t="s">
        <v>194</v>
      </c>
      <c r="C35" t="s">
        <v>129</v>
      </c>
      <c r="D35" t="s">
        <v>130</v>
      </c>
      <c r="E35">
        <v>9</v>
      </c>
      <c r="F35">
        <v>4.3</v>
      </c>
      <c r="G35">
        <v>0.48</v>
      </c>
      <c r="H35">
        <v>30</v>
      </c>
      <c r="I35">
        <v>5000</v>
      </c>
      <c r="J35">
        <v>1000</v>
      </c>
      <c r="K35" t="s">
        <v>112</v>
      </c>
      <c r="L35" t="s">
        <v>117</v>
      </c>
      <c r="M35" t="s">
        <v>50</v>
      </c>
      <c r="N35" t="b">
        <v>1</v>
      </c>
      <c r="O35" t="s">
        <v>195</v>
      </c>
    </row>
    <row r="36" spans="1:15" ht="15" customHeight="1">
      <c r="A36" t="s">
        <v>196</v>
      </c>
      <c r="B36" t="s">
        <v>197</v>
      </c>
      <c r="C36" t="s">
        <v>81</v>
      </c>
      <c r="D36" t="s">
        <v>69</v>
      </c>
      <c r="E36">
        <v>14</v>
      </c>
      <c r="F36">
        <v>13.3</v>
      </c>
      <c r="G36">
        <v>0.95</v>
      </c>
      <c r="H36">
        <v>6</v>
      </c>
      <c r="I36">
        <v>10000</v>
      </c>
      <c r="J36">
        <v>3000</v>
      </c>
      <c r="K36" t="s">
        <v>162</v>
      </c>
      <c r="L36" t="s">
        <v>100</v>
      </c>
      <c r="M36" t="s">
        <v>47</v>
      </c>
      <c r="N36" t="b">
        <v>0</v>
      </c>
      <c r="O36" t="s">
        <v>198</v>
      </c>
    </row>
    <row r="37" spans="1:15" ht="15" customHeight="1">
      <c r="A37" t="s">
        <v>199</v>
      </c>
      <c r="B37" t="s">
        <v>200</v>
      </c>
      <c r="C37" t="s">
        <v>68</v>
      </c>
      <c r="D37" t="s">
        <v>69</v>
      </c>
      <c r="E37">
        <v>14</v>
      </c>
      <c r="F37">
        <v>2.6</v>
      </c>
      <c r="G37">
        <v>0.19</v>
      </c>
      <c r="H37">
        <v>3</v>
      </c>
      <c r="I37">
        <v>30000</v>
      </c>
      <c r="J37">
        <v>5000</v>
      </c>
      <c r="K37" t="s">
        <v>108</v>
      </c>
      <c r="L37" t="s">
        <v>100</v>
      </c>
      <c r="M37" t="s">
        <v>44</v>
      </c>
      <c r="N37" t="b">
        <v>0</v>
      </c>
      <c r="O37" t="s">
        <v>109</v>
      </c>
    </row>
    <row r="38" spans="1:15" ht="15" customHeight="1">
      <c r="A38" t="s">
        <v>201</v>
      </c>
      <c r="B38" t="s">
        <v>202</v>
      </c>
      <c r="C38" t="s">
        <v>81</v>
      </c>
      <c r="D38" t="s">
        <v>69</v>
      </c>
      <c r="E38">
        <v>14</v>
      </c>
      <c r="F38">
        <v>10.5</v>
      </c>
      <c r="G38">
        <v>0.75</v>
      </c>
      <c r="H38">
        <v>13</v>
      </c>
      <c r="I38">
        <v>10000</v>
      </c>
      <c r="J38">
        <v>3000</v>
      </c>
      <c r="K38" t="s">
        <v>203</v>
      </c>
      <c r="L38" t="s">
        <v>77</v>
      </c>
      <c r="M38" t="s">
        <v>50</v>
      </c>
      <c r="N38" t="b">
        <v>0</v>
      </c>
      <c r="O38" t="s">
        <v>204</v>
      </c>
    </row>
    <row r="39" spans="1:15" ht="15" customHeight="1">
      <c r="A39" t="s">
        <v>205</v>
      </c>
      <c r="B39" t="s">
        <v>206</v>
      </c>
      <c r="C39" t="s">
        <v>75</v>
      </c>
      <c r="D39" t="s">
        <v>69</v>
      </c>
      <c r="E39">
        <v>10</v>
      </c>
      <c r="F39">
        <v>8</v>
      </c>
      <c r="G39">
        <v>0.8</v>
      </c>
      <c r="H39">
        <v>23</v>
      </c>
      <c r="I39">
        <v>2000</v>
      </c>
      <c r="J39">
        <v>1500</v>
      </c>
      <c r="K39" t="s">
        <v>207</v>
      </c>
      <c r="L39" t="s">
        <v>100</v>
      </c>
      <c r="M39" t="s">
        <v>48</v>
      </c>
      <c r="N39" t="b">
        <v>0</v>
      </c>
      <c r="O39" t="s">
        <v>208</v>
      </c>
    </row>
    <row r="40" spans="1:15" ht="15" customHeight="1">
      <c r="A40" t="s">
        <v>209</v>
      </c>
      <c r="B40" t="s">
        <v>210</v>
      </c>
      <c r="C40" t="s">
        <v>75</v>
      </c>
      <c r="D40" t="s">
        <v>69</v>
      </c>
      <c r="E40">
        <v>13</v>
      </c>
      <c r="F40">
        <v>11.2</v>
      </c>
      <c r="G40">
        <v>0.86</v>
      </c>
      <c r="H40">
        <v>13</v>
      </c>
      <c r="I40">
        <v>2000</v>
      </c>
      <c r="J40">
        <v>1500</v>
      </c>
      <c r="K40" t="s">
        <v>211</v>
      </c>
      <c r="L40" t="s">
        <v>104</v>
      </c>
      <c r="M40" t="s">
        <v>49</v>
      </c>
      <c r="N40" t="b">
        <v>0</v>
      </c>
      <c r="O40" t="s">
        <v>212</v>
      </c>
    </row>
    <row r="41" spans="1:15" ht="15" customHeight="1">
      <c r="A41" t="s">
        <v>213</v>
      </c>
      <c r="B41" t="s">
        <v>214</v>
      </c>
      <c r="C41" t="s">
        <v>68</v>
      </c>
      <c r="D41" t="s">
        <v>69</v>
      </c>
      <c r="E41">
        <v>13</v>
      </c>
      <c r="F41">
        <v>2.9</v>
      </c>
      <c r="G41">
        <v>0.22</v>
      </c>
      <c r="H41">
        <v>4</v>
      </c>
      <c r="I41">
        <v>30000</v>
      </c>
      <c r="J41">
        <v>5000</v>
      </c>
      <c r="K41" t="s">
        <v>95</v>
      </c>
      <c r="L41" t="s">
        <v>71</v>
      </c>
      <c r="M41" t="s">
        <v>47</v>
      </c>
      <c r="N41" t="b">
        <v>0</v>
      </c>
      <c r="O41" t="s">
        <v>97</v>
      </c>
    </row>
    <row r="42" spans="1:15" ht="15" customHeight="1">
      <c r="A42" t="s">
        <v>215</v>
      </c>
      <c r="B42" t="s">
        <v>216</v>
      </c>
      <c r="C42" t="s">
        <v>149</v>
      </c>
      <c r="D42" t="s">
        <v>69</v>
      </c>
      <c r="E42">
        <v>9</v>
      </c>
      <c r="F42">
        <v>6.9</v>
      </c>
      <c r="G42">
        <v>0.77</v>
      </c>
      <c r="H42">
        <v>40</v>
      </c>
      <c r="I42">
        <v>3000</v>
      </c>
      <c r="J42">
        <v>1000</v>
      </c>
      <c r="K42" t="s">
        <v>95</v>
      </c>
      <c r="L42" t="s">
        <v>117</v>
      </c>
      <c r="M42" t="s">
        <v>48</v>
      </c>
      <c r="N42" t="b">
        <v>1</v>
      </c>
      <c r="O42" t="s">
        <v>217</v>
      </c>
    </row>
    <row r="43" spans="1:15" ht="15" customHeight="1">
      <c r="A43" t="s">
        <v>218</v>
      </c>
      <c r="B43" t="s">
        <v>219</v>
      </c>
      <c r="C43" t="s">
        <v>129</v>
      </c>
      <c r="D43" t="s">
        <v>130</v>
      </c>
      <c r="E43">
        <v>14</v>
      </c>
      <c r="F43">
        <v>13.3</v>
      </c>
      <c r="G43">
        <v>0.95</v>
      </c>
      <c r="H43">
        <v>23</v>
      </c>
      <c r="I43">
        <v>5000</v>
      </c>
      <c r="J43">
        <v>1000</v>
      </c>
      <c r="K43" t="s">
        <v>97</v>
      </c>
      <c r="L43" t="s">
        <v>77</v>
      </c>
      <c r="M43" t="s">
        <v>45</v>
      </c>
      <c r="N43" t="b">
        <v>0</v>
      </c>
      <c r="O43" t="s">
        <v>220</v>
      </c>
    </row>
    <row r="44" spans="1:15" ht="15" customHeight="1">
      <c r="A44" t="s">
        <v>221</v>
      </c>
      <c r="B44" t="s">
        <v>222</v>
      </c>
      <c r="C44" t="s">
        <v>129</v>
      </c>
      <c r="D44" t="s">
        <v>130</v>
      </c>
      <c r="E44">
        <v>12</v>
      </c>
      <c r="F44">
        <v>3.6</v>
      </c>
      <c r="G44">
        <v>0.3</v>
      </c>
      <c r="H44">
        <v>30</v>
      </c>
      <c r="I44">
        <v>5000</v>
      </c>
      <c r="J44">
        <v>1000</v>
      </c>
      <c r="K44" t="s">
        <v>112</v>
      </c>
      <c r="L44" t="s">
        <v>71</v>
      </c>
      <c r="M44" t="s">
        <v>49</v>
      </c>
      <c r="N44" t="b">
        <v>0</v>
      </c>
      <c r="O44" t="s">
        <v>195</v>
      </c>
    </row>
    <row r="45" spans="1:15" ht="15" customHeight="1">
      <c r="A45" t="s">
        <v>223</v>
      </c>
      <c r="B45" t="s">
        <v>224</v>
      </c>
      <c r="C45" t="s">
        <v>75</v>
      </c>
      <c r="D45" t="s">
        <v>69</v>
      </c>
      <c r="E45">
        <v>13</v>
      </c>
      <c r="F45">
        <v>6.8</v>
      </c>
      <c r="G45">
        <v>0.52</v>
      </c>
      <c r="H45">
        <v>18</v>
      </c>
      <c r="I45">
        <v>2000</v>
      </c>
      <c r="J45">
        <v>1500</v>
      </c>
      <c r="K45" t="s">
        <v>225</v>
      </c>
      <c r="L45" t="s">
        <v>96</v>
      </c>
      <c r="M45" t="s">
        <v>45</v>
      </c>
      <c r="N45" t="b">
        <v>0</v>
      </c>
      <c r="O45" t="s">
        <v>226</v>
      </c>
    </row>
    <row r="46" spans="1:15" ht="15" customHeight="1">
      <c r="A46" t="s">
        <v>227</v>
      </c>
      <c r="B46" t="s">
        <v>228</v>
      </c>
      <c r="C46" t="s">
        <v>129</v>
      </c>
      <c r="D46" t="s">
        <v>130</v>
      </c>
      <c r="E46">
        <v>8</v>
      </c>
      <c r="F46">
        <v>7.6</v>
      </c>
      <c r="G46">
        <v>0.95</v>
      </c>
      <c r="H46">
        <v>14</v>
      </c>
      <c r="I46">
        <v>5000</v>
      </c>
      <c r="J46">
        <v>1000</v>
      </c>
      <c r="K46" t="s">
        <v>82</v>
      </c>
      <c r="L46" t="s">
        <v>77</v>
      </c>
      <c r="M46" t="s">
        <v>41</v>
      </c>
      <c r="N46" t="b">
        <v>0</v>
      </c>
      <c r="O46" t="s">
        <v>229</v>
      </c>
    </row>
    <row r="47" spans="1:15" ht="15" customHeight="1">
      <c r="A47" t="s">
        <v>230</v>
      </c>
      <c r="B47" t="s">
        <v>231</v>
      </c>
      <c r="C47" t="s">
        <v>81</v>
      </c>
      <c r="D47" t="s">
        <v>69</v>
      </c>
      <c r="E47">
        <v>19</v>
      </c>
      <c r="F47">
        <v>4.8</v>
      </c>
      <c r="G47">
        <v>0.25</v>
      </c>
      <c r="H47">
        <v>7</v>
      </c>
      <c r="I47">
        <v>10000</v>
      </c>
      <c r="J47">
        <v>3000</v>
      </c>
      <c r="K47" t="s">
        <v>82</v>
      </c>
      <c r="L47" t="s">
        <v>91</v>
      </c>
      <c r="M47" t="s">
        <v>40</v>
      </c>
      <c r="N47" t="b">
        <v>1</v>
      </c>
      <c r="O47" t="s">
        <v>83</v>
      </c>
    </row>
    <row r="48" spans="1:15" ht="15" customHeight="1">
      <c r="A48" t="s">
        <v>232</v>
      </c>
      <c r="B48" t="s">
        <v>233</v>
      </c>
      <c r="C48" t="s">
        <v>81</v>
      </c>
      <c r="D48" t="s">
        <v>69</v>
      </c>
      <c r="E48">
        <v>15</v>
      </c>
      <c r="F48">
        <v>11.8</v>
      </c>
      <c r="G48">
        <v>0.79</v>
      </c>
      <c r="H48">
        <v>15</v>
      </c>
      <c r="I48">
        <v>10000</v>
      </c>
      <c r="J48">
        <v>3000</v>
      </c>
      <c r="K48" t="s">
        <v>112</v>
      </c>
      <c r="L48" t="s">
        <v>91</v>
      </c>
      <c r="M48" t="s">
        <v>45</v>
      </c>
      <c r="N48" t="b">
        <v>1</v>
      </c>
      <c r="O48" t="s">
        <v>234</v>
      </c>
    </row>
    <row r="49" spans="1:15" ht="15" customHeight="1">
      <c r="A49" t="s">
        <v>235</v>
      </c>
      <c r="B49" t="s">
        <v>236</v>
      </c>
      <c r="C49" t="s">
        <v>75</v>
      </c>
      <c r="D49" t="s">
        <v>69</v>
      </c>
      <c r="E49">
        <v>18</v>
      </c>
      <c r="F49">
        <v>4.2</v>
      </c>
      <c r="G49">
        <v>0.23</v>
      </c>
      <c r="H49">
        <v>23</v>
      </c>
      <c r="I49">
        <v>2000</v>
      </c>
      <c r="J49">
        <v>1500</v>
      </c>
      <c r="K49" t="s">
        <v>207</v>
      </c>
      <c r="L49" t="s">
        <v>91</v>
      </c>
      <c r="M49" t="s">
        <v>45</v>
      </c>
      <c r="N49" t="b">
        <v>1</v>
      </c>
      <c r="O49" t="s">
        <v>208</v>
      </c>
    </row>
    <row r="50" spans="1:15" ht="15" customHeight="1">
      <c r="A50" t="s">
        <v>237</v>
      </c>
      <c r="B50" t="s">
        <v>238</v>
      </c>
      <c r="C50" t="s">
        <v>68</v>
      </c>
      <c r="D50" t="s">
        <v>69</v>
      </c>
      <c r="E50">
        <v>10</v>
      </c>
      <c r="F50">
        <v>2.9</v>
      </c>
      <c r="G50">
        <v>0.28999999999999998</v>
      </c>
      <c r="H50">
        <v>4</v>
      </c>
      <c r="I50">
        <v>30000</v>
      </c>
      <c r="J50">
        <v>5000</v>
      </c>
      <c r="K50" t="s">
        <v>95</v>
      </c>
      <c r="L50" t="s">
        <v>77</v>
      </c>
      <c r="M50" t="s">
        <v>49</v>
      </c>
      <c r="N50" t="b">
        <v>0</v>
      </c>
      <c r="O50" t="s">
        <v>97</v>
      </c>
    </row>
    <row r="51" spans="1:15" ht="15" customHeight="1">
      <c r="A51" t="s">
        <v>239</v>
      </c>
      <c r="B51" t="s">
        <v>240</v>
      </c>
      <c r="C51" t="s">
        <v>75</v>
      </c>
      <c r="D51" t="s">
        <v>69</v>
      </c>
      <c r="E51">
        <v>18</v>
      </c>
      <c r="F51">
        <v>4.2</v>
      </c>
      <c r="G51">
        <v>0.23</v>
      </c>
      <c r="H51">
        <v>7</v>
      </c>
      <c r="I51">
        <v>2000</v>
      </c>
      <c r="J51">
        <v>1500</v>
      </c>
      <c r="K51" t="s">
        <v>241</v>
      </c>
      <c r="L51" t="s">
        <v>71</v>
      </c>
      <c r="M51" t="s">
        <v>51</v>
      </c>
      <c r="N51" t="b">
        <v>0</v>
      </c>
      <c r="O51" t="s">
        <v>242</v>
      </c>
    </row>
    <row r="52" spans="1:15" ht="15" customHeight="1">
      <c r="A52" t="s">
        <v>243</v>
      </c>
      <c r="B52" t="s">
        <v>244</v>
      </c>
      <c r="C52" t="s">
        <v>129</v>
      </c>
      <c r="D52" t="s">
        <v>130</v>
      </c>
      <c r="E52">
        <v>16</v>
      </c>
      <c r="F52">
        <v>13.7</v>
      </c>
      <c r="G52">
        <v>0.86</v>
      </c>
      <c r="H52">
        <v>25</v>
      </c>
      <c r="I52">
        <v>5000</v>
      </c>
      <c r="J52">
        <v>1000</v>
      </c>
      <c r="K52" t="s">
        <v>245</v>
      </c>
      <c r="L52" t="s">
        <v>117</v>
      </c>
      <c r="M52" t="s">
        <v>40</v>
      </c>
      <c r="N52" t="b">
        <v>1</v>
      </c>
      <c r="O52" t="s">
        <v>246</v>
      </c>
    </row>
    <row r="53" spans="1:15" ht="15" customHeight="1">
      <c r="A53" t="s">
        <v>247</v>
      </c>
      <c r="B53" t="s">
        <v>248</v>
      </c>
      <c r="C53" t="s">
        <v>149</v>
      </c>
      <c r="D53" t="s">
        <v>69</v>
      </c>
      <c r="E53">
        <v>10</v>
      </c>
      <c r="F53">
        <v>8.3000000000000007</v>
      </c>
      <c r="G53">
        <v>0.83</v>
      </c>
      <c r="H53">
        <v>23</v>
      </c>
      <c r="I53">
        <v>3000</v>
      </c>
      <c r="J53">
        <v>1000</v>
      </c>
      <c r="K53" t="s">
        <v>229</v>
      </c>
      <c r="L53" t="s">
        <v>100</v>
      </c>
      <c r="M53" t="s">
        <v>45</v>
      </c>
      <c r="N53" t="b">
        <v>0</v>
      </c>
      <c r="O53" t="s">
        <v>249</v>
      </c>
    </row>
    <row r="54" spans="1:15" ht="15" customHeight="1">
      <c r="A54" t="s">
        <v>156</v>
      </c>
      <c r="B54" t="s">
        <v>250</v>
      </c>
      <c r="C54" t="s">
        <v>68</v>
      </c>
      <c r="D54" t="s">
        <v>69</v>
      </c>
      <c r="E54">
        <v>9</v>
      </c>
      <c r="F54">
        <v>2.7</v>
      </c>
      <c r="G54">
        <v>0.3</v>
      </c>
      <c r="H54">
        <v>3</v>
      </c>
      <c r="I54">
        <v>30000</v>
      </c>
      <c r="J54">
        <v>5000</v>
      </c>
      <c r="K54" t="s">
        <v>108</v>
      </c>
      <c r="L54" t="s">
        <v>77</v>
      </c>
      <c r="M54" t="s">
        <v>47</v>
      </c>
      <c r="N54" t="b">
        <v>0</v>
      </c>
      <c r="O54" t="s">
        <v>109</v>
      </c>
    </row>
    <row r="55" spans="1:15" ht="15" customHeight="1">
      <c r="A55" t="s">
        <v>93</v>
      </c>
      <c r="B55" t="s">
        <v>251</v>
      </c>
      <c r="C55" t="s">
        <v>129</v>
      </c>
      <c r="D55" t="s">
        <v>130</v>
      </c>
      <c r="E55">
        <v>11</v>
      </c>
      <c r="F55">
        <v>9.9</v>
      </c>
      <c r="G55">
        <v>0.9</v>
      </c>
      <c r="H55">
        <v>12</v>
      </c>
      <c r="I55">
        <v>5000</v>
      </c>
      <c r="J55">
        <v>1000</v>
      </c>
      <c r="K55" t="s">
        <v>162</v>
      </c>
      <c r="L55" t="s">
        <v>96</v>
      </c>
      <c r="M55" t="s">
        <v>40</v>
      </c>
      <c r="N55" t="b">
        <v>0</v>
      </c>
      <c r="O55" t="s">
        <v>180</v>
      </c>
    </row>
    <row r="56" spans="1:15" ht="15" customHeight="1">
      <c r="A56" t="s">
        <v>178</v>
      </c>
      <c r="B56" t="s">
        <v>252</v>
      </c>
      <c r="C56" t="s">
        <v>81</v>
      </c>
      <c r="D56" t="s">
        <v>69</v>
      </c>
      <c r="E56">
        <v>9</v>
      </c>
      <c r="F56">
        <v>8.9</v>
      </c>
      <c r="G56">
        <v>0.99</v>
      </c>
      <c r="H56">
        <v>7</v>
      </c>
      <c r="I56">
        <v>10000</v>
      </c>
      <c r="J56">
        <v>3000</v>
      </c>
      <c r="K56" t="s">
        <v>82</v>
      </c>
      <c r="L56" t="s">
        <v>91</v>
      </c>
      <c r="M56" t="s">
        <v>47</v>
      </c>
      <c r="N56" t="b">
        <v>1</v>
      </c>
      <c r="O56" t="s">
        <v>83</v>
      </c>
    </row>
    <row r="57" spans="1:15" ht="15" customHeight="1">
      <c r="A57" t="s">
        <v>247</v>
      </c>
      <c r="B57" t="s">
        <v>253</v>
      </c>
      <c r="C57" t="s">
        <v>68</v>
      </c>
      <c r="D57" t="s">
        <v>69</v>
      </c>
      <c r="E57">
        <v>8</v>
      </c>
      <c r="F57">
        <v>0.6</v>
      </c>
      <c r="G57">
        <v>7.0000000000000007E-2</v>
      </c>
      <c r="H57">
        <v>5</v>
      </c>
      <c r="I57">
        <v>30000</v>
      </c>
      <c r="J57">
        <v>5000</v>
      </c>
      <c r="K57" t="s">
        <v>112</v>
      </c>
      <c r="L57" t="s">
        <v>100</v>
      </c>
      <c r="M57" t="s">
        <v>45</v>
      </c>
      <c r="N57" t="b">
        <v>0</v>
      </c>
      <c r="O57" t="s">
        <v>113</v>
      </c>
    </row>
    <row r="58" spans="1:15" ht="15" customHeight="1">
      <c r="A58" t="s">
        <v>199</v>
      </c>
      <c r="B58" t="s">
        <v>254</v>
      </c>
      <c r="C58" t="s">
        <v>68</v>
      </c>
      <c r="D58" t="s">
        <v>69</v>
      </c>
      <c r="E58">
        <v>13</v>
      </c>
      <c r="F58">
        <v>3.6</v>
      </c>
      <c r="G58">
        <v>0.28000000000000003</v>
      </c>
      <c r="H58">
        <v>5</v>
      </c>
      <c r="I58">
        <v>30000</v>
      </c>
      <c r="J58">
        <v>5000</v>
      </c>
      <c r="K58" t="s">
        <v>112</v>
      </c>
      <c r="L58" t="s">
        <v>100</v>
      </c>
      <c r="M58" t="s">
        <v>44</v>
      </c>
      <c r="N58" t="b">
        <v>0</v>
      </c>
      <c r="O58" t="s">
        <v>113</v>
      </c>
    </row>
    <row r="59" spans="1:15" ht="15" customHeight="1">
      <c r="A59" t="s">
        <v>255</v>
      </c>
      <c r="B59" t="s">
        <v>256</v>
      </c>
      <c r="C59" t="s">
        <v>149</v>
      </c>
      <c r="D59" t="s">
        <v>69</v>
      </c>
      <c r="E59">
        <v>10</v>
      </c>
      <c r="F59">
        <v>8.9</v>
      </c>
      <c r="G59">
        <v>0.89</v>
      </c>
      <c r="H59">
        <v>39</v>
      </c>
      <c r="I59">
        <v>3000</v>
      </c>
      <c r="J59">
        <v>1000</v>
      </c>
      <c r="K59" t="s">
        <v>257</v>
      </c>
      <c r="L59" t="s">
        <v>96</v>
      </c>
      <c r="M59" t="s">
        <v>47</v>
      </c>
      <c r="N59" t="b">
        <v>0</v>
      </c>
      <c r="O59" t="s">
        <v>258</v>
      </c>
    </row>
    <row r="60" spans="1:15" ht="15" customHeight="1">
      <c r="A60" t="s">
        <v>255</v>
      </c>
      <c r="B60" t="s">
        <v>259</v>
      </c>
      <c r="C60" t="s">
        <v>68</v>
      </c>
      <c r="D60" t="s">
        <v>69</v>
      </c>
      <c r="E60">
        <v>10</v>
      </c>
      <c r="F60">
        <v>0.9</v>
      </c>
      <c r="G60">
        <v>0.09</v>
      </c>
      <c r="H60">
        <v>5</v>
      </c>
      <c r="I60">
        <v>30000</v>
      </c>
      <c r="J60">
        <v>5000</v>
      </c>
      <c r="K60" t="s">
        <v>112</v>
      </c>
      <c r="L60" t="s">
        <v>96</v>
      </c>
      <c r="M60" t="s">
        <v>47</v>
      </c>
      <c r="N60" t="b">
        <v>0</v>
      </c>
      <c r="O60" t="s">
        <v>113</v>
      </c>
    </row>
    <row r="61" spans="1:15" ht="15" customHeight="1">
      <c r="A61" t="s">
        <v>260</v>
      </c>
      <c r="B61" t="s">
        <v>261</v>
      </c>
      <c r="C61" t="s">
        <v>149</v>
      </c>
      <c r="D61" t="s">
        <v>69</v>
      </c>
      <c r="E61">
        <v>9</v>
      </c>
      <c r="F61">
        <v>6.3</v>
      </c>
      <c r="G61">
        <v>0.7</v>
      </c>
      <c r="H61">
        <v>19</v>
      </c>
      <c r="I61">
        <v>3000</v>
      </c>
      <c r="J61">
        <v>1000</v>
      </c>
      <c r="K61" t="s">
        <v>198</v>
      </c>
      <c r="L61" t="s">
        <v>96</v>
      </c>
      <c r="M61" t="s">
        <v>49</v>
      </c>
      <c r="N61" t="b">
        <v>0</v>
      </c>
      <c r="O61" t="s">
        <v>262</v>
      </c>
    </row>
    <row r="62" spans="1:15" ht="15" customHeight="1">
      <c r="A62" t="s">
        <v>263</v>
      </c>
      <c r="B62" t="s">
        <v>264</v>
      </c>
      <c r="C62" t="s">
        <v>75</v>
      </c>
      <c r="D62" t="s">
        <v>69</v>
      </c>
      <c r="E62">
        <v>11</v>
      </c>
      <c r="F62">
        <v>6.9</v>
      </c>
      <c r="G62">
        <v>0.63</v>
      </c>
      <c r="H62">
        <v>12</v>
      </c>
      <c r="I62">
        <v>2000</v>
      </c>
      <c r="J62">
        <v>1500</v>
      </c>
      <c r="K62" t="s">
        <v>265</v>
      </c>
      <c r="L62" t="s">
        <v>96</v>
      </c>
      <c r="M62" t="s">
        <v>44</v>
      </c>
      <c r="N62" t="b">
        <v>0</v>
      </c>
      <c r="O62" t="s">
        <v>266</v>
      </c>
    </row>
    <row r="63" spans="1:15" ht="15" customHeight="1">
      <c r="A63" t="s">
        <v>267</v>
      </c>
      <c r="B63" t="s">
        <v>268</v>
      </c>
      <c r="C63" t="s">
        <v>75</v>
      </c>
      <c r="D63" t="s">
        <v>69</v>
      </c>
      <c r="E63">
        <v>17</v>
      </c>
      <c r="F63">
        <v>10</v>
      </c>
      <c r="G63">
        <v>0.59</v>
      </c>
      <c r="H63">
        <v>6</v>
      </c>
      <c r="I63">
        <v>2000</v>
      </c>
      <c r="J63">
        <v>1500</v>
      </c>
      <c r="K63" t="s">
        <v>269</v>
      </c>
      <c r="L63" t="s">
        <v>104</v>
      </c>
      <c r="M63" t="s">
        <v>48</v>
      </c>
      <c r="N63" t="b">
        <v>0</v>
      </c>
      <c r="O63" t="s">
        <v>270</v>
      </c>
    </row>
    <row r="64" spans="1:15" ht="15" customHeight="1">
      <c r="A64" t="s">
        <v>271</v>
      </c>
      <c r="B64" t="s">
        <v>272</v>
      </c>
      <c r="C64" t="s">
        <v>149</v>
      </c>
      <c r="D64" t="s">
        <v>69</v>
      </c>
      <c r="E64">
        <v>11</v>
      </c>
      <c r="F64">
        <v>10.6</v>
      </c>
      <c r="G64">
        <v>0.96</v>
      </c>
      <c r="H64">
        <v>19</v>
      </c>
      <c r="I64">
        <v>3000</v>
      </c>
      <c r="J64">
        <v>1000</v>
      </c>
      <c r="K64" t="s">
        <v>198</v>
      </c>
      <c r="L64" t="s">
        <v>91</v>
      </c>
      <c r="M64" t="s">
        <v>41</v>
      </c>
      <c r="N64" t="b">
        <v>1</v>
      </c>
      <c r="O64" t="s">
        <v>262</v>
      </c>
    </row>
    <row r="65" spans="1:15" ht="15" customHeight="1">
      <c r="A65" t="s">
        <v>273</v>
      </c>
      <c r="B65" t="s">
        <v>274</v>
      </c>
      <c r="C65" t="s">
        <v>75</v>
      </c>
      <c r="D65" t="s">
        <v>69</v>
      </c>
      <c r="E65">
        <v>11</v>
      </c>
      <c r="F65">
        <v>3.8</v>
      </c>
      <c r="G65">
        <v>0.35</v>
      </c>
      <c r="H65">
        <v>8</v>
      </c>
      <c r="I65">
        <v>2000</v>
      </c>
      <c r="J65">
        <v>1500</v>
      </c>
      <c r="K65" t="s">
        <v>275</v>
      </c>
      <c r="L65" t="s">
        <v>96</v>
      </c>
      <c r="M65" t="s">
        <v>50</v>
      </c>
      <c r="N65" t="b">
        <v>0</v>
      </c>
      <c r="O65" t="s">
        <v>276</v>
      </c>
    </row>
    <row r="66" spans="1:15" ht="15" customHeight="1">
      <c r="A66" t="s">
        <v>277</v>
      </c>
      <c r="B66" t="s">
        <v>278</v>
      </c>
      <c r="C66" t="s">
        <v>81</v>
      </c>
      <c r="D66" t="s">
        <v>69</v>
      </c>
      <c r="E66">
        <v>8</v>
      </c>
      <c r="F66">
        <v>3.3</v>
      </c>
      <c r="G66">
        <v>0.41</v>
      </c>
      <c r="H66">
        <v>21</v>
      </c>
      <c r="I66">
        <v>10000</v>
      </c>
      <c r="J66">
        <v>3000</v>
      </c>
      <c r="K66" t="s">
        <v>279</v>
      </c>
      <c r="L66" t="s">
        <v>104</v>
      </c>
      <c r="M66" t="s">
        <v>43</v>
      </c>
      <c r="N66" t="b">
        <v>0</v>
      </c>
      <c r="O66" t="s">
        <v>280</v>
      </c>
    </row>
    <row r="67" spans="1:15" ht="15" customHeight="1">
      <c r="A67" t="s">
        <v>281</v>
      </c>
      <c r="B67" t="s">
        <v>282</v>
      </c>
      <c r="C67" t="s">
        <v>81</v>
      </c>
      <c r="D67" t="s">
        <v>69</v>
      </c>
      <c r="E67">
        <v>8</v>
      </c>
      <c r="F67">
        <v>3</v>
      </c>
      <c r="G67">
        <v>0.38</v>
      </c>
      <c r="H67">
        <v>16</v>
      </c>
      <c r="I67">
        <v>10000</v>
      </c>
      <c r="J67">
        <v>3000</v>
      </c>
      <c r="K67" t="s">
        <v>283</v>
      </c>
      <c r="L67" t="s">
        <v>77</v>
      </c>
      <c r="M67" t="s">
        <v>51</v>
      </c>
      <c r="N67" t="b">
        <v>0</v>
      </c>
      <c r="O67" t="s">
        <v>284</v>
      </c>
    </row>
    <row r="68" spans="1:15" ht="15" customHeight="1">
      <c r="A68" t="s">
        <v>285</v>
      </c>
      <c r="B68" t="s">
        <v>286</v>
      </c>
      <c r="C68" t="s">
        <v>81</v>
      </c>
      <c r="D68" t="s">
        <v>69</v>
      </c>
      <c r="E68">
        <v>10</v>
      </c>
      <c r="F68">
        <v>6.9</v>
      </c>
      <c r="G68">
        <v>0.69</v>
      </c>
      <c r="H68">
        <v>15</v>
      </c>
      <c r="I68">
        <v>10000</v>
      </c>
      <c r="J68">
        <v>3000</v>
      </c>
      <c r="K68" t="s">
        <v>112</v>
      </c>
      <c r="L68" t="s">
        <v>77</v>
      </c>
      <c r="M68" t="s">
        <v>45</v>
      </c>
      <c r="N68" t="b">
        <v>0</v>
      </c>
      <c r="O68" t="s">
        <v>234</v>
      </c>
    </row>
    <row r="69" spans="1:15" ht="15" customHeight="1">
      <c r="A69" t="s">
        <v>287</v>
      </c>
      <c r="B69" t="s">
        <v>288</v>
      </c>
      <c r="C69" t="s">
        <v>75</v>
      </c>
      <c r="D69" t="s">
        <v>69</v>
      </c>
      <c r="E69">
        <v>16</v>
      </c>
      <c r="F69">
        <v>7.1</v>
      </c>
      <c r="G69">
        <v>0.44</v>
      </c>
      <c r="H69">
        <v>28</v>
      </c>
      <c r="I69">
        <v>2000</v>
      </c>
      <c r="J69">
        <v>1500</v>
      </c>
      <c r="K69" t="s">
        <v>262</v>
      </c>
      <c r="L69" t="s">
        <v>104</v>
      </c>
      <c r="M69" t="s">
        <v>41</v>
      </c>
      <c r="N69" t="b">
        <v>0</v>
      </c>
      <c r="O69" t="s">
        <v>289</v>
      </c>
    </row>
    <row r="70" spans="1:15" ht="15" customHeight="1">
      <c r="A70" t="s">
        <v>290</v>
      </c>
      <c r="B70" t="s">
        <v>291</v>
      </c>
      <c r="C70" t="s">
        <v>129</v>
      </c>
      <c r="D70" t="s">
        <v>130</v>
      </c>
      <c r="E70">
        <v>18</v>
      </c>
      <c r="F70">
        <v>14.7</v>
      </c>
      <c r="G70">
        <v>0.82</v>
      </c>
      <c r="H70">
        <v>20</v>
      </c>
      <c r="I70">
        <v>5000</v>
      </c>
      <c r="J70">
        <v>1000</v>
      </c>
      <c r="K70" t="s">
        <v>103</v>
      </c>
      <c r="L70" t="s">
        <v>104</v>
      </c>
      <c r="M70" t="s">
        <v>46</v>
      </c>
      <c r="N70" t="b">
        <v>0</v>
      </c>
      <c r="O70" t="s">
        <v>169</v>
      </c>
    </row>
    <row r="71" spans="1:15" ht="15" customHeight="1">
      <c r="A71" t="s">
        <v>292</v>
      </c>
      <c r="B71" t="s">
        <v>293</v>
      </c>
      <c r="C71" t="s">
        <v>149</v>
      </c>
      <c r="D71" t="s">
        <v>69</v>
      </c>
      <c r="E71">
        <v>10</v>
      </c>
      <c r="F71">
        <v>7.4</v>
      </c>
      <c r="G71">
        <v>0.74</v>
      </c>
      <c r="H71">
        <v>26</v>
      </c>
      <c r="I71">
        <v>3000</v>
      </c>
      <c r="J71">
        <v>1000</v>
      </c>
      <c r="K71" t="s">
        <v>294</v>
      </c>
      <c r="L71" t="s">
        <v>117</v>
      </c>
      <c r="M71" t="s">
        <v>51</v>
      </c>
      <c r="N71" t="b">
        <v>1</v>
      </c>
      <c r="O71" t="s">
        <v>295</v>
      </c>
    </row>
    <row r="72" spans="1:15" ht="15" customHeight="1">
      <c r="A72" t="s">
        <v>296</v>
      </c>
      <c r="B72" t="s">
        <v>297</v>
      </c>
      <c r="C72" t="s">
        <v>75</v>
      </c>
      <c r="D72" t="s">
        <v>69</v>
      </c>
      <c r="E72">
        <v>9</v>
      </c>
      <c r="F72">
        <v>7.8</v>
      </c>
      <c r="G72">
        <v>0.87</v>
      </c>
      <c r="H72">
        <v>26</v>
      </c>
      <c r="I72">
        <v>2000</v>
      </c>
      <c r="J72">
        <v>1500</v>
      </c>
      <c r="K72" t="s">
        <v>298</v>
      </c>
      <c r="L72" t="s">
        <v>100</v>
      </c>
      <c r="M72" t="s">
        <v>50</v>
      </c>
      <c r="N72" t="b">
        <v>0</v>
      </c>
      <c r="O72" t="s">
        <v>299</v>
      </c>
    </row>
    <row r="73" spans="1:15" ht="15" customHeight="1">
      <c r="A73" t="s">
        <v>232</v>
      </c>
      <c r="B73" t="s">
        <v>300</v>
      </c>
      <c r="C73" t="s">
        <v>129</v>
      </c>
      <c r="D73" t="s">
        <v>130</v>
      </c>
      <c r="E73">
        <v>15</v>
      </c>
      <c r="F73">
        <v>6.4</v>
      </c>
      <c r="G73">
        <v>0.43</v>
      </c>
      <c r="H73">
        <v>10</v>
      </c>
      <c r="I73">
        <v>5000</v>
      </c>
      <c r="J73">
        <v>1000</v>
      </c>
      <c r="K73" t="s">
        <v>158</v>
      </c>
      <c r="L73" t="s">
        <v>91</v>
      </c>
      <c r="M73" t="s">
        <v>45</v>
      </c>
      <c r="N73" t="b">
        <v>1</v>
      </c>
      <c r="O73" t="s">
        <v>159</v>
      </c>
    </row>
    <row r="74" spans="1:15" ht="15" customHeight="1">
      <c r="A74" t="s">
        <v>301</v>
      </c>
      <c r="B74" t="s">
        <v>302</v>
      </c>
      <c r="C74" t="s">
        <v>81</v>
      </c>
      <c r="D74" t="s">
        <v>69</v>
      </c>
      <c r="E74">
        <v>19</v>
      </c>
      <c r="F74">
        <v>10.4</v>
      </c>
      <c r="G74">
        <v>0.55000000000000004</v>
      </c>
      <c r="H74">
        <v>9</v>
      </c>
      <c r="I74">
        <v>10000</v>
      </c>
      <c r="J74">
        <v>3000</v>
      </c>
      <c r="K74" t="s">
        <v>108</v>
      </c>
      <c r="L74" t="s">
        <v>100</v>
      </c>
      <c r="M74" t="s">
        <v>50</v>
      </c>
      <c r="N74" t="b">
        <v>0</v>
      </c>
      <c r="O74" t="s">
        <v>303</v>
      </c>
    </row>
    <row r="75" spans="1:15" ht="15" customHeight="1">
      <c r="A75" t="s">
        <v>304</v>
      </c>
      <c r="B75" t="s">
        <v>305</v>
      </c>
      <c r="C75" t="s">
        <v>81</v>
      </c>
      <c r="D75" t="s">
        <v>69</v>
      </c>
      <c r="E75">
        <v>16</v>
      </c>
      <c r="F75">
        <v>9.4</v>
      </c>
      <c r="G75">
        <v>0.59</v>
      </c>
      <c r="H75">
        <v>24</v>
      </c>
      <c r="I75">
        <v>10000</v>
      </c>
      <c r="J75">
        <v>3000</v>
      </c>
      <c r="K75" t="s">
        <v>306</v>
      </c>
      <c r="L75" t="s">
        <v>104</v>
      </c>
      <c r="M75" t="s">
        <v>45</v>
      </c>
      <c r="N75" t="b">
        <v>0</v>
      </c>
      <c r="O75" t="s">
        <v>307</v>
      </c>
    </row>
    <row r="76" spans="1:15" ht="15" customHeight="1">
      <c r="A76" t="s">
        <v>199</v>
      </c>
      <c r="B76" t="s">
        <v>308</v>
      </c>
      <c r="C76" t="s">
        <v>81</v>
      </c>
      <c r="D76" t="s">
        <v>69</v>
      </c>
      <c r="E76">
        <v>13</v>
      </c>
      <c r="F76">
        <v>9.8000000000000007</v>
      </c>
      <c r="G76">
        <v>0.75</v>
      </c>
      <c r="H76">
        <v>19</v>
      </c>
      <c r="I76">
        <v>10000</v>
      </c>
      <c r="J76">
        <v>3000</v>
      </c>
      <c r="K76" t="s">
        <v>309</v>
      </c>
      <c r="L76" t="s">
        <v>100</v>
      </c>
      <c r="M76" t="s">
        <v>44</v>
      </c>
      <c r="N76" t="b">
        <v>0</v>
      </c>
      <c r="O76" t="s">
        <v>310</v>
      </c>
    </row>
    <row r="77" spans="1:15" ht="15" customHeight="1">
      <c r="A77" t="s">
        <v>311</v>
      </c>
      <c r="B77" t="s">
        <v>312</v>
      </c>
      <c r="C77" t="s">
        <v>129</v>
      </c>
      <c r="D77" t="s">
        <v>130</v>
      </c>
      <c r="E77">
        <v>15</v>
      </c>
      <c r="F77">
        <v>7.3</v>
      </c>
      <c r="G77">
        <v>0.49</v>
      </c>
      <c r="H77">
        <v>13</v>
      </c>
      <c r="I77">
        <v>5000</v>
      </c>
      <c r="J77">
        <v>1000</v>
      </c>
      <c r="K77" t="s">
        <v>313</v>
      </c>
      <c r="L77" t="s">
        <v>91</v>
      </c>
      <c r="M77" t="s">
        <v>41</v>
      </c>
      <c r="N77" t="b">
        <v>1</v>
      </c>
      <c r="O77" t="s">
        <v>314</v>
      </c>
    </row>
    <row r="78" spans="1:15" ht="15" customHeight="1">
      <c r="A78" t="s">
        <v>315</v>
      </c>
      <c r="B78" t="s">
        <v>316</v>
      </c>
      <c r="C78" t="s">
        <v>129</v>
      </c>
      <c r="D78" t="s">
        <v>130</v>
      </c>
      <c r="E78">
        <v>15</v>
      </c>
      <c r="F78">
        <v>10.9</v>
      </c>
      <c r="G78">
        <v>0.73</v>
      </c>
      <c r="H78">
        <v>8</v>
      </c>
      <c r="I78">
        <v>5000</v>
      </c>
      <c r="J78">
        <v>1000</v>
      </c>
      <c r="K78" t="s">
        <v>76</v>
      </c>
      <c r="L78" t="s">
        <v>104</v>
      </c>
      <c r="M78" t="s">
        <v>50</v>
      </c>
      <c r="N78" t="b">
        <v>0</v>
      </c>
      <c r="O78" t="s">
        <v>317</v>
      </c>
    </row>
    <row r="79" spans="1:15" ht="15" customHeight="1">
      <c r="A79" t="s">
        <v>213</v>
      </c>
      <c r="B79" t="s">
        <v>318</v>
      </c>
      <c r="C79" t="s">
        <v>129</v>
      </c>
      <c r="D79" t="s">
        <v>130</v>
      </c>
      <c r="E79">
        <v>9</v>
      </c>
      <c r="F79">
        <v>5</v>
      </c>
      <c r="G79">
        <v>0.56000000000000005</v>
      </c>
      <c r="H79">
        <v>8</v>
      </c>
      <c r="I79">
        <v>5000</v>
      </c>
      <c r="J79">
        <v>1000</v>
      </c>
      <c r="K79" t="s">
        <v>76</v>
      </c>
      <c r="L79" t="s">
        <v>71</v>
      </c>
      <c r="M79" t="s">
        <v>47</v>
      </c>
      <c r="N79" t="b">
        <v>0</v>
      </c>
      <c r="O79" t="s">
        <v>317</v>
      </c>
    </row>
    <row r="80" spans="1:15" ht="15" customHeight="1">
      <c r="A80" t="s">
        <v>319</v>
      </c>
      <c r="B80" t="s">
        <v>320</v>
      </c>
      <c r="C80" t="s">
        <v>149</v>
      </c>
      <c r="D80" t="s">
        <v>69</v>
      </c>
      <c r="E80">
        <v>10</v>
      </c>
      <c r="F80">
        <v>9.6</v>
      </c>
      <c r="G80">
        <v>0.96</v>
      </c>
      <c r="H80">
        <v>35</v>
      </c>
      <c r="I80">
        <v>3000</v>
      </c>
      <c r="J80">
        <v>1000</v>
      </c>
      <c r="K80" t="s">
        <v>131</v>
      </c>
      <c r="L80" t="s">
        <v>96</v>
      </c>
      <c r="M80" t="s">
        <v>51</v>
      </c>
      <c r="N80" t="b">
        <v>0</v>
      </c>
      <c r="O80" t="s">
        <v>132</v>
      </c>
    </row>
    <row r="81" spans="1:15" ht="15" customHeight="1">
      <c r="A81" t="s">
        <v>321</v>
      </c>
      <c r="B81" t="s">
        <v>322</v>
      </c>
      <c r="C81" t="s">
        <v>149</v>
      </c>
      <c r="D81" t="s">
        <v>69</v>
      </c>
      <c r="E81">
        <v>12</v>
      </c>
      <c r="F81">
        <v>11.7</v>
      </c>
      <c r="G81">
        <v>0.97</v>
      </c>
      <c r="H81">
        <v>29</v>
      </c>
      <c r="I81">
        <v>3000</v>
      </c>
      <c r="J81">
        <v>1000</v>
      </c>
      <c r="K81" t="s">
        <v>303</v>
      </c>
      <c r="L81" t="s">
        <v>91</v>
      </c>
      <c r="M81" t="s">
        <v>50</v>
      </c>
      <c r="N81" t="b">
        <v>1</v>
      </c>
      <c r="O81" t="s">
        <v>323</v>
      </c>
    </row>
    <row r="82" spans="1:15" ht="15" customHeight="1">
      <c r="A82" t="s">
        <v>324</v>
      </c>
      <c r="B82" t="s">
        <v>325</v>
      </c>
      <c r="C82" t="s">
        <v>149</v>
      </c>
      <c r="D82" t="s">
        <v>69</v>
      </c>
      <c r="E82">
        <v>10</v>
      </c>
      <c r="F82">
        <v>7.8</v>
      </c>
      <c r="G82">
        <v>0.78</v>
      </c>
      <c r="H82">
        <v>36</v>
      </c>
      <c r="I82">
        <v>3000</v>
      </c>
      <c r="J82">
        <v>1000</v>
      </c>
      <c r="K82" t="s">
        <v>154</v>
      </c>
      <c r="L82" t="s">
        <v>91</v>
      </c>
      <c r="M82" t="s">
        <v>48</v>
      </c>
      <c r="N82" t="b">
        <v>1</v>
      </c>
      <c r="O82" t="s">
        <v>155</v>
      </c>
    </row>
    <row r="83" spans="1:15" ht="15" customHeight="1">
      <c r="A83" t="s">
        <v>235</v>
      </c>
      <c r="B83" t="s">
        <v>326</v>
      </c>
      <c r="C83" t="s">
        <v>81</v>
      </c>
      <c r="D83" t="s">
        <v>69</v>
      </c>
      <c r="E83">
        <v>10</v>
      </c>
      <c r="F83">
        <v>6.9</v>
      </c>
      <c r="G83">
        <v>0.69</v>
      </c>
      <c r="H83">
        <v>19</v>
      </c>
      <c r="I83">
        <v>10000</v>
      </c>
      <c r="J83">
        <v>3000</v>
      </c>
      <c r="K83" t="s">
        <v>309</v>
      </c>
      <c r="L83" t="s">
        <v>91</v>
      </c>
      <c r="M83" t="s">
        <v>45</v>
      </c>
      <c r="N83" t="b">
        <v>1</v>
      </c>
      <c r="O83" t="s">
        <v>310</v>
      </c>
    </row>
    <row r="84" spans="1:15" ht="15" customHeight="1">
      <c r="A84" t="s">
        <v>327</v>
      </c>
      <c r="B84" t="s">
        <v>328</v>
      </c>
      <c r="C84" t="s">
        <v>68</v>
      </c>
      <c r="D84" t="s">
        <v>69</v>
      </c>
      <c r="E84">
        <v>11</v>
      </c>
      <c r="F84">
        <v>3.6</v>
      </c>
      <c r="G84">
        <v>0.33</v>
      </c>
      <c r="H84">
        <v>3</v>
      </c>
      <c r="I84">
        <v>30000</v>
      </c>
      <c r="J84">
        <v>5000</v>
      </c>
      <c r="K84" t="s">
        <v>108</v>
      </c>
      <c r="L84" t="s">
        <v>77</v>
      </c>
      <c r="M84" t="s">
        <v>49</v>
      </c>
      <c r="N84" t="b">
        <v>0</v>
      </c>
      <c r="O84" t="s">
        <v>109</v>
      </c>
    </row>
    <row r="85" spans="1:15" ht="15" customHeight="1">
      <c r="A85" t="s">
        <v>329</v>
      </c>
      <c r="B85" t="s">
        <v>330</v>
      </c>
      <c r="C85" t="s">
        <v>129</v>
      </c>
      <c r="D85" t="s">
        <v>130</v>
      </c>
      <c r="E85">
        <v>18</v>
      </c>
      <c r="F85">
        <v>16.399999999999999</v>
      </c>
      <c r="G85">
        <v>0.91</v>
      </c>
      <c r="H85">
        <v>6</v>
      </c>
      <c r="I85">
        <v>5000</v>
      </c>
      <c r="J85">
        <v>1000</v>
      </c>
      <c r="K85" t="s">
        <v>70</v>
      </c>
      <c r="L85" t="s">
        <v>96</v>
      </c>
      <c r="M85" t="s">
        <v>49</v>
      </c>
      <c r="N85" t="b">
        <v>0</v>
      </c>
      <c r="O85" t="s">
        <v>331</v>
      </c>
    </row>
    <row r="86" spans="1:15" ht="15" customHeight="1">
      <c r="A86" t="s">
        <v>332</v>
      </c>
      <c r="B86" t="s">
        <v>333</v>
      </c>
      <c r="C86" t="s">
        <v>81</v>
      </c>
      <c r="D86" t="s">
        <v>69</v>
      </c>
      <c r="E86">
        <v>14</v>
      </c>
      <c r="F86">
        <v>6.3</v>
      </c>
      <c r="G86">
        <v>0.45</v>
      </c>
      <c r="H86">
        <v>16</v>
      </c>
      <c r="I86">
        <v>10000</v>
      </c>
      <c r="J86">
        <v>3000</v>
      </c>
      <c r="K86" t="s">
        <v>283</v>
      </c>
      <c r="L86" t="s">
        <v>96</v>
      </c>
      <c r="M86" t="s">
        <v>42</v>
      </c>
      <c r="N86" t="b">
        <v>0</v>
      </c>
      <c r="O86" t="s">
        <v>284</v>
      </c>
    </row>
    <row r="87" spans="1:15" ht="15" customHeight="1">
      <c r="A87" t="s">
        <v>334</v>
      </c>
      <c r="B87" t="s">
        <v>335</v>
      </c>
      <c r="C87" t="s">
        <v>129</v>
      </c>
      <c r="D87" t="s">
        <v>130</v>
      </c>
      <c r="E87">
        <v>10</v>
      </c>
      <c r="F87">
        <v>8.1</v>
      </c>
      <c r="G87">
        <v>0.81</v>
      </c>
      <c r="H87">
        <v>19</v>
      </c>
      <c r="I87">
        <v>5000</v>
      </c>
      <c r="J87">
        <v>1000</v>
      </c>
      <c r="K87" t="s">
        <v>336</v>
      </c>
      <c r="L87" t="s">
        <v>77</v>
      </c>
      <c r="M87" t="s">
        <v>43</v>
      </c>
      <c r="N87" t="b">
        <v>0</v>
      </c>
      <c r="O87" t="s">
        <v>337</v>
      </c>
    </row>
    <row r="88" spans="1:15" ht="15" customHeight="1">
      <c r="A88" t="s">
        <v>338</v>
      </c>
      <c r="B88" t="s">
        <v>339</v>
      </c>
      <c r="C88" t="s">
        <v>81</v>
      </c>
      <c r="D88" t="s">
        <v>69</v>
      </c>
      <c r="E88">
        <v>8</v>
      </c>
      <c r="F88">
        <v>4.9000000000000004</v>
      </c>
      <c r="G88">
        <v>0.61</v>
      </c>
      <c r="H88">
        <v>24</v>
      </c>
      <c r="I88">
        <v>10000</v>
      </c>
      <c r="J88">
        <v>3000</v>
      </c>
      <c r="K88" t="s">
        <v>306</v>
      </c>
      <c r="L88" t="s">
        <v>117</v>
      </c>
      <c r="M88" t="s">
        <v>40</v>
      </c>
      <c r="N88" t="b">
        <v>1</v>
      </c>
      <c r="O88" t="s">
        <v>307</v>
      </c>
    </row>
    <row r="89" spans="1:15" ht="15" customHeight="1">
      <c r="A89" t="s">
        <v>340</v>
      </c>
      <c r="B89" t="s">
        <v>341</v>
      </c>
      <c r="C89" t="s">
        <v>129</v>
      </c>
      <c r="D89" t="s">
        <v>130</v>
      </c>
      <c r="E89">
        <v>17</v>
      </c>
      <c r="F89">
        <v>11.6</v>
      </c>
      <c r="G89">
        <v>0.68</v>
      </c>
      <c r="H89">
        <v>22</v>
      </c>
      <c r="I89">
        <v>5000</v>
      </c>
      <c r="J89">
        <v>1000</v>
      </c>
      <c r="K89" t="s">
        <v>134</v>
      </c>
      <c r="L89" t="s">
        <v>117</v>
      </c>
      <c r="M89" t="s">
        <v>45</v>
      </c>
      <c r="N89" t="b">
        <v>1</v>
      </c>
      <c r="O89" t="s">
        <v>135</v>
      </c>
    </row>
    <row r="90" spans="1:15" ht="15" customHeight="1">
      <c r="A90" t="s">
        <v>342</v>
      </c>
      <c r="B90" t="s">
        <v>343</v>
      </c>
      <c r="C90" t="s">
        <v>149</v>
      </c>
      <c r="D90" t="s">
        <v>69</v>
      </c>
      <c r="E90">
        <v>11</v>
      </c>
      <c r="F90">
        <v>10.6</v>
      </c>
      <c r="G90">
        <v>0.96</v>
      </c>
      <c r="H90">
        <v>40</v>
      </c>
      <c r="I90">
        <v>3000</v>
      </c>
      <c r="J90">
        <v>1000</v>
      </c>
      <c r="K90" t="s">
        <v>95</v>
      </c>
      <c r="L90" t="s">
        <v>71</v>
      </c>
      <c r="M90" t="s">
        <v>46</v>
      </c>
      <c r="N90" t="b">
        <v>0</v>
      </c>
      <c r="O90" t="s">
        <v>217</v>
      </c>
    </row>
    <row r="91" spans="1:15" ht="15" customHeight="1">
      <c r="A91" t="s">
        <v>344</v>
      </c>
      <c r="B91" t="s">
        <v>345</v>
      </c>
      <c r="C91" t="s">
        <v>129</v>
      </c>
      <c r="D91" t="s">
        <v>130</v>
      </c>
      <c r="E91">
        <v>11</v>
      </c>
      <c r="F91">
        <v>6.4</v>
      </c>
      <c r="G91">
        <v>0.57999999999999996</v>
      </c>
      <c r="H91">
        <v>24</v>
      </c>
      <c r="I91">
        <v>5000</v>
      </c>
      <c r="J91">
        <v>1000</v>
      </c>
      <c r="K91" t="s">
        <v>95</v>
      </c>
      <c r="L91" t="s">
        <v>100</v>
      </c>
      <c r="M91" t="s">
        <v>50</v>
      </c>
      <c r="N91" t="b">
        <v>0</v>
      </c>
      <c r="O91" t="s">
        <v>217</v>
      </c>
    </row>
    <row r="92" spans="1:15" ht="15" customHeight="1">
      <c r="A92" t="s">
        <v>106</v>
      </c>
      <c r="B92" t="s">
        <v>346</v>
      </c>
      <c r="C92" t="s">
        <v>68</v>
      </c>
      <c r="D92" t="s">
        <v>69</v>
      </c>
      <c r="E92">
        <v>8</v>
      </c>
      <c r="F92">
        <v>3</v>
      </c>
      <c r="G92">
        <v>0.38</v>
      </c>
      <c r="H92">
        <v>2</v>
      </c>
      <c r="I92">
        <v>30000</v>
      </c>
      <c r="J92">
        <v>5000</v>
      </c>
      <c r="K92" t="s">
        <v>162</v>
      </c>
      <c r="L92" t="s">
        <v>71</v>
      </c>
      <c r="M92" t="s">
        <v>49</v>
      </c>
      <c r="N92" t="b">
        <v>0</v>
      </c>
      <c r="O92" t="s">
        <v>163</v>
      </c>
    </row>
    <row r="93" spans="1:15" ht="15" customHeight="1">
      <c r="A93" t="s">
        <v>347</v>
      </c>
      <c r="B93" t="s">
        <v>348</v>
      </c>
      <c r="C93" t="s">
        <v>149</v>
      </c>
      <c r="D93" t="s">
        <v>69</v>
      </c>
      <c r="E93">
        <v>10</v>
      </c>
      <c r="F93">
        <v>8.3000000000000007</v>
      </c>
      <c r="G93">
        <v>0.83</v>
      </c>
      <c r="H93">
        <v>23</v>
      </c>
      <c r="I93">
        <v>3000</v>
      </c>
      <c r="J93">
        <v>1000</v>
      </c>
      <c r="K93" t="s">
        <v>229</v>
      </c>
      <c r="L93" t="s">
        <v>104</v>
      </c>
      <c r="M93" t="s">
        <v>42</v>
      </c>
      <c r="N93" t="b">
        <v>0</v>
      </c>
      <c r="O93" t="s">
        <v>249</v>
      </c>
    </row>
    <row r="94" spans="1:15" ht="15" customHeight="1">
      <c r="A94" t="s">
        <v>349</v>
      </c>
      <c r="B94" t="s">
        <v>350</v>
      </c>
      <c r="C94" t="s">
        <v>129</v>
      </c>
      <c r="D94" t="s">
        <v>130</v>
      </c>
      <c r="E94">
        <v>8</v>
      </c>
      <c r="F94">
        <v>7.5</v>
      </c>
      <c r="G94">
        <v>0.94</v>
      </c>
      <c r="H94">
        <v>18</v>
      </c>
      <c r="I94">
        <v>5000</v>
      </c>
      <c r="J94">
        <v>1000</v>
      </c>
      <c r="K94" t="s">
        <v>108</v>
      </c>
      <c r="L94" t="s">
        <v>100</v>
      </c>
      <c r="M94" t="s">
        <v>41</v>
      </c>
      <c r="N94" t="b">
        <v>0</v>
      </c>
      <c r="O94" t="s">
        <v>166</v>
      </c>
    </row>
    <row r="95" spans="1:15" ht="15" customHeight="1">
      <c r="A95" t="s">
        <v>351</v>
      </c>
      <c r="B95" t="s">
        <v>352</v>
      </c>
      <c r="C95" t="s">
        <v>129</v>
      </c>
      <c r="D95" t="s">
        <v>130</v>
      </c>
      <c r="E95">
        <v>8</v>
      </c>
      <c r="F95">
        <v>3</v>
      </c>
      <c r="G95">
        <v>0.38</v>
      </c>
      <c r="H95">
        <v>24</v>
      </c>
      <c r="I95">
        <v>5000</v>
      </c>
      <c r="J95">
        <v>1000</v>
      </c>
      <c r="K95" t="s">
        <v>95</v>
      </c>
      <c r="L95" t="s">
        <v>71</v>
      </c>
      <c r="M95" t="s">
        <v>45</v>
      </c>
      <c r="N95" t="b">
        <v>0</v>
      </c>
      <c r="O95" t="s">
        <v>217</v>
      </c>
    </row>
    <row r="96" spans="1:15" ht="15" customHeight="1">
      <c r="A96" t="s">
        <v>353</v>
      </c>
      <c r="B96" t="s">
        <v>354</v>
      </c>
      <c r="C96" t="s">
        <v>75</v>
      </c>
      <c r="D96" t="s">
        <v>69</v>
      </c>
      <c r="E96">
        <v>11</v>
      </c>
      <c r="F96">
        <v>7.4</v>
      </c>
      <c r="G96">
        <v>0.67</v>
      </c>
      <c r="H96">
        <v>12</v>
      </c>
      <c r="I96">
        <v>2000</v>
      </c>
      <c r="J96">
        <v>1500</v>
      </c>
      <c r="K96" t="s">
        <v>265</v>
      </c>
      <c r="L96" t="s">
        <v>117</v>
      </c>
      <c r="M96" t="s">
        <v>47</v>
      </c>
      <c r="N96" t="b">
        <v>1</v>
      </c>
      <c r="O96" t="s">
        <v>266</v>
      </c>
    </row>
    <row r="97" spans="1:15" ht="15" customHeight="1">
      <c r="A97" t="s">
        <v>355</v>
      </c>
      <c r="B97" t="s">
        <v>356</v>
      </c>
      <c r="C97" t="s">
        <v>81</v>
      </c>
      <c r="D97" t="s">
        <v>69</v>
      </c>
      <c r="E97">
        <v>8</v>
      </c>
      <c r="F97">
        <v>3.1</v>
      </c>
      <c r="G97">
        <v>0.39</v>
      </c>
      <c r="H97">
        <v>8</v>
      </c>
      <c r="I97">
        <v>10000</v>
      </c>
      <c r="J97">
        <v>3000</v>
      </c>
      <c r="K97" t="s">
        <v>357</v>
      </c>
      <c r="L97" t="s">
        <v>104</v>
      </c>
      <c r="M97" t="s">
        <v>51</v>
      </c>
      <c r="N97" t="b">
        <v>0</v>
      </c>
      <c r="O97" t="s">
        <v>295</v>
      </c>
    </row>
    <row r="98" spans="1:15" ht="15" customHeight="1">
      <c r="A98" t="s">
        <v>353</v>
      </c>
      <c r="B98" t="s">
        <v>358</v>
      </c>
      <c r="C98" t="s">
        <v>129</v>
      </c>
      <c r="D98" t="s">
        <v>130</v>
      </c>
      <c r="E98">
        <v>17</v>
      </c>
      <c r="F98">
        <v>6.7</v>
      </c>
      <c r="G98">
        <v>0.39</v>
      </c>
      <c r="H98">
        <v>29</v>
      </c>
      <c r="I98">
        <v>5000</v>
      </c>
      <c r="J98">
        <v>1000</v>
      </c>
      <c r="K98" t="s">
        <v>113</v>
      </c>
      <c r="L98" t="s">
        <v>117</v>
      </c>
      <c r="M98" t="s">
        <v>47</v>
      </c>
      <c r="N98" t="b">
        <v>1</v>
      </c>
      <c r="O98" t="s">
        <v>146</v>
      </c>
    </row>
    <row r="99" spans="1:15" ht="15" customHeight="1">
      <c r="A99" t="s">
        <v>359</v>
      </c>
      <c r="B99" t="s">
        <v>360</v>
      </c>
      <c r="C99" t="s">
        <v>75</v>
      </c>
      <c r="D99" t="s">
        <v>69</v>
      </c>
      <c r="E99">
        <v>20</v>
      </c>
      <c r="F99">
        <v>3.6</v>
      </c>
      <c r="G99">
        <v>0.18</v>
      </c>
      <c r="H99">
        <v>24</v>
      </c>
      <c r="I99">
        <v>2000</v>
      </c>
      <c r="J99">
        <v>1500</v>
      </c>
      <c r="K99" t="s">
        <v>361</v>
      </c>
      <c r="L99" t="s">
        <v>117</v>
      </c>
      <c r="M99" t="s">
        <v>47</v>
      </c>
      <c r="N99" t="b">
        <v>1</v>
      </c>
      <c r="O99" t="s">
        <v>362</v>
      </c>
    </row>
    <row r="100" spans="1:15" ht="15" customHeight="1">
      <c r="A100" t="s">
        <v>363</v>
      </c>
      <c r="B100" t="s">
        <v>364</v>
      </c>
      <c r="C100" t="s">
        <v>75</v>
      </c>
      <c r="D100" t="s">
        <v>69</v>
      </c>
      <c r="E100">
        <v>12</v>
      </c>
      <c r="F100">
        <v>11.2</v>
      </c>
      <c r="G100">
        <v>0.93</v>
      </c>
      <c r="H100">
        <v>21</v>
      </c>
      <c r="I100">
        <v>2000</v>
      </c>
      <c r="J100">
        <v>1500</v>
      </c>
      <c r="K100" t="s">
        <v>365</v>
      </c>
      <c r="L100" t="s">
        <v>71</v>
      </c>
      <c r="M100" t="s">
        <v>43</v>
      </c>
      <c r="N100" t="b">
        <v>0</v>
      </c>
      <c r="O100" t="s">
        <v>366</v>
      </c>
    </row>
    <row r="101" spans="1:15" ht="15" customHeight="1">
      <c r="A101" t="s">
        <v>367</v>
      </c>
      <c r="B101" t="s">
        <v>368</v>
      </c>
      <c r="C101" t="s">
        <v>149</v>
      </c>
      <c r="D101" t="s">
        <v>69</v>
      </c>
      <c r="E101">
        <v>8</v>
      </c>
      <c r="F101">
        <v>7.5</v>
      </c>
      <c r="G101">
        <v>0.94</v>
      </c>
      <c r="H101">
        <v>36</v>
      </c>
      <c r="I101">
        <v>3000</v>
      </c>
      <c r="J101">
        <v>1000</v>
      </c>
      <c r="K101" t="s">
        <v>154</v>
      </c>
      <c r="L101" t="s">
        <v>71</v>
      </c>
      <c r="M101" t="s">
        <v>51</v>
      </c>
      <c r="N101" t="b">
        <v>0</v>
      </c>
      <c r="O101" t="s">
        <v>155</v>
      </c>
    </row>
    <row r="102" spans="1:15" ht="15" customHeight="1">
      <c r="A102" t="s">
        <v>369</v>
      </c>
      <c r="B102" t="s">
        <v>370</v>
      </c>
      <c r="C102" t="s">
        <v>129</v>
      </c>
      <c r="D102" t="s">
        <v>130</v>
      </c>
      <c r="E102">
        <v>20</v>
      </c>
      <c r="F102">
        <v>16.8</v>
      </c>
      <c r="G102">
        <v>0.84</v>
      </c>
      <c r="H102">
        <v>25</v>
      </c>
      <c r="I102">
        <v>5000</v>
      </c>
      <c r="J102">
        <v>1000</v>
      </c>
      <c r="K102" t="s">
        <v>245</v>
      </c>
      <c r="L102" t="s">
        <v>77</v>
      </c>
      <c r="M102" t="s">
        <v>46</v>
      </c>
      <c r="N102" t="b">
        <v>0</v>
      </c>
      <c r="O102" t="s">
        <v>246</v>
      </c>
    </row>
    <row r="103" spans="1:15" ht="15" customHeight="1">
      <c r="A103" t="s">
        <v>371</v>
      </c>
      <c r="B103" t="s">
        <v>372</v>
      </c>
      <c r="C103" t="s">
        <v>149</v>
      </c>
      <c r="D103" t="s">
        <v>69</v>
      </c>
      <c r="E103">
        <v>9</v>
      </c>
      <c r="F103">
        <v>6.5</v>
      </c>
      <c r="G103">
        <v>0.72</v>
      </c>
      <c r="H103">
        <v>36</v>
      </c>
      <c r="I103">
        <v>3000</v>
      </c>
      <c r="J103">
        <v>1000</v>
      </c>
      <c r="K103" t="s">
        <v>154</v>
      </c>
      <c r="L103" t="s">
        <v>100</v>
      </c>
      <c r="M103" t="s">
        <v>47</v>
      </c>
      <c r="N103" t="b">
        <v>0</v>
      </c>
      <c r="O103" t="s">
        <v>155</v>
      </c>
    </row>
    <row r="104" spans="1:15" ht="15" customHeight="1">
      <c r="A104" t="s">
        <v>170</v>
      </c>
      <c r="B104" t="s">
        <v>373</v>
      </c>
      <c r="C104" t="s">
        <v>75</v>
      </c>
      <c r="D104" t="s">
        <v>69</v>
      </c>
      <c r="E104">
        <v>14</v>
      </c>
      <c r="F104">
        <v>7.8</v>
      </c>
      <c r="G104">
        <v>0.56000000000000005</v>
      </c>
      <c r="H104">
        <v>22</v>
      </c>
      <c r="I104">
        <v>2000</v>
      </c>
      <c r="J104">
        <v>1500</v>
      </c>
      <c r="K104" t="s">
        <v>90</v>
      </c>
      <c r="L104" t="s">
        <v>96</v>
      </c>
      <c r="M104" t="s">
        <v>44</v>
      </c>
      <c r="N104" t="b">
        <v>0</v>
      </c>
      <c r="O104" t="s">
        <v>92</v>
      </c>
    </row>
    <row r="105" spans="1:15" ht="15" customHeight="1">
      <c r="A105" t="s">
        <v>374</v>
      </c>
      <c r="B105" t="s">
        <v>375</v>
      </c>
      <c r="C105" t="s">
        <v>68</v>
      </c>
      <c r="D105" t="s">
        <v>69</v>
      </c>
      <c r="E105">
        <v>15</v>
      </c>
      <c r="F105">
        <v>0.6</v>
      </c>
      <c r="G105">
        <v>0.04</v>
      </c>
      <c r="H105">
        <v>4</v>
      </c>
      <c r="I105">
        <v>30000</v>
      </c>
      <c r="J105">
        <v>5000</v>
      </c>
      <c r="K105" t="s">
        <v>95</v>
      </c>
      <c r="L105" t="s">
        <v>104</v>
      </c>
      <c r="M105" t="s">
        <v>42</v>
      </c>
      <c r="N105" t="b">
        <v>0</v>
      </c>
      <c r="O105" t="s">
        <v>97</v>
      </c>
    </row>
    <row r="106" spans="1:15" ht="15" customHeight="1">
      <c r="A106" t="s">
        <v>376</v>
      </c>
      <c r="B106" t="s">
        <v>377</v>
      </c>
      <c r="C106" t="s">
        <v>129</v>
      </c>
      <c r="D106" t="s">
        <v>130</v>
      </c>
      <c r="E106">
        <v>10</v>
      </c>
      <c r="F106">
        <v>6.9</v>
      </c>
      <c r="G106">
        <v>0.69</v>
      </c>
      <c r="H106">
        <v>17</v>
      </c>
      <c r="I106">
        <v>5000</v>
      </c>
      <c r="J106">
        <v>1000</v>
      </c>
      <c r="K106" t="s">
        <v>109</v>
      </c>
      <c r="L106" t="s">
        <v>77</v>
      </c>
      <c r="M106" t="s">
        <v>50</v>
      </c>
      <c r="N106" t="b">
        <v>0</v>
      </c>
      <c r="O106" t="s">
        <v>176</v>
      </c>
    </row>
    <row r="107" spans="1:15" ht="15" customHeight="1">
      <c r="A107" t="s">
        <v>378</v>
      </c>
      <c r="B107" t="s">
        <v>379</v>
      </c>
      <c r="C107" t="s">
        <v>149</v>
      </c>
      <c r="D107" t="s">
        <v>69</v>
      </c>
      <c r="E107">
        <v>9</v>
      </c>
      <c r="F107">
        <v>6.4</v>
      </c>
      <c r="G107">
        <v>0.71</v>
      </c>
      <c r="H107">
        <v>21</v>
      </c>
      <c r="I107">
        <v>3000</v>
      </c>
      <c r="J107">
        <v>1000</v>
      </c>
      <c r="K107" t="s">
        <v>380</v>
      </c>
      <c r="L107" t="s">
        <v>71</v>
      </c>
      <c r="M107" t="s">
        <v>42</v>
      </c>
      <c r="N107" t="b">
        <v>0</v>
      </c>
      <c r="O107" t="s">
        <v>381</v>
      </c>
    </row>
    <row r="108" spans="1:15" ht="15" customHeight="1">
      <c r="A108" t="s">
        <v>382</v>
      </c>
      <c r="B108" t="s">
        <v>383</v>
      </c>
      <c r="C108" t="s">
        <v>149</v>
      </c>
      <c r="D108" t="s">
        <v>69</v>
      </c>
      <c r="E108">
        <v>9</v>
      </c>
      <c r="F108">
        <v>7.2</v>
      </c>
      <c r="G108">
        <v>0.8</v>
      </c>
      <c r="H108">
        <v>23</v>
      </c>
      <c r="I108">
        <v>3000</v>
      </c>
      <c r="J108">
        <v>1000</v>
      </c>
      <c r="K108" t="s">
        <v>229</v>
      </c>
      <c r="L108" t="s">
        <v>71</v>
      </c>
      <c r="M108" t="s">
        <v>46</v>
      </c>
      <c r="N108" t="b">
        <v>0</v>
      </c>
      <c r="O108" t="s">
        <v>249</v>
      </c>
    </row>
    <row r="109" spans="1:15" ht="15" customHeight="1">
      <c r="A109" t="s">
        <v>384</v>
      </c>
      <c r="B109" t="s">
        <v>385</v>
      </c>
      <c r="C109" t="s">
        <v>68</v>
      </c>
      <c r="D109" t="s">
        <v>69</v>
      </c>
      <c r="E109">
        <v>15</v>
      </c>
      <c r="F109">
        <v>1.9</v>
      </c>
      <c r="G109">
        <v>0.13</v>
      </c>
      <c r="H109">
        <v>1</v>
      </c>
      <c r="I109">
        <v>30000</v>
      </c>
      <c r="J109">
        <v>5000</v>
      </c>
      <c r="K109" t="s">
        <v>70</v>
      </c>
      <c r="L109" t="s">
        <v>104</v>
      </c>
      <c r="M109" t="s">
        <v>47</v>
      </c>
      <c r="N109" t="b">
        <v>0</v>
      </c>
      <c r="O109" t="s">
        <v>72</v>
      </c>
    </row>
    <row r="110" spans="1:15" ht="15" customHeight="1">
      <c r="A110" t="s">
        <v>386</v>
      </c>
      <c r="B110" t="s">
        <v>387</v>
      </c>
      <c r="C110" t="s">
        <v>81</v>
      </c>
      <c r="D110" t="s">
        <v>69</v>
      </c>
      <c r="E110">
        <v>16</v>
      </c>
      <c r="F110">
        <v>4.9000000000000004</v>
      </c>
      <c r="G110">
        <v>0.31</v>
      </c>
      <c r="H110">
        <v>8</v>
      </c>
      <c r="I110">
        <v>10000</v>
      </c>
      <c r="J110">
        <v>3000</v>
      </c>
      <c r="K110" t="s">
        <v>357</v>
      </c>
      <c r="L110" t="s">
        <v>77</v>
      </c>
      <c r="M110" t="s">
        <v>42</v>
      </c>
      <c r="N110" t="b">
        <v>0</v>
      </c>
      <c r="O110" t="s">
        <v>295</v>
      </c>
    </row>
    <row r="111" spans="1:15" ht="15" customHeight="1">
      <c r="A111" t="s">
        <v>374</v>
      </c>
      <c r="B111" t="s">
        <v>388</v>
      </c>
      <c r="C111" t="s">
        <v>81</v>
      </c>
      <c r="D111" t="s">
        <v>69</v>
      </c>
      <c r="E111">
        <v>17</v>
      </c>
      <c r="F111">
        <v>16.600000000000001</v>
      </c>
      <c r="G111">
        <v>0.98</v>
      </c>
      <c r="H111">
        <v>17</v>
      </c>
      <c r="I111">
        <v>10000</v>
      </c>
      <c r="J111">
        <v>3000</v>
      </c>
      <c r="K111" t="s">
        <v>389</v>
      </c>
      <c r="L111" t="s">
        <v>104</v>
      </c>
      <c r="M111" t="s">
        <v>42</v>
      </c>
      <c r="N111" t="b">
        <v>0</v>
      </c>
      <c r="O111" t="s">
        <v>390</v>
      </c>
    </row>
    <row r="112" spans="1:15" ht="15" customHeight="1">
      <c r="A112" t="s">
        <v>391</v>
      </c>
      <c r="B112" t="s">
        <v>392</v>
      </c>
      <c r="C112" t="s">
        <v>68</v>
      </c>
      <c r="D112" t="s">
        <v>69</v>
      </c>
      <c r="E112">
        <v>14</v>
      </c>
      <c r="F112">
        <v>3.4</v>
      </c>
      <c r="G112">
        <v>0.24</v>
      </c>
      <c r="H112">
        <v>4</v>
      </c>
      <c r="I112">
        <v>30000</v>
      </c>
      <c r="J112">
        <v>5000</v>
      </c>
      <c r="K112" t="s">
        <v>95</v>
      </c>
      <c r="L112" t="s">
        <v>71</v>
      </c>
      <c r="M112" t="s">
        <v>46</v>
      </c>
      <c r="N112" t="b">
        <v>0</v>
      </c>
      <c r="O112" t="s">
        <v>97</v>
      </c>
    </row>
    <row r="113" spans="1:15" ht="15" customHeight="1">
      <c r="A113" t="s">
        <v>393</v>
      </c>
      <c r="B113" t="s">
        <v>394</v>
      </c>
      <c r="C113" t="s">
        <v>68</v>
      </c>
      <c r="D113" t="s">
        <v>69</v>
      </c>
      <c r="E113">
        <v>13</v>
      </c>
      <c r="F113">
        <v>3.4</v>
      </c>
      <c r="G113">
        <v>0.26</v>
      </c>
      <c r="H113">
        <v>1</v>
      </c>
      <c r="I113">
        <v>30000</v>
      </c>
      <c r="J113">
        <v>5000</v>
      </c>
      <c r="K113" t="s">
        <v>70</v>
      </c>
      <c r="L113" t="s">
        <v>100</v>
      </c>
      <c r="M113" t="s">
        <v>49</v>
      </c>
      <c r="N113" t="b">
        <v>0</v>
      </c>
      <c r="O113" t="s">
        <v>72</v>
      </c>
    </row>
    <row r="114" spans="1:15" ht="15" customHeight="1">
      <c r="A114" t="s">
        <v>311</v>
      </c>
      <c r="B114" t="s">
        <v>395</v>
      </c>
      <c r="C114" t="s">
        <v>75</v>
      </c>
      <c r="D114" t="s">
        <v>69</v>
      </c>
      <c r="E114">
        <v>8</v>
      </c>
      <c r="F114">
        <v>6.4</v>
      </c>
      <c r="G114">
        <v>0.8</v>
      </c>
      <c r="H114">
        <v>14</v>
      </c>
      <c r="I114">
        <v>2000</v>
      </c>
      <c r="J114">
        <v>1500</v>
      </c>
      <c r="K114" t="s">
        <v>396</v>
      </c>
      <c r="L114" t="s">
        <v>91</v>
      </c>
      <c r="M114" t="s">
        <v>41</v>
      </c>
      <c r="N114" t="b">
        <v>1</v>
      </c>
      <c r="O114" t="s">
        <v>397</v>
      </c>
    </row>
    <row r="115" spans="1:15" ht="15" customHeight="1">
      <c r="A115" t="s">
        <v>398</v>
      </c>
      <c r="B115" t="s">
        <v>399</v>
      </c>
      <c r="C115" t="s">
        <v>75</v>
      </c>
      <c r="D115" t="s">
        <v>69</v>
      </c>
      <c r="E115">
        <v>12</v>
      </c>
      <c r="F115">
        <v>10.1</v>
      </c>
      <c r="G115">
        <v>0.84</v>
      </c>
      <c r="H115">
        <v>25</v>
      </c>
      <c r="I115">
        <v>2000</v>
      </c>
      <c r="J115">
        <v>1500</v>
      </c>
      <c r="K115" t="s">
        <v>158</v>
      </c>
      <c r="L115" t="s">
        <v>117</v>
      </c>
      <c r="M115" t="s">
        <v>43</v>
      </c>
      <c r="N115" t="b">
        <v>1</v>
      </c>
      <c r="O115" t="s">
        <v>400</v>
      </c>
    </row>
    <row r="116" spans="1:15" ht="15" customHeight="1">
      <c r="A116" t="s">
        <v>221</v>
      </c>
      <c r="B116" t="s">
        <v>401</v>
      </c>
      <c r="C116" t="s">
        <v>75</v>
      </c>
      <c r="D116" t="s">
        <v>69</v>
      </c>
      <c r="E116">
        <v>14</v>
      </c>
      <c r="F116">
        <v>11.6</v>
      </c>
      <c r="G116">
        <v>0.83</v>
      </c>
      <c r="H116">
        <v>20</v>
      </c>
      <c r="I116">
        <v>2000</v>
      </c>
      <c r="J116">
        <v>1500</v>
      </c>
      <c r="K116" t="s">
        <v>76</v>
      </c>
      <c r="L116" t="s">
        <v>71</v>
      </c>
      <c r="M116" t="s">
        <v>49</v>
      </c>
      <c r="N116" t="b">
        <v>0</v>
      </c>
      <c r="O116" t="s">
        <v>78</v>
      </c>
    </row>
    <row r="117" spans="1:15" ht="15" customHeight="1">
      <c r="A117" t="s">
        <v>402</v>
      </c>
      <c r="B117" t="s">
        <v>403</v>
      </c>
      <c r="C117" t="s">
        <v>129</v>
      </c>
      <c r="D117" t="s">
        <v>130</v>
      </c>
      <c r="E117">
        <v>9</v>
      </c>
      <c r="F117">
        <v>4.0999999999999996</v>
      </c>
      <c r="G117">
        <v>0.46</v>
      </c>
      <c r="H117">
        <v>29</v>
      </c>
      <c r="I117">
        <v>5000</v>
      </c>
      <c r="J117">
        <v>1000</v>
      </c>
      <c r="K117" t="s">
        <v>113</v>
      </c>
      <c r="L117" t="s">
        <v>71</v>
      </c>
      <c r="M117" t="s">
        <v>41</v>
      </c>
      <c r="N117" t="b">
        <v>0</v>
      </c>
      <c r="O117" t="s">
        <v>146</v>
      </c>
    </row>
    <row r="118" spans="1:15" ht="15" customHeight="1">
      <c r="A118" t="s">
        <v>404</v>
      </c>
      <c r="B118" t="s">
        <v>405</v>
      </c>
      <c r="C118" t="s">
        <v>129</v>
      </c>
      <c r="D118" t="s">
        <v>130</v>
      </c>
      <c r="E118">
        <v>8</v>
      </c>
      <c r="F118">
        <v>3.3</v>
      </c>
      <c r="G118">
        <v>0.41</v>
      </c>
      <c r="H118">
        <v>25</v>
      </c>
      <c r="I118">
        <v>5000</v>
      </c>
      <c r="J118">
        <v>1000</v>
      </c>
      <c r="K118" t="s">
        <v>245</v>
      </c>
      <c r="L118" t="s">
        <v>77</v>
      </c>
      <c r="M118" t="s">
        <v>44</v>
      </c>
      <c r="N118" t="b">
        <v>0</v>
      </c>
      <c r="O118" t="s">
        <v>246</v>
      </c>
    </row>
    <row r="119" spans="1:15" ht="15" customHeight="1">
      <c r="A119" t="s">
        <v>406</v>
      </c>
      <c r="B119" t="s">
        <v>407</v>
      </c>
      <c r="C119" t="s">
        <v>75</v>
      </c>
      <c r="D119" t="s">
        <v>69</v>
      </c>
      <c r="E119">
        <v>19</v>
      </c>
      <c r="F119">
        <v>13</v>
      </c>
      <c r="G119">
        <v>0.68</v>
      </c>
      <c r="H119">
        <v>19</v>
      </c>
      <c r="I119">
        <v>2000</v>
      </c>
      <c r="J119">
        <v>1500</v>
      </c>
      <c r="K119" t="s">
        <v>408</v>
      </c>
      <c r="L119" t="s">
        <v>96</v>
      </c>
      <c r="M119" t="s">
        <v>47</v>
      </c>
      <c r="N119" t="b">
        <v>0</v>
      </c>
      <c r="O119" t="s">
        <v>409</v>
      </c>
    </row>
    <row r="120" spans="1:15" ht="15" customHeight="1">
      <c r="A120" t="s">
        <v>410</v>
      </c>
      <c r="B120" t="s">
        <v>411</v>
      </c>
      <c r="C120" t="s">
        <v>81</v>
      </c>
      <c r="D120" t="s">
        <v>69</v>
      </c>
      <c r="E120">
        <v>15</v>
      </c>
      <c r="F120">
        <v>9.6999999999999993</v>
      </c>
      <c r="G120">
        <v>0.65</v>
      </c>
      <c r="H120">
        <v>15</v>
      </c>
      <c r="I120">
        <v>10000</v>
      </c>
      <c r="J120">
        <v>3000</v>
      </c>
      <c r="K120" t="s">
        <v>112</v>
      </c>
      <c r="L120" t="s">
        <v>96</v>
      </c>
      <c r="M120" t="s">
        <v>46</v>
      </c>
      <c r="N120" t="b">
        <v>0</v>
      </c>
      <c r="O120" t="s">
        <v>234</v>
      </c>
    </row>
    <row r="121" spans="1:15" ht="15" customHeight="1">
      <c r="A121" t="s">
        <v>412</v>
      </c>
      <c r="B121" t="s">
        <v>413</v>
      </c>
      <c r="C121" t="s">
        <v>68</v>
      </c>
      <c r="D121" t="s">
        <v>69</v>
      </c>
      <c r="E121">
        <v>12</v>
      </c>
      <c r="F121">
        <v>1.3</v>
      </c>
      <c r="G121">
        <v>0.11</v>
      </c>
      <c r="H121">
        <v>5</v>
      </c>
      <c r="I121">
        <v>30000</v>
      </c>
      <c r="J121">
        <v>5000</v>
      </c>
      <c r="K121" t="s">
        <v>112</v>
      </c>
      <c r="L121" t="s">
        <v>96</v>
      </c>
      <c r="M121" t="s">
        <v>51</v>
      </c>
      <c r="N121" t="b">
        <v>0</v>
      </c>
      <c r="O121" t="s">
        <v>113</v>
      </c>
    </row>
    <row r="122" spans="1:15" ht="15" customHeight="1">
      <c r="A122" t="s">
        <v>414</v>
      </c>
      <c r="B122" t="s">
        <v>415</v>
      </c>
      <c r="C122" t="s">
        <v>129</v>
      </c>
      <c r="D122" t="s">
        <v>130</v>
      </c>
      <c r="E122">
        <v>15</v>
      </c>
      <c r="F122">
        <v>7.6</v>
      </c>
      <c r="G122">
        <v>0.51</v>
      </c>
      <c r="H122">
        <v>22</v>
      </c>
      <c r="I122">
        <v>5000</v>
      </c>
      <c r="J122">
        <v>1000</v>
      </c>
      <c r="K122" t="s">
        <v>134</v>
      </c>
      <c r="L122" t="s">
        <v>117</v>
      </c>
      <c r="M122" t="s">
        <v>46</v>
      </c>
      <c r="N122" t="b">
        <v>1</v>
      </c>
      <c r="O122" t="s">
        <v>135</v>
      </c>
    </row>
    <row r="123" spans="1:15" ht="15" customHeight="1">
      <c r="A123" t="s">
        <v>416</v>
      </c>
      <c r="B123" t="s">
        <v>417</v>
      </c>
      <c r="C123" t="s">
        <v>75</v>
      </c>
      <c r="D123" t="s">
        <v>69</v>
      </c>
      <c r="E123">
        <v>9</v>
      </c>
      <c r="F123">
        <v>7.1</v>
      </c>
      <c r="G123">
        <v>0.79</v>
      </c>
      <c r="H123">
        <v>10</v>
      </c>
      <c r="I123">
        <v>2000</v>
      </c>
      <c r="J123">
        <v>1500</v>
      </c>
      <c r="K123" t="s">
        <v>418</v>
      </c>
      <c r="L123" t="s">
        <v>77</v>
      </c>
      <c r="M123" t="s">
        <v>44</v>
      </c>
      <c r="N123" t="b">
        <v>0</v>
      </c>
      <c r="O123" t="s">
        <v>419</v>
      </c>
    </row>
    <row r="124" spans="1:15" ht="15" customHeight="1">
      <c r="A124" t="s">
        <v>247</v>
      </c>
      <c r="B124" t="s">
        <v>420</v>
      </c>
      <c r="C124" t="s">
        <v>68</v>
      </c>
      <c r="D124" t="s">
        <v>69</v>
      </c>
      <c r="E124">
        <v>11</v>
      </c>
      <c r="F124">
        <v>1.5</v>
      </c>
      <c r="G124">
        <v>0.14000000000000001</v>
      </c>
      <c r="H124">
        <v>1</v>
      </c>
      <c r="I124">
        <v>30000</v>
      </c>
      <c r="J124">
        <v>5000</v>
      </c>
      <c r="K124" t="s">
        <v>70</v>
      </c>
      <c r="L124" t="s">
        <v>100</v>
      </c>
      <c r="M124" t="s">
        <v>45</v>
      </c>
      <c r="N124" t="b">
        <v>0</v>
      </c>
      <c r="O124" t="s">
        <v>72</v>
      </c>
    </row>
    <row r="125" spans="1:15" ht="15" customHeight="1">
      <c r="A125" t="s">
        <v>421</v>
      </c>
      <c r="B125" t="s">
        <v>422</v>
      </c>
      <c r="C125" t="s">
        <v>129</v>
      </c>
      <c r="D125" t="s">
        <v>130</v>
      </c>
      <c r="E125">
        <v>10</v>
      </c>
      <c r="F125">
        <v>4.0999999999999996</v>
      </c>
      <c r="G125">
        <v>0.41</v>
      </c>
      <c r="H125">
        <v>14</v>
      </c>
      <c r="I125">
        <v>5000</v>
      </c>
      <c r="J125">
        <v>1000</v>
      </c>
      <c r="K125" t="s">
        <v>82</v>
      </c>
      <c r="L125" t="s">
        <v>71</v>
      </c>
      <c r="M125" t="s">
        <v>47</v>
      </c>
      <c r="N125" t="b">
        <v>0</v>
      </c>
      <c r="O125" t="s">
        <v>229</v>
      </c>
    </row>
    <row r="126" spans="1:15" ht="15" customHeight="1">
      <c r="A126" t="s">
        <v>423</v>
      </c>
      <c r="B126" t="s">
        <v>424</v>
      </c>
      <c r="C126" t="s">
        <v>129</v>
      </c>
      <c r="D126" t="s">
        <v>130</v>
      </c>
      <c r="E126">
        <v>15</v>
      </c>
      <c r="F126">
        <v>14.8</v>
      </c>
      <c r="G126">
        <v>0.99</v>
      </c>
      <c r="H126">
        <v>29</v>
      </c>
      <c r="I126">
        <v>5000</v>
      </c>
      <c r="J126">
        <v>1000</v>
      </c>
      <c r="K126" t="s">
        <v>113</v>
      </c>
      <c r="L126" t="s">
        <v>117</v>
      </c>
      <c r="M126" t="s">
        <v>40</v>
      </c>
      <c r="N126" t="b">
        <v>1</v>
      </c>
      <c r="O126" t="s">
        <v>146</v>
      </c>
    </row>
    <row r="127" spans="1:15" ht="15" customHeight="1">
      <c r="A127" t="s">
        <v>425</v>
      </c>
      <c r="B127" t="s">
        <v>426</v>
      </c>
      <c r="C127" t="s">
        <v>75</v>
      </c>
      <c r="D127" t="s">
        <v>69</v>
      </c>
      <c r="E127">
        <v>12</v>
      </c>
      <c r="F127">
        <v>4.3</v>
      </c>
      <c r="G127">
        <v>0.36</v>
      </c>
      <c r="H127">
        <v>23</v>
      </c>
      <c r="I127">
        <v>2000</v>
      </c>
      <c r="J127">
        <v>1500</v>
      </c>
      <c r="K127" t="s">
        <v>207</v>
      </c>
      <c r="L127" t="s">
        <v>96</v>
      </c>
      <c r="M127" t="s">
        <v>40</v>
      </c>
      <c r="N127" t="b">
        <v>0</v>
      </c>
      <c r="O127" t="s">
        <v>208</v>
      </c>
    </row>
    <row r="128" spans="1:15" ht="15" customHeight="1">
      <c r="A128" t="s">
        <v>263</v>
      </c>
      <c r="B128" t="s">
        <v>427</v>
      </c>
      <c r="C128" t="s">
        <v>75</v>
      </c>
      <c r="D128" t="s">
        <v>69</v>
      </c>
      <c r="E128">
        <v>8</v>
      </c>
      <c r="F128">
        <v>3.5</v>
      </c>
      <c r="G128">
        <v>0.44</v>
      </c>
      <c r="H128">
        <v>14</v>
      </c>
      <c r="I128">
        <v>2000</v>
      </c>
      <c r="J128">
        <v>1500</v>
      </c>
      <c r="K128" t="s">
        <v>396</v>
      </c>
      <c r="L128" t="s">
        <v>96</v>
      </c>
      <c r="M128" t="s">
        <v>44</v>
      </c>
      <c r="N128" t="b">
        <v>0</v>
      </c>
      <c r="O128" t="s">
        <v>397</v>
      </c>
    </row>
    <row r="129" spans="1:15" ht="15" customHeight="1">
      <c r="A129" t="s">
        <v>428</v>
      </c>
      <c r="B129" t="s">
        <v>429</v>
      </c>
      <c r="C129" t="s">
        <v>81</v>
      </c>
      <c r="D129" t="s">
        <v>69</v>
      </c>
      <c r="E129">
        <v>8</v>
      </c>
      <c r="F129">
        <v>3.4</v>
      </c>
      <c r="G129">
        <v>0.42</v>
      </c>
      <c r="H129">
        <v>8</v>
      </c>
      <c r="I129">
        <v>10000</v>
      </c>
      <c r="J129">
        <v>3000</v>
      </c>
      <c r="K129" t="s">
        <v>357</v>
      </c>
      <c r="L129" t="s">
        <v>104</v>
      </c>
      <c r="M129" t="s">
        <v>46</v>
      </c>
      <c r="N129" t="b">
        <v>0</v>
      </c>
      <c r="O129" t="s">
        <v>295</v>
      </c>
    </row>
    <row r="130" spans="1:15" ht="15" customHeight="1">
      <c r="A130" t="s">
        <v>430</v>
      </c>
      <c r="B130" t="s">
        <v>431</v>
      </c>
      <c r="C130" t="s">
        <v>81</v>
      </c>
      <c r="D130" t="s">
        <v>69</v>
      </c>
      <c r="E130">
        <v>17</v>
      </c>
      <c r="F130">
        <v>8.5</v>
      </c>
      <c r="G130">
        <v>0.5</v>
      </c>
      <c r="H130">
        <v>20</v>
      </c>
      <c r="I130">
        <v>10000</v>
      </c>
      <c r="J130">
        <v>3000</v>
      </c>
      <c r="K130" t="s">
        <v>86</v>
      </c>
      <c r="L130" t="s">
        <v>104</v>
      </c>
      <c r="M130" t="s">
        <v>42</v>
      </c>
      <c r="N130" t="b">
        <v>0</v>
      </c>
      <c r="O130" t="s">
        <v>87</v>
      </c>
    </row>
    <row r="131" spans="1:15" ht="15" customHeight="1">
      <c r="A131" t="s">
        <v>183</v>
      </c>
      <c r="B131" t="s">
        <v>432</v>
      </c>
      <c r="C131" t="s">
        <v>149</v>
      </c>
      <c r="D131" t="s">
        <v>69</v>
      </c>
      <c r="E131">
        <v>10</v>
      </c>
      <c r="F131">
        <v>9.9</v>
      </c>
      <c r="G131">
        <v>0.99</v>
      </c>
      <c r="H131">
        <v>34</v>
      </c>
      <c r="I131">
        <v>3000</v>
      </c>
      <c r="J131">
        <v>1000</v>
      </c>
      <c r="K131" t="s">
        <v>433</v>
      </c>
      <c r="L131" t="s">
        <v>100</v>
      </c>
      <c r="M131" t="s">
        <v>51</v>
      </c>
      <c r="N131" t="b">
        <v>0</v>
      </c>
      <c r="O131" t="s">
        <v>434</v>
      </c>
    </row>
    <row r="132" spans="1:15" ht="15" customHeight="1">
      <c r="A132" t="s">
        <v>121</v>
      </c>
      <c r="B132" t="s">
        <v>435</v>
      </c>
      <c r="C132" t="s">
        <v>129</v>
      </c>
      <c r="D132" t="s">
        <v>130</v>
      </c>
      <c r="E132">
        <v>8</v>
      </c>
      <c r="F132">
        <v>3.1</v>
      </c>
      <c r="G132">
        <v>0.39</v>
      </c>
      <c r="H132">
        <v>24</v>
      </c>
      <c r="I132">
        <v>5000</v>
      </c>
      <c r="J132">
        <v>1000</v>
      </c>
      <c r="K132" t="s">
        <v>95</v>
      </c>
      <c r="L132" t="s">
        <v>91</v>
      </c>
      <c r="M132" t="s">
        <v>47</v>
      </c>
      <c r="N132" t="b">
        <v>1</v>
      </c>
      <c r="O132" t="s">
        <v>217</v>
      </c>
    </row>
    <row r="133" spans="1:15" ht="15" customHeight="1">
      <c r="A133" t="s">
        <v>247</v>
      </c>
      <c r="B133" t="s">
        <v>436</v>
      </c>
      <c r="C133" t="s">
        <v>129</v>
      </c>
      <c r="D133" t="s">
        <v>130</v>
      </c>
      <c r="E133">
        <v>9</v>
      </c>
      <c r="F133">
        <v>3.6</v>
      </c>
      <c r="G133">
        <v>0.4</v>
      </c>
      <c r="H133">
        <v>13</v>
      </c>
      <c r="I133">
        <v>5000</v>
      </c>
      <c r="J133">
        <v>1000</v>
      </c>
      <c r="K133" t="s">
        <v>313</v>
      </c>
      <c r="L133" t="s">
        <v>100</v>
      </c>
      <c r="M133" t="s">
        <v>45</v>
      </c>
      <c r="N133" t="b">
        <v>0</v>
      </c>
      <c r="O133" t="s">
        <v>314</v>
      </c>
    </row>
    <row r="134" spans="1:15" ht="15" customHeight="1">
      <c r="A134" t="s">
        <v>187</v>
      </c>
      <c r="B134" t="s">
        <v>437</v>
      </c>
      <c r="C134" t="s">
        <v>149</v>
      </c>
      <c r="D134" t="s">
        <v>69</v>
      </c>
      <c r="E134">
        <v>12</v>
      </c>
      <c r="F134">
        <v>10.7</v>
      </c>
      <c r="G134">
        <v>0.89</v>
      </c>
      <c r="H134">
        <v>15</v>
      </c>
      <c r="I134">
        <v>3000</v>
      </c>
      <c r="J134">
        <v>1000</v>
      </c>
      <c r="K134" t="s">
        <v>438</v>
      </c>
      <c r="L134" t="s">
        <v>100</v>
      </c>
      <c r="M134" t="s">
        <v>40</v>
      </c>
      <c r="N134" t="b">
        <v>0</v>
      </c>
      <c r="O134" t="s">
        <v>90</v>
      </c>
    </row>
    <row r="135" spans="1:15" ht="15" customHeight="1">
      <c r="A135" t="s">
        <v>439</v>
      </c>
      <c r="B135" t="s">
        <v>440</v>
      </c>
      <c r="C135" t="s">
        <v>75</v>
      </c>
      <c r="D135" t="s">
        <v>69</v>
      </c>
      <c r="E135">
        <v>11</v>
      </c>
      <c r="F135">
        <v>8.6999999999999993</v>
      </c>
      <c r="G135">
        <v>0.79</v>
      </c>
      <c r="H135">
        <v>12</v>
      </c>
      <c r="I135">
        <v>2000</v>
      </c>
      <c r="J135">
        <v>1500</v>
      </c>
      <c r="K135" t="s">
        <v>265</v>
      </c>
      <c r="L135" t="s">
        <v>71</v>
      </c>
      <c r="M135" t="s">
        <v>48</v>
      </c>
      <c r="N135" t="b">
        <v>0</v>
      </c>
      <c r="O135" t="s">
        <v>266</v>
      </c>
    </row>
    <row r="136" spans="1:15" ht="15" customHeight="1">
      <c r="A136" t="s">
        <v>441</v>
      </c>
      <c r="B136" t="s">
        <v>442</v>
      </c>
      <c r="C136" t="s">
        <v>81</v>
      </c>
      <c r="D136" t="s">
        <v>69</v>
      </c>
      <c r="E136">
        <v>8</v>
      </c>
      <c r="F136">
        <v>7.2</v>
      </c>
      <c r="G136">
        <v>0.9</v>
      </c>
      <c r="H136">
        <v>21</v>
      </c>
      <c r="I136">
        <v>10000</v>
      </c>
      <c r="J136">
        <v>3000</v>
      </c>
      <c r="K136" t="s">
        <v>279</v>
      </c>
      <c r="L136" t="s">
        <v>77</v>
      </c>
      <c r="M136" t="s">
        <v>43</v>
      </c>
      <c r="N136" t="b">
        <v>0</v>
      </c>
      <c r="O136" t="s">
        <v>280</v>
      </c>
    </row>
    <row r="137" spans="1:15" ht="15" customHeight="1">
      <c r="A137" t="s">
        <v>443</v>
      </c>
      <c r="B137" t="s">
        <v>444</v>
      </c>
      <c r="C137" t="s">
        <v>81</v>
      </c>
      <c r="D137" t="s">
        <v>69</v>
      </c>
      <c r="E137">
        <v>20</v>
      </c>
      <c r="F137">
        <v>9.6</v>
      </c>
      <c r="G137">
        <v>0.48</v>
      </c>
      <c r="H137">
        <v>20</v>
      </c>
      <c r="I137">
        <v>10000</v>
      </c>
      <c r="J137">
        <v>3000</v>
      </c>
      <c r="K137" t="s">
        <v>86</v>
      </c>
      <c r="L137" t="s">
        <v>91</v>
      </c>
      <c r="M137" t="s">
        <v>49</v>
      </c>
      <c r="N137" t="b">
        <v>1</v>
      </c>
      <c r="O137" t="s">
        <v>87</v>
      </c>
    </row>
    <row r="138" spans="1:15" ht="15" customHeight="1">
      <c r="A138" t="s">
        <v>445</v>
      </c>
      <c r="B138" t="s">
        <v>446</v>
      </c>
      <c r="C138" t="s">
        <v>75</v>
      </c>
      <c r="D138" t="s">
        <v>69</v>
      </c>
      <c r="E138">
        <v>8</v>
      </c>
      <c r="F138">
        <v>3.4</v>
      </c>
      <c r="G138">
        <v>0.42</v>
      </c>
      <c r="H138">
        <v>13</v>
      </c>
      <c r="I138">
        <v>2000</v>
      </c>
      <c r="J138">
        <v>1500</v>
      </c>
      <c r="K138" t="s">
        <v>211</v>
      </c>
      <c r="L138" t="s">
        <v>117</v>
      </c>
      <c r="M138" t="s">
        <v>45</v>
      </c>
      <c r="N138" t="b">
        <v>1</v>
      </c>
      <c r="O138" t="s">
        <v>212</v>
      </c>
    </row>
    <row r="139" spans="1:15" ht="15" customHeight="1">
      <c r="A139" t="s">
        <v>447</v>
      </c>
      <c r="B139" t="s">
        <v>448</v>
      </c>
      <c r="C139" t="s">
        <v>75</v>
      </c>
      <c r="D139" t="s">
        <v>69</v>
      </c>
      <c r="E139">
        <v>8</v>
      </c>
      <c r="F139">
        <v>6.2</v>
      </c>
      <c r="G139">
        <v>0.78</v>
      </c>
      <c r="H139">
        <v>23</v>
      </c>
      <c r="I139">
        <v>2000</v>
      </c>
      <c r="J139">
        <v>1500</v>
      </c>
      <c r="K139" t="s">
        <v>207</v>
      </c>
      <c r="L139" t="s">
        <v>71</v>
      </c>
      <c r="M139" t="s">
        <v>44</v>
      </c>
      <c r="N139" t="b">
        <v>0</v>
      </c>
      <c r="O139" t="s">
        <v>208</v>
      </c>
    </row>
    <row r="140" spans="1:15" ht="15" customHeight="1">
      <c r="A140" t="s">
        <v>374</v>
      </c>
      <c r="B140" t="s">
        <v>449</v>
      </c>
      <c r="C140" t="s">
        <v>68</v>
      </c>
      <c r="D140" t="s">
        <v>69</v>
      </c>
      <c r="E140">
        <v>9</v>
      </c>
      <c r="F140">
        <v>2.1</v>
      </c>
      <c r="G140">
        <v>0.23</v>
      </c>
      <c r="H140">
        <v>3</v>
      </c>
      <c r="I140">
        <v>30000</v>
      </c>
      <c r="J140">
        <v>5000</v>
      </c>
      <c r="K140" t="s">
        <v>108</v>
      </c>
      <c r="L140" t="s">
        <v>104</v>
      </c>
      <c r="M140" t="s">
        <v>42</v>
      </c>
      <c r="N140" t="b">
        <v>0</v>
      </c>
      <c r="O140" t="s">
        <v>109</v>
      </c>
    </row>
    <row r="141" spans="1:15" ht="15" customHeight="1">
      <c r="A141" t="s">
        <v>450</v>
      </c>
      <c r="B141" t="s">
        <v>451</v>
      </c>
      <c r="C141" t="s">
        <v>149</v>
      </c>
      <c r="D141" t="s">
        <v>69</v>
      </c>
      <c r="E141">
        <v>9</v>
      </c>
      <c r="F141">
        <v>8.6</v>
      </c>
      <c r="G141">
        <v>0.96</v>
      </c>
      <c r="H141">
        <v>15</v>
      </c>
      <c r="I141">
        <v>3000</v>
      </c>
      <c r="J141">
        <v>1000</v>
      </c>
      <c r="K141" t="s">
        <v>438</v>
      </c>
      <c r="L141" t="s">
        <v>117</v>
      </c>
      <c r="M141" t="s">
        <v>49</v>
      </c>
      <c r="N141" t="b">
        <v>1</v>
      </c>
      <c r="O141" t="s">
        <v>90</v>
      </c>
    </row>
    <row r="142" spans="1:15" ht="15" customHeight="1">
      <c r="A142" t="s">
        <v>121</v>
      </c>
      <c r="B142" t="s">
        <v>452</v>
      </c>
      <c r="C142" t="s">
        <v>68</v>
      </c>
      <c r="D142" t="s">
        <v>69</v>
      </c>
      <c r="E142">
        <v>12</v>
      </c>
      <c r="F142">
        <v>2.2000000000000002</v>
      </c>
      <c r="G142">
        <v>0.18</v>
      </c>
      <c r="H142">
        <v>1</v>
      </c>
      <c r="I142">
        <v>30000</v>
      </c>
      <c r="J142">
        <v>5000</v>
      </c>
      <c r="K142" t="s">
        <v>70</v>
      </c>
      <c r="L142" t="s">
        <v>91</v>
      </c>
      <c r="M142" t="s">
        <v>47</v>
      </c>
      <c r="N142" t="b">
        <v>1</v>
      </c>
      <c r="O142" t="s">
        <v>72</v>
      </c>
    </row>
    <row r="143" spans="1:15" ht="15" customHeight="1">
      <c r="A143" t="s">
        <v>127</v>
      </c>
      <c r="B143" t="s">
        <v>453</v>
      </c>
      <c r="C143" t="s">
        <v>68</v>
      </c>
      <c r="D143" t="s">
        <v>69</v>
      </c>
      <c r="E143">
        <v>9</v>
      </c>
      <c r="F143">
        <v>1.2</v>
      </c>
      <c r="G143">
        <v>0.13</v>
      </c>
      <c r="H143">
        <v>4</v>
      </c>
      <c r="I143">
        <v>30000</v>
      </c>
      <c r="J143">
        <v>5000</v>
      </c>
      <c r="K143" t="s">
        <v>95</v>
      </c>
      <c r="L143" t="s">
        <v>117</v>
      </c>
      <c r="M143" t="s">
        <v>44</v>
      </c>
      <c r="N143" t="b">
        <v>1</v>
      </c>
      <c r="O143" t="s">
        <v>97</v>
      </c>
    </row>
    <row r="144" spans="1:15" ht="15" customHeight="1">
      <c r="A144" t="s">
        <v>410</v>
      </c>
      <c r="B144" t="s">
        <v>454</v>
      </c>
      <c r="C144" t="s">
        <v>81</v>
      </c>
      <c r="D144" t="s">
        <v>69</v>
      </c>
      <c r="E144">
        <v>9</v>
      </c>
      <c r="F144">
        <v>4.0999999999999996</v>
      </c>
      <c r="G144">
        <v>0.46</v>
      </c>
      <c r="H144">
        <v>19</v>
      </c>
      <c r="I144">
        <v>10000</v>
      </c>
      <c r="J144">
        <v>3000</v>
      </c>
      <c r="K144" t="s">
        <v>309</v>
      </c>
      <c r="L144" t="s">
        <v>96</v>
      </c>
      <c r="M144" t="s">
        <v>46</v>
      </c>
      <c r="N144" t="b">
        <v>0</v>
      </c>
      <c r="O144" t="s">
        <v>310</v>
      </c>
    </row>
    <row r="145" spans="1:15" ht="15" customHeight="1">
      <c r="A145" t="s">
        <v>178</v>
      </c>
      <c r="B145" t="s">
        <v>455</v>
      </c>
      <c r="C145" t="s">
        <v>129</v>
      </c>
      <c r="D145" t="s">
        <v>130</v>
      </c>
      <c r="E145">
        <v>15</v>
      </c>
      <c r="F145">
        <v>6.7</v>
      </c>
      <c r="G145">
        <v>0.45</v>
      </c>
      <c r="H145">
        <v>16</v>
      </c>
      <c r="I145">
        <v>5000</v>
      </c>
      <c r="J145">
        <v>1000</v>
      </c>
      <c r="K145" t="s">
        <v>357</v>
      </c>
      <c r="L145" t="s">
        <v>91</v>
      </c>
      <c r="M145" t="s">
        <v>47</v>
      </c>
      <c r="N145" t="b">
        <v>1</v>
      </c>
      <c r="O145" t="s">
        <v>456</v>
      </c>
    </row>
    <row r="146" spans="1:15" ht="15" customHeight="1">
      <c r="A146" t="s">
        <v>237</v>
      </c>
      <c r="B146" t="s">
        <v>457</v>
      </c>
      <c r="C146" t="s">
        <v>68</v>
      </c>
      <c r="D146" t="s">
        <v>69</v>
      </c>
      <c r="E146">
        <v>8</v>
      </c>
      <c r="F146">
        <v>0.9</v>
      </c>
      <c r="G146">
        <v>0.11</v>
      </c>
      <c r="H146">
        <v>4</v>
      </c>
      <c r="I146">
        <v>30000</v>
      </c>
      <c r="J146">
        <v>5000</v>
      </c>
      <c r="K146" t="s">
        <v>95</v>
      </c>
      <c r="L146" t="s">
        <v>77</v>
      </c>
      <c r="M146" t="s">
        <v>49</v>
      </c>
      <c r="N146" t="b">
        <v>0</v>
      </c>
      <c r="O146" t="s">
        <v>97</v>
      </c>
    </row>
    <row r="147" spans="1:15" ht="15" customHeight="1">
      <c r="A147" t="s">
        <v>458</v>
      </c>
      <c r="B147" t="s">
        <v>459</v>
      </c>
      <c r="C147" t="s">
        <v>81</v>
      </c>
      <c r="D147" t="s">
        <v>69</v>
      </c>
      <c r="E147">
        <v>19</v>
      </c>
      <c r="F147">
        <v>11</v>
      </c>
      <c r="G147">
        <v>0.57999999999999996</v>
      </c>
      <c r="H147">
        <v>17</v>
      </c>
      <c r="I147">
        <v>10000</v>
      </c>
      <c r="J147">
        <v>3000</v>
      </c>
      <c r="K147" t="s">
        <v>389</v>
      </c>
      <c r="L147" t="s">
        <v>77</v>
      </c>
      <c r="M147" t="s">
        <v>41</v>
      </c>
      <c r="N147" t="b">
        <v>0</v>
      </c>
      <c r="O147" t="s">
        <v>390</v>
      </c>
    </row>
    <row r="148" spans="1:15" ht="15" customHeight="1">
      <c r="A148" t="s">
        <v>460</v>
      </c>
      <c r="B148" t="s">
        <v>461</v>
      </c>
      <c r="C148" t="s">
        <v>129</v>
      </c>
      <c r="D148" t="s">
        <v>130</v>
      </c>
      <c r="E148">
        <v>16</v>
      </c>
      <c r="F148">
        <v>8</v>
      </c>
      <c r="G148">
        <v>0.5</v>
      </c>
      <c r="H148">
        <v>11</v>
      </c>
      <c r="I148">
        <v>5000</v>
      </c>
      <c r="J148">
        <v>1000</v>
      </c>
      <c r="K148" t="s">
        <v>163</v>
      </c>
      <c r="L148" t="s">
        <v>77</v>
      </c>
      <c r="M148" t="s">
        <v>41</v>
      </c>
      <c r="N148" t="b">
        <v>0</v>
      </c>
      <c r="O148" t="s">
        <v>150</v>
      </c>
    </row>
    <row r="149" spans="1:15" ht="15" customHeight="1">
      <c r="A149" t="s">
        <v>462</v>
      </c>
      <c r="B149" t="s">
        <v>463</v>
      </c>
      <c r="C149" t="s">
        <v>149</v>
      </c>
      <c r="D149" t="s">
        <v>69</v>
      </c>
      <c r="E149">
        <v>11</v>
      </c>
      <c r="F149">
        <v>10.8</v>
      </c>
      <c r="G149">
        <v>0.98</v>
      </c>
      <c r="H149">
        <v>30</v>
      </c>
      <c r="I149">
        <v>3000</v>
      </c>
      <c r="J149">
        <v>1000</v>
      </c>
      <c r="K149" t="s">
        <v>108</v>
      </c>
      <c r="L149" t="s">
        <v>71</v>
      </c>
      <c r="M149" t="s">
        <v>43</v>
      </c>
      <c r="N149" t="b">
        <v>0</v>
      </c>
      <c r="O149" t="s">
        <v>166</v>
      </c>
    </row>
    <row r="150" spans="1:15" ht="15" customHeight="1">
      <c r="A150" t="s">
        <v>464</v>
      </c>
      <c r="B150" t="s">
        <v>465</v>
      </c>
      <c r="C150" t="s">
        <v>68</v>
      </c>
      <c r="D150" t="s">
        <v>69</v>
      </c>
      <c r="E150">
        <v>8</v>
      </c>
      <c r="F150">
        <v>1.3</v>
      </c>
      <c r="G150">
        <v>0.16</v>
      </c>
      <c r="H150">
        <v>4</v>
      </c>
      <c r="I150">
        <v>30000</v>
      </c>
      <c r="J150">
        <v>5000</v>
      </c>
      <c r="K150" t="s">
        <v>95</v>
      </c>
      <c r="L150" t="s">
        <v>100</v>
      </c>
      <c r="M150" t="s">
        <v>41</v>
      </c>
      <c r="N150" t="b">
        <v>0</v>
      </c>
      <c r="O150" t="s">
        <v>97</v>
      </c>
    </row>
    <row r="151" spans="1:15" ht="15" customHeight="1">
      <c r="A151" t="s">
        <v>466</v>
      </c>
      <c r="B151" t="s">
        <v>467</v>
      </c>
      <c r="C151" t="s">
        <v>75</v>
      </c>
      <c r="D151" t="s">
        <v>69</v>
      </c>
      <c r="E151">
        <v>19</v>
      </c>
      <c r="F151">
        <v>8.6</v>
      </c>
      <c r="G151">
        <v>0.45</v>
      </c>
      <c r="H151">
        <v>21</v>
      </c>
      <c r="I151">
        <v>2000</v>
      </c>
      <c r="J151">
        <v>1500</v>
      </c>
      <c r="K151" t="s">
        <v>365</v>
      </c>
      <c r="L151" t="s">
        <v>96</v>
      </c>
      <c r="M151" t="s">
        <v>48</v>
      </c>
      <c r="N151" t="b">
        <v>0</v>
      </c>
      <c r="O151" t="s">
        <v>366</v>
      </c>
    </row>
    <row r="152" spans="1:15" ht="15" customHeight="1">
      <c r="A152" t="s">
        <v>468</v>
      </c>
      <c r="B152" t="s">
        <v>469</v>
      </c>
      <c r="C152" t="s">
        <v>129</v>
      </c>
      <c r="D152" t="s">
        <v>130</v>
      </c>
      <c r="E152">
        <v>18</v>
      </c>
      <c r="F152">
        <v>3.9</v>
      </c>
      <c r="G152">
        <v>0.22</v>
      </c>
      <c r="H152">
        <v>28</v>
      </c>
      <c r="I152">
        <v>5000</v>
      </c>
      <c r="J152">
        <v>1000</v>
      </c>
      <c r="K152" t="s">
        <v>116</v>
      </c>
      <c r="L152" t="s">
        <v>117</v>
      </c>
      <c r="M152" t="s">
        <v>49</v>
      </c>
      <c r="N152" t="b">
        <v>1</v>
      </c>
      <c r="O152" t="s">
        <v>470</v>
      </c>
    </row>
    <row r="153" spans="1:15" ht="15" customHeight="1">
      <c r="A153" t="s">
        <v>471</v>
      </c>
      <c r="B153" t="s">
        <v>472</v>
      </c>
      <c r="C153" t="s">
        <v>68</v>
      </c>
      <c r="D153" t="s">
        <v>69</v>
      </c>
      <c r="E153">
        <v>11</v>
      </c>
      <c r="F153">
        <v>3</v>
      </c>
      <c r="G153">
        <v>0.27</v>
      </c>
      <c r="H153">
        <v>2</v>
      </c>
      <c r="I153">
        <v>30000</v>
      </c>
      <c r="J153">
        <v>5000</v>
      </c>
      <c r="K153" t="s">
        <v>162</v>
      </c>
      <c r="L153" t="s">
        <v>117</v>
      </c>
      <c r="M153" t="s">
        <v>47</v>
      </c>
      <c r="N153" t="b">
        <v>1</v>
      </c>
      <c r="O153" t="s">
        <v>163</v>
      </c>
    </row>
    <row r="154" spans="1:15" ht="15" customHeight="1">
      <c r="A154" t="s">
        <v>473</v>
      </c>
      <c r="B154" t="s">
        <v>474</v>
      </c>
      <c r="C154" t="s">
        <v>68</v>
      </c>
      <c r="D154" t="s">
        <v>69</v>
      </c>
      <c r="E154">
        <v>12</v>
      </c>
      <c r="F154">
        <v>3.2</v>
      </c>
      <c r="G154">
        <v>0.27</v>
      </c>
      <c r="H154">
        <v>3</v>
      </c>
      <c r="I154">
        <v>30000</v>
      </c>
      <c r="J154">
        <v>5000</v>
      </c>
      <c r="K154" t="s">
        <v>108</v>
      </c>
      <c r="L154" t="s">
        <v>77</v>
      </c>
      <c r="M154" t="s">
        <v>42</v>
      </c>
      <c r="N154" t="b">
        <v>0</v>
      </c>
      <c r="O154" t="s">
        <v>109</v>
      </c>
    </row>
    <row r="155" spans="1:15" ht="15" customHeight="1">
      <c r="A155" t="s">
        <v>475</v>
      </c>
      <c r="B155" t="s">
        <v>476</v>
      </c>
      <c r="C155" t="s">
        <v>68</v>
      </c>
      <c r="D155" t="s">
        <v>69</v>
      </c>
      <c r="E155">
        <v>13</v>
      </c>
      <c r="F155">
        <v>1.1000000000000001</v>
      </c>
      <c r="G155">
        <v>0.08</v>
      </c>
      <c r="H155">
        <v>3</v>
      </c>
      <c r="I155">
        <v>30000</v>
      </c>
      <c r="J155">
        <v>5000</v>
      </c>
      <c r="K155" t="s">
        <v>108</v>
      </c>
      <c r="L155" t="s">
        <v>91</v>
      </c>
      <c r="M155" t="s">
        <v>47</v>
      </c>
      <c r="N155" t="b">
        <v>1</v>
      </c>
      <c r="O155" t="s">
        <v>109</v>
      </c>
    </row>
    <row r="156" spans="1:15" ht="15" customHeight="1">
      <c r="A156" t="s">
        <v>477</v>
      </c>
      <c r="B156" t="s">
        <v>478</v>
      </c>
      <c r="C156" t="s">
        <v>149</v>
      </c>
      <c r="D156" t="s">
        <v>69</v>
      </c>
      <c r="E156">
        <v>8</v>
      </c>
      <c r="F156">
        <v>6.7</v>
      </c>
      <c r="G156">
        <v>0.84</v>
      </c>
      <c r="H156">
        <v>25</v>
      </c>
      <c r="I156">
        <v>3000</v>
      </c>
      <c r="J156">
        <v>1000</v>
      </c>
      <c r="K156" t="s">
        <v>479</v>
      </c>
      <c r="L156" t="s">
        <v>71</v>
      </c>
      <c r="M156" t="s">
        <v>42</v>
      </c>
      <c r="N156" t="b">
        <v>0</v>
      </c>
      <c r="O156" t="s">
        <v>480</v>
      </c>
    </row>
    <row r="157" spans="1:15" ht="15" customHeight="1">
      <c r="A157" t="s">
        <v>481</v>
      </c>
      <c r="B157" t="s">
        <v>482</v>
      </c>
      <c r="C157" t="s">
        <v>81</v>
      </c>
      <c r="D157" t="s">
        <v>69</v>
      </c>
      <c r="E157">
        <v>18</v>
      </c>
      <c r="F157">
        <v>3.5</v>
      </c>
      <c r="G157">
        <v>0.19</v>
      </c>
      <c r="H157">
        <v>25</v>
      </c>
      <c r="I157">
        <v>10000</v>
      </c>
      <c r="J157">
        <v>3000</v>
      </c>
      <c r="K157" t="s">
        <v>138</v>
      </c>
      <c r="L157" t="s">
        <v>104</v>
      </c>
      <c r="M157" t="s">
        <v>41</v>
      </c>
      <c r="N157" t="b">
        <v>0</v>
      </c>
      <c r="O157" t="s">
        <v>139</v>
      </c>
    </row>
    <row r="158" spans="1:15" ht="15" customHeight="1">
      <c r="A158" t="s">
        <v>483</v>
      </c>
      <c r="B158" t="s">
        <v>484</v>
      </c>
      <c r="C158" t="s">
        <v>68</v>
      </c>
      <c r="D158" t="s">
        <v>69</v>
      </c>
      <c r="E158">
        <v>9</v>
      </c>
      <c r="F158">
        <v>3.4</v>
      </c>
      <c r="G158">
        <v>0.38</v>
      </c>
      <c r="H158">
        <v>4</v>
      </c>
      <c r="I158">
        <v>30000</v>
      </c>
      <c r="J158">
        <v>5000</v>
      </c>
      <c r="K158" t="s">
        <v>95</v>
      </c>
      <c r="L158" t="s">
        <v>91</v>
      </c>
      <c r="M158" t="s">
        <v>44</v>
      </c>
      <c r="N158" t="b">
        <v>1</v>
      </c>
      <c r="O158" t="s">
        <v>97</v>
      </c>
    </row>
    <row r="159" spans="1:15" ht="15" customHeight="1">
      <c r="A159" t="s">
        <v>485</v>
      </c>
      <c r="B159" t="s">
        <v>486</v>
      </c>
      <c r="C159" t="s">
        <v>75</v>
      </c>
      <c r="D159" t="s">
        <v>69</v>
      </c>
      <c r="E159">
        <v>16</v>
      </c>
      <c r="F159">
        <v>9.5</v>
      </c>
      <c r="G159">
        <v>0.59</v>
      </c>
      <c r="H159">
        <v>13</v>
      </c>
      <c r="I159">
        <v>2000</v>
      </c>
      <c r="J159">
        <v>1500</v>
      </c>
      <c r="K159" t="s">
        <v>211</v>
      </c>
      <c r="L159" t="s">
        <v>100</v>
      </c>
      <c r="M159" t="s">
        <v>50</v>
      </c>
      <c r="N159" t="b">
        <v>0</v>
      </c>
      <c r="O159" t="s">
        <v>212</v>
      </c>
    </row>
    <row r="160" spans="1:15" ht="15" customHeight="1">
      <c r="A160" t="s">
        <v>487</v>
      </c>
      <c r="B160" t="s">
        <v>488</v>
      </c>
      <c r="C160" t="s">
        <v>149</v>
      </c>
      <c r="D160" t="s">
        <v>69</v>
      </c>
      <c r="E160">
        <v>12</v>
      </c>
      <c r="F160">
        <v>8.9</v>
      </c>
      <c r="G160">
        <v>0.74</v>
      </c>
      <c r="H160">
        <v>23</v>
      </c>
      <c r="I160">
        <v>3000</v>
      </c>
      <c r="J160">
        <v>1000</v>
      </c>
      <c r="K160" t="s">
        <v>229</v>
      </c>
      <c r="L160" t="s">
        <v>96</v>
      </c>
      <c r="M160" t="s">
        <v>43</v>
      </c>
      <c r="N160" t="b">
        <v>0</v>
      </c>
      <c r="O160" t="s">
        <v>249</v>
      </c>
    </row>
    <row r="161" spans="1:15" ht="15" customHeight="1">
      <c r="A161" t="s">
        <v>445</v>
      </c>
      <c r="B161" t="s">
        <v>489</v>
      </c>
      <c r="C161" t="s">
        <v>149</v>
      </c>
      <c r="D161" t="s">
        <v>69</v>
      </c>
      <c r="E161">
        <v>9</v>
      </c>
      <c r="F161">
        <v>7.2</v>
      </c>
      <c r="G161">
        <v>0.8</v>
      </c>
      <c r="H161">
        <v>24</v>
      </c>
      <c r="I161">
        <v>3000</v>
      </c>
      <c r="J161">
        <v>1000</v>
      </c>
      <c r="K161" t="s">
        <v>490</v>
      </c>
      <c r="L161" t="s">
        <v>117</v>
      </c>
      <c r="M161" t="s">
        <v>45</v>
      </c>
      <c r="N161" t="b">
        <v>1</v>
      </c>
      <c r="O161" t="s">
        <v>491</v>
      </c>
    </row>
    <row r="162" spans="1:15" ht="15" customHeight="1">
      <c r="A162" t="s">
        <v>285</v>
      </c>
      <c r="B162" t="s">
        <v>492</v>
      </c>
      <c r="C162" t="s">
        <v>75</v>
      </c>
      <c r="D162" t="s">
        <v>69</v>
      </c>
      <c r="E162">
        <v>12</v>
      </c>
      <c r="F162">
        <v>9.6999999999999993</v>
      </c>
      <c r="G162">
        <v>0.81</v>
      </c>
      <c r="H162">
        <v>24</v>
      </c>
      <c r="I162">
        <v>2000</v>
      </c>
      <c r="J162">
        <v>1500</v>
      </c>
      <c r="K162" t="s">
        <v>361</v>
      </c>
      <c r="L162" t="s">
        <v>77</v>
      </c>
      <c r="M162" t="s">
        <v>45</v>
      </c>
      <c r="N162" t="b">
        <v>0</v>
      </c>
      <c r="O162" t="s">
        <v>362</v>
      </c>
    </row>
    <row r="163" spans="1:15" ht="15" customHeight="1">
      <c r="A163" t="s">
        <v>347</v>
      </c>
      <c r="B163" t="s">
        <v>493</v>
      </c>
      <c r="C163" t="s">
        <v>68</v>
      </c>
      <c r="D163" t="s">
        <v>69</v>
      </c>
      <c r="E163">
        <v>13</v>
      </c>
      <c r="F163">
        <v>3.4</v>
      </c>
      <c r="G163">
        <v>0.26</v>
      </c>
      <c r="H163">
        <v>4</v>
      </c>
      <c r="I163">
        <v>30000</v>
      </c>
      <c r="J163">
        <v>5000</v>
      </c>
      <c r="K163" t="s">
        <v>95</v>
      </c>
      <c r="L163" t="s">
        <v>104</v>
      </c>
      <c r="M163" t="s">
        <v>42</v>
      </c>
      <c r="N163" t="b">
        <v>0</v>
      </c>
      <c r="O163" t="s">
        <v>97</v>
      </c>
    </row>
    <row r="164" spans="1:15" ht="15" customHeight="1">
      <c r="A164" t="s">
        <v>462</v>
      </c>
      <c r="B164" t="s">
        <v>494</v>
      </c>
      <c r="C164" t="s">
        <v>75</v>
      </c>
      <c r="D164" t="s">
        <v>69</v>
      </c>
      <c r="E164">
        <v>18</v>
      </c>
      <c r="F164">
        <v>9.9</v>
      </c>
      <c r="G164">
        <v>0.55000000000000004</v>
      </c>
      <c r="H164">
        <v>23</v>
      </c>
      <c r="I164">
        <v>2000</v>
      </c>
      <c r="J164">
        <v>1500</v>
      </c>
      <c r="K164" t="s">
        <v>207</v>
      </c>
      <c r="L164" t="s">
        <v>71</v>
      </c>
      <c r="M164" t="s">
        <v>43</v>
      </c>
      <c r="N164" t="b">
        <v>0</v>
      </c>
      <c r="O164" t="s">
        <v>208</v>
      </c>
    </row>
    <row r="165" spans="1:15" ht="15" customHeight="1">
      <c r="A165" t="s">
        <v>495</v>
      </c>
      <c r="B165" t="s">
        <v>496</v>
      </c>
      <c r="C165" t="s">
        <v>81</v>
      </c>
      <c r="D165" t="s">
        <v>69</v>
      </c>
      <c r="E165">
        <v>10</v>
      </c>
      <c r="F165">
        <v>6.4</v>
      </c>
      <c r="G165">
        <v>0.64</v>
      </c>
      <c r="H165">
        <v>25</v>
      </c>
      <c r="I165">
        <v>10000</v>
      </c>
      <c r="J165">
        <v>3000</v>
      </c>
      <c r="K165" t="s">
        <v>138</v>
      </c>
      <c r="L165" t="s">
        <v>100</v>
      </c>
      <c r="M165" t="s">
        <v>44</v>
      </c>
      <c r="N165" t="b">
        <v>0</v>
      </c>
      <c r="O165" t="s">
        <v>139</v>
      </c>
    </row>
    <row r="166" spans="1:15" ht="15" customHeight="1">
      <c r="A166" t="s">
        <v>497</v>
      </c>
      <c r="B166" t="s">
        <v>498</v>
      </c>
      <c r="C166" t="s">
        <v>81</v>
      </c>
      <c r="D166" t="s">
        <v>69</v>
      </c>
      <c r="E166">
        <v>16</v>
      </c>
      <c r="F166">
        <v>7.4</v>
      </c>
      <c r="G166">
        <v>0.46</v>
      </c>
      <c r="H166">
        <v>25</v>
      </c>
      <c r="I166">
        <v>10000</v>
      </c>
      <c r="J166">
        <v>3000</v>
      </c>
      <c r="K166" t="s">
        <v>138</v>
      </c>
      <c r="L166" t="s">
        <v>104</v>
      </c>
      <c r="M166" t="s">
        <v>44</v>
      </c>
      <c r="N166" t="b">
        <v>0</v>
      </c>
      <c r="O166" t="s">
        <v>139</v>
      </c>
    </row>
    <row r="167" spans="1:15" ht="15" customHeight="1">
      <c r="A167" t="s">
        <v>414</v>
      </c>
      <c r="B167" t="s">
        <v>499</v>
      </c>
      <c r="C167" t="s">
        <v>129</v>
      </c>
      <c r="D167" t="s">
        <v>130</v>
      </c>
      <c r="E167">
        <v>13</v>
      </c>
      <c r="F167">
        <v>3.7</v>
      </c>
      <c r="G167">
        <v>0.28000000000000003</v>
      </c>
      <c r="H167">
        <v>10</v>
      </c>
      <c r="I167">
        <v>5000</v>
      </c>
      <c r="J167">
        <v>1000</v>
      </c>
      <c r="K167" t="s">
        <v>158</v>
      </c>
      <c r="L167" t="s">
        <v>117</v>
      </c>
      <c r="M167" t="s">
        <v>46</v>
      </c>
      <c r="N167" t="b">
        <v>1</v>
      </c>
      <c r="O167" t="s">
        <v>159</v>
      </c>
    </row>
    <row r="168" spans="1:15" ht="15" customHeight="1">
      <c r="A168" t="s">
        <v>500</v>
      </c>
      <c r="B168" t="s">
        <v>501</v>
      </c>
      <c r="C168" t="s">
        <v>149</v>
      </c>
      <c r="D168" t="s">
        <v>69</v>
      </c>
      <c r="E168">
        <v>9</v>
      </c>
      <c r="F168">
        <v>6.6</v>
      </c>
      <c r="G168">
        <v>0.73</v>
      </c>
      <c r="H168">
        <v>26</v>
      </c>
      <c r="I168">
        <v>3000</v>
      </c>
      <c r="J168">
        <v>1000</v>
      </c>
      <c r="K168" t="s">
        <v>294</v>
      </c>
      <c r="L168" t="s">
        <v>77</v>
      </c>
      <c r="M168" t="s">
        <v>47</v>
      </c>
      <c r="N168" t="b">
        <v>0</v>
      </c>
      <c r="O168" t="s">
        <v>295</v>
      </c>
    </row>
    <row r="169" spans="1:15" ht="15" customHeight="1">
      <c r="A169" t="s">
        <v>230</v>
      </c>
      <c r="B169" t="s">
        <v>502</v>
      </c>
      <c r="C169" t="s">
        <v>129</v>
      </c>
      <c r="D169" t="s">
        <v>130</v>
      </c>
      <c r="E169">
        <v>13</v>
      </c>
      <c r="F169">
        <v>9.8000000000000007</v>
      </c>
      <c r="G169">
        <v>0.75</v>
      </c>
      <c r="H169">
        <v>16</v>
      </c>
      <c r="I169">
        <v>5000</v>
      </c>
      <c r="J169">
        <v>1000</v>
      </c>
      <c r="K169" t="s">
        <v>357</v>
      </c>
      <c r="L169" t="s">
        <v>91</v>
      </c>
      <c r="M169" t="s">
        <v>40</v>
      </c>
      <c r="N169" t="b">
        <v>1</v>
      </c>
      <c r="O169" t="s">
        <v>456</v>
      </c>
    </row>
    <row r="170" spans="1:15" ht="15" customHeight="1">
      <c r="A170" t="s">
        <v>503</v>
      </c>
      <c r="B170" t="s">
        <v>504</v>
      </c>
      <c r="C170" t="s">
        <v>81</v>
      </c>
      <c r="D170" t="s">
        <v>69</v>
      </c>
      <c r="E170">
        <v>15</v>
      </c>
      <c r="F170">
        <v>8.1999999999999993</v>
      </c>
      <c r="G170">
        <v>0.55000000000000004</v>
      </c>
      <c r="H170">
        <v>19</v>
      </c>
      <c r="I170">
        <v>10000</v>
      </c>
      <c r="J170">
        <v>3000</v>
      </c>
      <c r="K170" t="s">
        <v>309</v>
      </c>
      <c r="L170" t="s">
        <v>91</v>
      </c>
      <c r="M170" t="s">
        <v>43</v>
      </c>
      <c r="N170" t="b">
        <v>1</v>
      </c>
      <c r="O170" t="s">
        <v>310</v>
      </c>
    </row>
    <row r="171" spans="1:15" ht="15" customHeight="1">
      <c r="A171" t="s">
        <v>505</v>
      </c>
      <c r="B171" t="s">
        <v>506</v>
      </c>
      <c r="C171" t="s">
        <v>68</v>
      </c>
      <c r="D171" t="s">
        <v>69</v>
      </c>
      <c r="E171">
        <v>13</v>
      </c>
      <c r="F171">
        <v>3.1</v>
      </c>
      <c r="G171">
        <v>0.24</v>
      </c>
      <c r="H171">
        <v>4</v>
      </c>
      <c r="I171">
        <v>30000</v>
      </c>
      <c r="J171">
        <v>5000</v>
      </c>
      <c r="K171" t="s">
        <v>95</v>
      </c>
      <c r="L171" t="s">
        <v>100</v>
      </c>
      <c r="M171" t="s">
        <v>51</v>
      </c>
      <c r="N171" t="b">
        <v>0</v>
      </c>
      <c r="O171" t="s">
        <v>97</v>
      </c>
    </row>
    <row r="172" spans="1:15" ht="15" customHeight="1">
      <c r="A172" t="s">
        <v>507</v>
      </c>
      <c r="B172" t="s">
        <v>508</v>
      </c>
      <c r="C172" t="s">
        <v>81</v>
      </c>
      <c r="D172" t="s">
        <v>69</v>
      </c>
      <c r="E172">
        <v>12</v>
      </c>
      <c r="F172">
        <v>5.3</v>
      </c>
      <c r="G172">
        <v>0.44</v>
      </c>
      <c r="H172">
        <v>15</v>
      </c>
      <c r="I172">
        <v>10000</v>
      </c>
      <c r="J172">
        <v>3000</v>
      </c>
      <c r="K172" t="s">
        <v>112</v>
      </c>
      <c r="L172" t="s">
        <v>104</v>
      </c>
      <c r="M172" t="s">
        <v>40</v>
      </c>
      <c r="N172" t="b">
        <v>0</v>
      </c>
      <c r="O172" t="s">
        <v>234</v>
      </c>
    </row>
    <row r="173" spans="1:15" ht="15" customHeight="1">
      <c r="A173" t="s">
        <v>247</v>
      </c>
      <c r="B173" t="s">
        <v>509</v>
      </c>
      <c r="C173" t="s">
        <v>75</v>
      </c>
      <c r="D173" t="s">
        <v>69</v>
      </c>
      <c r="E173">
        <v>14</v>
      </c>
      <c r="F173">
        <v>13.5</v>
      </c>
      <c r="G173">
        <v>0.96</v>
      </c>
      <c r="H173">
        <v>30</v>
      </c>
      <c r="I173">
        <v>2000</v>
      </c>
      <c r="J173">
        <v>1500</v>
      </c>
      <c r="K173" t="s">
        <v>162</v>
      </c>
      <c r="L173" t="s">
        <v>100</v>
      </c>
      <c r="M173" t="s">
        <v>45</v>
      </c>
      <c r="N173" t="b">
        <v>0</v>
      </c>
      <c r="O173" t="s">
        <v>510</v>
      </c>
    </row>
    <row r="174" spans="1:15" ht="15" customHeight="1">
      <c r="A174" t="s">
        <v>511</v>
      </c>
      <c r="B174" t="s">
        <v>512</v>
      </c>
      <c r="C174" t="s">
        <v>68</v>
      </c>
      <c r="D174" t="s">
        <v>69</v>
      </c>
      <c r="E174">
        <v>9</v>
      </c>
      <c r="F174">
        <v>3.7</v>
      </c>
      <c r="G174">
        <v>0.41</v>
      </c>
      <c r="H174">
        <v>1</v>
      </c>
      <c r="I174">
        <v>30000</v>
      </c>
      <c r="J174">
        <v>5000</v>
      </c>
      <c r="K174" t="s">
        <v>70</v>
      </c>
      <c r="L174" t="s">
        <v>104</v>
      </c>
      <c r="M174" t="s">
        <v>50</v>
      </c>
      <c r="N174" t="b">
        <v>0</v>
      </c>
      <c r="O174" t="s">
        <v>72</v>
      </c>
    </row>
    <row r="175" spans="1:15" ht="15" customHeight="1">
      <c r="A175" t="s">
        <v>513</v>
      </c>
      <c r="B175" t="s">
        <v>514</v>
      </c>
      <c r="C175" t="s">
        <v>75</v>
      </c>
      <c r="D175" t="s">
        <v>69</v>
      </c>
      <c r="E175">
        <v>11</v>
      </c>
      <c r="F175">
        <v>5.4</v>
      </c>
      <c r="G175">
        <v>0.49</v>
      </c>
      <c r="H175">
        <v>22</v>
      </c>
      <c r="I175">
        <v>2000</v>
      </c>
      <c r="J175">
        <v>1500</v>
      </c>
      <c r="K175" t="s">
        <v>90</v>
      </c>
      <c r="L175" t="s">
        <v>96</v>
      </c>
      <c r="M175" t="s">
        <v>40</v>
      </c>
      <c r="N175" t="b">
        <v>0</v>
      </c>
      <c r="O175" t="s">
        <v>92</v>
      </c>
    </row>
    <row r="176" spans="1:15" ht="15" customHeight="1">
      <c r="A176" t="s">
        <v>319</v>
      </c>
      <c r="B176" t="s">
        <v>515</v>
      </c>
      <c r="C176" t="s">
        <v>149</v>
      </c>
      <c r="D176" t="s">
        <v>69</v>
      </c>
      <c r="E176">
        <v>8</v>
      </c>
      <c r="F176">
        <v>6.4</v>
      </c>
      <c r="G176">
        <v>0.8</v>
      </c>
      <c r="H176">
        <v>19</v>
      </c>
      <c r="I176">
        <v>3000</v>
      </c>
      <c r="J176">
        <v>1000</v>
      </c>
      <c r="K176" t="s">
        <v>198</v>
      </c>
      <c r="L176" t="s">
        <v>96</v>
      </c>
      <c r="M176" t="s">
        <v>51</v>
      </c>
      <c r="N176" t="b">
        <v>0</v>
      </c>
      <c r="O176" t="s">
        <v>262</v>
      </c>
    </row>
    <row r="177" spans="1:15" ht="15" customHeight="1">
      <c r="A177" t="s">
        <v>344</v>
      </c>
      <c r="B177" t="s">
        <v>516</v>
      </c>
      <c r="C177" t="s">
        <v>81</v>
      </c>
      <c r="D177" t="s">
        <v>69</v>
      </c>
      <c r="E177">
        <v>16</v>
      </c>
      <c r="F177">
        <v>8.8000000000000007</v>
      </c>
      <c r="G177">
        <v>0.55000000000000004</v>
      </c>
      <c r="H177">
        <v>27</v>
      </c>
      <c r="I177">
        <v>10000</v>
      </c>
      <c r="J177">
        <v>3000</v>
      </c>
      <c r="K177" t="s">
        <v>125</v>
      </c>
      <c r="L177" t="s">
        <v>100</v>
      </c>
      <c r="M177" t="s">
        <v>50</v>
      </c>
      <c r="N177" t="b">
        <v>0</v>
      </c>
      <c r="O177" t="s">
        <v>126</v>
      </c>
    </row>
    <row r="178" spans="1:15" ht="15" customHeight="1">
      <c r="A178" t="s">
        <v>517</v>
      </c>
      <c r="B178" t="s">
        <v>518</v>
      </c>
      <c r="C178" t="s">
        <v>75</v>
      </c>
      <c r="D178" t="s">
        <v>69</v>
      </c>
      <c r="E178">
        <v>15</v>
      </c>
      <c r="F178">
        <v>14.9</v>
      </c>
      <c r="G178">
        <v>0.99</v>
      </c>
      <c r="H178">
        <v>29</v>
      </c>
      <c r="I178">
        <v>2000</v>
      </c>
      <c r="J178">
        <v>1500</v>
      </c>
      <c r="K178" t="s">
        <v>519</v>
      </c>
      <c r="L178" t="s">
        <v>100</v>
      </c>
      <c r="M178" t="s">
        <v>46</v>
      </c>
      <c r="N178" t="b">
        <v>0</v>
      </c>
      <c r="O178" t="s">
        <v>520</v>
      </c>
    </row>
    <row r="179" spans="1:15" ht="15" customHeight="1">
      <c r="A179" t="s">
        <v>447</v>
      </c>
      <c r="B179" t="s">
        <v>521</v>
      </c>
      <c r="C179" t="s">
        <v>68</v>
      </c>
      <c r="D179" t="s">
        <v>69</v>
      </c>
      <c r="E179">
        <v>11</v>
      </c>
      <c r="F179">
        <v>0.9</v>
      </c>
      <c r="G179">
        <v>0.08</v>
      </c>
      <c r="H179">
        <v>5</v>
      </c>
      <c r="I179">
        <v>30000</v>
      </c>
      <c r="J179">
        <v>5000</v>
      </c>
      <c r="K179" t="s">
        <v>112</v>
      </c>
      <c r="L179" t="s">
        <v>71</v>
      </c>
      <c r="M179" t="s">
        <v>44</v>
      </c>
      <c r="N179" t="b">
        <v>0</v>
      </c>
      <c r="O179" t="s">
        <v>113</v>
      </c>
    </row>
    <row r="180" spans="1:15" ht="15" customHeight="1">
      <c r="A180" t="s">
        <v>522</v>
      </c>
      <c r="B180" t="s">
        <v>523</v>
      </c>
      <c r="C180" t="s">
        <v>149</v>
      </c>
      <c r="D180" t="s">
        <v>69</v>
      </c>
      <c r="E180">
        <v>8</v>
      </c>
      <c r="F180">
        <v>6.4</v>
      </c>
      <c r="G180">
        <v>0.8</v>
      </c>
      <c r="H180">
        <v>39</v>
      </c>
      <c r="I180">
        <v>3000</v>
      </c>
      <c r="J180">
        <v>1000</v>
      </c>
      <c r="K180" t="s">
        <v>257</v>
      </c>
      <c r="L180" t="s">
        <v>96</v>
      </c>
      <c r="M180" t="s">
        <v>48</v>
      </c>
      <c r="N180" t="b">
        <v>0</v>
      </c>
      <c r="O180" t="s">
        <v>258</v>
      </c>
    </row>
    <row r="181" spans="1:15" ht="15" customHeight="1">
      <c r="A181" t="s">
        <v>517</v>
      </c>
      <c r="B181" t="s">
        <v>524</v>
      </c>
      <c r="C181" t="s">
        <v>81</v>
      </c>
      <c r="D181" t="s">
        <v>69</v>
      </c>
      <c r="E181">
        <v>10</v>
      </c>
      <c r="F181">
        <v>7.2</v>
      </c>
      <c r="G181">
        <v>0.72</v>
      </c>
      <c r="H181">
        <v>26</v>
      </c>
      <c r="I181">
        <v>10000</v>
      </c>
      <c r="J181">
        <v>3000</v>
      </c>
      <c r="K181" t="s">
        <v>525</v>
      </c>
      <c r="L181" t="s">
        <v>100</v>
      </c>
      <c r="M181" t="s">
        <v>46</v>
      </c>
      <c r="N181" t="b">
        <v>0</v>
      </c>
      <c r="O181" t="s">
        <v>526</v>
      </c>
    </row>
    <row r="182" spans="1:15" ht="15" customHeight="1">
      <c r="A182" t="s">
        <v>473</v>
      </c>
      <c r="B182" t="s">
        <v>527</v>
      </c>
      <c r="C182" t="s">
        <v>75</v>
      </c>
      <c r="D182" t="s">
        <v>69</v>
      </c>
      <c r="E182">
        <v>8</v>
      </c>
      <c r="F182">
        <v>5.0999999999999996</v>
      </c>
      <c r="G182">
        <v>0.64</v>
      </c>
      <c r="H182">
        <v>27</v>
      </c>
      <c r="I182">
        <v>2000</v>
      </c>
      <c r="J182">
        <v>1500</v>
      </c>
      <c r="K182" t="s">
        <v>150</v>
      </c>
      <c r="L182" t="s">
        <v>77</v>
      </c>
      <c r="M182" t="s">
        <v>42</v>
      </c>
      <c r="N182" t="b">
        <v>0</v>
      </c>
      <c r="O182" t="s">
        <v>528</v>
      </c>
    </row>
    <row r="183" spans="1:15" ht="15" customHeight="1">
      <c r="A183" t="s">
        <v>170</v>
      </c>
      <c r="B183" t="s">
        <v>529</v>
      </c>
      <c r="C183" t="s">
        <v>149</v>
      </c>
      <c r="D183" t="s">
        <v>69</v>
      </c>
      <c r="E183">
        <v>10</v>
      </c>
      <c r="F183">
        <v>9.1999999999999993</v>
      </c>
      <c r="G183">
        <v>0.92</v>
      </c>
      <c r="H183">
        <v>31</v>
      </c>
      <c r="I183">
        <v>3000</v>
      </c>
      <c r="J183">
        <v>1000</v>
      </c>
      <c r="K183" t="s">
        <v>530</v>
      </c>
      <c r="L183" t="s">
        <v>96</v>
      </c>
      <c r="M183" t="s">
        <v>44</v>
      </c>
      <c r="N183" t="b">
        <v>0</v>
      </c>
      <c r="O183" t="s">
        <v>531</v>
      </c>
    </row>
    <row r="184" spans="1:15" ht="15" customHeight="1">
      <c r="A184" t="s">
        <v>532</v>
      </c>
      <c r="B184" t="s">
        <v>533</v>
      </c>
      <c r="C184" t="s">
        <v>81</v>
      </c>
      <c r="D184" t="s">
        <v>69</v>
      </c>
      <c r="E184">
        <v>18</v>
      </c>
      <c r="F184">
        <v>9.6999999999999993</v>
      </c>
      <c r="G184">
        <v>0.54</v>
      </c>
      <c r="H184">
        <v>9</v>
      </c>
      <c r="I184">
        <v>10000</v>
      </c>
      <c r="J184">
        <v>3000</v>
      </c>
      <c r="K184" t="s">
        <v>108</v>
      </c>
      <c r="L184" t="s">
        <v>71</v>
      </c>
      <c r="M184" t="s">
        <v>43</v>
      </c>
      <c r="N184" t="b">
        <v>0</v>
      </c>
      <c r="O184" t="s">
        <v>303</v>
      </c>
    </row>
    <row r="185" spans="1:15" ht="15" customHeight="1">
      <c r="A185" t="s">
        <v>534</v>
      </c>
      <c r="B185" t="s">
        <v>535</v>
      </c>
      <c r="C185" t="s">
        <v>81</v>
      </c>
      <c r="D185" t="s">
        <v>69</v>
      </c>
      <c r="E185">
        <v>10</v>
      </c>
      <c r="F185">
        <v>4.8</v>
      </c>
      <c r="G185">
        <v>0.48</v>
      </c>
      <c r="H185">
        <v>26</v>
      </c>
      <c r="I185">
        <v>10000</v>
      </c>
      <c r="J185">
        <v>3000</v>
      </c>
      <c r="K185" t="s">
        <v>525</v>
      </c>
      <c r="L185" t="s">
        <v>71</v>
      </c>
      <c r="M185" t="s">
        <v>51</v>
      </c>
      <c r="N185" t="b">
        <v>0</v>
      </c>
      <c r="O185" t="s">
        <v>526</v>
      </c>
    </row>
    <row r="186" spans="1:15" ht="15" customHeight="1">
      <c r="A186" t="s">
        <v>536</v>
      </c>
      <c r="B186" t="s">
        <v>537</v>
      </c>
      <c r="C186" t="s">
        <v>129</v>
      </c>
      <c r="D186" t="s">
        <v>130</v>
      </c>
      <c r="E186">
        <v>13</v>
      </c>
      <c r="F186">
        <v>12.6</v>
      </c>
      <c r="G186">
        <v>0.97</v>
      </c>
      <c r="H186">
        <v>13</v>
      </c>
      <c r="I186">
        <v>5000</v>
      </c>
      <c r="J186">
        <v>1000</v>
      </c>
      <c r="K186" t="s">
        <v>313</v>
      </c>
      <c r="L186" t="s">
        <v>104</v>
      </c>
      <c r="M186" t="s">
        <v>44</v>
      </c>
      <c r="N186" t="b">
        <v>0</v>
      </c>
      <c r="O186" t="s">
        <v>314</v>
      </c>
    </row>
    <row r="187" spans="1:15" ht="15" customHeight="1">
      <c r="A187" t="s">
        <v>538</v>
      </c>
      <c r="B187" t="s">
        <v>539</v>
      </c>
      <c r="C187" t="s">
        <v>129</v>
      </c>
      <c r="D187" t="s">
        <v>130</v>
      </c>
      <c r="E187">
        <v>10</v>
      </c>
      <c r="F187">
        <v>4.5</v>
      </c>
      <c r="G187">
        <v>0.45</v>
      </c>
      <c r="H187">
        <v>11</v>
      </c>
      <c r="I187">
        <v>5000</v>
      </c>
      <c r="J187">
        <v>1000</v>
      </c>
      <c r="K187" t="s">
        <v>163</v>
      </c>
      <c r="L187" t="s">
        <v>96</v>
      </c>
      <c r="M187" t="s">
        <v>50</v>
      </c>
      <c r="N187" t="b">
        <v>0</v>
      </c>
      <c r="O187" t="s">
        <v>150</v>
      </c>
    </row>
    <row r="188" spans="1:15" ht="15" customHeight="1">
      <c r="A188" t="s">
        <v>349</v>
      </c>
      <c r="B188" t="s">
        <v>540</v>
      </c>
      <c r="C188" t="s">
        <v>68</v>
      </c>
      <c r="D188" t="s">
        <v>69</v>
      </c>
      <c r="E188">
        <v>12</v>
      </c>
      <c r="F188">
        <v>1.2</v>
      </c>
      <c r="G188">
        <v>0.1</v>
      </c>
      <c r="H188">
        <v>4</v>
      </c>
      <c r="I188">
        <v>30000</v>
      </c>
      <c r="J188">
        <v>5000</v>
      </c>
      <c r="K188" t="s">
        <v>95</v>
      </c>
      <c r="L188" t="s">
        <v>100</v>
      </c>
      <c r="M188" t="s">
        <v>41</v>
      </c>
      <c r="N188" t="b">
        <v>0</v>
      </c>
      <c r="O188" t="s">
        <v>97</v>
      </c>
    </row>
    <row r="189" spans="1:15" ht="15" customHeight="1">
      <c r="A189" t="s">
        <v>152</v>
      </c>
      <c r="B189" t="s">
        <v>541</v>
      </c>
      <c r="C189" t="s">
        <v>75</v>
      </c>
      <c r="D189" t="s">
        <v>69</v>
      </c>
      <c r="E189">
        <v>18</v>
      </c>
      <c r="F189">
        <v>11.4</v>
      </c>
      <c r="G189">
        <v>0.63</v>
      </c>
      <c r="H189">
        <v>28</v>
      </c>
      <c r="I189">
        <v>2000</v>
      </c>
      <c r="J189">
        <v>1500</v>
      </c>
      <c r="K189" t="s">
        <v>262</v>
      </c>
      <c r="L189" t="s">
        <v>71</v>
      </c>
      <c r="M189" t="s">
        <v>48</v>
      </c>
      <c r="N189" t="b">
        <v>0</v>
      </c>
      <c r="O189" t="s">
        <v>289</v>
      </c>
    </row>
    <row r="190" spans="1:15" ht="15" customHeight="1">
      <c r="A190" t="s">
        <v>542</v>
      </c>
      <c r="B190" t="s">
        <v>543</v>
      </c>
      <c r="C190" t="s">
        <v>68</v>
      </c>
      <c r="D190" t="s">
        <v>69</v>
      </c>
      <c r="E190">
        <v>13</v>
      </c>
      <c r="F190">
        <v>1.4</v>
      </c>
      <c r="G190">
        <v>0.11</v>
      </c>
      <c r="H190">
        <v>5</v>
      </c>
      <c r="I190">
        <v>30000</v>
      </c>
      <c r="J190">
        <v>5000</v>
      </c>
      <c r="K190" t="s">
        <v>112</v>
      </c>
      <c r="L190" t="s">
        <v>77</v>
      </c>
      <c r="M190" t="s">
        <v>44</v>
      </c>
      <c r="N190" t="b">
        <v>0</v>
      </c>
      <c r="O190" t="s">
        <v>113</v>
      </c>
    </row>
    <row r="191" spans="1:15" ht="15" customHeight="1">
      <c r="A191" t="s">
        <v>544</v>
      </c>
      <c r="B191" t="s">
        <v>545</v>
      </c>
      <c r="C191" t="s">
        <v>129</v>
      </c>
      <c r="D191" t="s">
        <v>130</v>
      </c>
      <c r="E191">
        <v>18</v>
      </c>
      <c r="F191">
        <v>10.3</v>
      </c>
      <c r="G191">
        <v>0.56999999999999995</v>
      </c>
      <c r="H191">
        <v>22</v>
      </c>
      <c r="I191">
        <v>5000</v>
      </c>
      <c r="J191">
        <v>1000</v>
      </c>
      <c r="K191" t="s">
        <v>134</v>
      </c>
      <c r="L191" t="s">
        <v>100</v>
      </c>
      <c r="M191" t="s">
        <v>42</v>
      </c>
      <c r="N191" t="b">
        <v>0</v>
      </c>
      <c r="O191" t="s">
        <v>135</v>
      </c>
    </row>
    <row r="192" spans="1:15" ht="15" customHeight="1">
      <c r="A192" t="s">
        <v>546</v>
      </c>
      <c r="B192" t="s">
        <v>547</v>
      </c>
      <c r="C192" t="s">
        <v>81</v>
      </c>
      <c r="D192" t="s">
        <v>69</v>
      </c>
      <c r="E192">
        <v>11</v>
      </c>
      <c r="F192">
        <v>6.8</v>
      </c>
      <c r="G192">
        <v>0.62</v>
      </c>
      <c r="H192">
        <v>22</v>
      </c>
      <c r="I192">
        <v>10000</v>
      </c>
      <c r="J192">
        <v>3000</v>
      </c>
      <c r="K192" t="s">
        <v>548</v>
      </c>
      <c r="L192" t="s">
        <v>100</v>
      </c>
      <c r="M192" t="s">
        <v>45</v>
      </c>
      <c r="N192" t="b">
        <v>0</v>
      </c>
      <c r="O192" t="s">
        <v>549</v>
      </c>
    </row>
    <row r="193" spans="1:15" ht="15" customHeight="1">
      <c r="A193" t="s">
        <v>511</v>
      </c>
      <c r="B193" t="s">
        <v>550</v>
      </c>
      <c r="C193" t="s">
        <v>129</v>
      </c>
      <c r="D193" t="s">
        <v>130</v>
      </c>
      <c r="E193">
        <v>8</v>
      </c>
      <c r="F193">
        <v>5.8</v>
      </c>
      <c r="G193">
        <v>0.72</v>
      </c>
      <c r="H193">
        <v>12</v>
      </c>
      <c r="I193">
        <v>5000</v>
      </c>
      <c r="J193">
        <v>1000</v>
      </c>
      <c r="K193" t="s">
        <v>162</v>
      </c>
      <c r="L193" t="s">
        <v>104</v>
      </c>
      <c r="M193" t="s">
        <v>50</v>
      </c>
      <c r="N193" t="b">
        <v>0</v>
      </c>
      <c r="O193" t="s">
        <v>180</v>
      </c>
    </row>
    <row r="194" spans="1:15" ht="15" customHeight="1">
      <c r="A194" t="s">
        <v>430</v>
      </c>
      <c r="B194" t="s">
        <v>551</v>
      </c>
      <c r="C194" t="s">
        <v>129</v>
      </c>
      <c r="D194" t="s">
        <v>130</v>
      </c>
      <c r="E194">
        <v>13</v>
      </c>
      <c r="F194">
        <v>12.5</v>
      </c>
      <c r="G194">
        <v>0.96</v>
      </c>
      <c r="H194">
        <v>28</v>
      </c>
      <c r="I194">
        <v>5000</v>
      </c>
      <c r="J194">
        <v>1000</v>
      </c>
      <c r="K194" t="s">
        <v>116</v>
      </c>
      <c r="L194" t="s">
        <v>104</v>
      </c>
      <c r="M194" t="s">
        <v>42</v>
      </c>
      <c r="N194" t="b">
        <v>0</v>
      </c>
      <c r="O194" t="s">
        <v>470</v>
      </c>
    </row>
    <row r="195" spans="1:15" ht="15" customHeight="1">
      <c r="A195" t="s">
        <v>552</v>
      </c>
      <c r="B195" t="s">
        <v>553</v>
      </c>
      <c r="C195" t="s">
        <v>68</v>
      </c>
      <c r="D195" t="s">
        <v>69</v>
      </c>
      <c r="E195">
        <v>8</v>
      </c>
      <c r="F195">
        <v>1.4</v>
      </c>
      <c r="G195">
        <v>0.17</v>
      </c>
      <c r="H195">
        <v>1</v>
      </c>
      <c r="I195">
        <v>30000</v>
      </c>
      <c r="J195">
        <v>5000</v>
      </c>
      <c r="K195" t="s">
        <v>70</v>
      </c>
      <c r="L195" t="s">
        <v>71</v>
      </c>
      <c r="M195" t="s">
        <v>45</v>
      </c>
      <c r="N195" t="b">
        <v>0</v>
      </c>
      <c r="O195" t="s">
        <v>72</v>
      </c>
    </row>
    <row r="196" spans="1:15" ht="15" customHeight="1">
      <c r="A196" t="s">
        <v>554</v>
      </c>
      <c r="B196" t="s">
        <v>555</v>
      </c>
      <c r="C196" t="s">
        <v>149</v>
      </c>
      <c r="D196" t="s">
        <v>69</v>
      </c>
      <c r="E196">
        <v>10</v>
      </c>
      <c r="F196">
        <v>6.8</v>
      </c>
      <c r="G196">
        <v>0.68</v>
      </c>
      <c r="H196">
        <v>22</v>
      </c>
      <c r="I196">
        <v>3000</v>
      </c>
      <c r="J196">
        <v>1000</v>
      </c>
      <c r="K196" t="s">
        <v>556</v>
      </c>
      <c r="L196" t="s">
        <v>71</v>
      </c>
      <c r="M196" t="s">
        <v>40</v>
      </c>
      <c r="N196" t="b">
        <v>0</v>
      </c>
      <c r="O196" t="s">
        <v>313</v>
      </c>
    </row>
    <row r="197" spans="1:15" ht="15" customHeight="1">
      <c r="A197" t="s">
        <v>557</v>
      </c>
      <c r="B197" t="s">
        <v>558</v>
      </c>
      <c r="C197" t="s">
        <v>81</v>
      </c>
      <c r="D197" t="s">
        <v>69</v>
      </c>
      <c r="E197">
        <v>13</v>
      </c>
      <c r="F197">
        <v>11</v>
      </c>
      <c r="G197">
        <v>0.85</v>
      </c>
      <c r="H197">
        <v>27</v>
      </c>
      <c r="I197">
        <v>10000</v>
      </c>
      <c r="J197">
        <v>3000</v>
      </c>
      <c r="K197" t="s">
        <v>125</v>
      </c>
      <c r="L197" t="s">
        <v>91</v>
      </c>
      <c r="M197" t="s">
        <v>50</v>
      </c>
      <c r="N197" t="b">
        <v>1</v>
      </c>
      <c r="O197" t="s">
        <v>126</v>
      </c>
    </row>
    <row r="198" spans="1:15" ht="15" customHeight="1">
      <c r="A198" t="s">
        <v>430</v>
      </c>
      <c r="B198" t="s">
        <v>559</v>
      </c>
      <c r="C198" t="s">
        <v>75</v>
      </c>
      <c r="D198" t="s">
        <v>69</v>
      </c>
      <c r="E198">
        <v>20</v>
      </c>
      <c r="F198">
        <v>19</v>
      </c>
      <c r="G198">
        <v>0.95</v>
      </c>
      <c r="H198">
        <v>25</v>
      </c>
      <c r="I198">
        <v>2000</v>
      </c>
      <c r="J198">
        <v>1500</v>
      </c>
      <c r="K198" t="s">
        <v>158</v>
      </c>
      <c r="L198" t="s">
        <v>104</v>
      </c>
      <c r="M198" t="s">
        <v>42</v>
      </c>
      <c r="N198" t="b">
        <v>0</v>
      </c>
      <c r="O198" t="s">
        <v>400</v>
      </c>
    </row>
    <row r="199" spans="1:15" ht="15" customHeight="1">
      <c r="A199" t="s">
        <v>412</v>
      </c>
      <c r="B199" t="s">
        <v>560</v>
      </c>
      <c r="C199" t="s">
        <v>149</v>
      </c>
      <c r="D199" t="s">
        <v>69</v>
      </c>
      <c r="E199">
        <v>12</v>
      </c>
      <c r="F199">
        <v>8</v>
      </c>
      <c r="G199">
        <v>0.67</v>
      </c>
      <c r="H199">
        <v>18</v>
      </c>
      <c r="I199">
        <v>3000</v>
      </c>
      <c r="J199">
        <v>1000</v>
      </c>
      <c r="K199" t="s">
        <v>150</v>
      </c>
      <c r="L199" t="s">
        <v>96</v>
      </c>
      <c r="M199" t="s">
        <v>51</v>
      </c>
      <c r="N199" t="b">
        <v>0</v>
      </c>
      <c r="O199" t="s">
        <v>151</v>
      </c>
    </row>
    <row r="200" spans="1:15" ht="15" customHeight="1">
      <c r="A200" t="s">
        <v>561</v>
      </c>
      <c r="B200" t="s">
        <v>562</v>
      </c>
      <c r="C200" t="s">
        <v>81</v>
      </c>
      <c r="D200" t="s">
        <v>69</v>
      </c>
      <c r="E200">
        <v>16</v>
      </c>
      <c r="F200">
        <v>15.4</v>
      </c>
      <c r="G200">
        <v>0.96</v>
      </c>
      <c r="H200">
        <v>30</v>
      </c>
      <c r="I200">
        <v>10000</v>
      </c>
      <c r="J200">
        <v>3000</v>
      </c>
      <c r="K200" t="s">
        <v>185</v>
      </c>
      <c r="L200" t="s">
        <v>71</v>
      </c>
      <c r="M200" t="s">
        <v>50</v>
      </c>
      <c r="N200" t="b">
        <v>0</v>
      </c>
      <c r="O200" t="s">
        <v>186</v>
      </c>
    </row>
    <row r="201" spans="1:15" ht="15" customHeight="1">
      <c r="A201" t="s">
        <v>563</v>
      </c>
      <c r="B201" t="s">
        <v>564</v>
      </c>
      <c r="C201" t="s">
        <v>75</v>
      </c>
      <c r="D201" t="s">
        <v>69</v>
      </c>
      <c r="E201">
        <v>19</v>
      </c>
      <c r="F201">
        <v>8</v>
      </c>
      <c r="G201">
        <v>0.42</v>
      </c>
      <c r="H201">
        <v>24</v>
      </c>
      <c r="I201">
        <v>2000</v>
      </c>
      <c r="J201">
        <v>1500</v>
      </c>
      <c r="K201" t="s">
        <v>361</v>
      </c>
      <c r="L201" t="s">
        <v>91</v>
      </c>
      <c r="M201" t="s">
        <v>46</v>
      </c>
      <c r="N201" t="b">
        <v>1</v>
      </c>
      <c r="O201" t="s">
        <v>362</v>
      </c>
    </row>
    <row r="202" spans="1:15" ht="15" customHeight="1">
      <c r="A202" t="s">
        <v>565</v>
      </c>
      <c r="B202" t="s">
        <v>566</v>
      </c>
      <c r="C202" t="s">
        <v>129</v>
      </c>
      <c r="D202" t="s">
        <v>130</v>
      </c>
      <c r="E202">
        <v>9</v>
      </c>
      <c r="F202">
        <v>8.3000000000000007</v>
      </c>
      <c r="G202">
        <v>0.92</v>
      </c>
      <c r="H202">
        <v>10</v>
      </c>
      <c r="I202">
        <v>5000</v>
      </c>
      <c r="J202">
        <v>1000</v>
      </c>
      <c r="K202" t="s">
        <v>158</v>
      </c>
      <c r="L202" t="s">
        <v>96</v>
      </c>
      <c r="M202" t="s">
        <v>42</v>
      </c>
      <c r="N202" t="b">
        <v>0</v>
      </c>
      <c r="O202" t="s">
        <v>159</v>
      </c>
    </row>
    <row r="203" spans="1:15" ht="15" customHeight="1">
      <c r="A203" t="s">
        <v>170</v>
      </c>
      <c r="B203" t="s">
        <v>567</v>
      </c>
      <c r="C203" t="s">
        <v>81</v>
      </c>
      <c r="D203" t="s">
        <v>69</v>
      </c>
      <c r="E203">
        <v>9</v>
      </c>
      <c r="F203">
        <v>7.2</v>
      </c>
      <c r="G203">
        <v>0.8</v>
      </c>
      <c r="H203">
        <v>26</v>
      </c>
      <c r="I203">
        <v>10000</v>
      </c>
      <c r="J203">
        <v>3000</v>
      </c>
      <c r="K203" t="s">
        <v>525</v>
      </c>
      <c r="L203" t="s">
        <v>96</v>
      </c>
      <c r="M203" t="s">
        <v>44</v>
      </c>
      <c r="N203" t="b">
        <v>0</v>
      </c>
      <c r="O203" t="s">
        <v>526</v>
      </c>
    </row>
    <row r="204" spans="1:15" ht="15" customHeight="1">
      <c r="A204" t="s">
        <v>568</v>
      </c>
      <c r="B204" t="s">
        <v>569</v>
      </c>
      <c r="C204" t="s">
        <v>149</v>
      </c>
      <c r="D204" t="s">
        <v>69</v>
      </c>
      <c r="E204">
        <v>11</v>
      </c>
      <c r="F204">
        <v>7.9</v>
      </c>
      <c r="G204">
        <v>0.72</v>
      </c>
      <c r="H204">
        <v>28</v>
      </c>
      <c r="I204">
        <v>3000</v>
      </c>
      <c r="J204">
        <v>1000</v>
      </c>
      <c r="K204" t="s">
        <v>176</v>
      </c>
      <c r="L204" t="s">
        <v>77</v>
      </c>
      <c r="M204" t="s">
        <v>41</v>
      </c>
      <c r="N204" t="b">
        <v>0</v>
      </c>
      <c r="O204" t="s">
        <v>177</v>
      </c>
    </row>
    <row r="205" spans="1:15" ht="15" customHeight="1">
      <c r="A205" t="s">
        <v>570</v>
      </c>
      <c r="B205" t="s">
        <v>571</v>
      </c>
      <c r="C205" t="s">
        <v>68</v>
      </c>
      <c r="D205" t="s">
        <v>69</v>
      </c>
      <c r="E205">
        <v>15</v>
      </c>
      <c r="F205">
        <v>1.5</v>
      </c>
      <c r="G205">
        <v>0.1</v>
      </c>
      <c r="H205">
        <v>5</v>
      </c>
      <c r="I205">
        <v>30000</v>
      </c>
      <c r="J205">
        <v>5000</v>
      </c>
      <c r="K205" t="s">
        <v>112</v>
      </c>
      <c r="L205" t="s">
        <v>96</v>
      </c>
      <c r="M205" t="s">
        <v>44</v>
      </c>
      <c r="N205" t="b">
        <v>0</v>
      </c>
      <c r="O205" t="s">
        <v>113</v>
      </c>
    </row>
    <row r="206" spans="1:15" ht="15" customHeight="1">
      <c r="A206" t="s">
        <v>572</v>
      </c>
      <c r="B206" t="s">
        <v>573</v>
      </c>
      <c r="C206" t="s">
        <v>81</v>
      </c>
      <c r="D206" t="s">
        <v>69</v>
      </c>
      <c r="E206">
        <v>18</v>
      </c>
      <c r="F206">
        <v>8.4</v>
      </c>
      <c r="G206">
        <v>0.47</v>
      </c>
      <c r="H206">
        <v>24</v>
      </c>
      <c r="I206">
        <v>10000</v>
      </c>
      <c r="J206">
        <v>3000</v>
      </c>
      <c r="K206" t="s">
        <v>306</v>
      </c>
      <c r="L206" t="s">
        <v>100</v>
      </c>
      <c r="M206" t="s">
        <v>46</v>
      </c>
      <c r="N206" t="b">
        <v>0</v>
      </c>
      <c r="O206" t="s">
        <v>307</v>
      </c>
    </row>
    <row r="207" spans="1:15" ht="15" customHeight="1">
      <c r="A207" t="s">
        <v>574</v>
      </c>
      <c r="B207" t="s">
        <v>575</v>
      </c>
      <c r="C207" t="s">
        <v>149</v>
      </c>
      <c r="D207" t="s">
        <v>69</v>
      </c>
      <c r="E207">
        <v>8</v>
      </c>
      <c r="F207">
        <v>7.9</v>
      </c>
      <c r="G207">
        <v>0.99</v>
      </c>
      <c r="H207">
        <v>32</v>
      </c>
      <c r="I207">
        <v>3000</v>
      </c>
      <c r="J207">
        <v>1000</v>
      </c>
      <c r="K207" t="s">
        <v>576</v>
      </c>
      <c r="L207" t="s">
        <v>77</v>
      </c>
      <c r="M207" t="s">
        <v>51</v>
      </c>
      <c r="N207" t="b">
        <v>0</v>
      </c>
      <c r="O207" t="s">
        <v>336</v>
      </c>
    </row>
    <row r="208" spans="1:15" ht="15" customHeight="1">
      <c r="A208" t="s">
        <v>402</v>
      </c>
      <c r="B208" t="s">
        <v>577</v>
      </c>
      <c r="C208" t="s">
        <v>75</v>
      </c>
      <c r="D208" t="s">
        <v>69</v>
      </c>
      <c r="E208">
        <v>18</v>
      </c>
      <c r="F208">
        <v>9.3000000000000007</v>
      </c>
      <c r="G208">
        <v>0.52</v>
      </c>
      <c r="H208">
        <v>23</v>
      </c>
      <c r="I208">
        <v>2000</v>
      </c>
      <c r="J208">
        <v>1500</v>
      </c>
      <c r="K208" t="s">
        <v>207</v>
      </c>
      <c r="L208" t="s">
        <v>71</v>
      </c>
      <c r="M208" t="s">
        <v>41</v>
      </c>
      <c r="N208" t="b">
        <v>0</v>
      </c>
      <c r="O208" t="s">
        <v>208</v>
      </c>
    </row>
    <row r="209" spans="1:15" ht="15" customHeight="1">
      <c r="A209" t="s">
        <v>167</v>
      </c>
      <c r="B209" t="s">
        <v>578</v>
      </c>
      <c r="C209" t="s">
        <v>75</v>
      </c>
      <c r="D209" t="s">
        <v>69</v>
      </c>
      <c r="E209">
        <v>11</v>
      </c>
      <c r="F209">
        <v>4.8</v>
      </c>
      <c r="G209">
        <v>0.44</v>
      </c>
      <c r="H209">
        <v>25</v>
      </c>
      <c r="I209">
        <v>2000</v>
      </c>
      <c r="J209">
        <v>1500</v>
      </c>
      <c r="K209" t="s">
        <v>158</v>
      </c>
      <c r="L209" t="s">
        <v>104</v>
      </c>
      <c r="M209" t="s">
        <v>49</v>
      </c>
      <c r="N209" t="b">
        <v>0</v>
      </c>
      <c r="O209" t="s">
        <v>400</v>
      </c>
    </row>
    <row r="210" spans="1:15" ht="15" customHeight="1">
      <c r="A210" t="s">
        <v>485</v>
      </c>
      <c r="B210" t="s">
        <v>579</v>
      </c>
      <c r="C210" t="s">
        <v>129</v>
      </c>
      <c r="D210" t="s">
        <v>130</v>
      </c>
      <c r="E210">
        <v>13</v>
      </c>
      <c r="F210">
        <v>11.8</v>
      </c>
      <c r="G210">
        <v>0.91</v>
      </c>
      <c r="H210">
        <v>20</v>
      </c>
      <c r="I210">
        <v>5000</v>
      </c>
      <c r="J210">
        <v>1000</v>
      </c>
      <c r="K210" t="s">
        <v>103</v>
      </c>
      <c r="L210" t="s">
        <v>100</v>
      </c>
      <c r="M210" t="s">
        <v>50</v>
      </c>
      <c r="N210" t="b">
        <v>0</v>
      </c>
      <c r="O210" t="s">
        <v>169</v>
      </c>
    </row>
    <row r="211" spans="1:15" ht="15" customHeight="1">
      <c r="A211" t="s">
        <v>580</v>
      </c>
      <c r="B211" t="s">
        <v>581</v>
      </c>
      <c r="C211" t="s">
        <v>75</v>
      </c>
      <c r="D211" t="s">
        <v>69</v>
      </c>
      <c r="E211">
        <v>17</v>
      </c>
      <c r="F211">
        <v>7</v>
      </c>
      <c r="G211">
        <v>0.41</v>
      </c>
      <c r="H211">
        <v>30</v>
      </c>
      <c r="I211">
        <v>2000</v>
      </c>
      <c r="J211">
        <v>1500</v>
      </c>
      <c r="K211" t="s">
        <v>162</v>
      </c>
      <c r="L211" t="s">
        <v>96</v>
      </c>
      <c r="M211" t="s">
        <v>43</v>
      </c>
      <c r="N211" t="b">
        <v>0</v>
      </c>
      <c r="O211" t="s">
        <v>510</v>
      </c>
    </row>
    <row r="212" spans="1:15" ht="15" customHeight="1">
      <c r="A212" t="s">
        <v>481</v>
      </c>
      <c r="B212" t="s">
        <v>582</v>
      </c>
      <c r="C212" t="s">
        <v>81</v>
      </c>
      <c r="D212" t="s">
        <v>69</v>
      </c>
      <c r="E212">
        <v>9</v>
      </c>
      <c r="F212">
        <v>7.5</v>
      </c>
      <c r="G212">
        <v>0.83</v>
      </c>
      <c r="H212">
        <v>7</v>
      </c>
      <c r="I212">
        <v>10000</v>
      </c>
      <c r="J212">
        <v>3000</v>
      </c>
      <c r="K212" t="s">
        <v>82</v>
      </c>
      <c r="L212" t="s">
        <v>104</v>
      </c>
      <c r="M212" t="s">
        <v>41</v>
      </c>
      <c r="N212" t="b">
        <v>0</v>
      </c>
      <c r="O212" t="s">
        <v>83</v>
      </c>
    </row>
    <row r="213" spans="1:15" ht="15" customHeight="1">
      <c r="A213" t="s">
        <v>583</v>
      </c>
      <c r="B213" t="s">
        <v>584</v>
      </c>
      <c r="C213" t="s">
        <v>68</v>
      </c>
      <c r="D213" t="s">
        <v>69</v>
      </c>
      <c r="E213">
        <v>10</v>
      </c>
      <c r="F213">
        <v>3.3</v>
      </c>
      <c r="G213">
        <v>0.33</v>
      </c>
      <c r="H213">
        <v>3</v>
      </c>
      <c r="I213">
        <v>30000</v>
      </c>
      <c r="J213">
        <v>5000</v>
      </c>
      <c r="K213" t="s">
        <v>108</v>
      </c>
      <c r="L213" t="s">
        <v>100</v>
      </c>
      <c r="M213" t="s">
        <v>40</v>
      </c>
      <c r="N213" t="b">
        <v>0</v>
      </c>
      <c r="O213" t="s">
        <v>109</v>
      </c>
    </row>
    <row r="214" spans="1:15" ht="15" customHeight="1">
      <c r="A214" t="s">
        <v>585</v>
      </c>
      <c r="B214" t="s">
        <v>586</v>
      </c>
      <c r="C214" t="s">
        <v>149</v>
      </c>
      <c r="D214" t="s">
        <v>69</v>
      </c>
      <c r="E214">
        <v>10</v>
      </c>
      <c r="F214">
        <v>7.1</v>
      </c>
      <c r="G214">
        <v>0.71</v>
      </c>
      <c r="H214">
        <v>19</v>
      </c>
      <c r="I214">
        <v>3000</v>
      </c>
      <c r="J214">
        <v>1000</v>
      </c>
      <c r="K214" t="s">
        <v>198</v>
      </c>
      <c r="L214" t="s">
        <v>100</v>
      </c>
      <c r="M214" t="s">
        <v>44</v>
      </c>
      <c r="N214" t="b">
        <v>0</v>
      </c>
      <c r="O214" t="s">
        <v>262</v>
      </c>
    </row>
    <row r="215" spans="1:15" ht="15" customHeight="1">
      <c r="A215" t="s">
        <v>404</v>
      </c>
      <c r="B215" t="s">
        <v>587</v>
      </c>
      <c r="C215" t="s">
        <v>68</v>
      </c>
      <c r="D215" t="s">
        <v>69</v>
      </c>
      <c r="E215">
        <v>10</v>
      </c>
      <c r="F215">
        <v>1.8</v>
      </c>
      <c r="G215">
        <v>0.18</v>
      </c>
      <c r="H215">
        <v>5</v>
      </c>
      <c r="I215">
        <v>30000</v>
      </c>
      <c r="J215">
        <v>5000</v>
      </c>
      <c r="K215" t="s">
        <v>112</v>
      </c>
      <c r="L215" t="s">
        <v>77</v>
      </c>
      <c r="M215" t="s">
        <v>44</v>
      </c>
      <c r="N215" t="b">
        <v>0</v>
      </c>
      <c r="O215" t="s">
        <v>113</v>
      </c>
    </row>
    <row r="216" spans="1:15" ht="15" customHeight="1">
      <c r="A216" t="s">
        <v>588</v>
      </c>
      <c r="B216" t="s">
        <v>589</v>
      </c>
      <c r="C216" t="s">
        <v>68</v>
      </c>
      <c r="D216" t="s">
        <v>69</v>
      </c>
      <c r="E216">
        <v>14</v>
      </c>
      <c r="F216">
        <v>0.6</v>
      </c>
      <c r="G216">
        <v>0.04</v>
      </c>
      <c r="H216">
        <v>4</v>
      </c>
      <c r="I216">
        <v>30000</v>
      </c>
      <c r="J216">
        <v>5000</v>
      </c>
      <c r="K216" t="s">
        <v>95</v>
      </c>
      <c r="L216" t="s">
        <v>104</v>
      </c>
      <c r="M216" t="s">
        <v>42</v>
      </c>
      <c r="N216" t="b">
        <v>0</v>
      </c>
      <c r="O216" t="s">
        <v>97</v>
      </c>
    </row>
    <row r="217" spans="1:15" ht="15" customHeight="1">
      <c r="A217" t="s">
        <v>590</v>
      </c>
      <c r="B217" t="s">
        <v>591</v>
      </c>
      <c r="C217" t="s">
        <v>129</v>
      </c>
      <c r="D217" t="s">
        <v>130</v>
      </c>
      <c r="E217">
        <v>12</v>
      </c>
      <c r="F217">
        <v>6.3</v>
      </c>
      <c r="G217">
        <v>0.53</v>
      </c>
      <c r="H217">
        <v>22</v>
      </c>
      <c r="I217">
        <v>5000</v>
      </c>
      <c r="J217">
        <v>1000</v>
      </c>
      <c r="K217" t="s">
        <v>134</v>
      </c>
      <c r="L217" t="s">
        <v>77</v>
      </c>
      <c r="M217" t="s">
        <v>49</v>
      </c>
      <c r="N217" t="b">
        <v>0</v>
      </c>
      <c r="O217" t="s">
        <v>135</v>
      </c>
    </row>
    <row r="218" spans="1:15" ht="15" customHeight="1">
      <c r="A218" t="s">
        <v>592</v>
      </c>
      <c r="B218" t="s">
        <v>593</v>
      </c>
      <c r="C218" t="s">
        <v>129</v>
      </c>
      <c r="D218" t="s">
        <v>130</v>
      </c>
      <c r="E218">
        <v>17</v>
      </c>
      <c r="F218">
        <v>14.8</v>
      </c>
      <c r="G218">
        <v>0.87</v>
      </c>
      <c r="H218">
        <v>30</v>
      </c>
      <c r="I218">
        <v>5000</v>
      </c>
      <c r="J218">
        <v>1000</v>
      </c>
      <c r="K218" t="s">
        <v>112</v>
      </c>
      <c r="L218" t="s">
        <v>91</v>
      </c>
      <c r="M218" t="s">
        <v>51</v>
      </c>
      <c r="N218" t="b">
        <v>1</v>
      </c>
      <c r="O218" t="s">
        <v>195</v>
      </c>
    </row>
    <row r="219" spans="1:15" ht="15" customHeight="1">
      <c r="A219" t="s">
        <v>594</v>
      </c>
      <c r="B219" t="s">
        <v>595</v>
      </c>
      <c r="C219" t="s">
        <v>129</v>
      </c>
      <c r="D219" t="s">
        <v>130</v>
      </c>
      <c r="E219">
        <v>8</v>
      </c>
      <c r="F219">
        <v>7.8</v>
      </c>
      <c r="G219">
        <v>0.97</v>
      </c>
      <c r="H219">
        <v>14</v>
      </c>
      <c r="I219">
        <v>5000</v>
      </c>
      <c r="J219">
        <v>1000</v>
      </c>
      <c r="K219" t="s">
        <v>82</v>
      </c>
      <c r="L219" t="s">
        <v>91</v>
      </c>
      <c r="M219" t="s">
        <v>43</v>
      </c>
      <c r="N219" t="b">
        <v>1</v>
      </c>
      <c r="O219" t="s">
        <v>229</v>
      </c>
    </row>
    <row r="220" spans="1:15" ht="15" customHeight="1">
      <c r="A220" t="s">
        <v>596</v>
      </c>
      <c r="B220" t="s">
        <v>597</v>
      </c>
      <c r="C220" t="s">
        <v>75</v>
      </c>
      <c r="D220" t="s">
        <v>69</v>
      </c>
      <c r="E220">
        <v>19</v>
      </c>
      <c r="F220">
        <v>4.4000000000000004</v>
      </c>
      <c r="G220">
        <v>0.23</v>
      </c>
      <c r="H220">
        <v>15</v>
      </c>
      <c r="I220">
        <v>2000</v>
      </c>
      <c r="J220">
        <v>1500</v>
      </c>
      <c r="K220" t="s">
        <v>70</v>
      </c>
      <c r="L220" t="s">
        <v>96</v>
      </c>
      <c r="M220" t="s">
        <v>46</v>
      </c>
      <c r="N220" t="b">
        <v>0</v>
      </c>
      <c r="O220" t="s">
        <v>598</v>
      </c>
    </row>
    <row r="221" spans="1:15" ht="15" customHeight="1">
      <c r="A221" t="s">
        <v>599</v>
      </c>
      <c r="B221" t="s">
        <v>600</v>
      </c>
      <c r="C221" t="s">
        <v>129</v>
      </c>
      <c r="D221" t="s">
        <v>130</v>
      </c>
      <c r="E221">
        <v>18</v>
      </c>
      <c r="F221">
        <v>5.8</v>
      </c>
      <c r="G221">
        <v>0.32</v>
      </c>
      <c r="H221">
        <v>20</v>
      </c>
      <c r="I221">
        <v>5000</v>
      </c>
      <c r="J221">
        <v>1000</v>
      </c>
      <c r="K221" t="s">
        <v>103</v>
      </c>
      <c r="L221" t="s">
        <v>117</v>
      </c>
      <c r="M221" t="s">
        <v>44</v>
      </c>
      <c r="N221" t="b">
        <v>1</v>
      </c>
      <c r="O221" t="s">
        <v>169</v>
      </c>
    </row>
    <row r="222" spans="1:15" ht="15" customHeight="1">
      <c r="A222" t="s">
        <v>601</v>
      </c>
      <c r="B222" t="s">
        <v>602</v>
      </c>
      <c r="C222" t="s">
        <v>81</v>
      </c>
      <c r="D222" t="s">
        <v>69</v>
      </c>
      <c r="E222">
        <v>16</v>
      </c>
      <c r="F222">
        <v>10.5</v>
      </c>
      <c r="G222">
        <v>0.66</v>
      </c>
      <c r="H222">
        <v>29</v>
      </c>
      <c r="I222">
        <v>10000</v>
      </c>
      <c r="J222">
        <v>3000</v>
      </c>
      <c r="K222" t="s">
        <v>603</v>
      </c>
      <c r="L222" t="s">
        <v>117</v>
      </c>
      <c r="M222" t="s">
        <v>40</v>
      </c>
      <c r="N222" t="b">
        <v>1</v>
      </c>
      <c r="O222" t="s">
        <v>604</v>
      </c>
    </row>
    <row r="223" spans="1:15" ht="15" customHeight="1">
      <c r="A223" t="s">
        <v>605</v>
      </c>
      <c r="B223" t="s">
        <v>606</v>
      </c>
      <c r="C223" t="s">
        <v>75</v>
      </c>
      <c r="D223" t="s">
        <v>69</v>
      </c>
      <c r="E223">
        <v>13</v>
      </c>
      <c r="F223">
        <v>8.4</v>
      </c>
      <c r="G223">
        <v>0.65</v>
      </c>
      <c r="H223">
        <v>13</v>
      </c>
      <c r="I223">
        <v>2000</v>
      </c>
      <c r="J223">
        <v>1500</v>
      </c>
      <c r="K223" t="s">
        <v>211</v>
      </c>
      <c r="L223" t="s">
        <v>91</v>
      </c>
      <c r="M223" t="s">
        <v>42</v>
      </c>
      <c r="N223" t="b">
        <v>1</v>
      </c>
      <c r="O223" t="s">
        <v>212</v>
      </c>
    </row>
    <row r="224" spans="1:15" ht="15" customHeight="1">
      <c r="A224" t="s">
        <v>607</v>
      </c>
      <c r="B224" t="s">
        <v>608</v>
      </c>
      <c r="C224" t="s">
        <v>68</v>
      </c>
      <c r="D224" t="s">
        <v>69</v>
      </c>
      <c r="E224">
        <v>13</v>
      </c>
      <c r="F224">
        <v>3.9</v>
      </c>
      <c r="G224">
        <v>0.3</v>
      </c>
      <c r="H224">
        <v>1</v>
      </c>
      <c r="I224">
        <v>30000</v>
      </c>
      <c r="J224">
        <v>5000</v>
      </c>
      <c r="K224" t="s">
        <v>70</v>
      </c>
      <c r="L224" t="s">
        <v>100</v>
      </c>
      <c r="M224" t="s">
        <v>42</v>
      </c>
      <c r="N224" t="b">
        <v>0</v>
      </c>
      <c r="O224" t="s">
        <v>72</v>
      </c>
    </row>
    <row r="225" spans="1:15" ht="15" customHeight="1">
      <c r="A225" t="s">
        <v>609</v>
      </c>
      <c r="B225" t="s">
        <v>610</v>
      </c>
      <c r="C225" t="s">
        <v>68</v>
      </c>
      <c r="D225" t="s">
        <v>69</v>
      </c>
      <c r="E225">
        <v>15</v>
      </c>
      <c r="F225">
        <v>3.1</v>
      </c>
      <c r="G225">
        <v>0.21</v>
      </c>
      <c r="H225">
        <v>5</v>
      </c>
      <c r="I225">
        <v>30000</v>
      </c>
      <c r="J225">
        <v>5000</v>
      </c>
      <c r="K225" t="s">
        <v>112</v>
      </c>
      <c r="L225" t="s">
        <v>91</v>
      </c>
      <c r="M225" t="s">
        <v>40</v>
      </c>
      <c r="N225" t="b">
        <v>1</v>
      </c>
      <c r="O225" t="s">
        <v>113</v>
      </c>
    </row>
    <row r="226" spans="1:15" ht="15" customHeight="1">
      <c r="A226" t="s">
        <v>371</v>
      </c>
      <c r="B226" t="s">
        <v>611</v>
      </c>
      <c r="C226" t="s">
        <v>75</v>
      </c>
      <c r="D226" t="s">
        <v>69</v>
      </c>
      <c r="E226">
        <v>14</v>
      </c>
      <c r="F226">
        <v>9.5</v>
      </c>
      <c r="G226">
        <v>0.68</v>
      </c>
      <c r="H226">
        <v>25</v>
      </c>
      <c r="I226">
        <v>2000</v>
      </c>
      <c r="J226">
        <v>1500</v>
      </c>
      <c r="K226" t="s">
        <v>158</v>
      </c>
      <c r="L226" t="s">
        <v>100</v>
      </c>
      <c r="M226" t="s">
        <v>47</v>
      </c>
      <c r="N226" t="b">
        <v>0</v>
      </c>
      <c r="O226" t="s">
        <v>400</v>
      </c>
    </row>
    <row r="227" spans="1:15" ht="15" customHeight="1">
      <c r="A227" t="s">
        <v>601</v>
      </c>
      <c r="B227" t="s">
        <v>612</v>
      </c>
      <c r="C227" t="s">
        <v>129</v>
      </c>
      <c r="D227" t="s">
        <v>130</v>
      </c>
      <c r="E227">
        <v>18</v>
      </c>
      <c r="F227">
        <v>11.4</v>
      </c>
      <c r="G227">
        <v>0.63</v>
      </c>
      <c r="H227">
        <v>27</v>
      </c>
      <c r="I227">
        <v>5000</v>
      </c>
      <c r="J227">
        <v>1000</v>
      </c>
      <c r="K227" t="s">
        <v>172</v>
      </c>
      <c r="L227" t="s">
        <v>117</v>
      </c>
      <c r="M227" t="s">
        <v>40</v>
      </c>
      <c r="N227" t="b">
        <v>1</v>
      </c>
      <c r="O227" t="s">
        <v>173</v>
      </c>
    </row>
    <row r="228" spans="1:15" ht="15" customHeight="1">
      <c r="A228" t="s">
        <v>353</v>
      </c>
      <c r="B228" t="s">
        <v>613</v>
      </c>
      <c r="C228" t="s">
        <v>149</v>
      </c>
      <c r="D228" t="s">
        <v>69</v>
      </c>
      <c r="E228">
        <v>11</v>
      </c>
      <c r="F228">
        <v>10.3</v>
      </c>
      <c r="G228">
        <v>0.94</v>
      </c>
      <c r="H228">
        <v>35</v>
      </c>
      <c r="I228">
        <v>3000</v>
      </c>
      <c r="J228">
        <v>1000</v>
      </c>
      <c r="K228" t="s">
        <v>131</v>
      </c>
      <c r="L228" t="s">
        <v>117</v>
      </c>
      <c r="M228" t="s">
        <v>47</v>
      </c>
      <c r="N228" t="b">
        <v>1</v>
      </c>
      <c r="O228" t="s">
        <v>132</v>
      </c>
    </row>
    <row r="229" spans="1:15" ht="15" customHeight="1">
      <c r="A229" t="s">
        <v>614</v>
      </c>
      <c r="B229" t="s">
        <v>615</v>
      </c>
      <c r="C229" t="s">
        <v>75</v>
      </c>
      <c r="D229" t="s">
        <v>69</v>
      </c>
      <c r="E229">
        <v>11</v>
      </c>
      <c r="F229">
        <v>7.3</v>
      </c>
      <c r="G229">
        <v>0.66</v>
      </c>
      <c r="H229">
        <v>12</v>
      </c>
      <c r="I229">
        <v>2000</v>
      </c>
      <c r="J229">
        <v>1500</v>
      </c>
      <c r="K229" t="s">
        <v>265</v>
      </c>
      <c r="L229" t="s">
        <v>77</v>
      </c>
      <c r="M229" t="s">
        <v>46</v>
      </c>
      <c r="N229" t="b">
        <v>0</v>
      </c>
      <c r="O229" t="s">
        <v>266</v>
      </c>
    </row>
    <row r="230" spans="1:15" ht="15" customHeight="1">
      <c r="A230" t="s">
        <v>616</v>
      </c>
      <c r="B230" t="s">
        <v>617</v>
      </c>
      <c r="C230" t="s">
        <v>68</v>
      </c>
      <c r="D230" t="s">
        <v>69</v>
      </c>
      <c r="E230">
        <v>14</v>
      </c>
      <c r="F230">
        <v>1.6</v>
      </c>
      <c r="G230">
        <v>0.11</v>
      </c>
      <c r="H230">
        <v>1</v>
      </c>
      <c r="I230">
        <v>30000</v>
      </c>
      <c r="J230">
        <v>5000</v>
      </c>
      <c r="K230" t="s">
        <v>70</v>
      </c>
      <c r="L230" t="s">
        <v>96</v>
      </c>
      <c r="M230" t="s">
        <v>42</v>
      </c>
      <c r="N230" t="b">
        <v>0</v>
      </c>
      <c r="O230" t="s">
        <v>72</v>
      </c>
    </row>
    <row r="231" spans="1:15" ht="15" customHeight="1">
      <c r="A231" t="s">
        <v>618</v>
      </c>
      <c r="B231" t="s">
        <v>619</v>
      </c>
      <c r="C231" t="s">
        <v>68</v>
      </c>
      <c r="D231" t="s">
        <v>69</v>
      </c>
      <c r="E231">
        <v>16</v>
      </c>
      <c r="F231">
        <v>3.7</v>
      </c>
      <c r="G231">
        <v>0.23</v>
      </c>
      <c r="H231">
        <v>4</v>
      </c>
      <c r="I231">
        <v>30000</v>
      </c>
      <c r="J231">
        <v>5000</v>
      </c>
      <c r="K231" t="s">
        <v>95</v>
      </c>
      <c r="L231" t="s">
        <v>117</v>
      </c>
      <c r="M231" t="s">
        <v>46</v>
      </c>
      <c r="N231" t="b">
        <v>1</v>
      </c>
      <c r="O231" t="s">
        <v>97</v>
      </c>
    </row>
    <row r="232" spans="1:15" ht="15" customHeight="1">
      <c r="A232" t="s">
        <v>441</v>
      </c>
      <c r="B232" t="s">
        <v>620</v>
      </c>
      <c r="C232" t="s">
        <v>75</v>
      </c>
      <c r="D232" t="s">
        <v>69</v>
      </c>
      <c r="E232">
        <v>15</v>
      </c>
      <c r="F232">
        <v>13.6</v>
      </c>
      <c r="G232">
        <v>0.91</v>
      </c>
      <c r="H232">
        <v>13</v>
      </c>
      <c r="I232">
        <v>2000</v>
      </c>
      <c r="J232">
        <v>1500</v>
      </c>
      <c r="K232" t="s">
        <v>211</v>
      </c>
      <c r="L232" t="s">
        <v>77</v>
      </c>
      <c r="M232" t="s">
        <v>43</v>
      </c>
      <c r="N232" t="b">
        <v>0</v>
      </c>
      <c r="O232" t="s">
        <v>212</v>
      </c>
    </row>
    <row r="233" spans="1:15" ht="15" customHeight="1">
      <c r="A233" t="s">
        <v>621</v>
      </c>
      <c r="B233" t="s">
        <v>622</v>
      </c>
      <c r="C233" t="s">
        <v>129</v>
      </c>
      <c r="D233" t="s">
        <v>130</v>
      </c>
      <c r="E233">
        <v>13</v>
      </c>
      <c r="F233">
        <v>9.1</v>
      </c>
      <c r="G233">
        <v>0.7</v>
      </c>
      <c r="H233">
        <v>26</v>
      </c>
      <c r="I233">
        <v>5000</v>
      </c>
      <c r="J233">
        <v>1000</v>
      </c>
      <c r="K233" t="s">
        <v>203</v>
      </c>
      <c r="L233" t="s">
        <v>104</v>
      </c>
      <c r="M233" t="s">
        <v>44</v>
      </c>
      <c r="N233" t="b">
        <v>0</v>
      </c>
      <c r="O233" t="s">
        <v>623</v>
      </c>
    </row>
    <row r="234" spans="1:15" ht="15" customHeight="1">
      <c r="A234" t="s">
        <v>624</v>
      </c>
      <c r="B234" t="s">
        <v>625</v>
      </c>
      <c r="C234" t="s">
        <v>81</v>
      </c>
      <c r="D234" t="s">
        <v>69</v>
      </c>
      <c r="E234">
        <v>18</v>
      </c>
      <c r="F234">
        <v>8.1</v>
      </c>
      <c r="G234">
        <v>0.45</v>
      </c>
      <c r="H234">
        <v>23</v>
      </c>
      <c r="I234">
        <v>10000</v>
      </c>
      <c r="J234">
        <v>3000</v>
      </c>
      <c r="K234" t="s">
        <v>626</v>
      </c>
      <c r="L234" t="s">
        <v>91</v>
      </c>
      <c r="M234" t="s">
        <v>45</v>
      </c>
      <c r="N234" t="b">
        <v>1</v>
      </c>
      <c r="O234" t="s">
        <v>627</v>
      </c>
    </row>
    <row r="235" spans="1:15" ht="15" customHeight="1">
      <c r="A235" t="s">
        <v>628</v>
      </c>
      <c r="B235" t="s">
        <v>629</v>
      </c>
      <c r="C235" t="s">
        <v>129</v>
      </c>
      <c r="D235" t="s">
        <v>130</v>
      </c>
      <c r="E235">
        <v>14</v>
      </c>
      <c r="F235">
        <v>13.3</v>
      </c>
      <c r="G235">
        <v>0.95</v>
      </c>
      <c r="H235">
        <v>29</v>
      </c>
      <c r="I235">
        <v>5000</v>
      </c>
      <c r="J235">
        <v>1000</v>
      </c>
      <c r="K235" t="s">
        <v>113</v>
      </c>
      <c r="L235" t="s">
        <v>96</v>
      </c>
      <c r="M235" t="s">
        <v>40</v>
      </c>
      <c r="N235" t="b">
        <v>0</v>
      </c>
      <c r="O235" t="s">
        <v>146</v>
      </c>
    </row>
    <row r="236" spans="1:15" ht="15" customHeight="1">
      <c r="A236" t="s">
        <v>630</v>
      </c>
      <c r="B236" t="s">
        <v>631</v>
      </c>
      <c r="C236" t="s">
        <v>149</v>
      </c>
      <c r="D236" t="s">
        <v>69</v>
      </c>
      <c r="E236">
        <v>12</v>
      </c>
      <c r="F236">
        <v>8.6999999999999993</v>
      </c>
      <c r="G236">
        <v>0.72</v>
      </c>
      <c r="H236">
        <v>29</v>
      </c>
      <c r="I236">
        <v>3000</v>
      </c>
      <c r="J236">
        <v>1000</v>
      </c>
      <c r="K236" t="s">
        <v>303</v>
      </c>
      <c r="L236" t="s">
        <v>77</v>
      </c>
      <c r="M236" t="s">
        <v>47</v>
      </c>
      <c r="N236" t="b">
        <v>0</v>
      </c>
      <c r="O236" t="s">
        <v>323</v>
      </c>
    </row>
    <row r="237" spans="1:15" ht="15" customHeight="1">
      <c r="A237" t="s">
        <v>632</v>
      </c>
      <c r="B237" t="s">
        <v>633</v>
      </c>
      <c r="C237" t="s">
        <v>149</v>
      </c>
      <c r="D237" t="s">
        <v>69</v>
      </c>
      <c r="E237">
        <v>12</v>
      </c>
      <c r="F237">
        <v>10.1</v>
      </c>
      <c r="G237">
        <v>0.84</v>
      </c>
      <c r="H237">
        <v>17</v>
      </c>
      <c r="I237">
        <v>3000</v>
      </c>
      <c r="J237">
        <v>1000</v>
      </c>
      <c r="K237" t="s">
        <v>634</v>
      </c>
      <c r="L237" t="s">
        <v>117</v>
      </c>
      <c r="M237" t="s">
        <v>41</v>
      </c>
      <c r="N237" t="b">
        <v>1</v>
      </c>
      <c r="O237" t="s">
        <v>158</v>
      </c>
    </row>
    <row r="238" spans="1:15" ht="15" customHeight="1">
      <c r="A238" t="s">
        <v>152</v>
      </c>
      <c r="B238" t="s">
        <v>635</v>
      </c>
      <c r="C238" t="s">
        <v>81</v>
      </c>
      <c r="D238" t="s">
        <v>69</v>
      </c>
      <c r="E238">
        <v>17</v>
      </c>
      <c r="F238">
        <v>10.1</v>
      </c>
      <c r="G238">
        <v>0.59</v>
      </c>
      <c r="H238">
        <v>8</v>
      </c>
      <c r="I238">
        <v>10000</v>
      </c>
      <c r="J238">
        <v>3000</v>
      </c>
      <c r="K238" t="s">
        <v>357</v>
      </c>
      <c r="L238" t="s">
        <v>71</v>
      </c>
      <c r="M238" t="s">
        <v>48</v>
      </c>
      <c r="N238" t="b">
        <v>0</v>
      </c>
      <c r="O238" t="s">
        <v>295</v>
      </c>
    </row>
    <row r="239" spans="1:15" ht="15" customHeight="1">
      <c r="A239" t="s">
        <v>636</v>
      </c>
      <c r="B239" t="s">
        <v>637</v>
      </c>
      <c r="C239" t="s">
        <v>129</v>
      </c>
      <c r="D239" t="s">
        <v>130</v>
      </c>
      <c r="E239">
        <v>9</v>
      </c>
      <c r="F239">
        <v>5.7</v>
      </c>
      <c r="G239">
        <v>0.63</v>
      </c>
      <c r="H239">
        <v>13</v>
      </c>
      <c r="I239">
        <v>5000</v>
      </c>
      <c r="J239">
        <v>1000</v>
      </c>
      <c r="K239" t="s">
        <v>313</v>
      </c>
      <c r="L239" t="s">
        <v>77</v>
      </c>
      <c r="M239" t="s">
        <v>46</v>
      </c>
      <c r="N239" t="b">
        <v>0</v>
      </c>
      <c r="O239" t="s">
        <v>314</v>
      </c>
    </row>
    <row r="240" spans="1:15" ht="15" customHeight="1">
      <c r="A240" t="s">
        <v>638</v>
      </c>
      <c r="B240" t="s">
        <v>639</v>
      </c>
      <c r="C240" t="s">
        <v>129</v>
      </c>
      <c r="D240" t="s">
        <v>130</v>
      </c>
      <c r="E240">
        <v>20</v>
      </c>
      <c r="F240">
        <v>3.1</v>
      </c>
      <c r="G240">
        <v>0.15</v>
      </c>
      <c r="H240">
        <v>27</v>
      </c>
      <c r="I240">
        <v>5000</v>
      </c>
      <c r="J240">
        <v>1000</v>
      </c>
      <c r="K240" t="s">
        <v>172</v>
      </c>
      <c r="L240" t="s">
        <v>77</v>
      </c>
      <c r="M240" t="s">
        <v>48</v>
      </c>
      <c r="N240" t="b">
        <v>0</v>
      </c>
      <c r="O240" t="s">
        <v>173</v>
      </c>
    </row>
    <row r="241" spans="1:15" ht="15" customHeight="1">
      <c r="A241" t="s">
        <v>285</v>
      </c>
      <c r="B241" t="s">
        <v>640</v>
      </c>
      <c r="C241" t="s">
        <v>81</v>
      </c>
      <c r="D241" t="s">
        <v>69</v>
      </c>
      <c r="E241">
        <v>14</v>
      </c>
      <c r="F241">
        <v>5</v>
      </c>
      <c r="G241">
        <v>0.36</v>
      </c>
      <c r="H241">
        <v>6</v>
      </c>
      <c r="I241">
        <v>10000</v>
      </c>
      <c r="J241">
        <v>3000</v>
      </c>
      <c r="K241" t="s">
        <v>162</v>
      </c>
      <c r="L241" t="s">
        <v>77</v>
      </c>
      <c r="M241" t="s">
        <v>45</v>
      </c>
      <c r="N241" t="b">
        <v>0</v>
      </c>
      <c r="O241" t="s">
        <v>198</v>
      </c>
    </row>
    <row r="242" spans="1:15" ht="15" customHeight="1">
      <c r="A242" t="s">
        <v>641</v>
      </c>
      <c r="B242" t="s">
        <v>642</v>
      </c>
      <c r="C242" t="s">
        <v>129</v>
      </c>
      <c r="D242" t="s">
        <v>130</v>
      </c>
      <c r="E242">
        <v>10</v>
      </c>
      <c r="F242">
        <v>5.0999999999999996</v>
      </c>
      <c r="G242">
        <v>0.51</v>
      </c>
      <c r="H242">
        <v>19</v>
      </c>
      <c r="I242">
        <v>5000</v>
      </c>
      <c r="J242">
        <v>1000</v>
      </c>
      <c r="K242" t="s">
        <v>336</v>
      </c>
      <c r="L242" t="s">
        <v>77</v>
      </c>
      <c r="M242" t="s">
        <v>45</v>
      </c>
      <c r="N242" t="b">
        <v>0</v>
      </c>
      <c r="O242" t="s">
        <v>337</v>
      </c>
    </row>
    <row r="243" spans="1:15" ht="15" customHeight="1">
      <c r="A243" t="s">
        <v>189</v>
      </c>
      <c r="B243" t="s">
        <v>643</v>
      </c>
      <c r="C243" t="s">
        <v>75</v>
      </c>
      <c r="D243" t="s">
        <v>69</v>
      </c>
      <c r="E243">
        <v>15</v>
      </c>
      <c r="F243">
        <v>5.7</v>
      </c>
      <c r="G243">
        <v>0.38</v>
      </c>
      <c r="H243">
        <v>28</v>
      </c>
      <c r="I243">
        <v>2000</v>
      </c>
      <c r="J243">
        <v>1500</v>
      </c>
      <c r="K243" t="s">
        <v>262</v>
      </c>
      <c r="L243" t="s">
        <v>104</v>
      </c>
      <c r="M243" t="s">
        <v>51</v>
      </c>
      <c r="N243" t="b">
        <v>0</v>
      </c>
      <c r="O243" t="s">
        <v>289</v>
      </c>
    </row>
    <row r="244" spans="1:15" ht="15" customHeight="1">
      <c r="A244" t="s">
        <v>644</v>
      </c>
      <c r="B244" t="s">
        <v>645</v>
      </c>
      <c r="C244" t="s">
        <v>75</v>
      </c>
      <c r="D244" t="s">
        <v>69</v>
      </c>
      <c r="E244">
        <v>9</v>
      </c>
      <c r="F244">
        <v>7.7</v>
      </c>
      <c r="G244">
        <v>0.86</v>
      </c>
      <c r="H244">
        <v>30</v>
      </c>
      <c r="I244">
        <v>2000</v>
      </c>
      <c r="J244">
        <v>1500</v>
      </c>
      <c r="K244" t="s">
        <v>162</v>
      </c>
      <c r="L244" t="s">
        <v>117</v>
      </c>
      <c r="M244" t="s">
        <v>45</v>
      </c>
      <c r="N244" t="b">
        <v>1</v>
      </c>
      <c r="O244" t="s">
        <v>510</v>
      </c>
    </row>
    <row r="245" spans="1:15" ht="15" customHeight="1">
      <c r="A245" t="s">
        <v>646</v>
      </c>
      <c r="B245" t="s">
        <v>647</v>
      </c>
      <c r="C245" t="s">
        <v>75</v>
      </c>
      <c r="D245" t="s">
        <v>69</v>
      </c>
      <c r="E245">
        <v>10</v>
      </c>
      <c r="F245">
        <v>8.6</v>
      </c>
      <c r="G245">
        <v>0.86</v>
      </c>
      <c r="H245">
        <v>19</v>
      </c>
      <c r="I245">
        <v>2000</v>
      </c>
      <c r="J245">
        <v>1500</v>
      </c>
      <c r="K245" t="s">
        <v>408</v>
      </c>
      <c r="L245" t="s">
        <v>77</v>
      </c>
      <c r="M245" t="s">
        <v>40</v>
      </c>
      <c r="N245" t="b">
        <v>0</v>
      </c>
      <c r="O245" t="s">
        <v>409</v>
      </c>
    </row>
    <row r="246" spans="1:15" ht="15" customHeight="1">
      <c r="A246" t="s">
        <v>517</v>
      </c>
      <c r="B246" t="s">
        <v>648</v>
      </c>
      <c r="C246" t="s">
        <v>81</v>
      </c>
      <c r="D246" t="s">
        <v>69</v>
      </c>
      <c r="E246">
        <v>13</v>
      </c>
      <c r="F246">
        <v>9.6999999999999993</v>
      </c>
      <c r="G246">
        <v>0.75</v>
      </c>
      <c r="H246">
        <v>29</v>
      </c>
      <c r="I246">
        <v>10000</v>
      </c>
      <c r="J246">
        <v>3000</v>
      </c>
      <c r="K246" t="s">
        <v>603</v>
      </c>
      <c r="L246" t="s">
        <v>100</v>
      </c>
      <c r="M246" t="s">
        <v>46</v>
      </c>
      <c r="N246" t="b">
        <v>0</v>
      </c>
      <c r="O246" t="s">
        <v>604</v>
      </c>
    </row>
    <row r="247" spans="1:15" ht="15" customHeight="1">
      <c r="A247" t="s">
        <v>324</v>
      </c>
      <c r="B247" t="s">
        <v>649</v>
      </c>
      <c r="C247" t="s">
        <v>129</v>
      </c>
      <c r="D247" t="s">
        <v>130</v>
      </c>
      <c r="E247">
        <v>10</v>
      </c>
      <c r="F247">
        <v>8.1</v>
      </c>
      <c r="G247">
        <v>0.81</v>
      </c>
      <c r="H247">
        <v>8</v>
      </c>
      <c r="I247">
        <v>5000</v>
      </c>
      <c r="J247">
        <v>1000</v>
      </c>
      <c r="K247" t="s">
        <v>76</v>
      </c>
      <c r="L247" t="s">
        <v>91</v>
      </c>
      <c r="M247" t="s">
        <v>48</v>
      </c>
      <c r="N247" t="b">
        <v>1</v>
      </c>
      <c r="O247" t="s">
        <v>317</v>
      </c>
    </row>
    <row r="248" spans="1:15" ht="15" customHeight="1">
      <c r="A248" t="s">
        <v>650</v>
      </c>
      <c r="B248" t="s">
        <v>651</v>
      </c>
      <c r="C248" t="s">
        <v>81</v>
      </c>
      <c r="D248" t="s">
        <v>69</v>
      </c>
      <c r="E248">
        <v>10</v>
      </c>
      <c r="F248">
        <v>8.4</v>
      </c>
      <c r="G248">
        <v>0.84</v>
      </c>
      <c r="H248">
        <v>19</v>
      </c>
      <c r="I248">
        <v>10000</v>
      </c>
      <c r="J248">
        <v>3000</v>
      </c>
      <c r="K248" t="s">
        <v>309</v>
      </c>
      <c r="L248" t="s">
        <v>100</v>
      </c>
      <c r="M248" t="s">
        <v>46</v>
      </c>
      <c r="N248" t="b">
        <v>0</v>
      </c>
      <c r="O248" t="s">
        <v>310</v>
      </c>
    </row>
    <row r="249" spans="1:15" ht="15" customHeight="1">
      <c r="A249" t="s">
        <v>332</v>
      </c>
      <c r="B249" t="s">
        <v>652</v>
      </c>
      <c r="C249" t="s">
        <v>68</v>
      </c>
      <c r="D249" t="s">
        <v>69</v>
      </c>
      <c r="E249">
        <v>11</v>
      </c>
      <c r="F249">
        <v>1.2</v>
      </c>
      <c r="G249">
        <v>0.11</v>
      </c>
      <c r="H249">
        <v>3</v>
      </c>
      <c r="I249">
        <v>30000</v>
      </c>
      <c r="J249">
        <v>5000</v>
      </c>
      <c r="K249" t="s">
        <v>108</v>
      </c>
      <c r="L249" t="s">
        <v>96</v>
      </c>
      <c r="M249" t="s">
        <v>42</v>
      </c>
      <c r="N249" t="b">
        <v>0</v>
      </c>
      <c r="O249" t="s">
        <v>109</v>
      </c>
    </row>
    <row r="250" spans="1:15" ht="15" customHeight="1">
      <c r="A250" t="s">
        <v>614</v>
      </c>
      <c r="B250" t="s">
        <v>653</v>
      </c>
      <c r="C250" t="s">
        <v>68</v>
      </c>
      <c r="D250" t="s">
        <v>69</v>
      </c>
      <c r="E250">
        <v>11</v>
      </c>
      <c r="F250">
        <v>3.2</v>
      </c>
      <c r="G250">
        <v>0.28999999999999998</v>
      </c>
      <c r="H250">
        <v>3</v>
      </c>
      <c r="I250">
        <v>30000</v>
      </c>
      <c r="J250">
        <v>5000</v>
      </c>
      <c r="K250" t="s">
        <v>108</v>
      </c>
      <c r="L250" t="s">
        <v>77</v>
      </c>
      <c r="M250" t="s">
        <v>46</v>
      </c>
      <c r="N250" t="b">
        <v>0</v>
      </c>
      <c r="O250" t="s">
        <v>109</v>
      </c>
    </row>
    <row r="251" spans="1:15" ht="15" customHeight="1">
      <c r="A251" t="s">
        <v>654</v>
      </c>
      <c r="B251" t="s">
        <v>655</v>
      </c>
      <c r="C251" t="s">
        <v>129</v>
      </c>
      <c r="D251" t="s">
        <v>130</v>
      </c>
      <c r="E251">
        <v>11</v>
      </c>
      <c r="F251">
        <v>10.9</v>
      </c>
      <c r="G251">
        <v>0.99</v>
      </c>
      <c r="H251">
        <v>24</v>
      </c>
      <c r="I251">
        <v>5000</v>
      </c>
      <c r="J251">
        <v>1000</v>
      </c>
      <c r="K251" t="s">
        <v>95</v>
      </c>
      <c r="L251" t="s">
        <v>117</v>
      </c>
      <c r="M251" t="s">
        <v>48</v>
      </c>
      <c r="N251" t="b">
        <v>1</v>
      </c>
      <c r="O251" t="s">
        <v>217</v>
      </c>
    </row>
    <row r="252" spans="1:15" ht="15" customHeight="1">
      <c r="A252" t="s">
        <v>656</v>
      </c>
      <c r="B252" t="s">
        <v>657</v>
      </c>
      <c r="C252" t="s">
        <v>68</v>
      </c>
      <c r="D252" t="s">
        <v>69</v>
      </c>
      <c r="E252">
        <v>9</v>
      </c>
      <c r="F252">
        <v>1.7</v>
      </c>
      <c r="G252">
        <v>0.19</v>
      </c>
      <c r="H252">
        <v>1</v>
      </c>
      <c r="I252">
        <v>30000</v>
      </c>
      <c r="J252">
        <v>5000</v>
      </c>
      <c r="K252" t="s">
        <v>70</v>
      </c>
      <c r="L252" t="s">
        <v>96</v>
      </c>
      <c r="M252" t="s">
        <v>41</v>
      </c>
      <c r="N252" t="b">
        <v>0</v>
      </c>
      <c r="O252" t="s">
        <v>72</v>
      </c>
    </row>
    <row r="253" spans="1:15" ht="15" customHeight="1">
      <c r="A253" t="s">
        <v>481</v>
      </c>
      <c r="B253" t="s">
        <v>658</v>
      </c>
      <c r="C253" t="s">
        <v>81</v>
      </c>
      <c r="D253" t="s">
        <v>69</v>
      </c>
      <c r="E253">
        <v>11</v>
      </c>
      <c r="F253">
        <v>4.5</v>
      </c>
      <c r="G253">
        <v>0.41</v>
      </c>
      <c r="H253">
        <v>10</v>
      </c>
      <c r="I253">
        <v>10000</v>
      </c>
      <c r="J253">
        <v>3000</v>
      </c>
      <c r="K253" t="s">
        <v>103</v>
      </c>
      <c r="L253" t="s">
        <v>104</v>
      </c>
      <c r="M253" t="s">
        <v>41</v>
      </c>
      <c r="N253" t="b">
        <v>0</v>
      </c>
      <c r="O253" t="s">
        <v>105</v>
      </c>
    </row>
    <row r="254" spans="1:15" ht="15" customHeight="1">
      <c r="A254" t="s">
        <v>106</v>
      </c>
      <c r="B254" t="s">
        <v>659</v>
      </c>
      <c r="C254" t="s">
        <v>68</v>
      </c>
      <c r="D254" t="s">
        <v>69</v>
      </c>
      <c r="E254">
        <v>8</v>
      </c>
      <c r="F254">
        <v>1</v>
      </c>
      <c r="G254">
        <v>0.12</v>
      </c>
      <c r="H254">
        <v>2</v>
      </c>
      <c r="I254">
        <v>30000</v>
      </c>
      <c r="J254">
        <v>5000</v>
      </c>
      <c r="K254" t="s">
        <v>162</v>
      </c>
      <c r="L254" t="s">
        <v>71</v>
      </c>
      <c r="M254" t="s">
        <v>49</v>
      </c>
      <c r="N254" t="b">
        <v>0</v>
      </c>
      <c r="O254" t="s">
        <v>163</v>
      </c>
    </row>
    <row r="255" spans="1:15" ht="15" customHeight="1">
      <c r="A255" t="s">
        <v>614</v>
      </c>
      <c r="B255" t="s">
        <v>660</v>
      </c>
      <c r="C255" t="s">
        <v>129</v>
      </c>
      <c r="D255" t="s">
        <v>130</v>
      </c>
      <c r="E255">
        <v>13</v>
      </c>
      <c r="F255">
        <v>5.4</v>
      </c>
      <c r="G255">
        <v>0.42</v>
      </c>
      <c r="H255">
        <v>22</v>
      </c>
      <c r="I255">
        <v>5000</v>
      </c>
      <c r="J255">
        <v>1000</v>
      </c>
      <c r="K255" t="s">
        <v>134</v>
      </c>
      <c r="L255" t="s">
        <v>77</v>
      </c>
      <c r="M255" t="s">
        <v>46</v>
      </c>
      <c r="N255" t="b">
        <v>0</v>
      </c>
      <c r="O255" t="s">
        <v>135</v>
      </c>
    </row>
    <row r="256" spans="1:15" ht="15" customHeight="1">
      <c r="A256" t="s">
        <v>570</v>
      </c>
      <c r="B256" t="s">
        <v>661</v>
      </c>
      <c r="C256" t="s">
        <v>81</v>
      </c>
      <c r="D256" t="s">
        <v>69</v>
      </c>
      <c r="E256">
        <v>12</v>
      </c>
      <c r="F256">
        <v>6</v>
      </c>
      <c r="G256">
        <v>0.5</v>
      </c>
      <c r="H256">
        <v>25</v>
      </c>
      <c r="I256">
        <v>10000</v>
      </c>
      <c r="J256">
        <v>3000</v>
      </c>
      <c r="K256" t="s">
        <v>138</v>
      </c>
      <c r="L256" t="s">
        <v>96</v>
      </c>
      <c r="M256" t="s">
        <v>44</v>
      </c>
      <c r="N256" t="b">
        <v>0</v>
      </c>
      <c r="O256" t="s">
        <v>139</v>
      </c>
    </row>
    <row r="257" spans="1:15" ht="15" customHeight="1">
      <c r="A257" t="s">
        <v>590</v>
      </c>
      <c r="B257" t="s">
        <v>662</v>
      </c>
      <c r="C257" t="s">
        <v>75</v>
      </c>
      <c r="D257" t="s">
        <v>69</v>
      </c>
      <c r="E257">
        <v>18</v>
      </c>
      <c r="F257">
        <v>9.8000000000000007</v>
      </c>
      <c r="G257">
        <v>0.54</v>
      </c>
      <c r="H257">
        <v>22</v>
      </c>
      <c r="I257">
        <v>2000</v>
      </c>
      <c r="J257">
        <v>1500</v>
      </c>
      <c r="K257" t="s">
        <v>90</v>
      </c>
      <c r="L257" t="s">
        <v>77</v>
      </c>
      <c r="M257" t="s">
        <v>49</v>
      </c>
      <c r="N257" t="b">
        <v>0</v>
      </c>
      <c r="O257" t="s">
        <v>92</v>
      </c>
    </row>
    <row r="258" spans="1:15" ht="15" customHeight="1">
      <c r="A258" t="s">
        <v>663</v>
      </c>
      <c r="B258" t="s">
        <v>664</v>
      </c>
      <c r="C258" t="s">
        <v>81</v>
      </c>
      <c r="D258" t="s">
        <v>69</v>
      </c>
      <c r="E258">
        <v>11</v>
      </c>
      <c r="F258">
        <v>4</v>
      </c>
      <c r="G258">
        <v>0.36</v>
      </c>
      <c r="H258">
        <v>24</v>
      </c>
      <c r="I258">
        <v>10000</v>
      </c>
      <c r="J258">
        <v>3000</v>
      </c>
      <c r="K258" t="s">
        <v>306</v>
      </c>
      <c r="L258" t="s">
        <v>104</v>
      </c>
      <c r="M258" t="s">
        <v>43</v>
      </c>
      <c r="N258" t="b">
        <v>0</v>
      </c>
      <c r="O258" t="s">
        <v>307</v>
      </c>
    </row>
    <row r="259" spans="1:15" ht="15" customHeight="1">
      <c r="A259" t="s">
        <v>213</v>
      </c>
      <c r="B259" t="s">
        <v>665</v>
      </c>
      <c r="C259" t="s">
        <v>129</v>
      </c>
      <c r="D259" t="s">
        <v>130</v>
      </c>
      <c r="E259">
        <v>8</v>
      </c>
      <c r="F259">
        <v>5.6</v>
      </c>
      <c r="G259">
        <v>0.7</v>
      </c>
      <c r="H259">
        <v>22</v>
      </c>
      <c r="I259">
        <v>5000</v>
      </c>
      <c r="J259">
        <v>1000</v>
      </c>
      <c r="K259" t="s">
        <v>134</v>
      </c>
      <c r="L259" t="s">
        <v>71</v>
      </c>
      <c r="M259" t="s">
        <v>47</v>
      </c>
      <c r="N259" t="b">
        <v>0</v>
      </c>
      <c r="O259" t="s">
        <v>135</v>
      </c>
    </row>
    <row r="260" spans="1:15" ht="15" customHeight="1">
      <c r="A260" t="s">
        <v>666</v>
      </c>
      <c r="B260" t="s">
        <v>667</v>
      </c>
      <c r="C260" t="s">
        <v>129</v>
      </c>
      <c r="D260" t="s">
        <v>130</v>
      </c>
      <c r="E260">
        <v>17</v>
      </c>
      <c r="F260">
        <v>6.7</v>
      </c>
      <c r="G260">
        <v>0.39</v>
      </c>
      <c r="H260">
        <v>28</v>
      </c>
      <c r="I260">
        <v>5000</v>
      </c>
      <c r="J260">
        <v>1000</v>
      </c>
      <c r="K260" t="s">
        <v>116</v>
      </c>
      <c r="L260" t="s">
        <v>77</v>
      </c>
      <c r="M260" t="s">
        <v>44</v>
      </c>
      <c r="N260" t="b">
        <v>0</v>
      </c>
      <c r="O260" t="s">
        <v>470</v>
      </c>
    </row>
    <row r="261" spans="1:15" ht="15" customHeight="1">
      <c r="A261" t="s">
        <v>668</v>
      </c>
      <c r="B261" t="s">
        <v>669</v>
      </c>
      <c r="C261" t="s">
        <v>68</v>
      </c>
      <c r="D261" t="s">
        <v>69</v>
      </c>
      <c r="E261">
        <v>16</v>
      </c>
      <c r="F261">
        <v>2.6</v>
      </c>
      <c r="G261">
        <v>0.16</v>
      </c>
      <c r="H261">
        <v>1</v>
      </c>
      <c r="I261">
        <v>30000</v>
      </c>
      <c r="J261">
        <v>5000</v>
      </c>
      <c r="K261" t="s">
        <v>70</v>
      </c>
      <c r="L261" t="s">
        <v>104</v>
      </c>
      <c r="M261" t="s">
        <v>44</v>
      </c>
      <c r="N261" t="b">
        <v>0</v>
      </c>
      <c r="O261" t="s">
        <v>72</v>
      </c>
    </row>
    <row r="262" spans="1:15" ht="15" customHeight="1">
      <c r="A262" t="s">
        <v>670</v>
      </c>
      <c r="B262" t="s">
        <v>671</v>
      </c>
      <c r="C262" t="s">
        <v>149</v>
      </c>
      <c r="D262" t="s">
        <v>69</v>
      </c>
      <c r="E262">
        <v>8</v>
      </c>
      <c r="F262">
        <v>7</v>
      </c>
      <c r="G262">
        <v>0.88</v>
      </c>
      <c r="H262">
        <v>37</v>
      </c>
      <c r="I262">
        <v>3000</v>
      </c>
      <c r="J262">
        <v>1000</v>
      </c>
      <c r="K262" t="s">
        <v>672</v>
      </c>
      <c r="L262" t="s">
        <v>91</v>
      </c>
      <c r="M262" t="s">
        <v>42</v>
      </c>
      <c r="N262" t="b">
        <v>1</v>
      </c>
      <c r="O262" t="s">
        <v>134</v>
      </c>
    </row>
    <row r="263" spans="1:15" ht="15" customHeight="1">
      <c r="A263" t="s">
        <v>213</v>
      </c>
      <c r="B263" t="s">
        <v>673</v>
      </c>
      <c r="C263" t="s">
        <v>75</v>
      </c>
      <c r="D263" t="s">
        <v>69</v>
      </c>
      <c r="E263">
        <v>8</v>
      </c>
      <c r="F263">
        <v>6.7</v>
      </c>
      <c r="G263">
        <v>0.84</v>
      </c>
      <c r="H263">
        <v>23</v>
      </c>
      <c r="I263">
        <v>2000</v>
      </c>
      <c r="J263">
        <v>1500</v>
      </c>
      <c r="K263" t="s">
        <v>207</v>
      </c>
      <c r="L263" t="s">
        <v>71</v>
      </c>
      <c r="M263" t="s">
        <v>47</v>
      </c>
      <c r="N263" t="b">
        <v>0</v>
      </c>
      <c r="O263" t="s">
        <v>208</v>
      </c>
    </row>
    <row r="264" spans="1:15" ht="15" customHeight="1">
      <c r="A264" t="s">
        <v>674</v>
      </c>
      <c r="B264" t="s">
        <v>675</v>
      </c>
      <c r="C264" t="s">
        <v>68</v>
      </c>
      <c r="D264" t="s">
        <v>69</v>
      </c>
      <c r="E264">
        <v>10</v>
      </c>
      <c r="F264">
        <v>3.3</v>
      </c>
      <c r="G264">
        <v>0.33</v>
      </c>
      <c r="H264">
        <v>3</v>
      </c>
      <c r="I264">
        <v>30000</v>
      </c>
      <c r="J264">
        <v>5000</v>
      </c>
      <c r="K264" t="s">
        <v>108</v>
      </c>
      <c r="L264" t="s">
        <v>100</v>
      </c>
      <c r="M264" t="s">
        <v>40</v>
      </c>
      <c r="N264" t="b">
        <v>0</v>
      </c>
      <c r="O264" t="s">
        <v>109</v>
      </c>
    </row>
    <row r="265" spans="1:15" ht="15" customHeight="1">
      <c r="A265" t="s">
        <v>676</v>
      </c>
      <c r="B265" t="s">
        <v>677</v>
      </c>
      <c r="C265" t="s">
        <v>81</v>
      </c>
      <c r="D265" t="s">
        <v>69</v>
      </c>
      <c r="E265">
        <v>9</v>
      </c>
      <c r="F265">
        <v>6.6</v>
      </c>
      <c r="G265">
        <v>0.73</v>
      </c>
      <c r="H265">
        <v>16</v>
      </c>
      <c r="I265">
        <v>10000</v>
      </c>
      <c r="J265">
        <v>3000</v>
      </c>
      <c r="K265" t="s">
        <v>283</v>
      </c>
      <c r="L265" t="s">
        <v>71</v>
      </c>
      <c r="M265" t="s">
        <v>49</v>
      </c>
      <c r="N265" t="b">
        <v>0</v>
      </c>
      <c r="O265" t="s">
        <v>284</v>
      </c>
    </row>
    <row r="266" spans="1:15" ht="15" customHeight="1">
      <c r="A266" t="s">
        <v>621</v>
      </c>
      <c r="B266" t="s">
        <v>678</v>
      </c>
      <c r="C266" t="s">
        <v>149</v>
      </c>
      <c r="D266" t="s">
        <v>69</v>
      </c>
      <c r="E266">
        <v>9</v>
      </c>
      <c r="F266">
        <v>7.2</v>
      </c>
      <c r="G266">
        <v>0.8</v>
      </c>
      <c r="H266">
        <v>25</v>
      </c>
      <c r="I266">
        <v>3000</v>
      </c>
      <c r="J266">
        <v>1000</v>
      </c>
      <c r="K266" t="s">
        <v>479</v>
      </c>
      <c r="L266" t="s">
        <v>104</v>
      </c>
      <c r="M266" t="s">
        <v>44</v>
      </c>
      <c r="N266" t="b">
        <v>0</v>
      </c>
      <c r="O266" t="s">
        <v>480</v>
      </c>
    </row>
    <row r="267" spans="1:15" ht="15" customHeight="1">
      <c r="A267" t="s">
        <v>227</v>
      </c>
      <c r="B267" t="s">
        <v>679</v>
      </c>
      <c r="C267" t="s">
        <v>68</v>
      </c>
      <c r="D267" t="s">
        <v>69</v>
      </c>
      <c r="E267">
        <v>11</v>
      </c>
      <c r="F267">
        <v>2.5</v>
      </c>
      <c r="G267">
        <v>0.23</v>
      </c>
      <c r="H267">
        <v>3</v>
      </c>
      <c r="I267">
        <v>30000</v>
      </c>
      <c r="J267">
        <v>5000</v>
      </c>
      <c r="K267" t="s">
        <v>108</v>
      </c>
      <c r="L267" t="s">
        <v>77</v>
      </c>
      <c r="M267" t="s">
        <v>41</v>
      </c>
      <c r="N267" t="b">
        <v>0</v>
      </c>
      <c r="O267" t="s">
        <v>109</v>
      </c>
    </row>
    <row r="268" spans="1:15" ht="15" customHeight="1">
      <c r="A268" t="s">
        <v>680</v>
      </c>
      <c r="B268" t="s">
        <v>681</v>
      </c>
      <c r="C268" t="s">
        <v>129</v>
      </c>
      <c r="D268" t="s">
        <v>130</v>
      </c>
      <c r="E268">
        <v>20</v>
      </c>
      <c r="F268">
        <v>17.7</v>
      </c>
      <c r="G268">
        <v>0.89</v>
      </c>
      <c r="H268">
        <v>22</v>
      </c>
      <c r="I268">
        <v>5000</v>
      </c>
      <c r="J268">
        <v>1000</v>
      </c>
      <c r="K268" t="s">
        <v>134</v>
      </c>
      <c r="L268" t="s">
        <v>100</v>
      </c>
      <c r="M268" t="s">
        <v>40</v>
      </c>
      <c r="N268" t="b">
        <v>0</v>
      </c>
      <c r="O268" t="s">
        <v>135</v>
      </c>
    </row>
    <row r="269" spans="1:15" ht="15" customHeight="1">
      <c r="A269" t="s">
        <v>682</v>
      </c>
      <c r="B269" t="s">
        <v>683</v>
      </c>
      <c r="C269" t="s">
        <v>75</v>
      </c>
      <c r="D269" t="s">
        <v>69</v>
      </c>
      <c r="E269">
        <v>19</v>
      </c>
      <c r="F269">
        <v>10.3</v>
      </c>
      <c r="G269">
        <v>0.54</v>
      </c>
      <c r="H269">
        <v>30</v>
      </c>
      <c r="I269">
        <v>2000</v>
      </c>
      <c r="J269">
        <v>1500</v>
      </c>
      <c r="K269" t="s">
        <v>162</v>
      </c>
      <c r="L269" t="s">
        <v>91</v>
      </c>
      <c r="M269" t="s">
        <v>46</v>
      </c>
      <c r="N269" t="b">
        <v>1</v>
      </c>
      <c r="O269" t="s">
        <v>510</v>
      </c>
    </row>
    <row r="270" spans="1:15" ht="15" customHeight="1">
      <c r="A270" t="s">
        <v>536</v>
      </c>
      <c r="B270" t="s">
        <v>684</v>
      </c>
      <c r="C270" t="s">
        <v>149</v>
      </c>
      <c r="D270" t="s">
        <v>69</v>
      </c>
      <c r="E270">
        <v>9</v>
      </c>
      <c r="F270">
        <v>8.6</v>
      </c>
      <c r="G270">
        <v>0.96</v>
      </c>
      <c r="H270">
        <v>24</v>
      </c>
      <c r="I270">
        <v>3000</v>
      </c>
      <c r="J270">
        <v>1000</v>
      </c>
      <c r="K270" t="s">
        <v>490</v>
      </c>
      <c r="L270" t="s">
        <v>104</v>
      </c>
      <c r="M270" t="s">
        <v>44</v>
      </c>
      <c r="N270" t="b">
        <v>0</v>
      </c>
      <c r="O270" t="s">
        <v>491</v>
      </c>
    </row>
    <row r="271" spans="1:15" ht="15" customHeight="1">
      <c r="A271" t="s">
        <v>685</v>
      </c>
      <c r="B271" t="s">
        <v>686</v>
      </c>
      <c r="C271" t="s">
        <v>149</v>
      </c>
      <c r="D271" t="s">
        <v>69</v>
      </c>
      <c r="E271">
        <v>12</v>
      </c>
      <c r="F271">
        <v>9</v>
      </c>
      <c r="G271">
        <v>0.75</v>
      </c>
      <c r="H271">
        <v>32</v>
      </c>
      <c r="I271">
        <v>3000</v>
      </c>
      <c r="J271">
        <v>1000</v>
      </c>
      <c r="K271" t="s">
        <v>576</v>
      </c>
      <c r="L271" t="s">
        <v>71</v>
      </c>
      <c r="M271" t="s">
        <v>47</v>
      </c>
      <c r="N271" t="b">
        <v>0</v>
      </c>
      <c r="O271" t="s">
        <v>336</v>
      </c>
    </row>
    <row r="272" spans="1:15" ht="15" customHeight="1">
      <c r="A272" t="s">
        <v>687</v>
      </c>
      <c r="B272" t="s">
        <v>688</v>
      </c>
      <c r="C272" t="s">
        <v>75</v>
      </c>
      <c r="D272" t="s">
        <v>69</v>
      </c>
      <c r="E272">
        <v>16</v>
      </c>
      <c r="F272">
        <v>4.4000000000000004</v>
      </c>
      <c r="G272">
        <v>0.28000000000000003</v>
      </c>
      <c r="H272">
        <v>11</v>
      </c>
      <c r="I272">
        <v>2000</v>
      </c>
      <c r="J272">
        <v>1500</v>
      </c>
      <c r="K272" t="s">
        <v>689</v>
      </c>
      <c r="L272" t="s">
        <v>96</v>
      </c>
      <c r="M272" t="s">
        <v>45</v>
      </c>
      <c r="N272" t="b">
        <v>0</v>
      </c>
      <c r="O272" t="s">
        <v>690</v>
      </c>
    </row>
    <row r="273" spans="1:15" ht="15" customHeight="1">
      <c r="A273" t="s">
        <v>691</v>
      </c>
      <c r="B273" t="s">
        <v>692</v>
      </c>
      <c r="C273" t="s">
        <v>75</v>
      </c>
      <c r="D273" t="s">
        <v>69</v>
      </c>
      <c r="E273">
        <v>14</v>
      </c>
      <c r="F273">
        <v>8</v>
      </c>
      <c r="G273">
        <v>0.56999999999999995</v>
      </c>
      <c r="H273">
        <v>24</v>
      </c>
      <c r="I273">
        <v>2000</v>
      </c>
      <c r="J273">
        <v>1500</v>
      </c>
      <c r="K273" t="s">
        <v>361</v>
      </c>
      <c r="L273" t="s">
        <v>100</v>
      </c>
      <c r="M273" t="s">
        <v>47</v>
      </c>
      <c r="N273" t="b">
        <v>0</v>
      </c>
      <c r="O273" t="s">
        <v>362</v>
      </c>
    </row>
    <row r="274" spans="1:15" ht="15" customHeight="1">
      <c r="A274" t="s">
        <v>616</v>
      </c>
      <c r="B274" t="s">
        <v>693</v>
      </c>
      <c r="C274" t="s">
        <v>75</v>
      </c>
      <c r="D274" t="s">
        <v>69</v>
      </c>
      <c r="E274">
        <v>9</v>
      </c>
      <c r="F274">
        <v>4.8</v>
      </c>
      <c r="G274">
        <v>0.53</v>
      </c>
      <c r="H274">
        <v>11</v>
      </c>
      <c r="I274">
        <v>2000</v>
      </c>
      <c r="J274">
        <v>1500</v>
      </c>
      <c r="K274" t="s">
        <v>689</v>
      </c>
      <c r="L274" t="s">
        <v>96</v>
      </c>
      <c r="M274" t="s">
        <v>42</v>
      </c>
      <c r="N274" t="b">
        <v>0</v>
      </c>
      <c r="O274" t="s">
        <v>690</v>
      </c>
    </row>
    <row r="275" spans="1:15" ht="15" customHeight="1">
      <c r="A275" t="s">
        <v>694</v>
      </c>
      <c r="B275" t="s">
        <v>695</v>
      </c>
      <c r="C275" t="s">
        <v>68</v>
      </c>
      <c r="D275" t="s">
        <v>69</v>
      </c>
      <c r="E275">
        <v>9</v>
      </c>
      <c r="F275">
        <v>3.6</v>
      </c>
      <c r="G275">
        <v>0.4</v>
      </c>
      <c r="H275">
        <v>2</v>
      </c>
      <c r="I275">
        <v>30000</v>
      </c>
      <c r="J275">
        <v>5000</v>
      </c>
      <c r="K275" t="s">
        <v>162</v>
      </c>
      <c r="L275" t="s">
        <v>96</v>
      </c>
      <c r="M275" t="s">
        <v>46</v>
      </c>
      <c r="N275" t="b">
        <v>0</v>
      </c>
      <c r="O275" t="s">
        <v>163</v>
      </c>
    </row>
    <row r="276" spans="1:15" ht="15" customHeight="1">
      <c r="A276" t="s">
        <v>696</v>
      </c>
      <c r="B276" t="s">
        <v>697</v>
      </c>
      <c r="C276" t="s">
        <v>68</v>
      </c>
      <c r="D276" t="s">
        <v>69</v>
      </c>
      <c r="E276">
        <v>8</v>
      </c>
      <c r="F276">
        <v>2</v>
      </c>
      <c r="G276">
        <v>0.25</v>
      </c>
      <c r="H276">
        <v>3</v>
      </c>
      <c r="I276">
        <v>30000</v>
      </c>
      <c r="J276">
        <v>5000</v>
      </c>
      <c r="K276" t="s">
        <v>108</v>
      </c>
      <c r="L276" t="s">
        <v>96</v>
      </c>
      <c r="M276" t="s">
        <v>47</v>
      </c>
      <c r="N276" t="b">
        <v>0</v>
      </c>
      <c r="O276" t="s">
        <v>109</v>
      </c>
    </row>
    <row r="277" spans="1:15" ht="15" customHeight="1">
      <c r="A277" t="s">
        <v>663</v>
      </c>
      <c r="B277" t="s">
        <v>698</v>
      </c>
      <c r="C277" t="s">
        <v>129</v>
      </c>
      <c r="D277" t="s">
        <v>130</v>
      </c>
      <c r="E277">
        <v>18</v>
      </c>
      <c r="F277">
        <v>7.5</v>
      </c>
      <c r="G277">
        <v>0.42</v>
      </c>
      <c r="H277">
        <v>21</v>
      </c>
      <c r="I277">
        <v>5000</v>
      </c>
      <c r="J277">
        <v>1000</v>
      </c>
      <c r="K277" t="s">
        <v>131</v>
      </c>
      <c r="L277" t="s">
        <v>104</v>
      </c>
      <c r="M277" t="s">
        <v>43</v>
      </c>
      <c r="N277" t="b">
        <v>0</v>
      </c>
      <c r="O277" t="s">
        <v>132</v>
      </c>
    </row>
    <row r="278" spans="1:15" ht="15" customHeight="1">
      <c r="A278" t="s">
        <v>699</v>
      </c>
      <c r="B278" t="s">
        <v>700</v>
      </c>
      <c r="C278" t="s">
        <v>75</v>
      </c>
      <c r="D278" t="s">
        <v>69</v>
      </c>
      <c r="E278">
        <v>16</v>
      </c>
      <c r="F278">
        <v>14.9</v>
      </c>
      <c r="G278">
        <v>0.93</v>
      </c>
      <c r="H278">
        <v>6</v>
      </c>
      <c r="I278">
        <v>2000</v>
      </c>
      <c r="J278">
        <v>1500</v>
      </c>
      <c r="K278" t="s">
        <v>269</v>
      </c>
      <c r="L278" t="s">
        <v>77</v>
      </c>
      <c r="M278" t="s">
        <v>40</v>
      </c>
      <c r="N278" t="b">
        <v>0</v>
      </c>
      <c r="O278" t="s">
        <v>270</v>
      </c>
    </row>
    <row r="279" spans="1:15" ht="15" customHeight="1">
      <c r="A279" t="s">
        <v>391</v>
      </c>
      <c r="B279" t="s">
        <v>701</v>
      </c>
      <c r="C279" t="s">
        <v>149</v>
      </c>
      <c r="D279" t="s">
        <v>69</v>
      </c>
      <c r="E279">
        <v>8</v>
      </c>
      <c r="F279">
        <v>6.7</v>
      </c>
      <c r="G279">
        <v>0.84</v>
      </c>
      <c r="H279">
        <v>33</v>
      </c>
      <c r="I279">
        <v>3000</v>
      </c>
      <c r="J279">
        <v>1000</v>
      </c>
      <c r="K279" t="s">
        <v>169</v>
      </c>
      <c r="L279" t="s">
        <v>71</v>
      </c>
      <c r="M279" t="s">
        <v>46</v>
      </c>
      <c r="N279" t="b">
        <v>0</v>
      </c>
      <c r="O279" t="s">
        <v>702</v>
      </c>
    </row>
    <row r="280" spans="1:15" ht="15" customHeight="1">
      <c r="A280" t="s">
        <v>544</v>
      </c>
      <c r="B280" t="s">
        <v>703</v>
      </c>
      <c r="C280" t="s">
        <v>68</v>
      </c>
      <c r="D280" t="s">
        <v>69</v>
      </c>
      <c r="E280">
        <v>16</v>
      </c>
      <c r="F280">
        <v>4</v>
      </c>
      <c r="G280">
        <v>0.25</v>
      </c>
      <c r="H280">
        <v>3</v>
      </c>
      <c r="I280">
        <v>30000</v>
      </c>
      <c r="J280">
        <v>5000</v>
      </c>
      <c r="K280" t="s">
        <v>108</v>
      </c>
      <c r="L280" t="s">
        <v>100</v>
      </c>
      <c r="M280" t="s">
        <v>42</v>
      </c>
      <c r="N280" t="b">
        <v>0</v>
      </c>
      <c r="O280" t="s">
        <v>109</v>
      </c>
    </row>
    <row r="281" spans="1:15" ht="15" customHeight="1">
      <c r="A281" t="s">
        <v>471</v>
      </c>
      <c r="B281" t="s">
        <v>704</v>
      </c>
      <c r="C281" t="s">
        <v>129</v>
      </c>
      <c r="D281" t="s">
        <v>130</v>
      </c>
      <c r="E281">
        <v>17</v>
      </c>
      <c r="F281">
        <v>14.6</v>
      </c>
      <c r="G281">
        <v>0.86</v>
      </c>
      <c r="H281">
        <v>22</v>
      </c>
      <c r="I281">
        <v>5000</v>
      </c>
      <c r="J281">
        <v>1000</v>
      </c>
      <c r="K281" t="s">
        <v>134</v>
      </c>
      <c r="L281" t="s">
        <v>117</v>
      </c>
      <c r="M281" t="s">
        <v>47</v>
      </c>
      <c r="N281" t="b">
        <v>1</v>
      </c>
      <c r="O281" t="s">
        <v>135</v>
      </c>
    </row>
    <row r="282" spans="1:15" ht="15" customHeight="1">
      <c r="A282" t="s">
        <v>705</v>
      </c>
      <c r="B282" t="s">
        <v>706</v>
      </c>
      <c r="C282" t="s">
        <v>149</v>
      </c>
      <c r="D282" t="s">
        <v>69</v>
      </c>
      <c r="E282">
        <v>10</v>
      </c>
      <c r="F282">
        <v>9.6</v>
      </c>
      <c r="G282">
        <v>0.96</v>
      </c>
      <c r="H282">
        <v>33</v>
      </c>
      <c r="I282">
        <v>3000</v>
      </c>
      <c r="J282">
        <v>1000</v>
      </c>
      <c r="K282" t="s">
        <v>169</v>
      </c>
      <c r="L282" t="s">
        <v>71</v>
      </c>
      <c r="M282" t="s">
        <v>41</v>
      </c>
      <c r="N282" t="b">
        <v>0</v>
      </c>
      <c r="O282" t="s">
        <v>702</v>
      </c>
    </row>
    <row r="283" spans="1:15" ht="15" customHeight="1">
      <c r="A283" t="s">
        <v>347</v>
      </c>
      <c r="B283" t="s">
        <v>707</v>
      </c>
      <c r="C283" t="s">
        <v>129</v>
      </c>
      <c r="D283" t="s">
        <v>130</v>
      </c>
      <c r="E283">
        <v>15</v>
      </c>
      <c r="F283">
        <v>11.3</v>
      </c>
      <c r="G283">
        <v>0.75</v>
      </c>
      <c r="H283">
        <v>24</v>
      </c>
      <c r="I283">
        <v>5000</v>
      </c>
      <c r="J283">
        <v>1000</v>
      </c>
      <c r="K283" t="s">
        <v>95</v>
      </c>
      <c r="L283" t="s">
        <v>104</v>
      </c>
      <c r="M283" t="s">
        <v>42</v>
      </c>
      <c r="N283" t="b">
        <v>0</v>
      </c>
      <c r="O283" t="s">
        <v>217</v>
      </c>
    </row>
    <row r="284" spans="1:15" ht="15" customHeight="1">
      <c r="A284" t="s">
        <v>101</v>
      </c>
      <c r="B284" t="s">
        <v>708</v>
      </c>
      <c r="C284" t="s">
        <v>129</v>
      </c>
      <c r="D284" t="s">
        <v>130</v>
      </c>
      <c r="E284">
        <v>20</v>
      </c>
      <c r="F284">
        <v>9.1</v>
      </c>
      <c r="G284">
        <v>0.45</v>
      </c>
      <c r="H284">
        <v>27</v>
      </c>
      <c r="I284">
        <v>5000</v>
      </c>
      <c r="J284">
        <v>1000</v>
      </c>
      <c r="K284" t="s">
        <v>172</v>
      </c>
      <c r="L284" t="s">
        <v>104</v>
      </c>
      <c r="M284" t="s">
        <v>41</v>
      </c>
      <c r="N284" t="b">
        <v>0</v>
      </c>
      <c r="O284" t="s">
        <v>173</v>
      </c>
    </row>
    <row r="285" spans="1:15" ht="15" customHeight="1">
      <c r="A285" t="s">
        <v>344</v>
      </c>
      <c r="B285" t="s">
        <v>709</v>
      </c>
      <c r="C285" t="s">
        <v>68</v>
      </c>
      <c r="D285" t="s">
        <v>69</v>
      </c>
      <c r="E285">
        <v>11</v>
      </c>
      <c r="F285">
        <v>2.6</v>
      </c>
      <c r="G285">
        <v>0.24</v>
      </c>
      <c r="H285">
        <v>1</v>
      </c>
      <c r="I285">
        <v>30000</v>
      </c>
      <c r="J285">
        <v>5000</v>
      </c>
      <c r="K285" t="s">
        <v>70</v>
      </c>
      <c r="L285" t="s">
        <v>100</v>
      </c>
      <c r="M285" t="s">
        <v>50</v>
      </c>
      <c r="N285" t="b">
        <v>0</v>
      </c>
      <c r="O285" t="s">
        <v>72</v>
      </c>
    </row>
    <row r="286" spans="1:15" ht="15" customHeight="1">
      <c r="A286" t="s">
        <v>232</v>
      </c>
      <c r="B286" t="s">
        <v>710</v>
      </c>
      <c r="C286" t="s">
        <v>129</v>
      </c>
      <c r="D286" t="s">
        <v>130</v>
      </c>
      <c r="E286">
        <v>12</v>
      </c>
      <c r="F286">
        <v>7.9</v>
      </c>
      <c r="G286">
        <v>0.66</v>
      </c>
      <c r="H286">
        <v>13</v>
      </c>
      <c r="I286">
        <v>5000</v>
      </c>
      <c r="J286">
        <v>1000</v>
      </c>
      <c r="K286" t="s">
        <v>313</v>
      </c>
      <c r="L286" t="s">
        <v>91</v>
      </c>
      <c r="M286" t="s">
        <v>45</v>
      </c>
      <c r="N286" t="b">
        <v>1</v>
      </c>
      <c r="O286" t="s">
        <v>314</v>
      </c>
    </row>
    <row r="287" spans="1:15" ht="15" customHeight="1">
      <c r="A287" t="s">
        <v>66</v>
      </c>
      <c r="B287" t="s">
        <v>711</v>
      </c>
      <c r="C287" t="s">
        <v>129</v>
      </c>
      <c r="D287" t="s">
        <v>130</v>
      </c>
      <c r="E287">
        <v>20</v>
      </c>
      <c r="F287">
        <v>10.9</v>
      </c>
      <c r="G287">
        <v>0.55000000000000004</v>
      </c>
      <c r="H287">
        <v>13</v>
      </c>
      <c r="I287">
        <v>5000</v>
      </c>
      <c r="J287">
        <v>1000</v>
      </c>
      <c r="K287" t="s">
        <v>313</v>
      </c>
      <c r="L287" t="s">
        <v>71</v>
      </c>
      <c r="M287" t="s">
        <v>51</v>
      </c>
      <c r="N287" t="b">
        <v>0</v>
      </c>
      <c r="O287" t="s">
        <v>314</v>
      </c>
    </row>
    <row r="288" spans="1:15" ht="15" customHeight="1">
      <c r="A288" t="s">
        <v>712</v>
      </c>
      <c r="B288" t="s">
        <v>713</v>
      </c>
      <c r="C288" t="s">
        <v>75</v>
      </c>
      <c r="D288" t="s">
        <v>69</v>
      </c>
      <c r="E288">
        <v>17</v>
      </c>
      <c r="F288">
        <v>16.5</v>
      </c>
      <c r="G288">
        <v>0.97</v>
      </c>
      <c r="H288">
        <v>19</v>
      </c>
      <c r="I288">
        <v>2000</v>
      </c>
      <c r="J288">
        <v>1500</v>
      </c>
      <c r="K288" t="s">
        <v>408</v>
      </c>
      <c r="L288" t="s">
        <v>71</v>
      </c>
      <c r="M288" t="s">
        <v>41</v>
      </c>
      <c r="N288" t="b">
        <v>0</v>
      </c>
      <c r="O288" t="s">
        <v>409</v>
      </c>
    </row>
    <row r="289" spans="1:15" ht="15" customHeight="1">
      <c r="A289" t="s">
        <v>714</v>
      </c>
      <c r="B289" t="s">
        <v>715</v>
      </c>
      <c r="C289" t="s">
        <v>129</v>
      </c>
      <c r="D289" t="s">
        <v>130</v>
      </c>
      <c r="E289">
        <v>16</v>
      </c>
      <c r="F289">
        <v>4.9000000000000004</v>
      </c>
      <c r="G289">
        <v>0.31</v>
      </c>
      <c r="H289">
        <v>21</v>
      </c>
      <c r="I289">
        <v>5000</v>
      </c>
      <c r="J289">
        <v>1000</v>
      </c>
      <c r="K289" t="s">
        <v>131</v>
      </c>
      <c r="L289" t="s">
        <v>91</v>
      </c>
      <c r="M289" t="s">
        <v>44</v>
      </c>
      <c r="N289" t="b">
        <v>1</v>
      </c>
      <c r="O289" t="s">
        <v>132</v>
      </c>
    </row>
    <row r="290" spans="1:15" ht="15" customHeight="1">
      <c r="A290" t="s">
        <v>716</v>
      </c>
      <c r="B290" t="s">
        <v>717</v>
      </c>
      <c r="C290" t="s">
        <v>68</v>
      </c>
      <c r="D290" t="s">
        <v>69</v>
      </c>
      <c r="E290">
        <v>12</v>
      </c>
      <c r="F290">
        <v>3.9</v>
      </c>
      <c r="G290">
        <v>0.33</v>
      </c>
      <c r="H290">
        <v>5</v>
      </c>
      <c r="I290">
        <v>30000</v>
      </c>
      <c r="J290">
        <v>5000</v>
      </c>
      <c r="K290" t="s">
        <v>112</v>
      </c>
      <c r="L290" t="s">
        <v>91</v>
      </c>
      <c r="M290" t="s">
        <v>51</v>
      </c>
      <c r="N290" t="b">
        <v>1</v>
      </c>
      <c r="O290" t="s">
        <v>113</v>
      </c>
    </row>
    <row r="291" spans="1:15" ht="15" customHeight="1">
      <c r="A291" t="s">
        <v>718</v>
      </c>
      <c r="B291" t="s">
        <v>719</v>
      </c>
      <c r="C291" t="s">
        <v>68</v>
      </c>
      <c r="D291" t="s">
        <v>69</v>
      </c>
      <c r="E291">
        <v>11</v>
      </c>
      <c r="F291">
        <v>3.8</v>
      </c>
      <c r="G291">
        <v>0.35</v>
      </c>
      <c r="H291">
        <v>1</v>
      </c>
      <c r="I291">
        <v>30000</v>
      </c>
      <c r="J291">
        <v>5000</v>
      </c>
      <c r="K291" t="s">
        <v>70</v>
      </c>
      <c r="L291" t="s">
        <v>71</v>
      </c>
      <c r="M291" t="s">
        <v>50</v>
      </c>
      <c r="N291" t="b">
        <v>0</v>
      </c>
      <c r="O291" t="s">
        <v>72</v>
      </c>
    </row>
    <row r="292" spans="1:15" ht="15" customHeight="1">
      <c r="A292" t="s">
        <v>93</v>
      </c>
      <c r="B292" t="s">
        <v>720</v>
      </c>
      <c r="C292" t="s">
        <v>68</v>
      </c>
      <c r="D292" t="s">
        <v>69</v>
      </c>
      <c r="E292">
        <v>16</v>
      </c>
      <c r="F292">
        <v>2.4</v>
      </c>
      <c r="G292">
        <v>0.15</v>
      </c>
      <c r="H292">
        <v>5</v>
      </c>
      <c r="I292">
        <v>30000</v>
      </c>
      <c r="J292">
        <v>5000</v>
      </c>
      <c r="K292" t="s">
        <v>112</v>
      </c>
      <c r="L292" t="s">
        <v>96</v>
      </c>
      <c r="M292" t="s">
        <v>40</v>
      </c>
      <c r="N292" t="b">
        <v>0</v>
      </c>
      <c r="O292" t="s">
        <v>113</v>
      </c>
    </row>
    <row r="293" spans="1:15" ht="15" customHeight="1">
      <c r="A293" t="s">
        <v>721</v>
      </c>
      <c r="B293" t="s">
        <v>722</v>
      </c>
      <c r="C293" t="s">
        <v>149</v>
      </c>
      <c r="D293" t="s">
        <v>69</v>
      </c>
      <c r="E293">
        <v>9</v>
      </c>
      <c r="F293">
        <v>6.1</v>
      </c>
      <c r="G293">
        <v>0.68</v>
      </c>
      <c r="H293">
        <v>25</v>
      </c>
      <c r="I293">
        <v>3000</v>
      </c>
      <c r="J293">
        <v>1000</v>
      </c>
      <c r="K293" t="s">
        <v>479</v>
      </c>
      <c r="L293" t="s">
        <v>100</v>
      </c>
      <c r="M293" t="s">
        <v>49</v>
      </c>
      <c r="N293" t="b">
        <v>0</v>
      </c>
      <c r="O293" t="s">
        <v>480</v>
      </c>
    </row>
    <row r="294" spans="1:15" ht="15" customHeight="1">
      <c r="A294" t="s">
        <v>723</v>
      </c>
      <c r="B294" t="s">
        <v>724</v>
      </c>
      <c r="C294" t="s">
        <v>149</v>
      </c>
      <c r="D294" t="s">
        <v>69</v>
      </c>
      <c r="E294">
        <v>8</v>
      </c>
      <c r="F294">
        <v>6.7</v>
      </c>
      <c r="G294">
        <v>0.84</v>
      </c>
      <c r="H294">
        <v>26</v>
      </c>
      <c r="I294">
        <v>3000</v>
      </c>
      <c r="J294">
        <v>1000</v>
      </c>
      <c r="K294" t="s">
        <v>294</v>
      </c>
      <c r="L294" t="s">
        <v>77</v>
      </c>
      <c r="M294" t="s">
        <v>50</v>
      </c>
      <c r="N294" t="b">
        <v>0</v>
      </c>
      <c r="O294" t="s">
        <v>295</v>
      </c>
    </row>
    <row r="295" spans="1:15" ht="15" customHeight="1">
      <c r="A295" t="s">
        <v>725</v>
      </c>
      <c r="B295" t="s">
        <v>726</v>
      </c>
      <c r="C295" t="s">
        <v>75</v>
      </c>
      <c r="D295" t="s">
        <v>69</v>
      </c>
      <c r="E295">
        <v>19</v>
      </c>
      <c r="F295">
        <v>5.3</v>
      </c>
      <c r="G295">
        <v>0.28000000000000003</v>
      </c>
      <c r="H295">
        <v>29</v>
      </c>
      <c r="I295">
        <v>2000</v>
      </c>
      <c r="J295">
        <v>1500</v>
      </c>
      <c r="K295" t="s">
        <v>519</v>
      </c>
      <c r="L295" t="s">
        <v>117</v>
      </c>
      <c r="M295" t="s">
        <v>50</v>
      </c>
      <c r="N295" t="b">
        <v>1</v>
      </c>
      <c r="O295" t="s">
        <v>520</v>
      </c>
    </row>
    <row r="296" spans="1:15" ht="15" customHeight="1">
      <c r="A296" t="s">
        <v>416</v>
      </c>
      <c r="B296" t="s">
        <v>727</v>
      </c>
      <c r="C296" t="s">
        <v>149</v>
      </c>
      <c r="D296" t="s">
        <v>69</v>
      </c>
      <c r="E296">
        <v>10</v>
      </c>
      <c r="F296">
        <v>8.9</v>
      </c>
      <c r="G296">
        <v>0.89</v>
      </c>
      <c r="H296">
        <v>40</v>
      </c>
      <c r="I296">
        <v>3000</v>
      </c>
      <c r="J296">
        <v>1000</v>
      </c>
      <c r="K296" t="s">
        <v>95</v>
      </c>
      <c r="L296" t="s">
        <v>77</v>
      </c>
      <c r="M296" t="s">
        <v>44</v>
      </c>
      <c r="N296" t="b">
        <v>0</v>
      </c>
      <c r="O296" t="s">
        <v>217</v>
      </c>
    </row>
    <row r="297" spans="1:15" ht="15" customHeight="1">
      <c r="A297" t="s">
        <v>183</v>
      </c>
      <c r="B297" t="s">
        <v>728</v>
      </c>
      <c r="C297" t="s">
        <v>75</v>
      </c>
      <c r="D297" t="s">
        <v>69</v>
      </c>
      <c r="E297">
        <v>9</v>
      </c>
      <c r="F297">
        <v>4.7</v>
      </c>
      <c r="G297">
        <v>0.52</v>
      </c>
      <c r="H297">
        <v>11</v>
      </c>
      <c r="I297">
        <v>2000</v>
      </c>
      <c r="J297">
        <v>1500</v>
      </c>
      <c r="K297" t="s">
        <v>689</v>
      </c>
      <c r="L297" t="s">
        <v>100</v>
      </c>
      <c r="M297" t="s">
        <v>51</v>
      </c>
      <c r="N297" t="b">
        <v>0</v>
      </c>
      <c r="O297" t="s">
        <v>690</v>
      </c>
    </row>
    <row r="298" spans="1:15" ht="15" customHeight="1">
      <c r="A298" t="s">
        <v>441</v>
      </c>
      <c r="B298" t="s">
        <v>729</v>
      </c>
      <c r="C298" t="s">
        <v>75</v>
      </c>
      <c r="D298" t="s">
        <v>69</v>
      </c>
      <c r="E298">
        <v>16</v>
      </c>
      <c r="F298">
        <v>7.1</v>
      </c>
      <c r="G298">
        <v>0.44</v>
      </c>
      <c r="H298">
        <v>25</v>
      </c>
      <c r="I298">
        <v>2000</v>
      </c>
      <c r="J298">
        <v>1500</v>
      </c>
      <c r="K298" t="s">
        <v>158</v>
      </c>
      <c r="L298" t="s">
        <v>77</v>
      </c>
      <c r="M298" t="s">
        <v>43</v>
      </c>
      <c r="N298" t="b">
        <v>0</v>
      </c>
      <c r="O298" t="s">
        <v>400</v>
      </c>
    </row>
    <row r="299" spans="1:15" ht="15" customHeight="1">
      <c r="A299" t="s">
        <v>391</v>
      </c>
      <c r="B299" t="s">
        <v>730</v>
      </c>
      <c r="C299" t="s">
        <v>149</v>
      </c>
      <c r="D299" t="s">
        <v>69</v>
      </c>
      <c r="E299">
        <v>11</v>
      </c>
      <c r="F299">
        <v>9</v>
      </c>
      <c r="G299">
        <v>0.82</v>
      </c>
      <c r="H299">
        <v>21</v>
      </c>
      <c r="I299">
        <v>3000</v>
      </c>
      <c r="J299">
        <v>1000</v>
      </c>
      <c r="K299" t="s">
        <v>380</v>
      </c>
      <c r="L299" t="s">
        <v>71</v>
      </c>
      <c r="M299" t="s">
        <v>46</v>
      </c>
      <c r="N299" t="b">
        <v>0</v>
      </c>
      <c r="O299" t="s">
        <v>381</v>
      </c>
    </row>
    <row r="300" spans="1:15" ht="15" customHeight="1">
      <c r="A300" t="s">
        <v>731</v>
      </c>
      <c r="B300" t="s">
        <v>732</v>
      </c>
      <c r="C300" t="s">
        <v>129</v>
      </c>
      <c r="D300" t="s">
        <v>130</v>
      </c>
      <c r="E300">
        <v>16</v>
      </c>
      <c r="F300">
        <v>12.1</v>
      </c>
      <c r="G300">
        <v>0.76</v>
      </c>
      <c r="H300">
        <v>25</v>
      </c>
      <c r="I300">
        <v>5000</v>
      </c>
      <c r="J300">
        <v>1000</v>
      </c>
      <c r="K300" t="s">
        <v>245</v>
      </c>
      <c r="L300" t="s">
        <v>117</v>
      </c>
      <c r="M300" t="s">
        <v>44</v>
      </c>
      <c r="N300" t="b">
        <v>1</v>
      </c>
      <c r="O300" t="s">
        <v>246</v>
      </c>
    </row>
    <row r="301" spans="1:15" ht="15" customHeight="1">
      <c r="A301" t="s">
        <v>443</v>
      </c>
      <c r="B301" t="s">
        <v>733</v>
      </c>
      <c r="C301" t="s">
        <v>129</v>
      </c>
      <c r="D301" t="s">
        <v>130</v>
      </c>
      <c r="E301">
        <v>14</v>
      </c>
      <c r="F301">
        <v>13.6</v>
      </c>
      <c r="G301">
        <v>0.97</v>
      </c>
      <c r="H301">
        <v>12</v>
      </c>
      <c r="I301">
        <v>5000</v>
      </c>
      <c r="J301">
        <v>1000</v>
      </c>
      <c r="K301" t="s">
        <v>162</v>
      </c>
      <c r="L301" t="s">
        <v>91</v>
      </c>
      <c r="M301" t="s">
        <v>49</v>
      </c>
      <c r="N301" t="b">
        <v>1</v>
      </c>
      <c r="O301" t="s">
        <v>180</v>
      </c>
    </row>
    <row r="302" spans="1:15" ht="15" customHeight="1">
      <c r="A302" t="s">
        <v>734</v>
      </c>
      <c r="B302" t="s">
        <v>735</v>
      </c>
      <c r="C302" t="s">
        <v>129</v>
      </c>
      <c r="D302" t="s">
        <v>130</v>
      </c>
      <c r="E302">
        <v>14</v>
      </c>
      <c r="F302">
        <v>7.6</v>
      </c>
      <c r="G302">
        <v>0.54</v>
      </c>
      <c r="H302">
        <v>24</v>
      </c>
      <c r="I302">
        <v>5000</v>
      </c>
      <c r="J302">
        <v>1000</v>
      </c>
      <c r="K302" t="s">
        <v>95</v>
      </c>
      <c r="L302" t="s">
        <v>100</v>
      </c>
      <c r="M302" t="s">
        <v>48</v>
      </c>
      <c r="N302" t="b">
        <v>0</v>
      </c>
      <c r="O302" t="s">
        <v>217</v>
      </c>
    </row>
    <row r="303" spans="1:15" ht="15" customHeight="1">
      <c r="A303" t="s">
        <v>736</v>
      </c>
      <c r="B303" t="s">
        <v>737</v>
      </c>
      <c r="C303" t="s">
        <v>129</v>
      </c>
      <c r="D303" t="s">
        <v>130</v>
      </c>
      <c r="E303">
        <v>17</v>
      </c>
      <c r="F303">
        <v>15</v>
      </c>
      <c r="G303">
        <v>0.88</v>
      </c>
      <c r="H303">
        <v>23</v>
      </c>
      <c r="I303">
        <v>5000</v>
      </c>
      <c r="J303">
        <v>1000</v>
      </c>
      <c r="K303" t="s">
        <v>97</v>
      </c>
      <c r="L303" t="s">
        <v>104</v>
      </c>
      <c r="M303" t="s">
        <v>43</v>
      </c>
      <c r="N303" t="b">
        <v>0</v>
      </c>
      <c r="O303" t="s">
        <v>220</v>
      </c>
    </row>
    <row r="304" spans="1:15" ht="15" customHeight="1">
      <c r="A304" t="s">
        <v>738</v>
      </c>
      <c r="B304" t="s">
        <v>739</v>
      </c>
      <c r="C304" t="s">
        <v>75</v>
      </c>
      <c r="D304" t="s">
        <v>69</v>
      </c>
      <c r="E304">
        <v>16</v>
      </c>
      <c r="F304">
        <v>8.9</v>
      </c>
      <c r="G304">
        <v>0.56000000000000005</v>
      </c>
      <c r="H304">
        <v>9</v>
      </c>
      <c r="I304">
        <v>2000</v>
      </c>
      <c r="J304">
        <v>1500</v>
      </c>
      <c r="K304" t="s">
        <v>740</v>
      </c>
      <c r="L304" t="s">
        <v>71</v>
      </c>
      <c r="M304" t="s">
        <v>43</v>
      </c>
      <c r="N304" t="b">
        <v>0</v>
      </c>
      <c r="O304" t="s">
        <v>741</v>
      </c>
    </row>
    <row r="305" spans="1:15" ht="15" customHeight="1">
      <c r="A305" t="s">
        <v>742</v>
      </c>
      <c r="B305" t="s">
        <v>743</v>
      </c>
      <c r="C305" t="s">
        <v>149</v>
      </c>
      <c r="D305" t="s">
        <v>69</v>
      </c>
      <c r="E305">
        <v>12</v>
      </c>
      <c r="F305">
        <v>8.1</v>
      </c>
      <c r="G305">
        <v>0.67</v>
      </c>
      <c r="H305">
        <v>30</v>
      </c>
      <c r="I305">
        <v>3000</v>
      </c>
      <c r="J305">
        <v>1000</v>
      </c>
      <c r="K305" t="s">
        <v>108</v>
      </c>
      <c r="L305" t="s">
        <v>117</v>
      </c>
      <c r="M305" t="s">
        <v>48</v>
      </c>
      <c r="N305" t="b">
        <v>1</v>
      </c>
      <c r="O305" t="s">
        <v>166</v>
      </c>
    </row>
    <row r="306" spans="1:15" ht="15" customHeight="1">
      <c r="A306" t="s">
        <v>744</v>
      </c>
      <c r="B306" t="s">
        <v>745</v>
      </c>
      <c r="C306" t="s">
        <v>129</v>
      </c>
      <c r="D306" t="s">
        <v>130</v>
      </c>
      <c r="E306">
        <v>19</v>
      </c>
      <c r="F306">
        <v>13</v>
      </c>
      <c r="G306">
        <v>0.68</v>
      </c>
      <c r="H306">
        <v>6</v>
      </c>
      <c r="I306">
        <v>5000</v>
      </c>
      <c r="J306">
        <v>1000</v>
      </c>
      <c r="K306" t="s">
        <v>70</v>
      </c>
      <c r="L306" t="s">
        <v>117</v>
      </c>
      <c r="M306" t="s">
        <v>42</v>
      </c>
      <c r="N306" t="b">
        <v>1</v>
      </c>
      <c r="O306" t="s">
        <v>331</v>
      </c>
    </row>
    <row r="307" spans="1:15" ht="15" customHeight="1">
      <c r="A307" t="s">
        <v>746</v>
      </c>
      <c r="B307" t="s">
        <v>747</v>
      </c>
      <c r="C307" t="s">
        <v>81</v>
      </c>
      <c r="D307" t="s">
        <v>69</v>
      </c>
      <c r="E307">
        <v>12</v>
      </c>
      <c r="F307">
        <v>8.1999999999999993</v>
      </c>
      <c r="G307">
        <v>0.68</v>
      </c>
      <c r="H307">
        <v>15</v>
      </c>
      <c r="I307">
        <v>10000</v>
      </c>
      <c r="J307">
        <v>3000</v>
      </c>
      <c r="K307" t="s">
        <v>112</v>
      </c>
      <c r="L307" t="s">
        <v>71</v>
      </c>
      <c r="M307" t="s">
        <v>50</v>
      </c>
      <c r="N307" t="b">
        <v>0</v>
      </c>
      <c r="O307" t="s">
        <v>234</v>
      </c>
    </row>
    <row r="308" spans="1:15" ht="15" customHeight="1">
      <c r="A308" t="s">
        <v>748</v>
      </c>
      <c r="B308" t="s">
        <v>749</v>
      </c>
      <c r="C308" t="s">
        <v>68</v>
      </c>
      <c r="D308" t="s">
        <v>69</v>
      </c>
      <c r="E308">
        <v>11</v>
      </c>
      <c r="F308">
        <v>0.8</v>
      </c>
      <c r="G308">
        <v>7.0000000000000007E-2</v>
      </c>
      <c r="H308">
        <v>5</v>
      </c>
      <c r="I308">
        <v>30000</v>
      </c>
      <c r="J308">
        <v>5000</v>
      </c>
      <c r="K308" t="s">
        <v>112</v>
      </c>
      <c r="L308" t="s">
        <v>117</v>
      </c>
      <c r="M308" t="s">
        <v>42</v>
      </c>
      <c r="N308" t="b">
        <v>1</v>
      </c>
      <c r="O308" t="s">
        <v>113</v>
      </c>
    </row>
    <row r="309" spans="1:15" ht="15" customHeight="1">
      <c r="A309" t="s">
        <v>88</v>
      </c>
      <c r="B309" t="s">
        <v>750</v>
      </c>
      <c r="C309" t="s">
        <v>81</v>
      </c>
      <c r="D309" t="s">
        <v>69</v>
      </c>
      <c r="E309">
        <v>16</v>
      </c>
      <c r="F309">
        <v>4</v>
      </c>
      <c r="G309">
        <v>0.25</v>
      </c>
      <c r="H309">
        <v>8</v>
      </c>
      <c r="I309">
        <v>10000</v>
      </c>
      <c r="J309">
        <v>3000</v>
      </c>
      <c r="K309" t="s">
        <v>357</v>
      </c>
      <c r="L309" t="s">
        <v>91</v>
      </c>
      <c r="M309" t="s">
        <v>51</v>
      </c>
      <c r="N309" t="b">
        <v>1</v>
      </c>
      <c r="O309" t="s">
        <v>295</v>
      </c>
    </row>
    <row r="310" spans="1:15" ht="15" customHeight="1">
      <c r="A310" t="s">
        <v>751</v>
      </c>
      <c r="B310" t="s">
        <v>752</v>
      </c>
      <c r="C310" t="s">
        <v>81</v>
      </c>
      <c r="D310" t="s">
        <v>69</v>
      </c>
      <c r="E310">
        <v>16</v>
      </c>
      <c r="F310">
        <v>9.8000000000000007</v>
      </c>
      <c r="G310">
        <v>0.61</v>
      </c>
      <c r="H310">
        <v>11</v>
      </c>
      <c r="I310">
        <v>10000</v>
      </c>
      <c r="J310">
        <v>3000</v>
      </c>
      <c r="K310" t="s">
        <v>134</v>
      </c>
      <c r="L310" t="s">
        <v>100</v>
      </c>
      <c r="M310" t="s">
        <v>41</v>
      </c>
      <c r="N310" t="b">
        <v>0</v>
      </c>
      <c r="O310" t="s">
        <v>155</v>
      </c>
    </row>
    <row r="311" spans="1:15" ht="15" customHeight="1">
      <c r="A311" t="s">
        <v>753</v>
      </c>
      <c r="B311" t="s">
        <v>754</v>
      </c>
      <c r="C311" t="s">
        <v>68</v>
      </c>
      <c r="D311" t="s">
        <v>69</v>
      </c>
      <c r="E311">
        <v>13</v>
      </c>
      <c r="F311">
        <v>3.2</v>
      </c>
      <c r="G311">
        <v>0.25</v>
      </c>
      <c r="H311">
        <v>1</v>
      </c>
      <c r="I311">
        <v>30000</v>
      </c>
      <c r="J311">
        <v>5000</v>
      </c>
      <c r="K311" t="s">
        <v>70</v>
      </c>
      <c r="L311" t="s">
        <v>91</v>
      </c>
      <c r="M311" t="s">
        <v>42</v>
      </c>
      <c r="N311" t="b">
        <v>1</v>
      </c>
      <c r="O311" t="s">
        <v>72</v>
      </c>
    </row>
    <row r="312" spans="1:15" ht="15" customHeight="1">
      <c r="A312" t="s">
        <v>742</v>
      </c>
      <c r="B312" t="s">
        <v>755</v>
      </c>
      <c r="C312" t="s">
        <v>129</v>
      </c>
      <c r="D312" t="s">
        <v>130</v>
      </c>
      <c r="E312">
        <v>20</v>
      </c>
      <c r="F312">
        <v>11.3</v>
      </c>
      <c r="G312">
        <v>0.56999999999999995</v>
      </c>
      <c r="H312">
        <v>17</v>
      </c>
      <c r="I312">
        <v>5000</v>
      </c>
      <c r="J312">
        <v>1000</v>
      </c>
      <c r="K312" t="s">
        <v>109</v>
      </c>
      <c r="L312" t="s">
        <v>117</v>
      </c>
      <c r="M312" t="s">
        <v>48</v>
      </c>
      <c r="N312" t="b">
        <v>1</v>
      </c>
      <c r="O312" t="s">
        <v>176</v>
      </c>
    </row>
    <row r="313" spans="1:15" ht="15" customHeight="1">
      <c r="A313" t="s">
        <v>756</v>
      </c>
      <c r="B313" t="s">
        <v>757</v>
      </c>
      <c r="C313" t="s">
        <v>129</v>
      </c>
      <c r="D313" t="s">
        <v>130</v>
      </c>
      <c r="E313">
        <v>8</v>
      </c>
      <c r="F313">
        <v>7.6</v>
      </c>
      <c r="G313">
        <v>0.95</v>
      </c>
      <c r="H313">
        <v>11</v>
      </c>
      <c r="I313">
        <v>5000</v>
      </c>
      <c r="J313">
        <v>1000</v>
      </c>
      <c r="K313" t="s">
        <v>163</v>
      </c>
      <c r="L313" t="s">
        <v>117</v>
      </c>
      <c r="M313" t="s">
        <v>41</v>
      </c>
      <c r="N313" t="b">
        <v>1</v>
      </c>
      <c r="O313" t="s">
        <v>150</v>
      </c>
    </row>
    <row r="314" spans="1:15" ht="15" customHeight="1">
      <c r="A314" t="s">
        <v>127</v>
      </c>
      <c r="B314" t="s">
        <v>758</v>
      </c>
      <c r="C314" t="s">
        <v>129</v>
      </c>
      <c r="D314" t="s">
        <v>130</v>
      </c>
      <c r="E314">
        <v>18</v>
      </c>
      <c r="F314">
        <v>9.5</v>
      </c>
      <c r="G314">
        <v>0.53</v>
      </c>
      <c r="H314">
        <v>29</v>
      </c>
      <c r="I314">
        <v>5000</v>
      </c>
      <c r="J314">
        <v>1000</v>
      </c>
      <c r="K314" t="s">
        <v>113</v>
      </c>
      <c r="L314" t="s">
        <v>117</v>
      </c>
      <c r="M314" t="s">
        <v>44</v>
      </c>
      <c r="N314" t="b">
        <v>1</v>
      </c>
      <c r="O314" t="s">
        <v>146</v>
      </c>
    </row>
    <row r="315" spans="1:15" ht="15" customHeight="1">
      <c r="A315" t="s">
        <v>759</v>
      </c>
      <c r="B315" t="s">
        <v>760</v>
      </c>
      <c r="C315" t="s">
        <v>129</v>
      </c>
      <c r="D315" t="s">
        <v>130</v>
      </c>
      <c r="E315">
        <v>8</v>
      </c>
      <c r="F315">
        <v>6.3</v>
      </c>
      <c r="G315">
        <v>0.79</v>
      </c>
      <c r="H315">
        <v>24</v>
      </c>
      <c r="I315">
        <v>5000</v>
      </c>
      <c r="J315">
        <v>1000</v>
      </c>
      <c r="K315" t="s">
        <v>95</v>
      </c>
      <c r="L315" t="s">
        <v>96</v>
      </c>
      <c r="M315" t="s">
        <v>51</v>
      </c>
      <c r="N315" t="b">
        <v>0</v>
      </c>
      <c r="O315" t="s">
        <v>217</v>
      </c>
    </row>
    <row r="316" spans="1:15" ht="15" customHeight="1">
      <c r="A316" t="s">
        <v>127</v>
      </c>
      <c r="B316" t="s">
        <v>761</v>
      </c>
      <c r="C316" t="s">
        <v>129</v>
      </c>
      <c r="D316" t="s">
        <v>130</v>
      </c>
      <c r="E316">
        <v>11</v>
      </c>
      <c r="F316">
        <v>9.4</v>
      </c>
      <c r="G316">
        <v>0.85</v>
      </c>
      <c r="H316">
        <v>10</v>
      </c>
      <c r="I316">
        <v>5000</v>
      </c>
      <c r="J316">
        <v>1000</v>
      </c>
      <c r="K316" t="s">
        <v>158</v>
      </c>
      <c r="L316" t="s">
        <v>117</v>
      </c>
      <c r="M316" t="s">
        <v>44</v>
      </c>
      <c r="N316" t="b">
        <v>1</v>
      </c>
      <c r="O316" t="s">
        <v>159</v>
      </c>
    </row>
    <row r="317" spans="1:15" ht="15" customHeight="1">
      <c r="A317" t="s">
        <v>762</v>
      </c>
      <c r="B317" t="s">
        <v>763</v>
      </c>
      <c r="C317" t="s">
        <v>129</v>
      </c>
      <c r="D317" t="s">
        <v>130</v>
      </c>
      <c r="E317">
        <v>12</v>
      </c>
      <c r="F317">
        <v>9.5</v>
      </c>
      <c r="G317">
        <v>0.79</v>
      </c>
      <c r="H317">
        <v>19</v>
      </c>
      <c r="I317">
        <v>5000</v>
      </c>
      <c r="J317">
        <v>1000</v>
      </c>
      <c r="K317" t="s">
        <v>336</v>
      </c>
      <c r="L317" t="s">
        <v>100</v>
      </c>
      <c r="M317" t="s">
        <v>44</v>
      </c>
      <c r="N317" t="b">
        <v>0</v>
      </c>
      <c r="O317" t="s">
        <v>337</v>
      </c>
    </row>
    <row r="318" spans="1:15" ht="15" customHeight="1">
      <c r="A318" t="s">
        <v>485</v>
      </c>
      <c r="B318" t="s">
        <v>764</v>
      </c>
      <c r="C318" t="s">
        <v>149</v>
      </c>
      <c r="D318" t="s">
        <v>69</v>
      </c>
      <c r="E318">
        <v>9</v>
      </c>
      <c r="F318">
        <v>6.7</v>
      </c>
      <c r="G318">
        <v>0.74</v>
      </c>
      <c r="H318">
        <v>36</v>
      </c>
      <c r="I318">
        <v>3000</v>
      </c>
      <c r="J318">
        <v>1000</v>
      </c>
      <c r="K318" t="s">
        <v>154</v>
      </c>
      <c r="L318" t="s">
        <v>100</v>
      </c>
      <c r="M318" t="s">
        <v>50</v>
      </c>
      <c r="N318" t="b">
        <v>0</v>
      </c>
      <c r="O318" t="s">
        <v>155</v>
      </c>
    </row>
    <row r="319" spans="1:15" ht="15" customHeight="1">
      <c r="A319" t="s">
        <v>765</v>
      </c>
      <c r="B319" t="s">
        <v>766</v>
      </c>
      <c r="C319" t="s">
        <v>75</v>
      </c>
      <c r="D319" t="s">
        <v>69</v>
      </c>
      <c r="E319">
        <v>16</v>
      </c>
      <c r="F319">
        <v>10.8</v>
      </c>
      <c r="G319">
        <v>0.68</v>
      </c>
      <c r="H319">
        <v>30</v>
      </c>
      <c r="I319">
        <v>2000</v>
      </c>
      <c r="J319">
        <v>1500</v>
      </c>
      <c r="K319" t="s">
        <v>162</v>
      </c>
      <c r="L319" t="s">
        <v>71</v>
      </c>
      <c r="M319" t="s">
        <v>42</v>
      </c>
      <c r="N319" t="b">
        <v>0</v>
      </c>
      <c r="O319" t="s">
        <v>510</v>
      </c>
    </row>
    <row r="320" spans="1:15" ht="15" customHeight="1">
      <c r="A320" t="s">
        <v>767</v>
      </c>
      <c r="B320" t="s">
        <v>768</v>
      </c>
      <c r="C320" t="s">
        <v>129</v>
      </c>
      <c r="D320" t="s">
        <v>130</v>
      </c>
      <c r="E320">
        <v>8</v>
      </c>
      <c r="F320">
        <v>6.4</v>
      </c>
      <c r="G320">
        <v>0.8</v>
      </c>
      <c r="H320">
        <v>24</v>
      </c>
      <c r="I320">
        <v>5000</v>
      </c>
      <c r="J320">
        <v>1000</v>
      </c>
      <c r="K320" t="s">
        <v>95</v>
      </c>
      <c r="L320" t="s">
        <v>104</v>
      </c>
      <c r="M320" t="s">
        <v>48</v>
      </c>
      <c r="N320" t="b">
        <v>0</v>
      </c>
      <c r="O320" t="s">
        <v>217</v>
      </c>
    </row>
    <row r="321" spans="1:15" ht="15" customHeight="1">
      <c r="A321" t="s">
        <v>638</v>
      </c>
      <c r="B321" t="s">
        <v>769</v>
      </c>
      <c r="C321" t="s">
        <v>75</v>
      </c>
      <c r="D321" t="s">
        <v>69</v>
      </c>
      <c r="E321">
        <v>18</v>
      </c>
      <c r="F321">
        <v>9.8000000000000007</v>
      </c>
      <c r="G321">
        <v>0.54</v>
      </c>
      <c r="H321">
        <v>27</v>
      </c>
      <c r="I321">
        <v>2000</v>
      </c>
      <c r="J321">
        <v>1500</v>
      </c>
      <c r="K321" t="s">
        <v>150</v>
      </c>
      <c r="L321" t="s">
        <v>77</v>
      </c>
      <c r="M321" t="s">
        <v>48</v>
      </c>
      <c r="N321" t="b">
        <v>0</v>
      </c>
      <c r="O321" t="s">
        <v>528</v>
      </c>
    </row>
    <row r="322" spans="1:15" ht="15" customHeight="1">
      <c r="A322" t="s">
        <v>770</v>
      </c>
      <c r="B322" t="s">
        <v>771</v>
      </c>
      <c r="C322" t="s">
        <v>129</v>
      </c>
      <c r="D322" t="s">
        <v>130</v>
      </c>
      <c r="E322">
        <v>15</v>
      </c>
      <c r="F322">
        <v>6.9</v>
      </c>
      <c r="G322">
        <v>0.46</v>
      </c>
      <c r="H322">
        <v>19</v>
      </c>
      <c r="I322">
        <v>5000</v>
      </c>
      <c r="J322">
        <v>1000</v>
      </c>
      <c r="K322" t="s">
        <v>336</v>
      </c>
      <c r="L322" t="s">
        <v>104</v>
      </c>
      <c r="M322" t="s">
        <v>48</v>
      </c>
      <c r="N322" t="b">
        <v>0</v>
      </c>
      <c r="O322" t="s">
        <v>337</v>
      </c>
    </row>
    <row r="323" spans="1:15" ht="15" customHeight="1">
      <c r="A323" t="s">
        <v>430</v>
      </c>
      <c r="B323" t="s">
        <v>772</v>
      </c>
      <c r="C323" t="s">
        <v>75</v>
      </c>
      <c r="D323" t="s">
        <v>69</v>
      </c>
      <c r="E323">
        <v>14</v>
      </c>
      <c r="F323">
        <v>13.2</v>
      </c>
      <c r="G323">
        <v>0.94</v>
      </c>
      <c r="H323">
        <v>26</v>
      </c>
      <c r="I323">
        <v>2000</v>
      </c>
      <c r="J323">
        <v>1500</v>
      </c>
      <c r="K323" t="s">
        <v>298</v>
      </c>
      <c r="L323" t="s">
        <v>104</v>
      </c>
      <c r="M323" t="s">
        <v>42</v>
      </c>
      <c r="N323" t="b">
        <v>0</v>
      </c>
      <c r="O323" t="s">
        <v>299</v>
      </c>
    </row>
    <row r="324" spans="1:15" ht="15" customHeight="1">
      <c r="A324" t="s">
        <v>199</v>
      </c>
      <c r="B324" t="s">
        <v>773</v>
      </c>
      <c r="C324" t="s">
        <v>149</v>
      </c>
      <c r="D324" t="s">
        <v>69</v>
      </c>
      <c r="E324">
        <v>11</v>
      </c>
      <c r="F324">
        <v>10.4</v>
      </c>
      <c r="G324">
        <v>0.95</v>
      </c>
      <c r="H324">
        <v>35</v>
      </c>
      <c r="I324">
        <v>3000</v>
      </c>
      <c r="J324">
        <v>1000</v>
      </c>
      <c r="K324" t="s">
        <v>131</v>
      </c>
      <c r="L324" t="s">
        <v>100</v>
      </c>
      <c r="M324" t="s">
        <v>44</v>
      </c>
      <c r="N324" t="b">
        <v>0</v>
      </c>
      <c r="O324" t="s">
        <v>132</v>
      </c>
    </row>
    <row r="325" spans="1:15" ht="15" customHeight="1">
      <c r="A325" t="s">
        <v>500</v>
      </c>
      <c r="B325" t="s">
        <v>774</v>
      </c>
      <c r="C325" t="s">
        <v>68</v>
      </c>
      <c r="D325" t="s">
        <v>69</v>
      </c>
      <c r="E325">
        <v>9</v>
      </c>
      <c r="F325">
        <v>0.8</v>
      </c>
      <c r="G325">
        <v>0.09</v>
      </c>
      <c r="H325">
        <v>2</v>
      </c>
      <c r="I325">
        <v>30000</v>
      </c>
      <c r="J325">
        <v>5000</v>
      </c>
      <c r="K325" t="s">
        <v>162</v>
      </c>
      <c r="L325" t="s">
        <v>77</v>
      </c>
      <c r="M325" t="s">
        <v>47</v>
      </c>
      <c r="N325" t="b">
        <v>0</v>
      </c>
      <c r="O325" t="s">
        <v>163</v>
      </c>
    </row>
    <row r="326" spans="1:15" ht="15" customHeight="1">
      <c r="A326" t="s">
        <v>628</v>
      </c>
      <c r="B326" t="s">
        <v>775</v>
      </c>
      <c r="C326" t="s">
        <v>81</v>
      </c>
      <c r="D326" t="s">
        <v>69</v>
      </c>
      <c r="E326">
        <v>20</v>
      </c>
      <c r="F326">
        <v>18.3</v>
      </c>
      <c r="G326">
        <v>0.92</v>
      </c>
      <c r="H326">
        <v>16</v>
      </c>
      <c r="I326">
        <v>10000</v>
      </c>
      <c r="J326">
        <v>3000</v>
      </c>
      <c r="K326" t="s">
        <v>283</v>
      </c>
      <c r="L326" t="s">
        <v>96</v>
      </c>
      <c r="M326" t="s">
        <v>40</v>
      </c>
      <c r="N326" t="b">
        <v>0</v>
      </c>
      <c r="O326" t="s">
        <v>284</v>
      </c>
    </row>
    <row r="327" spans="1:15" ht="15" customHeight="1">
      <c r="A327" t="s">
        <v>473</v>
      </c>
      <c r="B327" t="s">
        <v>776</v>
      </c>
      <c r="C327" t="s">
        <v>75</v>
      </c>
      <c r="D327" t="s">
        <v>69</v>
      </c>
      <c r="E327">
        <v>11</v>
      </c>
      <c r="F327">
        <v>6.4</v>
      </c>
      <c r="G327">
        <v>0.57999999999999996</v>
      </c>
      <c r="H327">
        <v>23</v>
      </c>
      <c r="I327">
        <v>2000</v>
      </c>
      <c r="J327">
        <v>1500</v>
      </c>
      <c r="K327" t="s">
        <v>207</v>
      </c>
      <c r="L327" t="s">
        <v>77</v>
      </c>
      <c r="M327" t="s">
        <v>42</v>
      </c>
      <c r="N327" t="b">
        <v>0</v>
      </c>
      <c r="O327" t="s">
        <v>208</v>
      </c>
    </row>
    <row r="328" spans="1:15" ht="15" customHeight="1">
      <c r="A328" t="s">
        <v>450</v>
      </c>
      <c r="B328" t="s">
        <v>777</v>
      </c>
      <c r="C328" t="s">
        <v>68</v>
      </c>
      <c r="D328" t="s">
        <v>69</v>
      </c>
      <c r="E328">
        <v>11</v>
      </c>
      <c r="F328">
        <v>2.2999999999999998</v>
      </c>
      <c r="G328">
        <v>0.21</v>
      </c>
      <c r="H328">
        <v>5</v>
      </c>
      <c r="I328">
        <v>30000</v>
      </c>
      <c r="J328">
        <v>5000</v>
      </c>
      <c r="K328" t="s">
        <v>112</v>
      </c>
      <c r="L328" t="s">
        <v>117</v>
      </c>
      <c r="M328" t="s">
        <v>49</v>
      </c>
      <c r="N328" t="b">
        <v>1</v>
      </c>
      <c r="O328" t="s">
        <v>113</v>
      </c>
    </row>
    <row r="329" spans="1:15" ht="15" customHeight="1">
      <c r="A329" t="s">
        <v>778</v>
      </c>
      <c r="B329" t="s">
        <v>779</v>
      </c>
      <c r="C329" t="s">
        <v>129</v>
      </c>
      <c r="D329" t="s">
        <v>130</v>
      </c>
      <c r="E329">
        <v>16</v>
      </c>
      <c r="F329">
        <v>14.8</v>
      </c>
      <c r="G329">
        <v>0.93</v>
      </c>
      <c r="H329">
        <v>12</v>
      </c>
      <c r="I329">
        <v>5000</v>
      </c>
      <c r="J329">
        <v>1000</v>
      </c>
      <c r="K329" t="s">
        <v>162</v>
      </c>
      <c r="L329" t="s">
        <v>91</v>
      </c>
      <c r="M329" t="s">
        <v>50</v>
      </c>
      <c r="N329" t="b">
        <v>1</v>
      </c>
      <c r="O329" t="s">
        <v>180</v>
      </c>
    </row>
    <row r="330" spans="1:15" ht="15" customHeight="1">
      <c r="A330" t="s">
        <v>759</v>
      </c>
      <c r="B330" t="s">
        <v>780</v>
      </c>
      <c r="C330" t="s">
        <v>75</v>
      </c>
      <c r="D330" t="s">
        <v>69</v>
      </c>
      <c r="E330">
        <v>14</v>
      </c>
      <c r="F330">
        <v>9.4</v>
      </c>
      <c r="G330">
        <v>0.67</v>
      </c>
      <c r="H330">
        <v>12</v>
      </c>
      <c r="I330">
        <v>2000</v>
      </c>
      <c r="J330">
        <v>1500</v>
      </c>
      <c r="K330" t="s">
        <v>265</v>
      </c>
      <c r="L330" t="s">
        <v>96</v>
      </c>
      <c r="M330" t="s">
        <v>51</v>
      </c>
      <c r="N330" t="b">
        <v>0</v>
      </c>
      <c r="O330" t="s">
        <v>266</v>
      </c>
    </row>
    <row r="331" spans="1:15" ht="15" customHeight="1">
      <c r="A331" t="s">
        <v>781</v>
      </c>
      <c r="B331" t="s">
        <v>782</v>
      </c>
      <c r="C331" t="s">
        <v>75</v>
      </c>
      <c r="D331" t="s">
        <v>69</v>
      </c>
      <c r="E331">
        <v>15</v>
      </c>
      <c r="F331">
        <v>15</v>
      </c>
      <c r="G331">
        <v>1</v>
      </c>
      <c r="H331">
        <v>10</v>
      </c>
      <c r="I331">
        <v>2000</v>
      </c>
      <c r="J331">
        <v>1500</v>
      </c>
      <c r="K331" t="s">
        <v>418</v>
      </c>
      <c r="L331" t="s">
        <v>96</v>
      </c>
      <c r="M331" t="s">
        <v>45</v>
      </c>
      <c r="N331" t="b">
        <v>0</v>
      </c>
      <c r="O331" t="s">
        <v>419</v>
      </c>
    </row>
    <row r="332" spans="1:15" ht="15" customHeight="1">
      <c r="A332" t="s">
        <v>783</v>
      </c>
      <c r="B332" t="s">
        <v>784</v>
      </c>
      <c r="C332" t="s">
        <v>149</v>
      </c>
      <c r="D332" t="s">
        <v>69</v>
      </c>
      <c r="E332">
        <v>10</v>
      </c>
      <c r="F332">
        <v>7.9</v>
      </c>
      <c r="G332">
        <v>0.79</v>
      </c>
      <c r="H332">
        <v>38</v>
      </c>
      <c r="I332">
        <v>3000</v>
      </c>
      <c r="J332">
        <v>1000</v>
      </c>
      <c r="K332" t="s">
        <v>220</v>
      </c>
      <c r="L332" t="s">
        <v>71</v>
      </c>
      <c r="M332" t="s">
        <v>41</v>
      </c>
      <c r="N332" t="b">
        <v>0</v>
      </c>
      <c r="O332" t="s">
        <v>785</v>
      </c>
    </row>
    <row r="333" spans="1:15" ht="15" customHeight="1">
      <c r="A333" t="s">
        <v>538</v>
      </c>
      <c r="B333" t="s">
        <v>786</v>
      </c>
      <c r="C333" t="s">
        <v>68</v>
      </c>
      <c r="D333" t="s">
        <v>69</v>
      </c>
      <c r="E333">
        <v>15</v>
      </c>
      <c r="F333">
        <v>0.7</v>
      </c>
      <c r="G333">
        <v>0.05</v>
      </c>
      <c r="H333">
        <v>2</v>
      </c>
      <c r="I333">
        <v>30000</v>
      </c>
      <c r="J333">
        <v>5000</v>
      </c>
      <c r="K333" t="s">
        <v>162</v>
      </c>
      <c r="L333" t="s">
        <v>96</v>
      </c>
      <c r="M333" t="s">
        <v>50</v>
      </c>
      <c r="N333" t="b">
        <v>0</v>
      </c>
      <c r="O333" t="s">
        <v>163</v>
      </c>
    </row>
    <row r="334" spans="1:15" ht="15" customHeight="1">
      <c r="A334" t="s">
        <v>787</v>
      </c>
      <c r="B334" t="s">
        <v>788</v>
      </c>
      <c r="C334" t="s">
        <v>68</v>
      </c>
      <c r="D334" t="s">
        <v>69</v>
      </c>
      <c r="E334">
        <v>16</v>
      </c>
      <c r="F334">
        <v>0.6</v>
      </c>
      <c r="G334">
        <v>0.04</v>
      </c>
      <c r="H334">
        <v>2</v>
      </c>
      <c r="I334">
        <v>30000</v>
      </c>
      <c r="J334">
        <v>5000</v>
      </c>
      <c r="K334" t="s">
        <v>162</v>
      </c>
      <c r="L334" t="s">
        <v>96</v>
      </c>
      <c r="M334" t="s">
        <v>43</v>
      </c>
      <c r="N334" t="b">
        <v>0</v>
      </c>
      <c r="O334" t="s">
        <v>163</v>
      </c>
    </row>
    <row r="335" spans="1:15" ht="15" customHeight="1">
      <c r="A335" t="s">
        <v>746</v>
      </c>
      <c r="B335" t="s">
        <v>789</v>
      </c>
      <c r="C335" t="s">
        <v>129</v>
      </c>
      <c r="D335" t="s">
        <v>130</v>
      </c>
      <c r="E335">
        <v>13</v>
      </c>
      <c r="F335">
        <v>12.1</v>
      </c>
      <c r="G335">
        <v>0.93</v>
      </c>
      <c r="H335">
        <v>11</v>
      </c>
      <c r="I335">
        <v>5000</v>
      </c>
      <c r="J335">
        <v>1000</v>
      </c>
      <c r="K335" t="s">
        <v>163</v>
      </c>
      <c r="L335" t="s">
        <v>71</v>
      </c>
      <c r="M335" t="s">
        <v>50</v>
      </c>
      <c r="N335" t="b">
        <v>0</v>
      </c>
      <c r="O335" t="s">
        <v>150</v>
      </c>
    </row>
    <row r="336" spans="1:15" ht="15" customHeight="1">
      <c r="A336" t="s">
        <v>790</v>
      </c>
      <c r="B336" t="s">
        <v>791</v>
      </c>
      <c r="C336" t="s">
        <v>68</v>
      </c>
      <c r="D336" t="s">
        <v>69</v>
      </c>
      <c r="E336">
        <v>13</v>
      </c>
      <c r="F336">
        <v>0.8</v>
      </c>
      <c r="G336">
        <v>0.06</v>
      </c>
      <c r="H336">
        <v>1</v>
      </c>
      <c r="I336">
        <v>30000</v>
      </c>
      <c r="J336">
        <v>5000</v>
      </c>
      <c r="K336" t="s">
        <v>70</v>
      </c>
      <c r="L336" t="s">
        <v>71</v>
      </c>
      <c r="M336" t="s">
        <v>48</v>
      </c>
      <c r="N336" t="b">
        <v>0</v>
      </c>
      <c r="O336" t="s">
        <v>72</v>
      </c>
    </row>
    <row r="337" spans="1:15" ht="15" customHeight="1">
      <c r="A337" t="s">
        <v>404</v>
      </c>
      <c r="B337" t="s">
        <v>792</v>
      </c>
      <c r="C337" t="s">
        <v>68</v>
      </c>
      <c r="D337" t="s">
        <v>69</v>
      </c>
      <c r="E337">
        <v>12</v>
      </c>
      <c r="F337">
        <v>2.2000000000000002</v>
      </c>
      <c r="G337">
        <v>0.18</v>
      </c>
      <c r="H337">
        <v>3</v>
      </c>
      <c r="I337">
        <v>30000</v>
      </c>
      <c r="J337">
        <v>5000</v>
      </c>
      <c r="K337" t="s">
        <v>108</v>
      </c>
      <c r="L337" t="s">
        <v>77</v>
      </c>
      <c r="M337" t="s">
        <v>44</v>
      </c>
      <c r="N337" t="b">
        <v>0</v>
      </c>
      <c r="O337" t="s">
        <v>109</v>
      </c>
    </row>
    <row r="338" spans="1:15" ht="15" customHeight="1">
      <c r="A338" t="s">
        <v>201</v>
      </c>
      <c r="B338" t="s">
        <v>793</v>
      </c>
      <c r="C338" t="s">
        <v>129</v>
      </c>
      <c r="D338" t="s">
        <v>130</v>
      </c>
      <c r="E338">
        <v>16</v>
      </c>
      <c r="F338">
        <v>8.6</v>
      </c>
      <c r="G338">
        <v>0.54</v>
      </c>
      <c r="H338">
        <v>24</v>
      </c>
      <c r="I338">
        <v>5000</v>
      </c>
      <c r="J338">
        <v>1000</v>
      </c>
      <c r="K338" t="s">
        <v>95</v>
      </c>
      <c r="L338" t="s">
        <v>77</v>
      </c>
      <c r="M338" t="s">
        <v>50</v>
      </c>
      <c r="N338" t="b">
        <v>0</v>
      </c>
      <c r="O338" t="s">
        <v>217</v>
      </c>
    </row>
    <row r="339" spans="1:15" ht="15" customHeight="1">
      <c r="A339" t="s">
        <v>794</v>
      </c>
      <c r="B339" t="s">
        <v>795</v>
      </c>
      <c r="C339" t="s">
        <v>68</v>
      </c>
      <c r="D339" t="s">
        <v>69</v>
      </c>
      <c r="E339">
        <v>12</v>
      </c>
      <c r="F339">
        <v>2.1</v>
      </c>
      <c r="G339">
        <v>0.18</v>
      </c>
      <c r="H339">
        <v>3</v>
      </c>
      <c r="I339">
        <v>30000</v>
      </c>
      <c r="J339">
        <v>5000</v>
      </c>
      <c r="K339" t="s">
        <v>108</v>
      </c>
      <c r="L339" t="s">
        <v>96</v>
      </c>
      <c r="M339" t="s">
        <v>45</v>
      </c>
      <c r="N339" t="b">
        <v>0</v>
      </c>
      <c r="O339" t="s">
        <v>109</v>
      </c>
    </row>
    <row r="340" spans="1:15" ht="15" customHeight="1">
      <c r="A340" t="s">
        <v>796</v>
      </c>
      <c r="B340" t="s">
        <v>797</v>
      </c>
      <c r="C340" t="s">
        <v>129</v>
      </c>
      <c r="D340" t="s">
        <v>130</v>
      </c>
      <c r="E340">
        <v>15</v>
      </c>
      <c r="F340">
        <v>13.3</v>
      </c>
      <c r="G340">
        <v>0.89</v>
      </c>
      <c r="H340">
        <v>11</v>
      </c>
      <c r="I340">
        <v>5000</v>
      </c>
      <c r="J340">
        <v>1000</v>
      </c>
      <c r="K340" t="s">
        <v>163</v>
      </c>
      <c r="L340" t="s">
        <v>91</v>
      </c>
      <c r="M340" t="s">
        <v>43</v>
      </c>
      <c r="N340" t="b">
        <v>1</v>
      </c>
      <c r="O340" t="s">
        <v>150</v>
      </c>
    </row>
    <row r="341" spans="1:15" ht="15" customHeight="1">
      <c r="A341" t="s">
        <v>88</v>
      </c>
      <c r="B341" t="s">
        <v>798</v>
      </c>
      <c r="C341" t="s">
        <v>75</v>
      </c>
      <c r="D341" t="s">
        <v>69</v>
      </c>
      <c r="E341">
        <v>20</v>
      </c>
      <c r="F341">
        <v>4.3</v>
      </c>
      <c r="G341">
        <v>0.21</v>
      </c>
      <c r="H341">
        <v>10</v>
      </c>
      <c r="I341">
        <v>2000</v>
      </c>
      <c r="J341">
        <v>1500</v>
      </c>
      <c r="K341" t="s">
        <v>418</v>
      </c>
      <c r="L341" t="s">
        <v>91</v>
      </c>
      <c r="M341" t="s">
        <v>51</v>
      </c>
      <c r="N341" t="b">
        <v>1</v>
      </c>
      <c r="O341" t="s">
        <v>419</v>
      </c>
    </row>
    <row r="342" spans="1:15" ht="15" customHeight="1">
      <c r="A342" t="s">
        <v>799</v>
      </c>
      <c r="B342" t="s">
        <v>800</v>
      </c>
      <c r="C342" t="s">
        <v>149</v>
      </c>
      <c r="D342" t="s">
        <v>69</v>
      </c>
      <c r="E342">
        <v>12</v>
      </c>
      <c r="F342">
        <v>9.9</v>
      </c>
      <c r="G342">
        <v>0.83</v>
      </c>
      <c r="H342">
        <v>20</v>
      </c>
      <c r="I342">
        <v>3000</v>
      </c>
      <c r="J342">
        <v>1000</v>
      </c>
      <c r="K342" t="s">
        <v>162</v>
      </c>
      <c r="L342" t="s">
        <v>77</v>
      </c>
      <c r="M342" t="s">
        <v>46</v>
      </c>
      <c r="N342" t="b">
        <v>0</v>
      </c>
      <c r="O342" t="s">
        <v>180</v>
      </c>
    </row>
    <row r="343" spans="1:15" ht="15" customHeight="1">
      <c r="A343" t="s">
        <v>801</v>
      </c>
      <c r="B343" t="s">
        <v>802</v>
      </c>
      <c r="C343" t="s">
        <v>81</v>
      </c>
      <c r="D343" t="s">
        <v>69</v>
      </c>
      <c r="E343">
        <v>20</v>
      </c>
      <c r="F343">
        <v>19.3</v>
      </c>
      <c r="G343">
        <v>0.97</v>
      </c>
      <c r="H343">
        <v>19</v>
      </c>
      <c r="I343">
        <v>10000</v>
      </c>
      <c r="J343">
        <v>3000</v>
      </c>
      <c r="K343" t="s">
        <v>309</v>
      </c>
      <c r="L343" t="s">
        <v>91</v>
      </c>
      <c r="M343" t="s">
        <v>40</v>
      </c>
      <c r="N343" t="b">
        <v>1</v>
      </c>
      <c r="O343" t="s">
        <v>310</v>
      </c>
    </row>
    <row r="344" spans="1:15" ht="15" customHeight="1">
      <c r="A344" t="s">
        <v>237</v>
      </c>
      <c r="B344" t="s">
        <v>803</v>
      </c>
      <c r="C344" t="s">
        <v>75</v>
      </c>
      <c r="D344" t="s">
        <v>69</v>
      </c>
      <c r="E344">
        <v>14</v>
      </c>
      <c r="F344">
        <v>9.1999999999999993</v>
      </c>
      <c r="G344">
        <v>0.66</v>
      </c>
      <c r="H344">
        <v>23</v>
      </c>
      <c r="I344">
        <v>2000</v>
      </c>
      <c r="J344">
        <v>1500</v>
      </c>
      <c r="K344" t="s">
        <v>207</v>
      </c>
      <c r="L344" t="s">
        <v>77</v>
      </c>
      <c r="M344" t="s">
        <v>49</v>
      </c>
      <c r="N344" t="b">
        <v>0</v>
      </c>
      <c r="O344" t="s">
        <v>208</v>
      </c>
    </row>
    <row r="345" spans="1:15" ht="15" customHeight="1">
      <c r="A345" t="s">
        <v>804</v>
      </c>
      <c r="B345" t="s">
        <v>805</v>
      </c>
      <c r="C345" t="s">
        <v>68</v>
      </c>
      <c r="D345" t="s">
        <v>69</v>
      </c>
      <c r="E345">
        <v>9</v>
      </c>
      <c r="F345">
        <v>1.5</v>
      </c>
      <c r="G345">
        <v>0.17</v>
      </c>
      <c r="H345">
        <v>4</v>
      </c>
      <c r="I345">
        <v>30000</v>
      </c>
      <c r="J345">
        <v>5000</v>
      </c>
      <c r="K345" t="s">
        <v>95</v>
      </c>
      <c r="L345" t="s">
        <v>104</v>
      </c>
      <c r="M345" t="s">
        <v>40</v>
      </c>
      <c r="N345" t="b">
        <v>0</v>
      </c>
      <c r="O345" t="s">
        <v>97</v>
      </c>
    </row>
    <row r="346" spans="1:15" ht="15" customHeight="1">
      <c r="A346" t="s">
        <v>398</v>
      </c>
      <c r="B346" t="s">
        <v>806</v>
      </c>
      <c r="C346" t="s">
        <v>149</v>
      </c>
      <c r="D346" t="s">
        <v>69</v>
      </c>
      <c r="E346">
        <v>11</v>
      </c>
      <c r="F346">
        <v>6.1</v>
      </c>
      <c r="G346">
        <v>0.55000000000000004</v>
      </c>
      <c r="H346">
        <v>20</v>
      </c>
      <c r="I346">
        <v>3000</v>
      </c>
      <c r="J346">
        <v>1000</v>
      </c>
      <c r="K346" t="s">
        <v>162</v>
      </c>
      <c r="L346" t="s">
        <v>117</v>
      </c>
      <c r="M346" t="s">
        <v>43</v>
      </c>
      <c r="N346" t="b">
        <v>1</v>
      </c>
      <c r="O346" t="s">
        <v>180</v>
      </c>
    </row>
    <row r="347" spans="1:15" ht="15" customHeight="1">
      <c r="A347" t="s">
        <v>340</v>
      </c>
      <c r="B347" t="s">
        <v>807</v>
      </c>
      <c r="C347" t="s">
        <v>68</v>
      </c>
      <c r="D347" t="s">
        <v>69</v>
      </c>
      <c r="E347">
        <v>11</v>
      </c>
      <c r="F347">
        <v>2.1</v>
      </c>
      <c r="G347">
        <v>0.19</v>
      </c>
      <c r="H347">
        <v>2</v>
      </c>
      <c r="I347">
        <v>30000</v>
      </c>
      <c r="J347">
        <v>5000</v>
      </c>
      <c r="K347" t="s">
        <v>162</v>
      </c>
      <c r="L347" t="s">
        <v>117</v>
      </c>
      <c r="M347" t="s">
        <v>45</v>
      </c>
      <c r="N347" t="b">
        <v>1</v>
      </c>
      <c r="O347" t="s">
        <v>163</v>
      </c>
    </row>
    <row r="348" spans="1:15" ht="15" customHeight="1">
      <c r="A348" t="s">
        <v>110</v>
      </c>
      <c r="B348" t="s">
        <v>808</v>
      </c>
      <c r="C348" t="s">
        <v>129</v>
      </c>
      <c r="D348" t="s">
        <v>130</v>
      </c>
      <c r="E348">
        <v>20</v>
      </c>
      <c r="F348">
        <v>6.5</v>
      </c>
      <c r="G348">
        <v>0.33</v>
      </c>
      <c r="H348">
        <v>20</v>
      </c>
      <c r="I348">
        <v>5000</v>
      </c>
      <c r="J348">
        <v>1000</v>
      </c>
      <c r="K348" t="s">
        <v>103</v>
      </c>
      <c r="L348" t="s">
        <v>100</v>
      </c>
      <c r="M348" t="s">
        <v>43</v>
      </c>
      <c r="N348" t="b">
        <v>0</v>
      </c>
      <c r="O348" t="s">
        <v>169</v>
      </c>
    </row>
    <row r="349" spans="1:15" ht="15" customHeight="1">
      <c r="A349" t="s">
        <v>809</v>
      </c>
      <c r="B349" t="s">
        <v>810</v>
      </c>
      <c r="C349" t="s">
        <v>81</v>
      </c>
      <c r="D349" t="s">
        <v>69</v>
      </c>
      <c r="E349">
        <v>9</v>
      </c>
      <c r="F349">
        <v>7.4</v>
      </c>
      <c r="G349">
        <v>0.82</v>
      </c>
      <c r="H349">
        <v>13</v>
      </c>
      <c r="I349">
        <v>10000</v>
      </c>
      <c r="J349">
        <v>3000</v>
      </c>
      <c r="K349" t="s">
        <v>203</v>
      </c>
      <c r="L349" t="s">
        <v>104</v>
      </c>
      <c r="M349" t="s">
        <v>45</v>
      </c>
      <c r="N349" t="b">
        <v>0</v>
      </c>
      <c r="O349" t="s">
        <v>204</v>
      </c>
    </row>
    <row r="350" spans="1:15" ht="15" customHeight="1">
      <c r="A350" t="s">
        <v>811</v>
      </c>
      <c r="B350" t="s">
        <v>812</v>
      </c>
      <c r="C350" t="s">
        <v>129</v>
      </c>
      <c r="D350" t="s">
        <v>130</v>
      </c>
      <c r="E350">
        <v>8</v>
      </c>
      <c r="F350">
        <v>4.5999999999999996</v>
      </c>
      <c r="G350">
        <v>0.56999999999999995</v>
      </c>
      <c r="H350">
        <v>18</v>
      </c>
      <c r="I350">
        <v>5000</v>
      </c>
      <c r="J350">
        <v>1000</v>
      </c>
      <c r="K350" t="s">
        <v>108</v>
      </c>
      <c r="L350" t="s">
        <v>91</v>
      </c>
      <c r="M350" t="s">
        <v>46</v>
      </c>
      <c r="N350" t="b">
        <v>1</v>
      </c>
      <c r="O350" t="s">
        <v>166</v>
      </c>
    </row>
    <row r="351" spans="1:15" ht="15" customHeight="1">
      <c r="A351" t="s">
        <v>369</v>
      </c>
      <c r="B351" t="s">
        <v>813</v>
      </c>
      <c r="C351" t="s">
        <v>149</v>
      </c>
      <c r="D351" t="s">
        <v>69</v>
      </c>
      <c r="E351">
        <v>12</v>
      </c>
      <c r="F351">
        <v>10.199999999999999</v>
      </c>
      <c r="G351">
        <v>0.85</v>
      </c>
      <c r="H351">
        <v>15</v>
      </c>
      <c r="I351">
        <v>3000</v>
      </c>
      <c r="J351">
        <v>1000</v>
      </c>
      <c r="K351" t="s">
        <v>438</v>
      </c>
      <c r="L351" t="s">
        <v>77</v>
      </c>
      <c r="M351" t="s">
        <v>46</v>
      </c>
      <c r="N351" t="b">
        <v>0</v>
      </c>
      <c r="O351" t="s">
        <v>90</v>
      </c>
    </row>
    <row r="352" spans="1:15" ht="15" customHeight="1">
      <c r="A352" t="s">
        <v>814</v>
      </c>
      <c r="B352" t="s">
        <v>815</v>
      </c>
      <c r="C352" t="s">
        <v>129</v>
      </c>
      <c r="D352" t="s">
        <v>130</v>
      </c>
      <c r="E352">
        <v>10</v>
      </c>
      <c r="F352">
        <v>9.6</v>
      </c>
      <c r="G352">
        <v>0.96</v>
      </c>
      <c r="H352">
        <v>19</v>
      </c>
      <c r="I352">
        <v>5000</v>
      </c>
      <c r="J352">
        <v>1000</v>
      </c>
      <c r="K352" t="s">
        <v>336</v>
      </c>
      <c r="L352" t="s">
        <v>71</v>
      </c>
      <c r="M352" t="s">
        <v>45</v>
      </c>
      <c r="N352" t="b">
        <v>0</v>
      </c>
      <c r="O352" t="s">
        <v>337</v>
      </c>
    </row>
    <row r="353" spans="1:15" ht="15" customHeight="1">
      <c r="A353" t="s">
        <v>324</v>
      </c>
      <c r="B353" t="s">
        <v>816</v>
      </c>
      <c r="C353" t="s">
        <v>75</v>
      </c>
      <c r="D353" t="s">
        <v>69</v>
      </c>
      <c r="E353">
        <v>15</v>
      </c>
      <c r="F353">
        <v>12.9</v>
      </c>
      <c r="G353">
        <v>0.86</v>
      </c>
      <c r="H353">
        <v>8</v>
      </c>
      <c r="I353">
        <v>2000</v>
      </c>
      <c r="J353">
        <v>1500</v>
      </c>
      <c r="K353" t="s">
        <v>275</v>
      </c>
      <c r="L353" t="s">
        <v>91</v>
      </c>
      <c r="M353" t="s">
        <v>48</v>
      </c>
      <c r="N353" t="b">
        <v>1</v>
      </c>
      <c r="O353" t="s">
        <v>276</v>
      </c>
    </row>
    <row r="354" spans="1:15" ht="15" customHeight="1">
      <c r="A354" t="s">
        <v>402</v>
      </c>
      <c r="B354" t="s">
        <v>817</v>
      </c>
      <c r="C354" t="s">
        <v>75</v>
      </c>
      <c r="D354" t="s">
        <v>69</v>
      </c>
      <c r="E354">
        <v>8</v>
      </c>
      <c r="F354">
        <v>6.7</v>
      </c>
      <c r="G354">
        <v>0.84</v>
      </c>
      <c r="H354">
        <v>21</v>
      </c>
      <c r="I354">
        <v>2000</v>
      </c>
      <c r="J354">
        <v>1500</v>
      </c>
      <c r="K354" t="s">
        <v>365</v>
      </c>
      <c r="L354" t="s">
        <v>71</v>
      </c>
      <c r="M354" t="s">
        <v>41</v>
      </c>
      <c r="N354" t="b">
        <v>0</v>
      </c>
      <c r="O354" t="s">
        <v>366</v>
      </c>
    </row>
    <row r="355" spans="1:15" ht="15" customHeight="1">
      <c r="A355" t="s">
        <v>227</v>
      </c>
      <c r="B355" t="s">
        <v>818</v>
      </c>
      <c r="C355" t="s">
        <v>81</v>
      </c>
      <c r="D355" t="s">
        <v>69</v>
      </c>
      <c r="E355">
        <v>13</v>
      </c>
      <c r="F355">
        <v>3</v>
      </c>
      <c r="G355">
        <v>0.23</v>
      </c>
      <c r="H355">
        <v>27</v>
      </c>
      <c r="I355">
        <v>10000</v>
      </c>
      <c r="J355">
        <v>3000</v>
      </c>
      <c r="K355" t="s">
        <v>125</v>
      </c>
      <c r="L355" t="s">
        <v>77</v>
      </c>
      <c r="M355" t="s">
        <v>41</v>
      </c>
      <c r="N355" t="b">
        <v>0</v>
      </c>
      <c r="O355" t="s">
        <v>126</v>
      </c>
    </row>
    <row r="356" spans="1:15" ht="15" customHeight="1">
      <c r="A356" t="s">
        <v>416</v>
      </c>
      <c r="B356" t="s">
        <v>819</v>
      </c>
      <c r="C356" t="s">
        <v>129</v>
      </c>
      <c r="D356" t="s">
        <v>130</v>
      </c>
      <c r="E356">
        <v>18</v>
      </c>
      <c r="F356">
        <v>10</v>
      </c>
      <c r="G356">
        <v>0.56000000000000005</v>
      </c>
      <c r="H356">
        <v>28</v>
      </c>
      <c r="I356">
        <v>5000</v>
      </c>
      <c r="J356">
        <v>1000</v>
      </c>
      <c r="K356" t="s">
        <v>116</v>
      </c>
      <c r="L356" t="s">
        <v>77</v>
      </c>
      <c r="M356" t="s">
        <v>44</v>
      </c>
      <c r="N356" t="b">
        <v>0</v>
      </c>
      <c r="O356" t="s">
        <v>470</v>
      </c>
    </row>
    <row r="357" spans="1:15" ht="15" customHeight="1">
      <c r="A357" t="s">
        <v>281</v>
      </c>
      <c r="B357" t="s">
        <v>820</v>
      </c>
      <c r="C357" t="s">
        <v>68</v>
      </c>
      <c r="D357" t="s">
        <v>69</v>
      </c>
      <c r="E357">
        <v>10</v>
      </c>
      <c r="F357">
        <v>2.2999999999999998</v>
      </c>
      <c r="G357">
        <v>0.23</v>
      </c>
      <c r="H357">
        <v>2</v>
      </c>
      <c r="I357">
        <v>30000</v>
      </c>
      <c r="J357">
        <v>5000</v>
      </c>
      <c r="K357" t="s">
        <v>162</v>
      </c>
      <c r="L357" t="s">
        <v>77</v>
      </c>
      <c r="M357" t="s">
        <v>51</v>
      </c>
      <c r="N357" t="b">
        <v>0</v>
      </c>
      <c r="O357" t="s">
        <v>163</v>
      </c>
    </row>
    <row r="358" spans="1:15" ht="15" customHeight="1">
      <c r="A358" t="s">
        <v>193</v>
      </c>
      <c r="B358" t="s">
        <v>821</v>
      </c>
      <c r="C358" t="s">
        <v>81</v>
      </c>
      <c r="D358" t="s">
        <v>69</v>
      </c>
      <c r="E358">
        <v>15</v>
      </c>
      <c r="F358">
        <v>5.5</v>
      </c>
      <c r="G358">
        <v>0.37</v>
      </c>
      <c r="H358">
        <v>7</v>
      </c>
      <c r="I358">
        <v>10000</v>
      </c>
      <c r="J358">
        <v>3000</v>
      </c>
      <c r="K358" t="s">
        <v>82</v>
      </c>
      <c r="L358" t="s">
        <v>117</v>
      </c>
      <c r="M358" t="s">
        <v>50</v>
      </c>
      <c r="N358" t="b">
        <v>1</v>
      </c>
      <c r="O358" t="s">
        <v>83</v>
      </c>
    </row>
    <row r="359" spans="1:15" ht="15" customHeight="1">
      <c r="A359" t="s">
        <v>736</v>
      </c>
      <c r="B359" t="s">
        <v>822</v>
      </c>
      <c r="C359" t="s">
        <v>81</v>
      </c>
      <c r="D359" t="s">
        <v>69</v>
      </c>
      <c r="E359">
        <v>17</v>
      </c>
      <c r="F359">
        <v>4.3</v>
      </c>
      <c r="G359">
        <v>0.25</v>
      </c>
      <c r="H359">
        <v>17</v>
      </c>
      <c r="I359">
        <v>10000</v>
      </c>
      <c r="J359">
        <v>3000</v>
      </c>
      <c r="K359" t="s">
        <v>389</v>
      </c>
      <c r="L359" t="s">
        <v>104</v>
      </c>
      <c r="M359" t="s">
        <v>43</v>
      </c>
      <c r="N359" t="b">
        <v>0</v>
      </c>
      <c r="O359" t="s">
        <v>390</v>
      </c>
    </row>
    <row r="360" spans="1:15" ht="15" customHeight="1">
      <c r="A360" t="s">
        <v>473</v>
      </c>
      <c r="B360" t="s">
        <v>823</v>
      </c>
      <c r="C360" t="s">
        <v>75</v>
      </c>
      <c r="D360" t="s">
        <v>69</v>
      </c>
      <c r="E360">
        <v>16</v>
      </c>
      <c r="F360">
        <v>3.1</v>
      </c>
      <c r="G360">
        <v>0.19</v>
      </c>
      <c r="H360">
        <v>7</v>
      </c>
      <c r="I360">
        <v>2000</v>
      </c>
      <c r="J360">
        <v>1500</v>
      </c>
      <c r="K360" t="s">
        <v>241</v>
      </c>
      <c r="L360" t="s">
        <v>77</v>
      </c>
      <c r="M360" t="s">
        <v>42</v>
      </c>
      <c r="N360" t="b">
        <v>0</v>
      </c>
      <c r="O360" t="s">
        <v>242</v>
      </c>
    </row>
    <row r="361" spans="1:15" ht="15" customHeight="1">
      <c r="A361" t="s">
        <v>542</v>
      </c>
      <c r="B361" t="s">
        <v>824</v>
      </c>
      <c r="C361" t="s">
        <v>129</v>
      </c>
      <c r="D361" t="s">
        <v>130</v>
      </c>
      <c r="E361">
        <v>11</v>
      </c>
      <c r="F361">
        <v>8.8000000000000007</v>
      </c>
      <c r="G361">
        <v>0.8</v>
      </c>
      <c r="H361">
        <v>12</v>
      </c>
      <c r="I361">
        <v>5000</v>
      </c>
      <c r="J361">
        <v>1000</v>
      </c>
      <c r="K361" t="s">
        <v>162</v>
      </c>
      <c r="L361" t="s">
        <v>77</v>
      </c>
      <c r="M361" t="s">
        <v>44</v>
      </c>
      <c r="N361" t="b">
        <v>0</v>
      </c>
      <c r="O361" t="s">
        <v>180</v>
      </c>
    </row>
    <row r="362" spans="1:15" ht="15" customHeight="1">
      <c r="A362" t="s">
        <v>825</v>
      </c>
      <c r="B362" t="s">
        <v>826</v>
      </c>
      <c r="C362" t="s">
        <v>81</v>
      </c>
      <c r="D362" t="s">
        <v>69</v>
      </c>
      <c r="E362">
        <v>13</v>
      </c>
      <c r="F362">
        <v>12.6</v>
      </c>
      <c r="G362">
        <v>0.97</v>
      </c>
      <c r="H362">
        <v>6</v>
      </c>
      <c r="I362">
        <v>10000</v>
      </c>
      <c r="J362">
        <v>3000</v>
      </c>
      <c r="K362" t="s">
        <v>162</v>
      </c>
      <c r="L362" t="s">
        <v>104</v>
      </c>
      <c r="M362" t="s">
        <v>40</v>
      </c>
      <c r="N362" t="b">
        <v>0</v>
      </c>
      <c r="O362" t="s">
        <v>198</v>
      </c>
    </row>
    <row r="363" spans="1:15" ht="15" customHeight="1">
      <c r="A363" t="s">
        <v>468</v>
      </c>
      <c r="B363" t="s">
        <v>827</v>
      </c>
      <c r="C363" t="s">
        <v>68</v>
      </c>
      <c r="D363" t="s">
        <v>69</v>
      </c>
      <c r="E363">
        <v>13</v>
      </c>
      <c r="F363">
        <v>1.5</v>
      </c>
      <c r="G363">
        <v>0.12</v>
      </c>
      <c r="H363">
        <v>5</v>
      </c>
      <c r="I363">
        <v>30000</v>
      </c>
      <c r="J363">
        <v>5000</v>
      </c>
      <c r="K363" t="s">
        <v>112</v>
      </c>
      <c r="L363" t="s">
        <v>117</v>
      </c>
      <c r="M363" t="s">
        <v>49</v>
      </c>
      <c r="N363" t="b">
        <v>1</v>
      </c>
      <c r="O363" t="s">
        <v>113</v>
      </c>
    </row>
    <row r="364" spans="1:15" ht="15" customHeight="1">
      <c r="A364" t="s">
        <v>828</v>
      </c>
      <c r="B364" t="s">
        <v>829</v>
      </c>
      <c r="C364" t="s">
        <v>129</v>
      </c>
      <c r="D364" t="s">
        <v>130</v>
      </c>
      <c r="E364">
        <v>17</v>
      </c>
      <c r="F364">
        <v>6.7</v>
      </c>
      <c r="G364">
        <v>0.39</v>
      </c>
      <c r="H364">
        <v>27</v>
      </c>
      <c r="I364">
        <v>5000</v>
      </c>
      <c r="J364">
        <v>1000</v>
      </c>
      <c r="K364" t="s">
        <v>172</v>
      </c>
      <c r="L364" t="s">
        <v>117</v>
      </c>
      <c r="M364" t="s">
        <v>43</v>
      </c>
      <c r="N364" t="b">
        <v>1</v>
      </c>
      <c r="O364" t="s">
        <v>173</v>
      </c>
    </row>
    <row r="365" spans="1:15" ht="15" customHeight="1">
      <c r="A365" t="s">
        <v>830</v>
      </c>
      <c r="B365" t="s">
        <v>831</v>
      </c>
      <c r="C365" t="s">
        <v>75</v>
      </c>
      <c r="D365" t="s">
        <v>69</v>
      </c>
      <c r="E365">
        <v>17</v>
      </c>
      <c r="F365">
        <v>15.9</v>
      </c>
      <c r="G365">
        <v>0.94</v>
      </c>
      <c r="H365">
        <v>24</v>
      </c>
      <c r="I365">
        <v>2000</v>
      </c>
      <c r="J365">
        <v>1500</v>
      </c>
      <c r="K365" t="s">
        <v>361</v>
      </c>
      <c r="L365" t="s">
        <v>117</v>
      </c>
      <c r="M365" t="s">
        <v>51</v>
      </c>
      <c r="N365" t="b">
        <v>1</v>
      </c>
      <c r="O365" t="s">
        <v>362</v>
      </c>
    </row>
    <row r="366" spans="1:15" ht="15" customHeight="1">
      <c r="A366" t="s">
        <v>832</v>
      </c>
      <c r="B366" t="s">
        <v>833</v>
      </c>
      <c r="C366" t="s">
        <v>75</v>
      </c>
      <c r="D366" t="s">
        <v>69</v>
      </c>
      <c r="E366">
        <v>11</v>
      </c>
      <c r="F366">
        <v>7.2</v>
      </c>
      <c r="G366">
        <v>0.65</v>
      </c>
      <c r="H366">
        <v>13</v>
      </c>
      <c r="I366">
        <v>2000</v>
      </c>
      <c r="J366">
        <v>1500</v>
      </c>
      <c r="K366" t="s">
        <v>211</v>
      </c>
      <c r="L366" t="s">
        <v>117</v>
      </c>
      <c r="M366" t="s">
        <v>50</v>
      </c>
      <c r="N366" t="b">
        <v>1</v>
      </c>
      <c r="O366" t="s">
        <v>212</v>
      </c>
    </row>
    <row r="367" spans="1:15" ht="15" customHeight="1">
      <c r="A367" t="s">
        <v>834</v>
      </c>
      <c r="B367" t="s">
        <v>835</v>
      </c>
      <c r="C367" t="s">
        <v>129</v>
      </c>
      <c r="D367" t="s">
        <v>130</v>
      </c>
      <c r="E367">
        <v>19</v>
      </c>
      <c r="F367">
        <v>9.1999999999999993</v>
      </c>
      <c r="G367">
        <v>0.48</v>
      </c>
      <c r="H367">
        <v>6</v>
      </c>
      <c r="I367">
        <v>5000</v>
      </c>
      <c r="J367">
        <v>1000</v>
      </c>
      <c r="K367" t="s">
        <v>70</v>
      </c>
      <c r="L367" t="s">
        <v>117</v>
      </c>
      <c r="M367" t="s">
        <v>41</v>
      </c>
      <c r="N367" t="b">
        <v>1</v>
      </c>
      <c r="O367" t="s">
        <v>331</v>
      </c>
    </row>
    <row r="368" spans="1:15" ht="15" customHeight="1">
      <c r="A368" t="s">
        <v>544</v>
      </c>
      <c r="B368" t="s">
        <v>836</v>
      </c>
      <c r="C368" t="s">
        <v>68</v>
      </c>
      <c r="D368" t="s">
        <v>69</v>
      </c>
      <c r="E368">
        <v>9</v>
      </c>
      <c r="F368">
        <v>1.8</v>
      </c>
      <c r="G368">
        <v>0.2</v>
      </c>
      <c r="H368">
        <v>3</v>
      </c>
      <c r="I368">
        <v>30000</v>
      </c>
      <c r="J368">
        <v>5000</v>
      </c>
      <c r="K368" t="s">
        <v>108</v>
      </c>
      <c r="L368" t="s">
        <v>100</v>
      </c>
      <c r="M368" t="s">
        <v>42</v>
      </c>
      <c r="N368" t="b">
        <v>0</v>
      </c>
      <c r="O368" t="s">
        <v>109</v>
      </c>
    </row>
    <row r="369" spans="1:15" ht="15" customHeight="1">
      <c r="A369" t="s">
        <v>674</v>
      </c>
      <c r="B369" t="s">
        <v>837</v>
      </c>
      <c r="C369" t="s">
        <v>149</v>
      </c>
      <c r="D369" t="s">
        <v>69</v>
      </c>
      <c r="E369">
        <v>8</v>
      </c>
      <c r="F369">
        <v>6.6</v>
      </c>
      <c r="G369">
        <v>0.82</v>
      </c>
      <c r="H369">
        <v>28</v>
      </c>
      <c r="I369">
        <v>3000</v>
      </c>
      <c r="J369">
        <v>1000</v>
      </c>
      <c r="K369" t="s">
        <v>176</v>
      </c>
      <c r="L369" t="s">
        <v>100</v>
      </c>
      <c r="M369" t="s">
        <v>40</v>
      </c>
      <c r="N369" t="b">
        <v>0</v>
      </c>
      <c r="O369" t="s">
        <v>177</v>
      </c>
    </row>
    <row r="370" spans="1:15" ht="15" customHeight="1">
      <c r="A370" t="s">
        <v>532</v>
      </c>
      <c r="B370" t="s">
        <v>838</v>
      </c>
      <c r="C370" t="s">
        <v>68</v>
      </c>
      <c r="D370" t="s">
        <v>69</v>
      </c>
      <c r="E370">
        <v>15</v>
      </c>
      <c r="F370">
        <v>2.4</v>
      </c>
      <c r="G370">
        <v>0.16</v>
      </c>
      <c r="H370">
        <v>2</v>
      </c>
      <c r="I370">
        <v>30000</v>
      </c>
      <c r="J370">
        <v>5000</v>
      </c>
      <c r="K370" t="s">
        <v>162</v>
      </c>
      <c r="L370" t="s">
        <v>71</v>
      </c>
      <c r="M370" t="s">
        <v>43</v>
      </c>
      <c r="N370" t="b">
        <v>0</v>
      </c>
      <c r="O370" t="s">
        <v>163</v>
      </c>
    </row>
    <row r="371" spans="1:15" ht="15" customHeight="1">
      <c r="A371" t="s">
        <v>646</v>
      </c>
      <c r="B371" t="s">
        <v>839</v>
      </c>
      <c r="C371" t="s">
        <v>149</v>
      </c>
      <c r="D371" t="s">
        <v>69</v>
      </c>
      <c r="E371">
        <v>8</v>
      </c>
      <c r="F371">
        <v>7.6</v>
      </c>
      <c r="G371">
        <v>0.95</v>
      </c>
      <c r="H371">
        <v>28</v>
      </c>
      <c r="I371">
        <v>3000</v>
      </c>
      <c r="J371">
        <v>1000</v>
      </c>
      <c r="K371" t="s">
        <v>176</v>
      </c>
      <c r="L371" t="s">
        <v>77</v>
      </c>
      <c r="M371" t="s">
        <v>40</v>
      </c>
      <c r="N371" t="b">
        <v>0</v>
      </c>
      <c r="O371" t="s">
        <v>177</v>
      </c>
    </row>
    <row r="372" spans="1:15" ht="15" customHeight="1">
      <c r="A372" t="s">
        <v>84</v>
      </c>
      <c r="B372" t="s">
        <v>840</v>
      </c>
      <c r="C372" t="s">
        <v>75</v>
      </c>
      <c r="D372" t="s">
        <v>69</v>
      </c>
      <c r="E372">
        <v>12</v>
      </c>
      <c r="F372">
        <v>10.199999999999999</v>
      </c>
      <c r="G372">
        <v>0.85</v>
      </c>
      <c r="H372">
        <v>20</v>
      </c>
      <c r="I372">
        <v>2000</v>
      </c>
      <c r="J372">
        <v>1500</v>
      </c>
      <c r="K372" t="s">
        <v>76</v>
      </c>
      <c r="L372" t="s">
        <v>77</v>
      </c>
      <c r="M372" t="s">
        <v>51</v>
      </c>
      <c r="N372" t="b">
        <v>0</v>
      </c>
      <c r="O372" t="s">
        <v>78</v>
      </c>
    </row>
    <row r="373" spans="1:15" ht="15" customHeight="1">
      <c r="A373" t="s">
        <v>696</v>
      </c>
      <c r="B373" t="s">
        <v>841</v>
      </c>
      <c r="C373" t="s">
        <v>81</v>
      </c>
      <c r="D373" t="s">
        <v>69</v>
      </c>
      <c r="E373">
        <v>8</v>
      </c>
      <c r="F373">
        <v>6</v>
      </c>
      <c r="G373">
        <v>0.75</v>
      </c>
      <c r="H373">
        <v>23</v>
      </c>
      <c r="I373">
        <v>10000</v>
      </c>
      <c r="J373">
        <v>3000</v>
      </c>
      <c r="K373" t="s">
        <v>626</v>
      </c>
      <c r="L373" t="s">
        <v>96</v>
      </c>
      <c r="M373" t="s">
        <v>47</v>
      </c>
      <c r="N373" t="b">
        <v>0</v>
      </c>
      <c r="O373" t="s">
        <v>627</v>
      </c>
    </row>
    <row r="374" spans="1:15" ht="15" customHeight="1">
      <c r="A374" t="s">
        <v>765</v>
      </c>
      <c r="B374" t="s">
        <v>842</v>
      </c>
      <c r="C374" t="s">
        <v>81</v>
      </c>
      <c r="D374" t="s">
        <v>69</v>
      </c>
      <c r="E374">
        <v>20</v>
      </c>
      <c r="F374">
        <v>19.399999999999999</v>
      </c>
      <c r="G374">
        <v>0.97</v>
      </c>
      <c r="H374">
        <v>19</v>
      </c>
      <c r="I374">
        <v>10000</v>
      </c>
      <c r="J374">
        <v>3000</v>
      </c>
      <c r="K374" t="s">
        <v>309</v>
      </c>
      <c r="L374" t="s">
        <v>71</v>
      </c>
      <c r="M374" t="s">
        <v>42</v>
      </c>
      <c r="N374" t="b">
        <v>0</v>
      </c>
      <c r="O374" t="s">
        <v>310</v>
      </c>
    </row>
    <row r="375" spans="1:15" ht="15" customHeight="1">
      <c r="A375" t="s">
        <v>843</v>
      </c>
      <c r="B375" t="s">
        <v>844</v>
      </c>
      <c r="C375" t="s">
        <v>149</v>
      </c>
      <c r="D375" t="s">
        <v>69</v>
      </c>
      <c r="E375">
        <v>12</v>
      </c>
      <c r="F375">
        <v>7.7</v>
      </c>
      <c r="G375">
        <v>0.64</v>
      </c>
      <c r="H375">
        <v>27</v>
      </c>
      <c r="I375">
        <v>3000</v>
      </c>
      <c r="J375">
        <v>1000</v>
      </c>
      <c r="K375" t="s">
        <v>845</v>
      </c>
      <c r="L375" t="s">
        <v>71</v>
      </c>
      <c r="M375" t="s">
        <v>44</v>
      </c>
      <c r="N375" t="b">
        <v>0</v>
      </c>
      <c r="O375" t="s">
        <v>357</v>
      </c>
    </row>
    <row r="376" spans="1:15" ht="15" customHeight="1">
      <c r="A376" t="s">
        <v>846</v>
      </c>
      <c r="B376" t="s">
        <v>847</v>
      </c>
      <c r="C376" t="s">
        <v>81</v>
      </c>
      <c r="D376" t="s">
        <v>69</v>
      </c>
      <c r="E376">
        <v>8</v>
      </c>
      <c r="F376">
        <v>6.7</v>
      </c>
      <c r="G376">
        <v>0.84</v>
      </c>
      <c r="H376">
        <v>12</v>
      </c>
      <c r="I376">
        <v>10000</v>
      </c>
      <c r="J376">
        <v>3000</v>
      </c>
      <c r="K376" t="s">
        <v>95</v>
      </c>
      <c r="L376" t="s">
        <v>104</v>
      </c>
      <c r="M376" t="s">
        <v>45</v>
      </c>
      <c r="N376" t="b">
        <v>0</v>
      </c>
      <c r="O376" t="s">
        <v>257</v>
      </c>
    </row>
    <row r="377" spans="1:15" ht="15" customHeight="1">
      <c r="A377" t="s">
        <v>848</v>
      </c>
      <c r="B377" t="s">
        <v>849</v>
      </c>
      <c r="C377" t="s">
        <v>68</v>
      </c>
      <c r="D377" t="s">
        <v>69</v>
      </c>
      <c r="E377">
        <v>15</v>
      </c>
      <c r="F377">
        <v>2.5</v>
      </c>
      <c r="G377">
        <v>0.17</v>
      </c>
      <c r="H377">
        <v>2</v>
      </c>
      <c r="I377">
        <v>30000</v>
      </c>
      <c r="J377">
        <v>5000</v>
      </c>
      <c r="K377" t="s">
        <v>162</v>
      </c>
      <c r="L377" t="s">
        <v>117</v>
      </c>
      <c r="M377" t="s">
        <v>48</v>
      </c>
      <c r="N377" t="b">
        <v>1</v>
      </c>
      <c r="O377" t="s">
        <v>163</v>
      </c>
    </row>
    <row r="378" spans="1:15" ht="15" customHeight="1">
      <c r="A378" t="s">
        <v>716</v>
      </c>
      <c r="B378" t="s">
        <v>850</v>
      </c>
      <c r="C378" t="s">
        <v>129</v>
      </c>
      <c r="D378" t="s">
        <v>130</v>
      </c>
      <c r="E378">
        <v>13</v>
      </c>
      <c r="F378">
        <v>12.5</v>
      </c>
      <c r="G378">
        <v>0.96</v>
      </c>
      <c r="H378">
        <v>9</v>
      </c>
      <c r="I378">
        <v>5000</v>
      </c>
      <c r="J378">
        <v>1000</v>
      </c>
      <c r="K378" t="s">
        <v>438</v>
      </c>
      <c r="L378" t="s">
        <v>91</v>
      </c>
      <c r="M378" t="s">
        <v>51</v>
      </c>
      <c r="N378" t="b">
        <v>1</v>
      </c>
      <c r="O378" t="s">
        <v>90</v>
      </c>
    </row>
    <row r="379" spans="1:15" ht="15" customHeight="1">
      <c r="A379" t="s">
        <v>851</v>
      </c>
      <c r="B379" t="s">
        <v>852</v>
      </c>
      <c r="C379" t="s">
        <v>149</v>
      </c>
      <c r="D379" t="s">
        <v>69</v>
      </c>
      <c r="E379">
        <v>11</v>
      </c>
      <c r="F379">
        <v>10.3</v>
      </c>
      <c r="G379">
        <v>0.94</v>
      </c>
      <c r="H379">
        <v>20</v>
      </c>
      <c r="I379">
        <v>3000</v>
      </c>
      <c r="J379">
        <v>1000</v>
      </c>
      <c r="K379" t="s">
        <v>162</v>
      </c>
      <c r="L379" t="s">
        <v>104</v>
      </c>
      <c r="M379" t="s">
        <v>45</v>
      </c>
      <c r="N379" t="b">
        <v>0</v>
      </c>
      <c r="O379" t="s">
        <v>180</v>
      </c>
    </row>
    <row r="380" spans="1:15" ht="15" customHeight="1">
      <c r="A380" t="s">
        <v>439</v>
      </c>
      <c r="B380" t="s">
        <v>853</v>
      </c>
      <c r="C380" t="s">
        <v>149</v>
      </c>
      <c r="D380" t="s">
        <v>69</v>
      </c>
      <c r="E380">
        <v>11</v>
      </c>
      <c r="F380">
        <v>6.6</v>
      </c>
      <c r="G380">
        <v>0.6</v>
      </c>
      <c r="H380">
        <v>28</v>
      </c>
      <c r="I380">
        <v>3000</v>
      </c>
      <c r="J380">
        <v>1000</v>
      </c>
      <c r="K380" t="s">
        <v>176</v>
      </c>
      <c r="L380" t="s">
        <v>71</v>
      </c>
      <c r="M380" t="s">
        <v>48</v>
      </c>
      <c r="N380" t="b">
        <v>0</v>
      </c>
      <c r="O380" t="s">
        <v>177</v>
      </c>
    </row>
    <row r="381" spans="1:15" ht="15" customHeight="1">
      <c r="A381" t="s">
        <v>332</v>
      </c>
      <c r="B381" t="s">
        <v>854</v>
      </c>
      <c r="C381" t="s">
        <v>68</v>
      </c>
      <c r="D381" t="s">
        <v>69</v>
      </c>
      <c r="E381">
        <v>16</v>
      </c>
      <c r="F381">
        <v>2.7</v>
      </c>
      <c r="G381">
        <v>0.17</v>
      </c>
      <c r="H381">
        <v>1</v>
      </c>
      <c r="I381">
        <v>30000</v>
      </c>
      <c r="J381">
        <v>5000</v>
      </c>
      <c r="K381" t="s">
        <v>70</v>
      </c>
      <c r="L381" t="s">
        <v>96</v>
      </c>
      <c r="M381" t="s">
        <v>42</v>
      </c>
      <c r="N381" t="b">
        <v>0</v>
      </c>
      <c r="O381" t="s">
        <v>72</v>
      </c>
    </row>
    <row r="382" spans="1:15" ht="15" customHeight="1">
      <c r="A382" t="s">
        <v>292</v>
      </c>
      <c r="B382" t="s">
        <v>855</v>
      </c>
      <c r="C382" t="s">
        <v>149</v>
      </c>
      <c r="D382" t="s">
        <v>69</v>
      </c>
      <c r="E382">
        <v>9</v>
      </c>
      <c r="F382">
        <v>6.4</v>
      </c>
      <c r="G382">
        <v>0.71</v>
      </c>
      <c r="H382">
        <v>32</v>
      </c>
      <c r="I382">
        <v>3000</v>
      </c>
      <c r="J382">
        <v>1000</v>
      </c>
      <c r="K382" t="s">
        <v>576</v>
      </c>
      <c r="L382" t="s">
        <v>117</v>
      </c>
      <c r="M382" t="s">
        <v>51</v>
      </c>
      <c r="N382" t="b">
        <v>1</v>
      </c>
      <c r="O382" t="s">
        <v>336</v>
      </c>
    </row>
    <row r="383" spans="1:15" ht="15" customHeight="1">
      <c r="A383" t="s">
        <v>583</v>
      </c>
      <c r="B383" t="s">
        <v>856</v>
      </c>
      <c r="C383" t="s">
        <v>75</v>
      </c>
      <c r="D383" t="s">
        <v>69</v>
      </c>
      <c r="E383">
        <v>19</v>
      </c>
      <c r="F383">
        <v>7</v>
      </c>
      <c r="G383">
        <v>0.37</v>
      </c>
      <c r="H383">
        <v>9</v>
      </c>
      <c r="I383">
        <v>2000</v>
      </c>
      <c r="J383">
        <v>1500</v>
      </c>
      <c r="K383" t="s">
        <v>740</v>
      </c>
      <c r="L383" t="s">
        <v>100</v>
      </c>
      <c r="M383" t="s">
        <v>40</v>
      </c>
      <c r="N383" t="b">
        <v>0</v>
      </c>
      <c r="O383" t="s">
        <v>741</v>
      </c>
    </row>
    <row r="384" spans="1:15" ht="15" customHeight="1">
      <c r="A384" t="s">
        <v>857</v>
      </c>
      <c r="B384" t="s">
        <v>858</v>
      </c>
      <c r="C384" t="s">
        <v>68</v>
      </c>
      <c r="D384" t="s">
        <v>69</v>
      </c>
      <c r="E384">
        <v>15</v>
      </c>
      <c r="F384">
        <v>0.7</v>
      </c>
      <c r="G384">
        <v>0.05</v>
      </c>
      <c r="H384">
        <v>2</v>
      </c>
      <c r="I384">
        <v>30000</v>
      </c>
      <c r="J384">
        <v>5000</v>
      </c>
      <c r="K384" t="s">
        <v>162</v>
      </c>
      <c r="L384" t="s">
        <v>91</v>
      </c>
      <c r="M384" t="s">
        <v>48</v>
      </c>
      <c r="N384" t="b">
        <v>1</v>
      </c>
      <c r="O384" t="s">
        <v>163</v>
      </c>
    </row>
    <row r="385" spans="1:15" ht="15" customHeight="1">
      <c r="A385" t="s">
        <v>164</v>
      </c>
      <c r="B385" t="s">
        <v>859</v>
      </c>
      <c r="C385" t="s">
        <v>149</v>
      </c>
      <c r="D385" t="s">
        <v>69</v>
      </c>
      <c r="E385">
        <v>8</v>
      </c>
      <c r="F385">
        <v>6.8</v>
      </c>
      <c r="G385">
        <v>0.85</v>
      </c>
      <c r="H385">
        <v>18</v>
      </c>
      <c r="I385">
        <v>3000</v>
      </c>
      <c r="J385">
        <v>1000</v>
      </c>
      <c r="K385" t="s">
        <v>150</v>
      </c>
      <c r="L385" t="s">
        <v>71</v>
      </c>
      <c r="M385" t="s">
        <v>51</v>
      </c>
      <c r="N385" t="b">
        <v>0</v>
      </c>
      <c r="O385" t="s">
        <v>151</v>
      </c>
    </row>
    <row r="386" spans="1:15" ht="15" customHeight="1">
      <c r="A386" t="s">
        <v>860</v>
      </c>
      <c r="B386" t="s">
        <v>861</v>
      </c>
      <c r="C386" t="s">
        <v>75</v>
      </c>
      <c r="D386" t="s">
        <v>69</v>
      </c>
      <c r="E386">
        <v>15</v>
      </c>
      <c r="F386">
        <v>3.7</v>
      </c>
      <c r="G386">
        <v>0.25</v>
      </c>
      <c r="H386">
        <v>17</v>
      </c>
      <c r="I386">
        <v>2000</v>
      </c>
      <c r="J386">
        <v>1500</v>
      </c>
      <c r="K386" t="s">
        <v>862</v>
      </c>
      <c r="L386" t="s">
        <v>96</v>
      </c>
      <c r="M386" t="s">
        <v>42</v>
      </c>
      <c r="N386" t="b">
        <v>0</v>
      </c>
      <c r="O386" t="s">
        <v>863</v>
      </c>
    </row>
    <row r="387" spans="1:15" ht="15" customHeight="1">
      <c r="A387" t="s">
        <v>178</v>
      </c>
      <c r="B387" t="s">
        <v>864</v>
      </c>
      <c r="C387" t="s">
        <v>129</v>
      </c>
      <c r="D387" t="s">
        <v>130</v>
      </c>
      <c r="E387">
        <v>13</v>
      </c>
      <c r="F387">
        <v>11</v>
      </c>
      <c r="G387">
        <v>0.85</v>
      </c>
      <c r="H387">
        <v>6</v>
      </c>
      <c r="I387">
        <v>5000</v>
      </c>
      <c r="J387">
        <v>1000</v>
      </c>
      <c r="K387" t="s">
        <v>70</v>
      </c>
      <c r="L387" t="s">
        <v>91</v>
      </c>
      <c r="M387" t="s">
        <v>47</v>
      </c>
      <c r="N387" t="b">
        <v>1</v>
      </c>
      <c r="O387" t="s">
        <v>331</v>
      </c>
    </row>
    <row r="388" spans="1:15" ht="15" customHeight="1">
      <c r="A388" t="s">
        <v>731</v>
      </c>
      <c r="B388" t="s">
        <v>865</v>
      </c>
      <c r="C388" t="s">
        <v>68</v>
      </c>
      <c r="D388" t="s">
        <v>69</v>
      </c>
      <c r="E388">
        <v>15</v>
      </c>
      <c r="F388">
        <v>3.4</v>
      </c>
      <c r="G388">
        <v>0.23</v>
      </c>
      <c r="H388">
        <v>3</v>
      </c>
      <c r="I388">
        <v>30000</v>
      </c>
      <c r="J388">
        <v>5000</v>
      </c>
      <c r="K388" t="s">
        <v>108</v>
      </c>
      <c r="L388" t="s">
        <v>117</v>
      </c>
      <c r="M388" t="s">
        <v>44</v>
      </c>
      <c r="N388" t="b">
        <v>1</v>
      </c>
      <c r="O388" t="s">
        <v>109</v>
      </c>
    </row>
    <row r="389" spans="1:15" ht="15" customHeight="1">
      <c r="A389" t="s">
        <v>866</v>
      </c>
      <c r="B389" t="s">
        <v>867</v>
      </c>
      <c r="C389" t="s">
        <v>75</v>
      </c>
      <c r="D389" t="s">
        <v>69</v>
      </c>
      <c r="E389">
        <v>12</v>
      </c>
      <c r="F389">
        <v>6.7</v>
      </c>
      <c r="G389">
        <v>0.56000000000000005</v>
      </c>
      <c r="H389">
        <v>24</v>
      </c>
      <c r="I389">
        <v>2000</v>
      </c>
      <c r="J389">
        <v>1500</v>
      </c>
      <c r="K389" t="s">
        <v>361</v>
      </c>
      <c r="L389" t="s">
        <v>104</v>
      </c>
      <c r="M389" t="s">
        <v>40</v>
      </c>
      <c r="N389" t="b">
        <v>0</v>
      </c>
      <c r="O389" t="s">
        <v>362</v>
      </c>
    </row>
    <row r="390" spans="1:15" ht="15" customHeight="1">
      <c r="A390" t="s">
        <v>868</v>
      </c>
      <c r="B390" t="s">
        <v>869</v>
      </c>
      <c r="C390" t="s">
        <v>149</v>
      </c>
      <c r="D390" t="s">
        <v>69</v>
      </c>
      <c r="E390">
        <v>11</v>
      </c>
      <c r="F390">
        <v>10.1</v>
      </c>
      <c r="G390">
        <v>0.92</v>
      </c>
      <c r="H390">
        <v>16</v>
      </c>
      <c r="I390">
        <v>3000</v>
      </c>
      <c r="J390">
        <v>1000</v>
      </c>
      <c r="K390" t="s">
        <v>361</v>
      </c>
      <c r="L390" t="s">
        <v>117</v>
      </c>
      <c r="M390" t="s">
        <v>45</v>
      </c>
      <c r="N390" t="b">
        <v>1</v>
      </c>
      <c r="O390" t="s">
        <v>870</v>
      </c>
    </row>
    <row r="391" spans="1:15" ht="15" customHeight="1">
      <c r="A391" t="s">
        <v>237</v>
      </c>
      <c r="B391" t="s">
        <v>871</v>
      </c>
      <c r="C391" t="s">
        <v>149</v>
      </c>
      <c r="D391" t="s">
        <v>69</v>
      </c>
      <c r="E391">
        <v>10</v>
      </c>
      <c r="F391">
        <v>8.8000000000000007</v>
      </c>
      <c r="G391">
        <v>0.88</v>
      </c>
      <c r="H391">
        <v>21</v>
      </c>
      <c r="I391">
        <v>3000</v>
      </c>
      <c r="J391">
        <v>1000</v>
      </c>
      <c r="K391" t="s">
        <v>380</v>
      </c>
      <c r="L391" t="s">
        <v>77</v>
      </c>
      <c r="M391" t="s">
        <v>49</v>
      </c>
      <c r="N391" t="b">
        <v>0</v>
      </c>
      <c r="O391" t="s">
        <v>381</v>
      </c>
    </row>
    <row r="392" spans="1:15" ht="15" customHeight="1">
      <c r="A392" t="s">
        <v>872</v>
      </c>
      <c r="B392" t="s">
        <v>873</v>
      </c>
      <c r="C392" t="s">
        <v>75</v>
      </c>
      <c r="D392" t="s">
        <v>69</v>
      </c>
      <c r="E392">
        <v>16</v>
      </c>
      <c r="F392">
        <v>10.7</v>
      </c>
      <c r="G392">
        <v>0.67</v>
      </c>
      <c r="H392">
        <v>21</v>
      </c>
      <c r="I392">
        <v>2000</v>
      </c>
      <c r="J392">
        <v>1500</v>
      </c>
      <c r="K392" t="s">
        <v>365</v>
      </c>
      <c r="L392" t="s">
        <v>100</v>
      </c>
      <c r="M392" t="s">
        <v>43</v>
      </c>
      <c r="N392" t="b">
        <v>0</v>
      </c>
      <c r="O392" t="s">
        <v>366</v>
      </c>
    </row>
    <row r="393" spans="1:15" ht="15" customHeight="1">
      <c r="A393" t="s">
        <v>170</v>
      </c>
      <c r="B393" t="s">
        <v>874</v>
      </c>
      <c r="C393" t="s">
        <v>75</v>
      </c>
      <c r="D393" t="s">
        <v>69</v>
      </c>
      <c r="E393">
        <v>9</v>
      </c>
      <c r="F393">
        <v>4.0999999999999996</v>
      </c>
      <c r="G393">
        <v>0.46</v>
      </c>
      <c r="H393">
        <v>30</v>
      </c>
      <c r="I393">
        <v>2000</v>
      </c>
      <c r="J393">
        <v>1500</v>
      </c>
      <c r="K393" t="s">
        <v>162</v>
      </c>
      <c r="L393" t="s">
        <v>96</v>
      </c>
      <c r="M393" t="s">
        <v>44</v>
      </c>
      <c r="N393" t="b">
        <v>0</v>
      </c>
      <c r="O393" t="s">
        <v>510</v>
      </c>
    </row>
    <row r="394" spans="1:15" ht="15" customHeight="1">
      <c r="A394" t="s">
        <v>875</v>
      </c>
      <c r="B394" t="s">
        <v>876</v>
      </c>
      <c r="C394" t="s">
        <v>68</v>
      </c>
      <c r="D394" t="s">
        <v>69</v>
      </c>
      <c r="E394">
        <v>16</v>
      </c>
      <c r="F394">
        <v>2.7</v>
      </c>
      <c r="G394">
        <v>0.17</v>
      </c>
      <c r="H394">
        <v>1</v>
      </c>
      <c r="I394">
        <v>30000</v>
      </c>
      <c r="J394">
        <v>5000</v>
      </c>
      <c r="K394" t="s">
        <v>70</v>
      </c>
      <c r="L394" t="s">
        <v>96</v>
      </c>
      <c r="M394" t="s">
        <v>47</v>
      </c>
      <c r="N394" t="b">
        <v>0</v>
      </c>
      <c r="O394" t="s">
        <v>72</v>
      </c>
    </row>
    <row r="395" spans="1:15" ht="15" customHeight="1">
      <c r="A395" t="s">
        <v>877</v>
      </c>
      <c r="B395" t="s">
        <v>878</v>
      </c>
      <c r="C395" t="s">
        <v>129</v>
      </c>
      <c r="D395" t="s">
        <v>130</v>
      </c>
      <c r="E395">
        <v>19</v>
      </c>
      <c r="F395">
        <v>5</v>
      </c>
      <c r="G395">
        <v>0.26</v>
      </c>
      <c r="H395">
        <v>27</v>
      </c>
      <c r="I395">
        <v>5000</v>
      </c>
      <c r="J395">
        <v>1000</v>
      </c>
      <c r="K395" t="s">
        <v>172</v>
      </c>
      <c r="L395" t="s">
        <v>91</v>
      </c>
      <c r="M395" t="s">
        <v>40</v>
      </c>
      <c r="N395" t="b">
        <v>1</v>
      </c>
      <c r="O395" t="s">
        <v>173</v>
      </c>
    </row>
    <row r="396" spans="1:15" ht="15" customHeight="1">
      <c r="A396" t="s">
        <v>485</v>
      </c>
      <c r="B396" t="s">
        <v>879</v>
      </c>
      <c r="C396" t="s">
        <v>129</v>
      </c>
      <c r="D396" t="s">
        <v>130</v>
      </c>
      <c r="E396">
        <v>18</v>
      </c>
      <c r="F396">
        <v>16.3</v>
      </c>
      <c r="G396">
        <v>0.91</v>
      </c>
      <c r="H396">
        <v>8</v>
      </c>
      <c r="I396">
        <v>5000</v>
      </c>
      <c r="J396">
        <v>1000</v>
      </c>
      <c r="K396" t="s">
        <v>76</v>
      </c>
      <c r="L396" t="s">
        <v>100</v>
      </c>
      <c r="M396" t="s">
        <v>50</v>
      </c>
      <c r="N396" t="b">
        <v>0</v>
      </c>
      <c r="O396" t="s">
        <v>317</v>
      </c>
    </row>
    <row r="397" spans="1:15" ht="15" customHeight="1">
      <c r="A397" t="s">
        <v>694</v>
      </c>
      <c r="B397" t="s">
        <v>880</v>
      </c>
      <c r="C397" t="s">
        <v>75</v>
      </c>
      <c r="D397" t="s">
        <v>69</v>
      </c>
      <c r="E397">
        <v>10</v>
      </c>
      <c r="F397">
        <v>7</v>
      </c>
      <c r="G397">
        <v>0.7</v>
      </c>
      <c r="H397">
        <v>11</v>
      </c>
      <c r="I397">
        <v>2000</v>
      </c>
      <c r="J397">
        <v>1500</v>
      </c>
      <c r="K397" t="s">
        <v>689</v>
      </c>
      <c r="L397" t="s">
        <v>96</v>
      </c>
      <c r="M397" t="s">
        <v>46</v>
      </c>
      <c r="N397" t="b">
        <v>0</v>
      </c>
      <c r="O397" t="s">
        <v>690</v>
      </c>
    </row>
    <row r="398" spans="1:15" ht="15" customHeight="1">
      <c r="A398" t="s">
        <v>538</v>
      </c>
      <c r="B398" t="s">
        <v>881</v>
      </c>
      <c r="C398" t="s">
        <v>129</v>
      </c>
      <c r="D398" t="s">
        <v>130</v>
      </c>
      <c r="E398">
        <v>9</v>
      </c>
      <c r="F398">
        <v>5.6</v>
      </c>
      <c r="G398">
        <v>0.62</v>
      </c>
      <c r="H398">
        <v>17</v>
      </c>
      <c r="I398">
        <v>5000</v>
      </c>
      <c r="J398">
        <v>1000</v>
      </c>
      <c r="K398" t="s">
        <v>109</v>
      </c>
      <c r="L398" t="s">
        <v>96</v>
      </c>
      <c r="M398" t="s">
        <v>50</v>
      </c>
      <c r="N398" t="b">
        <v>0</v>
      </c>
      <c r="O398" t="s">
        <v>176</v>
      </c>
    </row>
    <row r="399" spans="1:15" ht="15" customHeight="1">
      <c r="A399" t="s">
        <v>744</v>
      </c>
      <c r="B399" t="s">
        <v>882</v>
      </c>
      <c r="C399" t="s">
        <v>81</v>
      </c>
      <c r="D399" t="s">
        <v>69</v>
      </c>
      <c r="E399">
        <v>19</v>
      </c>
      <c r="F399">
        <v>4.5999999999999996</v>
      </c>
      <c r="G399">
        <v>0.24</v>
      </c>
      <c r="H399">
        <v>11</v>
      </c>
      <c r="I399">
        <v>10000</v>
      </c>
      <c r="J399">
        <v>3000</v>
      </c>
      <c r="K399" t="s">
        <v>134</v>
      </c>
      <c r="L399" t="s">
        <v>117</v>
      </c>
      <c r="M399" t="s">
        <v>42</v>
      </c>
      <c r="N399" t="b">
        <v>1</v>
      </c>
      <c r="O399" t="s">
        <v>155</v>
      </c>
    </row>
    <row r="400" spans="1:15" ht="15" customHeight="1">
      <c r="A400" t="s">
        <v>580</v>
      </c>
      <c r="B400" t="s">
        <v>883</v>
      </c>
      <c r="C400" t="s">
        <v>75</v>
      </c>
      <c r="D400" t="s">
        <v>69</v>
      </c>
      <c r="E400">
        <v>13</v>
      </c>
      <c r="F400">
        <v>11.5</v>
      </c>
      <c r="G400">
        <v>0.88</v>
      </c>
      <c r="H400">
        <v>13</v>
      </c>
      <c r="I400">
        <v>2000</v>
      </c>
      <c r="J400">
        <v>1500</v>
      </c>
      <c r="K400" t="s">
        <v>211</v>
      </c>
      <c r="L400" t="s">
        <v>96</v>
      </c>
      <c r="M400" t="s">
        <v>43</v>
      </c>
      <c r="N400" t="b">
        <v>0</v>
      </c>
      <c r="O400" t="s">
        <v>212</v>
      </c>
    </row>
    <row r="401" spans="1:15" ht="15" customHeight="1">
      <c r="A401" t="s">
        <v>884</v>
      </c>
      <c r="B401" t="s">
        <v>885</v>
      </c>
      <c r="C401" t="s">
        <v>75</v>
      </c>
      <c r="D401" t="s">
        <v>69</v>
      </c>
      <c r="E401">
        <v>15</v>
      </c>
      <c r="F401">
        <v>12.4</v>
      </c>
      <c r="G401">
        <v>0.83</v>
      </c>
      <c r="H401">
        <v>24</v>
      </c>
      <c r="I401">
        <v>2000</v>
      </c>
      <c r="J401">
        <v>1500</v>
      </c>
      <c r="K401" t="s">
        <v>361</v>
      </c>
      <c r="L401" t="s">
        <v>77</v>
      </c>
      <c r="M401" t="s">
        <v>47</v>
      </c>
      <c r="N401" t="b">
        <v>0</v>
      </c>
      <c r="O401" t="s">
        <v>362</v>
      </c>
    </row>
    <row r="402" spans="1:15" ht="15" customHeight="1">
      <c r="A402" t="s">
        <v>338</v>
      </c>
      <c r="B402" t="s">
        <v>886</v>
      </c>
      <c r="C402" t="s">
        <v>81</v>
      </c>
      <c r="D402" t="s">
        <v>69</v>
      </c>
      <c r="E402">
        <v>19</v>
      </c>
      <c r="F402">
        <v>5.5</v>
      </c>
      <c r="G402">
        <v>0.28999999999999998</v>
      </c>
      <c r="H402">
        <v>17</v>
      </c>
      <c r="I402">
        <v>10000</v>
      </c>
      <c r="J402">
        <v>3000</v>
      </c>
      <c r="K402" t="s">
        <v>389</v>
      </c>
      <c r="L402" t="s">
        <v>117</v>
      </c>
      <c r="M402" t="s">
        <v>40</v>
      </c>
      <c r="N402" t="b">
        <v>1</v>
      </c>
      <c r="O402" t="s">
        <v>390</v>
      </c>
    </row>
    <row r="403" spans="1:15" ht="15" customHeight="1">
      <c r="A403" t="s">
        <v>790</v>
      </c>
      <c r="B403" t="s">
        <v>887</v>
      </c>
      <c r="C403" t="s">
        <v>129</v>
      </c>
      <c r="D403" t="s">
        <v>130</v>
      </c>
      <c r="E403">
        <v>17</v>
      </c>
      <c r="F403">
        <v>6.1</v>
      </c>
      <c r="G403">
        <v>0.36</v>
      </c>
      <c r="H403">
        <v>20</v>
      </c>
      <c r="I403">
        <v>5000</v>
      </c>
      <c r="J403">
        <v>1000</v>
      </c>
      <c r="K403" t="s">
        <v>103</v>
      </c>
      <c r="L403" t="s">
        <v>71</v>
      </c>
      <c r="M403" t="s">
        <v>48</v>
      </c>
      <c r="N403" t="b">
        <v>0</v>
      </c>
      <c r="O403" t="s">
        <v>169</v>
      </c>
    </row>
    <row r="404" spans="1:15" ht="15" customHeight="1">
      <c r="A404" t="s">
        <v>751</v>
      </c>
      <c r="B404" t="s">
        <v>888</v>
      </c>
      <c r="C404" t="s">
        <v>68</v>
      </c>
      <c r="D404" t="s">
        <v>69</v>
      </c>
      <c r="E404">
        <v>12</v>
      </c>
      <c r="F404">
        <v>0.5</v>
      </c>
      <c r="G404">
        <v>0.04</v>
      </c>
      <c r="H404">
        <v>4</v>
      </c>
      <c r="I404">
        <v>30000</v>
      </c>
      <c r="J404">
        <v>5000</v>
      </c>
      <c r="K404" t="s">
        <v>95</v>
      </c>
      <c r="L404" t="s">
        <v>100</v>
      </c>
      <c r="M404" t="s">
        <v>41</v>
      </c>
      <c r="N404" t="b">
        <v>0</v>
      </c>
      <c r="O404" t="s">
        <v>97</v>
      </c>
    </row>
    <row r="405" spans="1:15" ht="15" customHeight="1">
      <c r="A405" t="s">
        <v>616</v>
      </c>
      <c r="B405" t="s">
        <v>889</v>
      </c>
      <c r="C405" t="s">
        <v>129</v>
      </c>
      <c r="D405" t="s">
        <v>130</v>
      </c>
      <c r="E405">
        <v>9</v>
      </c>
      <c r="F405">
        <v>4.5999999999999996</v>
      </c>
      <c r="G405">
        <v>0.51</v>
      </c>
      <c r="H405">
        <v>6</v>
      </c>
      <c r="I405">
        <v>5000</v>
      </c>
      <c r="J405">
        <v>1000</v>
      </c>
      <c r="K405" t="s">
        <v>70</v>
      </c>
      <c r="L405" t="s">
        <v>96</v>
      </c>
      <c r="M405" t="s">
        <v>42</v>
      </c>
      <c r="N405" t="b">
        <v>0</v>
      </c>
      <c r="O405" t="s">
        <v>331</v>
      </c>
    </row>
    <row r="406" spans="1:15" ht="15" customHeight="1">
      <c r="A406" t="s">
        <v>725</v>
      </c>
      <c r="B406" t="s">
        <v>890</v>
      </c>
      <c r="C406" t="s">
        <v>129</v>
      </c>
      <c r="D406" t="s">
        <v>130</v>
      </c>
      <c r="E406">
        <v>9</v>
      </c>
      <c r="F406">
        <v>7.7</v>
      </c>
      <c r="G406">
        <v>0.86</v>
      </c>
      <c r="H406">
        <v>30</v>
      </c>
      <c r="I406">
        <v>5000</v>
      </c>
      <c r="J406">
        <v>1000</v>
      </c>
      <c r="K406" t="s">
        <v>112</v>
      </c>
      <c r="L406" t="s">
        <v>117</v>
      </c>
      <c r="M406" t="s">
        <v>50</v>
      </c>
      <c r="N406" t="b">
        <v>1</v>
      </c>
      <c r="O406" t="s">
        <v>195</v>
      </c>
    </row>
    <row r="407" spans="1:15" ht="15" customHeight="1">
      <c r="A407" t="s">
        <v>891</v>
      </c>
      <c r="B407" t="s">
        <v>892</v>
      </c>
      <c r="C407" t="s">
        <v>81</v>
      </c>
      <c r="D407" t="s">
        <v>69</v>
      </c>
      <c r="E407">
        <v>18</v>
      </c>
      <c r="F407">
        <v>10.7</v>
      </c>
      <c r="G407">
        <v>0.59</v>
      </c>
      <c r="H407">
        <v>24</v>
      </c>
      <c r="I407">
        <v>10000</v>
      </c>
      <c r="J407">
        <v>3000</v>
      </c>
      <c r="K407" t="s">
        <v>306</v>
      </c>
      <c r="L407" t="s">
        <v>77</v>
      </c>
      <c r="M407" t="s">
        <v>48</v>
      </c>
      <c r="N407" t="b">
        <v>0</v>
      </c>
      <c r="O407" t="s">
        <v>307</v>
      </c>
    </row>
    <row r="408" spans="1:15" ht="15" customHeight="1">
      <c r="A408" t="s">
        <v>174</v>
      </c>
      <c r="B408" t="s">
        <v>893</v>
      </c>
      <c r="C408" t="s">
        <v>129</v>
      </c>
      <c r="D408" t="s">
        <v>130</v>
      </c>
      <c r="E408">
        <v>13</v>
      </c>
      <c r="F408">
        <v>12.7</v>
      </c>
      <c r="G408">
        <v>0.98</v>
      </c>
      <c r="H408">
        <v>18</v>
      </c>
      <c r="I408">
        <v>5000</v>
      </c>
      <c r="J408">
        <v>1000</v>
      </c>
      <c r="K408" t="s">
        <v>108</v>
      </c>
      <c r="L408" t="s">
        <v>77</v>
      </c>
      <c r="M408" t="s">
        <v>47</v>
      </c>
      <c r="N408" t="b">
        <v>0</v>
      </c>
      <c r="O408" t="s">
        <v>166</v>
      </c>
    </row>
    <row r="409" spans="1:15" ht="15" customHeight="1">
      <c r="A409" t="s">
        <v>351</v>
      </c>
      <c r="B409" t="s">
        <v>894</v>
      </c>
      <c r="C409" t="s">
        <v>68</v>
      </c>
      <c r="D409" t="s">
        <v>69</v>
      </c>
      <c r="E409">
        <v>14</v>
      </c>
      <c r="F409">
        <v>2.1</v>
      </c>
      <c r="G409">
        <v>0.15</v>
      </c>
      <c r="H409">
        <v>2</v>
      </c>
      <c r="I409">
        <v>30000</v>
      </c>
      <c r="J409">
        <v>5000</v>
      </c>
      <c r="K409" t="s">
        <v>162</v>
      </c>
      <c r="L409" t="s">
        <v>71</v>
      </c>
      <c r="M409" t="s">
        <v>45</v>
      </c>
      <c r="N409" t="b">
        <v>0</v>
      </c>
      <c r="O409" t="s">
        <v>163</v>
      </c>
    </row>
    <row r="410" spans="1:15" ht="15" customHeight="1">
      <c r="A410" t="s">
        <v>167</v>
      </c>
      <c r="B410" t="s">
        <v>895</v>
      </c>
      <c r="C410" t="s">
        <v>129</v>
      </c>
      <c r="D410" t="s">
        <v>130</v>
      </c>
      <c r="E410">
        <v>17</v>
      </c>
      <c r="F410">
        <v>4.8</v>
      </c>
      <c r="G410">
        <v>0.28000000000000003</v>
      </c>
      <c r="H410">
        <v>19</v>
      </c>
      <c r="I410">
        <v>5000</v>
      </c>
      <c r="J410">
        <v>1000</v>
      </c>
      <c r="K410" t="s">
        <v>336</v>
      </c>
      <c r="L410" t="s">
        <v>104</v>
      </c>
      <c r="M410" t="s">
        <v>49</v>
      </c>
      <c r="N410" t="b">
        <v>0</v>
      </c>
      <c r="O410" t="s">
        <v>337</v>
      </c>
    </row>
    <row r="411" spans="1:15" ht="15" customHeight="1">
      <c r="A411" t="s">
        <v>621</v>
      </c>
      <c r="B411" t="s">
        <v>896</v>
      </c>
      <c r="C411" t="s">
        <v>68</v>
      </c>
      <c r="D411" t="s">
        <v>69</v>
      </c>
      <c r="E411">
        <v>8</v>
      </c>
      <c r="F411">
        <v>1</v>
      </c>
      <c r="G411">
        <v>0.12</v>
      </c>
      <c r="H411">
        <v>5</v>
      </c>
      <c r="I411">
        <v>30000</v>
      </c>
      <c r="J411">
        <v>5000</v>
      </c>
      <c r="K411" t="s">
        <v>112</v>
      </c>
      <c r="L411" t="s">
        <v>104</v>
      </c>
      <c r="M411" t="s">
        <v>44</v>
      </c>
      <c r="N411" t="b">
        <v>0</v>
      </c>
      <c r="O411" t="s">
        <v>113</v>
      </c>
    </row>
    <row r="412" spans="1:15" ht="15" customHeight="1">
      <c r="A412" t="s">
        <v>897</v>
      </c>
      <c r="B412" t="s">
        <v>898</v>
      </c>
      <c r="C412" t="s">
        <v>129</v>
      </c>
      <c r="D412" t="s">
        <v>130</v>
      </c>
      <c r="E412">
        <v>15</v>
      </c>
      <c r="F412">
        <v>9.5</v>
      </c>
      <c r="G412">
        <v>0.63</v>
      </c>
      <c r="H412">
        <v>30</v>
      </c>
      <c r="I412">
        <v>5000</v>
      </c>
      <c r="J412">
        <v>1000</v>
      </c>
      <c r="K412" t="s">
        <v>112</v>
      </c>
      <c r="L412" t="s">
        <v>104</v>
      </c>
      <c r="M412" t="s">
        <v>49</v>
      </c>
      <c r="N412" t="b">
        <v>0</v>
      </c>
      <c r="O412" t="s">
        <v>195</v>
      </c>
    </row>
    <row r="413" spans="1:15" ht="15" customHeight="1">
      <c r="A413" t="s">
        <v>152</v>
      </c>
      <c r="B413" t="s">
        <v>899</v>
      </c>
      <c r="C413" t="s">
        <v>75</v>
      </c>
      <c r="D413" t="s">
        <v>69</v>
      </c>
      <c r="E413">
        <v>12</v>
      </c>
      <c r="F413">
        <v>11.7</v>
      </c>
      <c r="G413">
        <v>0.97</v>
      </c>
      <c r="H413">
        <v>11</v>
      </c>
      <c r="I413">
        <v>2000</v>
      </c>
      <c r="J413">
        <v>1500</v>
      </c>
      <c r="K413" t="s">
        <v>689</v>
      </c>
      <c r="L413" t="s">
        <v>71</v>
      </c>
      <c r="M413" t="s">
        <v>48</v>
      </c>
      <c r="N413" t="b">
        <v>0</v>
      </c>
      <c r="O413" t="s">
        <v>690</v>
      </c>
    </row>
    <row r="414" spans="1:15" ht="15" customHeight="1">
      <c r="A414" t="s">
        <v>676</v>
      </c>
      <c r="B414" t="s">
        <v>900</v>
      </c>
      <c r="C414" t="s">
        <v>81</v>
      </c>
      <c r="D414" t="s">
        <v>69</v>
      </c>
      <c r="E414">
        <v>20</v>
      </c>
      <c r="F414">
        <v>10.1</v>
      </c>
      <c r="G414">
        <v>0.51</v>
      </c>
      <c r="H414">
        <v>24</v>
      </c>
      <c r="I414">
        <v>10000</v>
      </c>
      <c r="J414">
        <v>3000</v>
      </c>
      <c r="K414" t="s">
        <v>306</v>
      </c>
      <c r="L414" t="s">
        <v>71</v>
      </c>
      <c r="M414" t="s">
        <v>49</v>
      </c>
      <c r="N414" t="b">
        <v>0</v>
      </c>
      <c r="O414" t="s">
        <v>307</v>
      </c>
    </row>
    <row r="415" spans="1:15" ht="15" customHeight="1">
      <c r="A415" t="s">
        <v>663</v>
      </c>
      <c r="B415" t="s">
        <v>901</v>
      </c>
      <c r="C415" t="s">
        <v>68</v>
      </c>
      <c r="D415" t="s">
        <v>69</v>
      </c>
      <c r="E415">
        <v>14</v>
      </c>
      <c r="F415">
        <v>2.4</v>
      </c>
      <c r="G415">
        <v>0.17</v>
      </c>
      <c r="H415">
        <v>3</v>
      </c>
      <c r="I415">
        <v>30000</v>
      </c>
      <c r="J415">
        <v>5000</v>
      </c>
      <c r="K415" t="s">
        <v>108</v>
      </c>
      <c r="L415" t="s">
        <v>104</v>
      </c>
      <c r="M415" t="s">
        <v>43</v>
      </c>
      <c r="N415" t="b">
        <v>0</v>
      </c>
      <c r="O415" t="s">
        <v>109</v>
      </c>
    </row>
    <row r="416" spans="1:15" ht="15" customHeight="1">
      <c r="A416" t="s">
        <v>327</v>
      </c>
      <c r="B416" t="s">
        <v>902</v>
      </c>
      <c r="C416" t="s">
        <v>81</v>
      </c>
      <c r="D416" t="s">
        <v>69</v>
      </c>
      <c r="E416">
        <v>11</v>
      </c>
      <c r="F416">
        <v>8.6999999999999993</v>
      </c>
      <c r="G416">
        <v>0.79</v>
      </c>
      <c r="H416">
        <v>22</v>
      </c>
      <c r="I416">
        <v>10000</v>
      </c>
      <c r="J416">
        <v>3000</v>
      </c>
      <c r="K416" t="s">
        <v>548</v>
      </c>
      <c r="L416" t="s">
        <v>77</v>
      </c>
      <c r="M416" t="s">
        <v>49</v>
      </c>
      <c r="N416" t="b">
        <v>0</v>
      </c>
      <c r="O416" t="s">
        <v>549</v>
      </c>
    </row>
    <row r="417" spans="1:15" ht="15" customHeight="1">
      <c r="A417" t="s">
        <v>903</v>
      </c>
      <c r="B417" t="s">
        <v>904</v>
      </c>
      <c r="C417" t="s">
        <v>129</v>
      </c>
      <c r="D417" t="s">
        <v>130</v>
      </c>
      <c r="E417">
        <v>8</v>
      </c>
      <c r="F417">
        <v>6</v>
      </c>
      <c r="G417">
        <v>0.75</v>
      </c>
      <c r="H417">
        <v>13</v>
      </c>
      <c r="I417">
        <v>5000</v>
      </c>
      <c r="J417">
        <v>1000</v>
      </c>
      <c r="K417" t="s">
        <v>313</v>
      </c>
      <c r="L417" t="s">
        <v>117</v>
      </c>
      <c r="M417" t="s">
        <v>49</v>
      </c>
      <c r="N417" t="b">
        <v>1</v>
      </c>
      <c r="O417" t="s">
        <v>314</v>
      </c>
    </row>
    <row r="418" spans="1:15" ht="15" customHeight="1">
      <c r="A418" t="s">
        <v>147</v>
      </c>
      <c r="B418" t="s">
        <v>905</v>
      </c>
      <c r="C418" t="s">
        <v>75</v>
      </c>
      <c r="D418" t="s">
        <v>69</v>
      </c>
      <c r="E418">
        <v>18</v>
      </c>
      <c r="F418">
        <v>16.2</v>
      </c>
      <c r="G418">
        <v>0.9</v>
      </c>
      <c r="H418">
        <v>29</v>
      </c>
      <c r="I418">
        <v>2000</v>
      </c>
      <c r="J418">
        <v>1500</v>
      </c>
      <c r="K418" t="s">
        <v>519</v>
      </c>
      <c r="L418" t="s">
        <v>100</v>
      </c>
      <c r="M418" t="s">
        <v>43</v>
      </c>
      <c r="N418" t="b">
        <v>0</v>
      </c>
      <c r="O418" t="s">
        <v>520</v>
      </c>
    </row>
    <row r="419" spans="1:15" ht="15" customHeight="1">
      <c r="A419" t="s">
        <v>536</v>
      </c>
      <c r="B419" t="s">
        <v>906</v>
      </c>
      <c r="C419" t="s">
        <v>75</v>
      </c>
      <c r="D419" t="s">
        <v>69</v>
      </c>
      <c r="E419">
        <v>13</v>
      </c>
      <c r="F419">
        <v>6.5</v>
      </c>
      <c r="G419">
        <v>0.5</v>
      </c>
      <c r="H419">
        <v>12</v>
      </c>
      <c r="I419">
        <v>2000</v>
      </c>
      <c r="J419">
        <v>1500</v>
      </c>
      <c r="K419" t="s">
        <v>265</v>
      </c>
      <c r="L419" t="s">
        <v>104</v>
      </c>
      <c r="M419" t="s">
        <v>44</v>
      </c>
      <c r="N419" t="b">
        <v>0</v>
      </c>
      <c r="O419" t="s">
        <v>266</v>
      </c>
    </row>
    <row r="420" spans="1:15" ht="15" customHeight="1">
      <c r="A420" t="s">
        <v>644</v>
      </c>
      <c r="B420" t="s">
        <v>907</v>
      </c>
      <c r="C420" t="s">
        <v>149</v>
      </c>
      <c r="D420" t="s">
        <v>69</v>
      </c>
      <c r="E420">
        <v>9</v>
      </c>
      <c r="F420">
        <v>6.6</v>
      </c>
      <c r="G420">
        <v>0.73</v>
      </c>
      <c r="H420">
        <v>40</v>
      </c>
      <c r="I420">
        <v>3000</v>
      </c>
      <c r="J420">
        <v>1000</v>
      </c>
      <c r="K420" t="s">
        <v>95</v>
      </c>
      <c r="L420" t="s">
        <v>117</v>
      </c>
      <c r="M420" t="s">
        <v>45</v>
      </c>
      <c r="N420" t="b">
        <v>1</v>
      </c>
      <c r="O420" t="s">
        <v>217</v>
      </c>
    </row>
    <row r="421" spans="1:15" ht="15" customHeight="1">
      <c r="A421" t="s">
        <v>353</v>
      </c>
      <c r="B421" t="s">
        <v>908</v>
      </c>
      <c r="C421" t="s">
        <v>68</v>
      </c>
      <c r="D421" t="s">
        <v>69</v>
      </c>
      <c r="E421">
        <v>13</v>
      </c>
      <c r="F421">
        <v>2.1</v>
      </c>
      <c r="G421">
        <v>0.16</v>
      </c>
      <c r="H421">
        <v>2</v>
      </c>
      <c r="I421">
        <v>30000</v>
      </c>
      <c r="J421">
        <v>5000</v>
      </c>
      <c r="K421" t="s">
        <v>162</v>
      </c>
      <c r="L421" t="s">
        <v>117</v>
      </c>
      <c r="M421" t="s">
        <v>47</v>
      </c>
      <c r="N421" t="b">
        <v>1</v>
      </c>
      <c r="O421" t="s">
        <v>163</v>
      </c>
    </row>
    <row r="422" spans="1:15" ht="15" customHeight="1">
      <c r="A422" t="s">
        <v>460</v>
      </c>
      <c r="B422" t="s">
        <v>909</v>
      </c>
      <c r="C422" t="s">
        <v>81</v>
      </c>
      <c r="D422" t="s">
        <v>69</v>
      </c>
      <c r="E422">
        <v>8</v>
      </c>
      <c r="F422">
        <v>5.4</v>
      </c>
      <c r="G422">
        <v>0.68</v>
      </c>
      <c r="H422">
        <v>10</v>
      </c>
      <c r="I422">
        <v>10000</v>
      </c>
      <c r="J422">
        <v>3000</v>
      </c>
      <c r="K422" t="s">
        <v>103</v>
      </c>
      <c r="L422" t="s">
        <v>77</v>
      </c>
      <c r="M422" t="s">
        <v>41</v>
      </c>
      <c r="N422" t="b">
        <v>0</v>
      </c>
      <c r="O422" t="s">
        <v>105</v>
      </c>
    </row>
    <row r="423" spans="1:15" ht="15" customHeight="1">
      <c r="A423" t="s">
        <v>152</v>
      </c>
      <c r="B423" t="s">
        <v>910</v>
      </c>
      <c r="C423" t="s">
        <v>81</v>
      </c>
      <c r="D423" t="s">
        <v>69</v>
      </c>
      <c r="E423">
        <v>13</v>
      </c>
      <c r="F423">
        <v>10.199999999999999</v>
      </c>
      <c r="G423">
        <v>0.78</v>
      </c>
      <c r="H423">
        <v>6</v>
      </c>
      <c r="I423">
        <v>10000</v>
      </c>
      <c r="J423">
        <v>3000</v>
      </c>
      <c r="K423" t="s">
        <v>162</v>
      </c>
      <c r="L423" t="s">
        <v>71</v>
      </c>
      <c r="M423" t="s">
        <v>48</v>
      </c>
      <c r="N423" t="b">
        <v>0</v>
      </c>
      <c r="O423" t="s">
        <v>198</v>
      </c>
    </row>
    <row r="424" spans="1:15" ht="15" customHeight="1">
      <c r="A424" t="s">
        <v>201</v>
      </c>
      <c r="B424" t="s">
        <v>911</v>
      </c>
      <c r="C424" t="s">
        <v>68</v>
      </c>
      <c r="D424" t="s">
        <v>69</v>
      </c>
      <c r="E424">
        <v>12</v>
      </c>
      <c r="F424">
        <v>2.5</v>
      </c>
      <c r="G424">
        <v>0.21</v>
      </c>
      <c r="H424">
        <v>3</v>
      </c>
      <c r="I424">
        <v>30000</v>
      </c>
      <c r="J424">
        <v>5000</v>
      </c>
      <c r="K424" t="s">
        <v>108</v>
      </c>
      <c r="L424" t="s">
        <v>77</v>
      </c>
      <c r="M424" t="s">
        <v>50</v>
      </c>
      <c r="N424" t="b">
        <v>0</v>
      </c>
      <c r="O424" t="s">
        <v>109</v>
      </c>
    </row>
    <row r="425" spans="1:15" ht="15" customHeight="1">
      <c r="A425" t="s">
        <v>402</v>
      </c>
      <c r="B425" t="s">
        <v>912</v>
      </c>
      <c r="C425" t="s">
        <v>68</v>
      </c>
      <c r="D425" t="s">
        <v>69</v>
      </c>
      <c r="E425">
        <v>10</v>
      </c>
      <c r="F425">
        <v>2.6</v>
      </c>
      <c r="G425">
        <v>0.26</v>
      </c>
      <c r="H425">
        <v>4</v>
      </c>
      <c r="I425">
        <v>30000</v>
      </c>
      <c r="J425">
        <v>5000</v>
      </c>
      <c r="K425" t="s">
        <v>95</v>
      </c>
      <c r="L425" t="s">
        <v>71</v>
      </c>
      <c r="M425" t="s">
        <v>41</v>
      </c>
      <c r="N425" t="b">
        <v>0</v>
      </c>
      <c r="O425" t="s">
        <v>97</v>
      </c>
    </row>
    <row r="426" spans="1:15" ht="15" customHeight="1">
      <c r="A426" t="s">
        <v>513</v>
      </c>
      <c r="B426" t="s">
        <v>913</v>
      </c>
      <c r="C426" t="s">
        <v>81</v>
      </c>
      <c r="D426" t="s">
        <v>69</v>
      </c>
      <c r="E426">
        <v>10</v>
      </c>
      <c r="F426">
        <v>5.8</v>
      </c>
      <c r="G426">
        <v>0.57999999999999996</v>
      </c>
      <c r="H426">
        <v>12</v>
      </c>
      <c r="I426">
        <v>10000</v>
      </c>
      <c r="J426">
        <v>3000</v>
      </c>
      <c r="K426" t="s">
        <v>95</v>
      </c>
      <c r="L426" t="s">
        <v>96</v>
      </c>
      <c r="M426" t="s">
        <v>40</v>
      </c>
      <c r="N426" t="b">
        <v>0</v>
      </c>
      <c r="O426" t="s">
        <v>257</v>
      </c>
    </row>
    <row r="427" spans="1:15" ht="15" customHeight="1">
      <c r="A427" t="s">
        <v>319</v>
      </c>
      <c r="B427" t="s">
        <v>914</v>
      </c>
      <c r="C427" t="s">
        <v>81</v>
      </c>
      <c r="D427" t="s">
        <v>69</v>
      </c>
      <c r="E427">
        <v>14</v>
      </c>
      <c r="F427">
        <v>11.1</v>
      </c>
      <c r="G427">
        <v>0.79</v>
      </c>
      <c r="H427">
        <v>20</v>
      </c>
      <c r="I427">
        <v>10000</v>
      </c>
      <c r="J427">
        <v>3000</v>
      </c>
      <c r="K427" t="s">
        <v>86</v>
      </c>
      <c r="L427" t="s">
        <v>96</v>
      </c>
      <c r="M427" t="s">
        <v>51</v>
      </c>
      <c r="N427" t="b">
        <v>0</v>
      </c>
      <c r="O427" t="s">
        <v>87</v>
      </c>
    </row>
    <row r="428" spans="1:15" ht="15" customHeight="1">
      <c r="A428" t="s">
        <v>260</v>
      </c>
      <c r="B428" t="s">
        <v>915</v>
      </c>
      <c r="C428" t="s">
        <v>129</v>
      </c>
      <c r="D428" t="s">
        <v>130</v>
      </c>
      <c r="E428">
        <v>19</v>
      </c>
      <c r="F428">
        <v>17.7</v>
      </c>
      <c r="G428">
        <v>0.93</v>
      </c>
      <c r="H428">
        <v>9</v>
      </c>
      <c r="I428">
        <v>5000</v>
      </c>
      <c r="J428">
        <v>1000</v>
      </c>
      <c r="K428" t="s">
        <v>438</v>
      </c>
      <c r="L428" t="s">
        <v>96</v>
      </c>
      <c r="M428" t="s">
        <v>49</v>
      </c>
      <c r="N428" t="b">
        <v>0</v>
      </c>
      <c r="O428" t="s">
        <v>90</v>
      </c>
    </row>
    <row r="429" spans="1:15" ht="15" customHeight="1">
      <c r="A429" t="s">
        <v>783</v>
      </c>
      <c r="B429" t="s">
        <v>916</v>
      </c>
      <c r="C429" t="s">
        <v>68</v>
      </c>
      <c r="D429" t="s">
        <v>69</v>
      </c>
      <c r="E429">
        <v>16</v>
      </c>
      <c r="F429">
        <v>3.2</v>
      </c>
      <c r="G429">
        <v>0.2</v>
      </c>
      <c r="H429">
        <v>1</v>
      </c>
      <c r="I429">
        <v>30000</v>
      </c>
      <c r="J429">
        <v>5000</v>
      </c>
      <c r="K429" t="s">
        <v>70</v>
      </c>
      <c r="L429" t="s">
        <v>71</v>
      </c>
      <c r="M429" t="s">
        <v>41</v>
      </c>
      <c r="N429" t="b">
        <v>0</v>
      </c>
      <c r="O429" t="s">
        <v>72</v>
      </c>
    </row>
    <row r="430" spans="1:15" ht="15" customHeight="1">
      <c r="A430" t="s">
        <v>88</v>
      </c>
      <c r="B430" t="s">
        <v>917</v>
      </c>
      <c r="C430" t="s">
        <v>129</v>
      </c>
      <c r="D430" t="s">
        <v>130</v>
      </c>
      <c r="E430">
        <v>8</v>
      </c>
      <c r="F430">
        <v>7.1</v>
      </c>
      <c r="G430">
        <v>0.89</v>
      </c>
      <c r="H430">
        <v>16</v>
      </c>
      <c r="I430">
        <v>5000</v>
      </c>
      <c r="J430">
        <v>1000</v>
      </c>
      <c r="K430" t="s">
        <v>357</v>
      </c>
      <c r="L430" t="s">
        <v>91</v>
      </c>
      <c r="M430" t="s">
        <v>51</v>
      </c>
      <c r="N430" t="b">
        <v>1</v>
      </c>
      <c r="O430" t="s">
        <v>456</v>
      </c>
    </row>
    <row r="431" spans="1:15" ht="15" customHeight="1">
      <c r="A431" t="s">
        <v>191</v>
      </c>
      <c r="B431" t="s">
        <v>918</v>
      </c>
      <c r="C431" t="s">
        <v>68</v>
      </c>
      <c r="D431" t="s">
        <v>69</v>
      </c>
      <c r="E431">
        <v>16</v>
      </c>
      <c r="F431">
        <v>1.4</v>
      </c>
      <c r="G431">
        <v>0.09</v>
      </c>
      <c r="H431">
        <v>5</v>
      </c>
      <c r="I431">
        <v>30000</v>
      </c>
      <c r="J431">
        <v>5000</v>
      </c>
      <c r="K431" t="s">
        <v>112</v>
      </c>
      <c r="L431" t="s">
        <v>71</v>
      </c>
      <c r="M431" t="s">
        <v>49</v>
      </c>
      <c r="N431" t="b">
        <v>0</v>
      </c>
      <c r="O431" t="s">
        <v>113</v>
      </c>
    </row>
    <row r="432" spans="1:15" ht="15" customHeight="1">
      <c r="A432" t="s">
        <v>404</v>
      </c>
      <c r="B432" t="s">
        <v>919</v>
      </c>
      <c r="C432" t="s">
        <v>81</v>
      </c>
      <c r="D432" t="s">
        <v>69</v>
      </c>
      <c r="E432">
        <v>12</v>
      </c>
      <c r="F432">
        <v>4.7</v>
      </c>
      <c r="G432">
        <v>0.39</v>
      </c>
      <c r="H432">
        <v>8</v>
      </c>
      <c r="I432">
        <v>10000</v>
      </c>
      <c r="J432">
        <v>3000</v>
      </c>
      <c r="K432" t="s">
        <v>357</v>
      </c>
      <c r="L432" t="s">
        <v>77</v>
      </c>
      <c r="M432" t="s">
        <v>44</v>
      </c>
      <c r="N432" t="b">
        <v>0</v>
      </c>
      <c r="O432" t="s">
        <v>295</v>
      </c>
    </row>
    <row r="433" spans="1:15" ht="15" customHeight="1">
      <c r="A433" t="s">
        <v>920</v>
      </c>
      <c r="B433" t="s">
        <v>921</v>
      </c>
      <c r="C433" t="s">
        <v>68</v>
      </c>
      <c r="D433" t="s">
        <v>69</v>
      </c>
      <c r="E433">
        <v>8</v>
      </c>
      <c r="F433">
        <v>1</v>
      </c>
      <c r="G433">
        <v>0.12</v>
      </c>
      <c r="H433">
        <v>2</v>
      </c>
      <c r="I433">
        <v>30000</v>
      </c>
      <c r="J433">
        <v>5000</v>
      </c>
      <c r="K433" t="s">
        <v>162</v>
      </c>
      <c r="L433" t="s">
        <v>96</v>
      </c>
      <c r="M433" t="s">
        <v>51</v>
      </c>
      <c r="N433" t="b">
        <v>0</v>
      </c>
      <c r="O433" t="s">
        <v>163</v>
      </c>
    </row>
    <row r="434" spans="1:15" ht="15" customHeight="1">
      <c r="A434" t="s">
        <v>670</v>
      </c>
      <c r="B434" t="s">
        <v>922</v>
      </c>
      <c r="C434" t="s">
        <v>129</v>
      </c>
      <c r="D434" t="s">
        <v>130</v>
      </c>
      <c r="E434">
        <v>13</v>
      </c>
      <c r="F434">
        <v>4.3</v>
      </c>
      <c r="G434">
        <v>0.33</v>
      </c>
      <c r="H434">
        <v>25</v>
      </c>
      <c r="I434">
        <v>5000</v>
      </c>
      <c r="J434">
        <v>1000</v>
      </c>
      <c r="K434" t="s">
        <v>245</v>
      </c>
      <c r="L434" t="s">
        <v>91</v>
      </c>
      <c r="M434" t="s">
        <v>42</v>
      </c>
      <c r="N434" t="b">
        <v>1</v>
      </c>
      <c r="O434" t="s">
        <v>246</v>
      </c>
    </row>
    <row r="435" spans="1:15" ht="15" customHeight="1">
      <c r="A435" t="s">
        <v>287</v>
      </c>
      <c r="B435" t="s">
        <v>923</v>
      </c>
      <c r="C435" t="s">
        <v>149</v>
      </c>
      <c r="D435" t="s">
        <v>69</v>
      </c>
      <c r="E435">
        <v>10</v>
      </c>
      <c r="F435">
        <v>9.3000000000000007</v>
      </c>
      <c r="G435">
        <v>0.93</v>
      </c>
      <c r="H435">
        <v>27</v>
      </c>
      <c r="I435">
        <v>3000</v>
      </c>
      <c r="J435">
        <v>1000</v>
      </c>
      <c r="K435" t="s">
        <v>845</v>
      </c>
      <c r="L435" t="s">
        <v>104</v>
      </c>
      <c r="M435" t="s">
        <v>41</v>
      </c>
      <c r="N435" t="b">
        <v>0</v>
      </c>
      <c r="O435" t="s">
        <v>357</v>
      </c>
    </row>
    <row r="436" spans="1:15" ht="15" customHeight="1">
      <c r="A436" t="s">
        <v>924</v>
      </c>
      <c r="B436" t="s">
        <v>925</v>
      </c>
      <c r="C436" t="s">
        <v>68</v>
      </c>
      <c r="D436" t="s">
        <v>69</v>
      </c>
      <c r="E436">
        <v>16</v>
      </c>
      <c r="F436">
        <v>1.7</v>
      </c>
      <c r="G436">
        <v>0.11</v>
      </c>
      <c r="H436">
        <v>4</v>
      </c>
      <c r="I436">
        <v>30000</v>
      </c>
      <c r="J436">
        <v>5000</v>
      </c>
      <c r="K436" t="s">
        <v>95</v>
      </c>
      <c r="L436" t="s">
        <v>104</v>
      </c>
      <c r="M436" t="s">
        <v>49</v>
      </c>
      <c r="N436" t="b">
        <v>0</v>
      </c>
      <c r="O436" t="s">
        <v>97</v>
      </c>
    </row>
    <row r="437" spans="1:15" ht="15" customHeight="1">
      <c r="A437" t="s">
        <v>926</v>
      </c>
      <c r="B437" t="s">
        <v>927</v>
      </c>
      <c r="C437" t="s">
        <v>75</v>
      </c>
      <c r="D437" t="s">
        <v>69</v>
      </c>
      <c r="E437">
        <v>9</v>
      </c>
      <c r="F437">
        <v>4.5</v>
      </c>
      <c r="G437">
        <v>0.5</v>
      </c>
      <c r="H437">
        <v>26</v>
      </c>
      <c r="I437">
        <v>2000</v>
      </c>
      <c r="J437">
        <v>1500</v>
      </c>
      <c r="K437" t="s">
        <v>298</v>
      </c>
      <c r="L437" t="s">
        <v>91</v>
      </c>
      <c r="M437" t="s">
        <v>41</v>
      </c>
      <c r="N437" t="b">
        <v>1</v>
      </c>
      <c r="O437" t="s">
        <v>299</v>
      </c>
    </row>
    <row r="438" spans="1:15" ht="15" customHeight="1">
      <c r="A438" t="s">
        <v>237</v>
      </c>
      <c r="B438" t="s">
        <v>928</v>
      </c>
      <c r="C438" t="s">
        <v>129</v>
      </c>
      <c r="D438" t="s">
        <v>130</v>
      </c>
      <c r="E438">
        <v>15</v>
      </c>
      <c r="F438">
        <v>8</v>
      </c>
      <c r="G438">
        <v>0.53</v>
      </c>
      <c r="H438">
        <v>11</v>
      </c>
      <c r="I438">
        <v>5000</v>
      </c>
      <c r="J438">
        <v>1000</v>
      </c>
      <c r="K438" t="s">
        <v>163</v>
      </c>
      <c r="L438" t="s">
        <v>77</v>
      </c>
      <c r="M438" t="s">
        <v>49</v>
      </c>
      <c r="N438" t="b">
        <v>0</v>
      </c>
      <c r="O438" t="s">
        <v>150</v>
      </c>
    </row>
    <row r="439" spans="1:15" ht="15" customHeight="1">
      <c r="A439" t="s">
        <v>428</v>
      </c>
      <c r="B439" t="s">
        <v>929</v>
      </c>
      <c r="C439" t="s">
        <v>129</v>
      </c>
      <c r="D439" t="s">
        <v>130</v>
      </c>
      <c r="E439">
        <v>10</v>
      </c>
      <c r="F439">
        <v>5.4</v>
      </c>
      <c r="G439">
        <v>0.54</v>
      </c>
      <c r="H439">
        <v>16</v>
      </c>
      <c r="I439">
        <v>5000</v>
      </c>
      <c r="J439">
        <v>1000</v>
      </c>
      <c r="K439" t="s">
        <v>357</v>
      </c>
      <c r="L439" t="s">
        <v>104</v>
      </c>
      <c r="M439" t="s">
        <v>46</v>
      </c>
      <c r="N439" t="b">
        <v>0</v>
      </c>
      <c r="O439" t="s">
        <v>456</v>
      </c>
    </row>
    <row r="440" spans="1:15" ht="15" customHeight="1">
      <c r="A440" t="s">
        <v>386</v>
      </c>
      <c r="B440" t="s">
        <v>930</v>
      </c>
      <c r="C440" t="s">
        <v>81</v>
      </c>
      <c r="D440" t="s">
        <v>69</v>
      </c>
      <c r="E440">
        <v>19</v>
      </c>
      <c r="F440">
        <v>9.4</v>
      </c>
      <c r="G440">
        <v>0.49</v>
      </c>
      <c r="H440">
        <v>9</v>
      </c>
      <c r="I440">
        <v>10000</v>
      </c>
      <c r="J440">
        <v>3000</v>
      </c>
      <c r="K440" t="s">
        <v>108</v>
      </c>
      <c r="L440" t="s">
        <v>77</v>
      </c>
      <c r="M440" t="s">
        <v>42</v>
      </c>
      <c r="N440" t="b">
        <v>0</v>
      </c>
      <c r="O440" t="s">
        <v>303</v>
      </c>
    </row>
    <row r="441" spans="1:15" ht="15" customHeight="1">
      <c r="A441" t="s">
        <v>599</v>
      </c>
      <c r="B441" t="s">
        <v>931</v>
      </c>
      <c r="C441" t="s">
        <v>129</v>
      </c>
      <c r="D441" t="s">
        <v>130</v>
      </c>
      <c r="E441">
        <v>12</v>
      </c>
      <c r="F441">
        <v>9.3000000000000007</v>
      </c>
      <c r="G441">
        <v>0.78</v>
      </c>
      <c r="H441">
        <v>27</v>
      </c>
      <c r="I441">
        <v>5000</v>
      </c>
      <c r="J441">
        <v>1000</v>
      </c>
      <c r="K441" t="s">
        <v>172</v>
      </c>
      <c r="L441" t="s">
        <v>117</v>
      </c>
      <c r="M441" t="s">
        <v>44</v>
      </c>
      <c r="N441" t="b">
        <v>1</v>
      </c>
      <c r="O441" t="s">
        <v>173</v>
      </c>
    </row>
    <row r="442" spans="1:15" ht="15" customHeight="1">
      <c r="A442" t="s">
        <v>215</v>
      </c>
      <c r="B442" t="s">
        <v>932</v>
      </c>
      <c r="C442" t="s">
        <v>75</v>
      </c>
      <c r="D442" t="s">
        <v>69</v>
      </c>
      <c r="E442">
        <v>11</v>
      </c>
      <c r="F442">
        <v>5.2</v>
      </c>
      <c r="G442">
        <v>0.47</v>
      </c>
      <c r="H442">
        <v>30</v>
      </c>
      <c r="I442">
        <v>2000</v>
      </c>
      <c r="J442">
        <v>1500</v>
      </c>
      <c r="K442" t="s">
        <v>162</v>
      </c>
      <c r="L442" t="s">
        <v>117</v>
      </c>
      <c r="M442" t="s">
        <v>48</v>
      </c>
      <c r="N442" t="b">
        <v>1</v>
      </c>
      <c r="O442" t="s">
        <v>510</v>
      </c>
    </row>
    <row r="443" spans="1:15" ht="15" customHeight="1">
      <c r="A443" t="s">
        <v>933</v>
      </c>
      <c r="B443" t="s">
        <v>934</v>
      </c>
      <c r="C443" t="s">
        <v>75</v>
      </c>
      <c r="D443" t="s">
        <v>69</v>
      </c>
      <c r="E443">
        <v>10</v>
      </c>
      <c r="F443">
        <v>7.9</v>
      </c>
      <c r="G443">
        <v>0.79</v>
      </c>
      <c r="H443">
        <v>14</v>
      </c>
      <c r="I443">
        <v>2000</v>
      </c>
      <c r="J443">
        <v>1500</v>
      </c>
      <c r="K443" t="s">
        <v>396</v>
      </c>
      <c r="L443" t="s">
        <v>71</v>
      </c>
      <c r="M443" t="s">
        <v>46</v>
      </c>
      <c r="N443" t="b">
        <v>0</v>
      </c>
      <c r="O443" t="s">
        <v>397</v>
      </c>
    </row>
    <row r="444" spans="1:15" ht="15" customHeight="1">
      <c r="A444" t="s">
        <v>223</v>
      </c>
      <c r="B444" t="s">
        <v>935</v>
      </c>
      <c r="C444" t="s">
        <v>68</v>
      </c>
      <c r="D444" t="s">
        <v>69</v>
      </c>
      <c r="E444">
        <v>10</v>
      </c>
      <c r="F444">
        <v>1.4</v>
      </c>
      <c r="G444">
        <v>0.14000000000000001</v>
      </c>
      <c r="H444">
        <v>2</v>
      </c>
      <c r="I444">
        <v>30000</v>
      </c>
      <c r="J444">
        <v>5000</v>
      </c>
      <c r="K444" t="s">
        <v>162</v>
      </c>
      <c r="L444" t="s">
        <v>96</v>
      </c>
      <c r="M444" t="s">
        <v>45</v>
      </c>
      <c r="N444" t="b">
        <v>0</v>
      </c>
      <c r="O444" t="s">
        <v>163</v>
      </c>
    </row>
    <row r="445" spans="1:15" ht="15" customHeight="1">
      <c r="A445" t="s">
        <v>936</v>
      </c>
      <c r="B445" t="s">
        <v>937</v>
      </c>
      <c r="C445" t="s">
        <v>75</v>
      </c>
      <c r="D445" t="s">
        <v>69</v>
      </c>
      <c r="E445">
        <v>12</v>
      </c>
      <c r="F445">
        <v>3.5</v>
      </c>
      <c r="G445">
        <v>0.28999999999999998</v>
      </c>
      <c r="H445">
        <v>16</v>
      </c>
      <c r="I445">
        <v>2000</v>
      </c>
      <c r="J445">
        <v>1500</v>
      </c>
      <c r="K445" t="s">
        <v>938</v>
      </c>
      <c r="L445" t="s">
        <v>100</v>
      </c>
      <c r="M445" t="s">
        <v>47</v>
      </c>
      <c r="N445" t="b">
        <v>0</v>
      </c>
      <c r="O445" t="s">
        <v>939</v>
      </c>
    </row>
    <row r="446" spans="1:15" ht="15" customHeight="1">
      <c r="A446" t="s">
        <v>654</v>
      </c>
      <c r="B446" t="s">
        <v>940</v>
      </c>
      <c r="C446" t="s">
        <v>75</v>
      </c>
      <c r="D446" t="s">
        <v>69</v>
      </c>
      <c r="E446">
        <v>18</v>
      </c>
      <c r="F446">
        <v>5.3</v>
      </c>
      <c r="G446">
        <v>0.28999999999999998</v>
      </c>
      <c r="H446">
        <v>29</v>
      </c>
      <c r="I446">
        <v>2000</v>
      </c>
      <c r="J446">
        <v>1500</v>
      </c>
      <c r="K446" t="s">
        <v>519</v>
      </c>
      <c r="L446" t="s">
        <v>117</v>
      </c>
      <c r="M446" t="s">
        <v>48</v>
      </c>
      <c r="N446" t="b">
        <v>1</v>
      </c>
      <c r="O446" t="s">
        <v>520</v>
      </c>
    </row>
    <row r="447" spans="1:15" ht="15" customHeight="1">
      <c r="A447" t="s">
        <v>66</v>
      </c>
      <c r="B447" t="s">
        <v>941</v>
      </c>
      <c r="C447" t="s">
        <v>149</v>
      </c>
      <c r="D447" t="s">
        <v>69</v>
      </c>
      <c r="E447">
        <v>10</v>
      </c>
      <c r="F447">
        <v>7.2</v>
      </c>
      <c r="G447">
        <v>0.72</v>
      </c>
      <c r="H447">
        <v>20</v>
      </c>
      <c r="I447">
        <v>3000</v>
      </c>
      <c r="J447">
        <v>1000</v>
      </c>
      <c r="K447" t="s">
        <v>162</v>
      </c>
      <c r="L447" t="s">
        <v>71</v>
      </c>
      <c r="M447" t="s">
        <v>51</v>
      </c>
      <c r="N447" t="b">
        <v>0</v>
      </c>
      <c r="O447" t="s">
        <v>180</v>
      </c>
    </row>
    <row r="448" spans="1:15" ht="15" customHeight="1">
      <c r="A448" t="s">
        <v>324</v>
      </c>
      <c r="B448" t="s">
        <v>942</v>
      </c>
      <c r="C448" t="s">
        <v>75</v>
      </c>
      <c r="D448" t="s">
        <v>69</v>
      </c>
      <c r="E448">
        <v>15</v>
      </c>
      <c r="F448">
        <v>6.3</v>
      </c>
      <c r="G448">
        <v>0.42</v>
      </c>
      <c r="H448">
        <v>25</v>
      </c>
      <c r="I448">
        <v>2000</v>
      </c>
      <c r="J448">
        <v>1500</v>
      </c>
      <c r="K448" t="s">
        <v>158</v>
      </c>
      <c r="L448" t="s">
        <v>91</v>
      </c>
      <c r="M448" t="s">
        <v>48</v>
      </c>
      <c r="N448" t="b">
        <v>1</v>
      </c>
      <c r="O448" t="s">
        <v>400</v>
      </c>
    </row>
    <row r="449" spans="1:15" ht="15" customHeight="1">
      <c r="A449" t="s">
        <v>311</v>
      </c>
      <c r="B449" t="s">
        <v>943</v>
      </c>
      <c r="C449" t="s">
        <v>81</v>
      </c>
      <c r="D449" t="s">
        <v>69</v>
      </c>
      <c r="E449">
        <v>17</v>
      </c>
      <c r="F449">
        <v>6.3</v>
      </c>
      <c r="G449">
        <v>0.37</v>
      </c>
      <c r="H449">
        <v>25</v>
      </c>
      <c r="I449">
        <v>10000</v>
      </c>
      <c r="J449">
        <v>3000</v>
      </c>
      <c r="K449" t="s">
        <v>138</v>
      </c>
      <c r="L449" t="s">
        <v>91</v>
      </c>
      <c r="M449" t="s">
        <v>41</v>
      </c>
      <c r="N449" t="b">
        <v>1</v>
      </c>
      <c r="O449" t="s">
        <v>139</v>
      </c>
    </row>
    <row r="450" spans="1:15" ht="15" customHeight="1">
      <c r="A450" t="s">
        <v>557</v>
      </c>
      <c r="B450" t="s">
        <v>944</v>
      </c>
      <c r="C450" t="s">
        <v>68</v>
      </c>
      <c r="D450" t="s">
        <v>69</v>
      </c>
      <c r="E450">
        <v>16</v>
      </c>
      <c r="F450">
        <v>2.1</v>
      </c>
      <c r="G450">
        <v>0.13</v>
      </c>
      <c r="H450">
        <v>4</v>
      </c>
      <c r="I450">
        <v>30000</v>
      </c>
      <c r="J450">
        <v>5000</v>
      </c>
      <c r="K450" t="s">
        <v>95</v>
      </c>
      <c r="L450" t="s">
        <v>91</v>
      </c>
      <c r="M450" t="s">
        <v>50</v>
      </c>
      <c r="N450" t="b">
        <v>1</v>
      </c>
      <c r="O450" t="s">
        <v>97</v>
      </c>
    </row>
    <row r="451" spans="1:15" ht="15" customHeight="1">
      <c r="A451" t="s">
        <v>614</v>
      </c>
      <c r="B451" t="s">
        <v>945</v>
      </c>
      <c r="C451" t="s">
        <v>68</v>
      </c>
      <c r="D451" t="s">
        <v>69</v>
      </c>
      <c r="E451">
        <v>10</v>
      </c>
      <c r="F451">
        <v>1.8</v>
      </c>
      <c r="G451">
        <v>0.18</v>
      </c>
      <c r="H451">
        <v>3</v>
      </c>
      <c r="I451">
        <v>30000</v>
      </c>
      <c r="J451">
        <v>5000</v>
      </c>
      <c r="K451" t="s">
        <v>108</v>
      </c>
      <c r="L451" t="s">
        <v>77</v>
      </c>
      <c r="M451" t="s">
        <v>46</v>
      </c>
      <c r="N451" t="b">
        <v>0</v>
      </c>
      <c r="O451" t="s">
        <v>109</v>
      </c>
    </row>
    <row r="452" spans="1:15" ht="15" customHeight="1">
      <c r="A452" t="s">
        <v>946</v>
      </c>
      <c r="B452" t="s">
        <v>947</v>
      </c>
      <c r="C452" t="s">
        <v>75</v>
      </c>
      <c r="D452" t="s">
        <v>69</v>
      </c>
      <c r="E452">
        <v>19</v>
      </c>
      <c r="F452">
        <v>14.2</v>
      </c>
      <c r="G452">
        <v>0.75</v>
      </c>
      <c r="H452">
        <v>19</v>
      </c>
      <c r="I452">
        <v>2000</v>
      </c>
      <c r="J452">
        <v>1500</v>
      </c>
      <c r="K452" t="s">
        <v>408</v>
      </c>
      <c r="L452" t="s">
        <v>100</v>
      </c>
      <c r="M452" t="s">
        <v>51</v>
      </c>
      <c r="N452" t="b">
        <v>0</v>
      </c>
      <c r="O452" t="s">
        <v>409</v>
      </c>
    </row>
    <row r="453" spans="1:15" ht="15" customHeight="1">
      <c r="A453" t="s">
        <v>483</v>
      </c>
      <c r="B453" t="s">
        <v>948</v>
      </c>
      <c r="C453" t="s">
        <v>75</v>
      </c>
      <c r="D453" t="s">
        <v>69</v>
      </c>
      <c r="E453">
        <v>18</v>
      </c>
      <c r="F453">
        <v>8.6999999999999993</v>
      </c>
      <c r="G453">
        <v>0.48</v>
      </c>
      <c r="H453">
        <v>8</v>
      </c>
      <c r="I453">
        <v>2000</v>
      </c>
      <c r="J453">
        <v>1500</v>
      </c>
      <c r="K453" t="s">
        <v>275</v>
      </c>
      <c r="L453" t="s">
        <v>91</v>
      </c>
      <c r="M453" t="s">
        <v>44</v>
      </c>
      <c r="N453" t="b">
        <v>1</v>
      </c>
      <c r="O453" t="s">
        <v>276</v>
      </c>
    </row>
    <row r="454" spans="1:15" ht="15" customHeight="1">
      <c r="A454" t="s">
        <v>644</v>
      </c>
      <c r="B454" t="s">
        <v>949</v>
      </c>
      <c r="C454" t="s">
        <v>75</v>
      </c>
      <c r="D454" t="s">
        <v>69</v>
      </c>
      <c r="E454">
        <v>11</v>
      </c>
      <c r="F454">
        <v>6</v>
      </c>
      <c r="G454">
        <v>0.55000000000000004</v>
      </c>
      <c r="H454">
        <v>26</v>
      </c>
      <c r="I454">
        <v>2000</v>
      </c>
      <c r="J454">
        <v>1500</v>
      </c>
      <c r="K454" t="s">
        <v>298</v>
      </c>
      <c r="L454" t="s">
        <v>117</v>
      </c>
      <c r="M454" t="s">
        <v>45</v>
      </c>
      <c r="N454" t="b">
        <v>1</v>
      </c>
      <c r="O454" t="s">
        <v>299</v>
      </c>
    </row>
    <row r="455" spans="1:15" ht="15" customHeight="1">
      <c r="A455" t="s">
        <v>386</v>
      </c>
      <c r="B455" t="s">
        <v>950</v>
      </c>
      <c r="C455" t="s">
        <v>81</v>
      </c>
      <c r="D455" t="s">
        <v>69</v>
      </c>
      <c r="E455">
        <v>12</v>
      </c>
      <c r="F455">
        <v>6.6</v>
      </c>
      <c r="G455">
        <v>0.55000000000000004</v>
      </c>
      <c r="H455">
        <v>13</v>
      </c>
      <c r="I455">
        <v>10000</v>
      </c>
      <c r="J455">
        <v>3000</v>
      </c>
      <c r="K455" t="s">
        <v>203</v>
      </c>
      <c r="L455" t="s">
        <v>77</v>
      </c>
      <c r="M455" t="s">
        <v>42</v>
      </c>
      <c r="N455" t="b">
        <v>0</v>
      </c>
      <c r="O455" t="s">
        <v>204</v>
      </c>
    </row>
    <row r="456" spans="1:15" ht="15" customHeight="1">
      <c r="A456" t="s">
        <v>347</v>
      </c>
      <c r="B456" t="s">
        <v>951</v>
      </c>
      <c r="C456" t="s">
        <v>149</v>
      </c>
      <c r="D456" t="s">
        <v>69</v>
      </c>
      <c r="E456">
        <v>12</v>
      </c>
      <c r="F456">
        <v>7.7</v>
      </c>
      <c r="G456">
        <v>0.64</v>
      </c>
      <c r="H456">
        <v>22</v>
      </c>
      <c r="I456">
        <v>3000</v>
      </c>
      <c r="J456">
        <v>1000</v>
      </c>
      <c r="K456" t="s">
        <v>556</v>
      </c>
      <c r="L456" t="s">
        <v>104</v>
      </c>
      <c r="M456" t="s">
        <v>42</v>
      </c>
      <c r="N456" t="b">
        <v>0</v>
      </c>
      <c r="O456" t="s">
        <v>313</v>
      </c>
    </row>
    <row r="457" spans="1:15" ht="15" customHeight="1">
      <c r="A457" t="s">
        <v>952</v>
      </c>
      <c r="B457" t="s">
        <v>953</v>
      </c>
      <c r="C457" t="s">
        <v>81</v>
      </c>
      <c r="D457" t="s">
        <v>69</v>
      </c>
      <c r="E457">
        <v>17</v>
      </c>
      <c r="F457">
        <v>10.6</v>
      </c>
      <c r="G457">
        <v>0.62</v>
      </c>
      <c r="H457">
        <v>27</v>
      </c>
      <c r="I457">
        <v>10000</v>
      </c>
      <c r="J457">
        <v>3000</v>
      </c>
      <c r="K457" t="s">
        <v>125</v>
      </c>
      <c r="L457" t="s">
        <v>100</v>
      </c>
      <c r="M457" t="s">
        <v>45</v>
      </c>
      <c r="N457" t="b">
        <v>0</v>
      </c>
      <c r="O457" t="s">
        <v>126</v>
      </c>
    </row>
    <row r="458" spans="1:15" ht="15" customHeight="1">
      <c r="A458" t="s">
        <v>954</v>
      </c>
      <c r="B458" t="s">
        <v>955</v>
      </c>
      <c r="C458" t="s">
        <v>129</v>
      </c>
      <c r="D458" t="s">
        <v>130</v>
      </c>
      <c r="E458">
        <v>18</v>
      </c>
      <c r="F458">
        <v>7.5</v>
      </c>
      <c r="G458">
        <v>0.42</v>
      </c>
      <c r="H458">
        <v>26</v>
      </c>
      <c r="I458">
        <v>5000</v>
      </c>
      <c r="J458">
        <v>1000</v>
      </c>
      <c r="K458" t="s">
        <v>203</v>
      </c>
      <c r="L458" t="s">
        <v>104</v>
      </c>
      <c r="M458" t="s">
        <v>46</v>
      </c>
      <c r="N458" t="b">
        <v>0</v>
      </c>
      <c r="O458" t="s">
        <v>623</v>
      </c>
    </row>
    <row r="459" spans="1:15" ht="15" customHeight="1">
      <c r="A459" t="s">
        <v>601</v>
      </c>
      <c r="B459" t="s">
        <v>956</v>
      </c>
      <c r="C459" t="s">
        <v>81</v>
      </c>
      <c r="D459" t="s">
        <v>69</v>
      </c>
      <c r="E459">
        <v>11</v>
      </c>
      <c r="F459">
        <v>6.5</v>
      </c>
      <c r="G459">
        <v>0.59</v>
      </c>
      <c r="H459">
        <v>8</v>
      </c>
      <c r="I459">
        <v>10000</v>
      </c>
      <c r="J459">
        <v>3000</v>
      </c>
      <c r="K459" t="s">
        <v>357</v>
      </c>
      <c r="L459" t="s">
        <v>117</v>
      </c>
      <c r="M459" t="s">
        <v>40</v>
      </c>
      <c r="N459" t="b">
        <v>1</v>
      </c>
      <c r="O459" t="s">
        <v>295</v>
      </c>
    </row>
    <row r="460" spans="1:15" ht="15" customHeight="1">
      <c r="A460" t="s">
        <v>957</v>
      </c>
      <c r="B460" t="s">
        <v>958</v>
      </c>
      <c r="C460" t="s">
        <v>149</v>
      </c>
      <c r="D460" t="s">
        <v>69</v>
      </c>
      <c r="E460">
        <v>10</v>
      </c>
      <c r="F460">
        <v>6.6</v>
      </c>
      <c r="G460">
        <v>0.66</v>
      </c>
      <c r="H460">
        <v>26</v>
      </c>
      <c r="I460">
        <v>3000</v>
      </c>
      <c r="J460">
        <v>1000</v>
      </c>
      <c r="K460" t="s">
        <v>294</v>
      </c>
      <c r="L460" t="s">
        <v>96</v>
      </c>
      <c r="M460" t="s">
        <v>48</v>
      </c>
      <c r="N460" t="b">
        <v>0</v>
      </c>
      <c r="O460" t="s">
        <v>295</v>
      </c>
    </row>
    <row r="461" spans="1:15" ht="15" customHeight="1">
      <c r="A461" t="s">
        <v>174</v>
      </c>
      <c r="B461" t="s">
        <v>959</v>
      </c>
      <c r="C461" t="s">
        <v>149</v>
      </c>
      <c r="D461" t="s">
        <v>69</v>
      </c>
      <c r="E461">
        <v>12</v>
      </c>
      <c r="F461">
        <v>10</v>
      </c>
      <c r="G461">
        <v>0.83</v>
      </c>
      <c r="H461">
        <v>15</v>
      </c>
      <c r="I461">
        <v>3000</v>
      </c>
      <c r="J461">
        <v>1000</v>
      </c>
      <c r="K461" t="s">
        <v>438</v>
      </c>
      <c r="L461" t="s">
        <v>77</v>
      </c>
      <c r="M461" t="s">
        <v>47</v>
      </c>
      <c r="N461" t="b">
        <v>0</v>
      </c>
      <c r="O461" t="s">
        <v>90</v>
      </c>
    </row>
    <row r="462" spans="1:15" ht="15" customHeight="1">
      <c r="A462" t="s">
        <v>183</v>
      </c>
      <c r="B462" t="s">
        <v>960</v>
      </c>
      <c r="C462" t="s">
        <v>68</v>
      </c>
      <c r="D462" t="s">
        <v>69</v>
      </c>
      <c r="E462">
        <v>13</v>
      </c>
      <c r="F462">
        <v>0.9</v>
      </c>
      <c r="G462">
        <v>7.0000000000000007E-2</v>
      </c>
      <c r="H462">
        <v>3</v>
      </c>
      <c r="I462">
        <v>30000</v>
      </c>
      <c r="J462">
        <v>5000</v>
      </c>
      <c r="K462" t="s">
        <v>108</v>
      </c>
      <c r="L462" t="s">
        <v>100</v>
      </c>
      <c r="M462" t="s">
        <v>51</v>
      </c>
      <c r="N462" t="b">
        <v>0</v>
      </c>
      <c r="O462" t="s">
        <v>109</v>
      </c>
    </row>
    <row r="463" spans="1:15" ht="15" customHeight="1">
      <c r="A463" t="s">
        <v>961</v>
      </c>
      <c r="B463" t="s">
        <v>962</v>
      </c>
      <c r="C463" t="s">
        <v>81</v>
      </c>
      <c r="D463" t="s">
        <v>69</v>
      </c>
      <c r="E463">
        <v>20</v>
      </c>
      <c r="F463">
        <v>17.899999999999999</v>
      </c>
      <c r="G463">
        <v>0.89</v>
      </c>
      <c r="H463">
        <v>6</v>
      </c>
      <c r="I463">
        <v>10000</v>
      </c>
      <c r="J463">
        <v>3000</v>
      </c>
      <c r="K463" t="s">
        <v>162</v>
      </c>
      <c r="L463" t="s">
        <v>100</v>
      </c>
      <c r="M463" t="s">
        <v>42</v>
      </c>
      <c r="N463" t="b">
        <v>0</v>
      </c>
      <c r="O463" t="s">
        <v>198</v>
      </c>
    </row>
    <row r="464" spans="1:15" ht="15" customHeight="1">
      <c r="A464" t="s">
        <v>736</v>
      </c>
      <c r="B464" t="s">
        <v>963</v>
      </c>
      <c r="C464" t="s">
        <v>149</v>
      </c>
      <c r="D464" t="s">
        <v>69</v>
      </c>
      <c r="E464">
        <v>10</v>
      </c>
      <c r="F464">
        <v>7.7</v>
      </c>
      <c r="G464">
        <v>0.77</v>
      </c>
      <c r="H464">
        <v>30</v>
      </c>
      <c r="I464">
        <v>3000</v>
      </c>
      <c r="J464">
        <v>1000</v>
      </c>
      <c r="K464" t="s">
        <v>108</v>
      </c>
      <c r="L464" t="s">
        <v>104</v>
      </c>
      <c r="M464" t="s">
        <v>43</v>
      </c>
      <c r="N464" t="b">
        <v>0</v>
      </c>
      <c r="O464" t="s">
        <v>166</v>
      </c>
    </row>
    <row r="465" spans="1:15" ht="15" customHeight="1">
      <c r="A465" t="s">
        <v>964</v>
      </c>
      <c r="B465" t="s">
        <v>965</v>
      </c>
      <c r="C465" t="s">
        <v>81</v>
      </c>
      <c r="D465" t="s">
        <v>69</v>
      </c>
      <c r="E465">
        <v>18</v>
      </c>
      <c r="F465">
        <v>14.1</v>
      </c>
      <c r="G465">
        <v>0.78</v>
      </c>
      <c r="H465">
        <v>28</v>
      </c>
      <c r="I465">
        <v>10000</v>
      </c>
      <c r="J465">
        <v>3000</v>
      </c>
      <c r="K465" t="s">
        <v>966</v>
      </c>
      <c r="L465" t="s">
        <v>96</v>
      </c>
      <c r="M465" t="s">
        <v>48</v>
      </c>
      <c r="N465" t="b">
        <v>0</v>
      </c>
      <c r="O465" t="s">
        <v>967</v>
      </c>
    </row>
    <row r="466" spans="1:15" ht="15" customHeight="1">
      <c r="A466" t="s">
        <v>398</v>
      </c>
      <c r="B466" t="s">
        <v>968</v>
      </c>
      <c r="C466" t="s">
        <v>149</v>
      </c>
      <c r="D466" t="s">
        <v>69</v>
      </c>
      <c r="E466">
        <v>12</v>
      </c>
      <c r="F466">
        <v>7.7</v>
      </c>
      <c r="G466">
        <v>0.64</v>
      </c>
      <c r="H466">
        <v>35</v>
      </c>
      <c r="I466">
        <v>3000</v>
      </c>
      <c r="J466">
        <v>1000</v>
      </c>
      <c r="K466" t="s">
        <v>131</v>
      </c>
      <c r="L466" t="s">
        <v>117</v>
      </c>
      <c r="M466" t="s">
        <v>43</v>
      </c>
      <c r="N466" t="b">
        <v>1</v>
      </c>
      <c r="O466" t="s">
        <v>132</v>
      </c>
    </row>
    <row r="467" spans="1:15" ht="15" customHeight="1">
      <c r="A467" t="s">
        <v>572</v>
      </c>
      <c r="B467" t="s">
        <v>969</v>
      </c>
      <c r="C467" t="s">
        <v>68</v>
      </c>
      <c r="D467" t="s">
        <v>69</v>
      </c>
      <c r="E467">
        <v>16</v>
      </c>
      <c r="F467">
        <v>0.6</v>
      </c>
      <c r="G467">
        <v>0.04</v>
      </c>
      <c r="H467">
        <v>4</v>
      </c>
      <c r="I467">
        <v>30000</v>
      </c>
      <c r="J467">
        <v>5000</v>
      </c>
      <c r="K467" t="s">
        <v>95</v>
      </c>
      <c r="L467" t="s">
        <v>100</v>
      </c>
      <c r="M467" t="s">
        <v>46</v>
      </c>
      <c r="N467" t="b">
        <v>0</v>
      </c>
      <c r="O467" t="s">
        <v>97</v>
      </c>
    </row>
    <row r="468" spans="1:15" ht="15" customHeight="1">
      <c r="A468" t="s">
        <v>970</v>
      </c>
      <c r="B468" t="s">
        <v>971</v>
      </c>
      <c r="C468" t="s">
        <v>75</v>
      </c>
      <c r="D468" t="s">
        <v>69</v>
      </c>
      <c r="E468">
        <v>17</v>
      </c>
      <c r="F468">
        <v>3.3</v>
      </c>
      <c r="G468">
        <v>0.19</v>
      </c>
      <c r="H468">
        <v>30</v>
      </c>
      <c r="I468">
        <v>2000</v>
      </c>
      <c r="J468">
        <v>1500</v>
      </c>
      <c r="K468" t="s">
        <v>162</v>
      </c>
      <c r="L468" t="s">
        <v>117</v>
      </c>
      <c r="M468" t="s">
        <v>46</v>
      </c>
      <c r="N468" t="b">
        <v>1</v>
      </c>
      <c r="O468" t="s">
        <v>510</v>
      </c>
    </row>
    <row r="469" spans="1:15" ht="15" customHeight="1">
      <c r="A469" t="s">
        <v>473</v>
      </c>
      <c r="B469" t="s">
        <v>972</v>
      </c>
      <c r="C469" t="s">
        <v>149</v>
      </c>
      <c r="D469" t="s">
        <v>69</v>
      </c>
      <c r="E469">
        <v>9</v>
      </c>
      <c r="F469">
        <v>8.3000000000000007</v>
      </c>
      <c r="G469">
        <v>0.92</v>
      </c>
      <c r="H469">
        <v>20</v>
      </c>
      <c r="I469">
        <v>3000</v>
      </c>
      <c r="J469">
        <v>1000</v>
      </c>
      <c r="K469" t="s">
        <v>162</v>
      </c>
      <c r="L469" t="s">
        <v>77</v>
      </c>
      <c r="M469" t="s">
        <v>42</v>
      </c>
      <c r="N469" t="b">
        <v>0</v>
      </c>
      <c r="O469" t="s">
        <v>180</v>
      </c>
    </row>
    <row r="470" spans="1:15" ht="15" customHeight="1">
      <c r="A470" t="s">
        <v>868</v>
      </c>
      <c r="B470" t="s">
        <v>973</v>
      </c>
      <c r="C470" t="s">
        <v>75</v>
      </c>
      <c r="D470" t="s">
        <v>69</v>
      </c>
      <c r="E470">
        <v>12</v>
      </c>
      <c r="F470">
        <v>11.2</v>
      </c>
      <c r="G470">
        <v>0.93</v>
      </c>
      <c r="H470">
        <v>29</v>
      </c>
      <c r="I470">
        <v>2000</v>
      </c>
      <c r="J470">
        <v>1500</v>
      </c>
      <c r="K470" t="s">
        <v>519</v>
      </c>
      <c r="L470" t="s">
        <v>117</v>
      </c>
      <c r="M470" t="s">
        <v>45</v>
      </c>
      <c r="N470" t="b">
        <v>1</v>
      </c>
      <c r="O470" t="s">
        <v>520</v>
      </c>
    </row>
    <row r="471" spans="1:15" ht="15" customHeight="1">
      <c r="A471" t="s">
        <v>605</v>
      </c>
      <c r="B471" t="s">
        <v>974</v>
      </c>
      <c r="C471" t="s">
        <v>68</v>
      </c>
      <c r="D471" t="s">
        <v>69</v>
      </c>
      <c r="E471">
        <v>14</v>
      </c>
      <c r="F471">
        <v>4</v>
      </c>
      <c r="G471">
        <v>0.28999999999999998</v>
      </c>
      <c r="H471">
        <v>5</v>
      </c>
      <c r="I471">
        <v>30000</v>
      </c>
      <c r="J471">
        <v>5000</v>
      </c>
      <c r="K471" t="s">
        <v>112</v>
      </c>
      <c r="L471" t="s">
        <v>91</v>
      </c>
      <c r="M471" t="s">
        <v>42</v>
      </c>
      <c r="N471" t="b">
        <v>1</v>
      </c>
      <c r="O471" t="s">
        <v>113</v>
      </c>
    </row>
    <row r="472" spans="1:15" ht="15" customHeight="1">
      <c r="A472" t="s">
        <v>734</v>
      </c>
      <c r="B472" t="s">
        <v>975</v>
      </c>
      <c r="C472" t="s">
        <v>75</v>
      </c>
      <c r="D472" t="s">
        <v>69</v>
      </c>
      <c r="E472">
        <v>12</v>
      </c>
      <c r="F472">
        <v>8.3000000000000007</v>
      </c>
      <c r="G472">
        <v>0.69</v>
      </c>
      <c r="H472">
        <v>24</v>
      </c>
      <c r="I472">
        <v>2000</v>
      </c>
      <c r="J472">
        <v>1500</v>
      </c>
      <c r="K472" t="s">
        <v>361</v>
      </c>
      <c r="L472" t="s">
        <v>100</v>
      </c>
      <c r="M472" t="s">
        <v>48</v>
      </c>
      <c r="N472" t="b">
        <v>0</v>
      </c>
      <c r="O472" t="s">
        <v>362</v>
      </c>
    </row>
    <row r="473" spans="1:15" ht="15" customHeight="1">
      <c r="A473" t="s">
        <v>976</v>
      </c>
      <c r="B473" t="s">
        <v>977</v>
      </c>
      <c r="C473" t="s">
        <v>75</v>
      </c>
      <c r="D473" t="s">
        <v>69</v>
      </c>
      <c r="E473">
        <v>18</v>
      </c>
      <c r="F473">
        <v>14.7</v>
      </c>
      <c r="G473">
        <v>0.82</v>
      </c>
      <c r="H473">
        <v>24</v>
      </c>
      <c r="I473">
        <v>2000</v>
      </c>
      <c r="J473">
        <v>1500</v>
      </c>
      <c r="K473" t="s">
        <v>361</v>
      </c>
      <c r="L473" t="s">
        <v>71</v>
      </c>
      <c r="M473" t="s">
        <v>48</v>
      </c>
      <c r="N473" t="b">
        <v>0</v>
      </c>
      <c r="O473" t="s">
        <v>362</v>
      </c>
    </row>
    <row r="474" spans="1:15" ht="15" customHeight="1">
      <c r="A474" t="s">
        <v>121</v>
      </c>
      <c r="B474" t="s">
        <v>978</v>
      </c>
      <c r="C474" t="s">
        <v>129</v>
      </c>
      <c r="D474" t="s">
        <v>130</v>
      </c>
      <c r="E474">
        <v>8</v>
      </c>
      <c r="F474">
        <v>5</v>
      </c>
      <c r="G474">
        <v>0.62</v>
      </c>
      <c r="H474">
        <v>28</v>
      </c>
      <c r="I474">
        <v>5000</v>
      </c>
      <c r="J474">
        <v>1000</v>
      </c>
      <c r="K474" t="s">
        <v>116</v>
      </c>
      <c r="L474" t="s">
        <v>91</v>
      </c>
      <c r="M474" t="s">
        <v>47</v>
      </c>
      <c r="N474" t="b">
        <v>1</v>
      </c>
      <c r="O474" t="s">
        <v>470</v>
      </c>
    </row>
    <row r="475" spans="1:15" ht="15" customHeight="1">
      <c r="A475" t="s">
        <v>507</v>
      </c>
      <c r="B475" t="s">
        <v>979</v>
      </c>
      <c r="C475" t="s">
        <v>149</v>
      </c>
      <c r="D475" t="s">
        <v>69</v>
      </c>
      <c r="E475">
        <v>11</v>
      </c>
      <c r="F475">
        <v>10</v>
      </c>
      <c r="G475">
        <v>0.91</v>
      </c>
      <c r="H475">
        <v>27</v>
      </c>
      <c r="I475">
        <v>3000</v>
      </c>
      <c r="J475">
        <v>1000</v>
      </c>
      <c r="K475" t="s">
        <v>845</v>
      </c>
      <c r="L475" t="s">
        <v>104</v>
      </c>
      <c r="M475" t="s">
        <v>40</v>
      </c>
      <c r="N475" t="b">
        <v>0</v>
      </c>
      <c r="O475" t="s">
        <v>357</v>
      </c>
    </row>
    <row r="476" spans="1:15" ht="15" customHeight="1">
      <c r="A476" t="s">
        <v>517</v>
      </c>
      <c r="B476" t="s">
        <v>980</v>
      </c>
      <c r="C476" t="s">
        <v>68</v>
      </c>
      <c r="D476" t="s">
        <v>69</v>
      </c>
      <c r="E476">
        <v>14</v>
      </c>
      <c r="F476">
        <v>3.4</v>
      </c>
      <c r="G476">
        <v>0.24</v>
      </c>
      <c r="H476">
        <v>5</v>
      </c>
      <c r="I476">
        <v>30000</v>
      </c>
      <c r="J476">
        <v>5000</v>
      </c>
      <c r="K476" t="s">
        <v>112</v>
      </c>
      <c r="L476" t="s">
        <v>100</v>
      </c>
      <c r="M476" t="s">
        <v>46</v>
      </c>
      <c r="N476" t="b">
        <v>0</v>
      </c>
      <c r="O476" t="s">
        <v>113</v>
      </c>
    </row>
    <row r="477" spans="1:15" ht="15" customHeight="1">
      <c r="A477" t="s">
        <v>981</v>
      </c>
      <c r="B477" t="s">
        <v>982</v>
      </c>
      <c r="C477" t="s">
        <v>129</v>
      </c>
      <c r="D477" t="s">
        <v>130</v>
      </c>
      <c r="E477">
        <v>14</v>
      </c>
      <c r="F477">
        <v>9.4</v>
      </c>
      <c r="G477">
        <v>0.67</v>
      </c>
      <c r="H477">
        <v>19</v>
      </c>
      <c r="I477">
        <v>5000</v>
      </c>
      <c r="J477">
        <v>1000</v>
      </c>
      <c r="K477" t="s">
        <v>336</v>
      </c>
      <c r="L477" t="s">
        <v>104</v>
      </c>
      <c r="M477" t="s">
        <v>48</v>
      </c>
      <c r="N477" t="b">
        <v>0</v>
      </c>
      <c r="O477" t="s">
        <v>337</v>
      </c>
    </row>
    <row r="478" spans="1:15" ht="15" customHeight="1">
      <c r="A478" t="s">
        <v>243</v>
      </c>
      <c r="B478" t="s">
        <v>983</v>
      </c>
      <c r="C478" t="s">
        <v>75</v>
      </c>
      <c r="D478" t="s">
        <v>69</v>
      </c>
      <c r="E478">
        <v>15</v>
      </c>
      <c r="F478">
        <v>8</v>
      </c>
      <c r="G478">
        <v>0.53</v>
      </c>
      <c r="H478">
        <v>23</v>
      </c>
      <c r="I478">
        <v>2000</v>
      </c>
      <c r="J478">
        <v>1500</v>
      </c>
      <c r="K478" t="s">
        <v>207</v>
      </c>
      <c r="L478" t="s">
        <v>117</v>
      </c>
      <c r="M478" t="s">
        <v>40</v>
      </c>
      <c r="N478" t="b">
        <v>1</v>
      </c>
      <c r="O478" t="s">
        <v>208</v>
      </c>
    </row>
    <row r="479" spans="1:15" ht="15" customHeight="1">
      <c r="A479" t="s">
        <v>759</v>
      </c>
      <c r="B479" t="s">
        <v>984</v>
      </c>
      <c r="C479" t="s">
        <v>149</v>
      </c>
      <c r="D479" t="s">
        <v>69</v>
      </c>
      <c r="E479">
        <v>12</v>
      </c>
      <c r="F479">
        <v>9.3000000000000007</v>
      </c>
      <c r="G479">
        <v>0.78</v>
      </c>
      <c r="H479">
        <v>15</v>
      </c>
      <c r="I479">
        <v>3000</v>
      </c>
      <c r="J479">
        <v>1000</v>
      </c>
      <c r="K479" t="s">
        <v>438</v>
      </c>
      <c r="L479" t="s">
        <v>96</v>
      </c>
      <c r="M479" t="s">
        <v>51</v>
      </c>
      <c r="N479" t="b">
        <v>0</v>
      </c>
      <c r="O479" t="s">
        <v>90</v>
      </c>
    </row>
    <row r="480" spans="1:15" ht="15" customHeight="1">
      <c r="A480" t="s">
        <v>621</v>
      </c>
      <c r="B480" t="s">
        <v>985</v>
      </c>
      <c r="C480" t="s">
        <v>75</v>
      </c>
      <c r="D480" t="s">
        <v>69</v>
      </c>
      <c r="E480">
        <v>19</v>
      </c>
      <c r="F480">
        <v>12.6</v>
      </c>
      <c r="G480">
        <v>0.66</v>
      </c>
      <c r="H480">
        <v>24</v>
      </c>
      <c r="I480">
        <v>2000</v>
      </c>
      <c r="J480">
        <v>1500</v>
      </c>
      <c r="K480" t="s">
        <v>361</v>
      </c>
      <c r="L480" t="s">
        <v>104</v>
      </c>
      <c r="M480" t="s">
        <v>44</v>
      </c>
      <c r="N480" t="b">
        <v>0</v>
      </c>
      <c r="O480" t="s">
        <v>362</v>
      </c>
    </row>
    <row r="481" spans="1:15" ht="15" customHeight="1">
      <c r="A481" t="s">
        <v>986</v>
      </c>
      <c r="B481" t="s">
        <v>987</v>
      </c>
      <c r="C481" t="s">
        <v>81</v>
      </c>
      <c r="D481" t="s">
        <v>69</v>
      </c>
      <c r="E481">
        <v>10</v>
      </c>
      <c r="F481">
        <v>3.2</v>
      </c>
      <c r="G481">
        <v>0.32</v>
      </c>
      <c r="H481">
        <v>6</v>
      </c>
      <c r="I481">
        <v>10000</v>
      </c>
      <c r="J481">
        <v>3000</v>
      </c>
      <c r="K481" t="s">
        <v>162</v>
      </c>
      <c r="L481" t="s">
        <v>104</v>
      </c>
      <c r="M481" t="s">
        <v>47</v>
      </c>
      <c r="N481" t="b">
        <v>0</v>
      </c>
      <c r="O481" t="s">
        <v>198</v>
      </c>
    </row>
    <row r="482" spans="1:15" ht="15" customHeight="1">
      <c r="A482" t="s">
        <v>988</v>
      </c>
      <c r="B482" t="s">
        <v>989</v>
      </c>
      <c r="C482" t="s">
        <v>68</v>
      </c>
      <c r="D482" t="s">
        <v>69</v>
      </c>
      <c r="E482">
        <v>12</v>
      </c>
      <c r="F482">
        <v>1.2</v>
      </c>
      <c r="G482">
        <v>0.1</v>
      </c>
      <c r="H482">
        <v>2</v>
      </c>
      <c r="I482">
        <v>30000</v>
      </c>
      <c r="J482">
        <v>5000</v>
      </c>
      <c r="K482" t="s">
        <v>162</v>
      </c>
      <c r="L482" t="s">
        <v>104</v>
      </c>
      <c r="M482" t="s">
        <v>50</v>
      </c>
      <c r="N482" t="b">
        <v>0</v>
      </c>
      <c r="O482" t="s">
        <v>163</v>
      </c>
    </row>
    <row r="483" spans="1:15" ht="15" customHeight="1">
      <c r="A483" t="s">
        <v>263</v>
      </c>
      <c r="B483" t="s">
        <v>990</v>
      </c>
      <c r="C483" t="s">
        <v>129</v>
      </c>
      <c r="D483" t="s">
        <v>130</v>
      </c>
      <c r="E483">
        <v>20</v>
      </c>
      <c r="F483">
        <v>14.4</v>
      </c>
      <c r="G483">
        <v>0.72</v>
      </c>
      <c r="H483">
        <v>25</v>
      </c>
      <c r="I483">
        <v>5000</v>
      </c>
      <c r="J483">
        <v>1000</v>
      </c>
      <c r="K483" t="s">
        <v>245</v>
      </c>
      <c r="L483" t="s">
        <v>96</v>
      </c>
      <c r="M483" t="s">
        <v>44</v>
      </c>
      <c r="N483" t="b">
        <v>0</v>
      </c>
      <c r="O483" t="s">
        <v>246</v>
      </c>
    </row>
    <row r="484" spans="1:15" ht="15" customHeight="1">
      <c r="A484" t="s">
        <v>412</v>
      </c>
      <c r="B484" t="s">
        <v>991</v>
      </c>
      <c r="C484" t="s">
        <v>129</v>
      </c>
      <c r="D484" t="s">
        <v>130</v>
      </c>
      <c r="E484">
        <v>15</v>
      </c>
      <c r="F484">
        <v>3.2</v>
      </c>
      <c r="G484">
        <v>0.21</v>
      </c>
      <c r="H484">
        <v>23</v>
      </c>
      <c r="I484">
        <v>5000</v>
      </c>
      <c r="J484">
        <v>1000</v>
      </c>
      <c r="K484" t="s">
        <v>97</v>
      </c>
      <c r="L484" t="s">
        <v>96</v>
      </c>
      <c r="M484" t="s">
        <v>51</v>
      </c>
      <c r="N484" t="b">
        <v>0</v>
      </c>
      <c r="O484" t="s">
        <v>220</v>
      </c>
    </row>
    <row r="485" spans="1:15" ht="15" customHeight="1">
      <c r="A485" t="s">
        <v>554</v>
      </c>
      <c r="B485" t="s">
        <v>992</v>
      </c>
      <c r="C485" t="s">
        <v>68</v>
      </c>
      <c r="D485" t="s">
        <v>69</v>
      </c>
      <c r="E485">
        <v>9</v>
      </c>
      <c r="F485">
        <v>1.4</v>
      </c>
      <c r="G485">
        <v>0.16</v>
      </c>
      <c r="H485">
        <v>1</v>
      </c>
      <c r="I485">
        <v>30000</v>
      </c>
      <c r="J485">
        <v>5000</v>
      </c>
      <c r="K485" t="s">
        <v>70</v>
      </c>
      <c r="L485" t="s">
        <v>71</v>
      </c>
      <c r="M485" t="s">
        <v>40</v>
      </c>
      <c r="N485" t="b">
        <v>0</v>
      </c>
      <c r="O485" t="s">
        <v>72</v>
      </c>
    </row>
    <row r="486" spans="1:15" ht="15" customHeight="1">
      <c r="A486" t="s">
        <v>674</v>
      </c>
      <c r="B486" t="s">
        <v>993</v>
      </c>
      <c r="C486" t="s">
        <v>149</v>
      </c>
      <c r="D486" t="s">
        <v>69</v>
      </c>
      <c r="E486">
        <v>12</v>
      </c>
      <c r="F486">
        <v>9.6</v>
      </c>
      <c r="G486">
        <v>0.8</v>
      </c>
      <c r="H486">
        <v>26</v>
      </c>
      <c r="I486">
        <v>3000</v>
      </c>
      <c r="J486">
        <v>1000</v>
      </c>
      <c r="K486" t="s">
        <v>294</v>
      </c>
      <c r="L486" t="s">
        <v>100</v>
      </c>
      <c r="M486" t="s">
        <v>40</v>
      </c>
      <c r="N486" t="b">
        <v>0</v>
      </c>
      <c r="O486" t="s">
        <v>295</v>
      </c>
    </row>
    <row r="487" spans="1:15" ht="15" customHeight="1">
      <c r="A487" t="s">
        <v>235</v>
      </c>
      <c r="B487" t="s">
        <v>994</v>
      </c>
      <c r="C487" t="s">
        <v>75</v>
      </c>
      <c r="D487" t="s">
        <v>69</v>
      </c>
      <c r="E487">
        <v>14</v>
      </c>
      <c r="F487">
        <v>7.6</v>
      </c>
      <c r="G487">
        <v>0.54</v>
      </c>
      <c r="H487">
        <v>26</v>
      </c>
      <c r="I487">
        <v>2000</v>
      </c>
      <c r="J487">
        <v>1500</v>
      </c>
      <c r="K487" t="s">
        <v>298</v>
      </c>
      <c r="L487" t="s">
        <v>91</v>
      </c>
      <c r="M487" t="s">
        <v>45</v>
      </c>
      <c r="N487" t="b">
        <v>1</v>
      </c>
      <c r="O487" t="s">
        <v>299</v>
      </c>
    </row>
    <row r="488" spans="1:15" ht="15" customHeight="1">
      <c r="A488" t="s">
        <v>416</v>
      </c>
      <c r="B488" t="s">
        <v>995</v>
      </c>
      <c r="C488" t="s">
        <v>81</v>
      </c>
      <c r="D488" t="s">
        <v>69</v>
      </c>
      <c r="E488">
        <v>13</v>
      </c>
      <c r="F488">
        <v>10.5</v>
      </c>
      <c r="G488">
        <v>0.81</v>
      </c>
      <c r="H488">
        <v>25</v>
      </c>
      <c r="I488">
        <v>10000</v>
      </c>
      <c r="J488">
        <v>3000</v>
      </c>
      <c r="K488" t="s">
        <v>138</v>
      </c>
      <c r="L488" t="s">
        <v>77</v>
      </c>
      <c r="M488" t="s">
        <v>44</v>
      </c>
      <c r="N488" t="b">
        <v>0</v>
      </c>
      <c r="O488" t="s">
        <v>139</v>
      </c>
    </row>
    <row r="489" spans="1:15" ht="15" customHeight="1">
      <c r="A489" t="s">
        <v>630</v>
      </c>
      <c r="B489" t="s">
        <v>996</v>
      </c>
      <c r="C489" t="s">
        <v>129</v>
      </c>
      <c r="D489" t="s">
        <v>130</v>
      </c>
      <c r="E489">
        <v>15</v>
      </c>
      <c r="F489">
        <v>10.8</v>
      </c>
      <c r="G489">
        <v>0.72</v>
      </c>
      <c r="H489">
        <v>15</v>
      </c>
      <c r="I489">
        <v>5000</v>
      </c>
      <c r="J489">
        <v>1000</v>
      </c>
      <c r="K489" t="s">
        <v>479</v>
      </c>
      <c r="L489" t="s">
        <v>77</v>
      </c>
      <c r="M489" t="s">
        <v>47</v>
      </c>
      <c r="N489" t="b">
        <v>0</v>
      </c>
      <c r="O489" t="s">
        <v>480</v>
      </c>
    </row>
    <row r="490" spans="1:15" ht="15" customHeight="1">
      <c r="A490" t="s">
        <v>213</v>
      </c>
      <c r="B490" t="s">
        <v>997</v>
      </c>
      <c r="C490" t="s">
        <v>81</v>
      </c>
      <c r="D490" t="s">
        <v>69</v>
      </c>
      <c r="E490">
        <v>16</v>
      </c>
      <c r="F490">
        <v>5.0999999999999996</v>
      </c>
      <c r="G490">
        <v>0.32</v>
      </c>
      <c r="H490">
        <v>9</v>
      </c>
      <c r="I490">
        <v>10000</v>
      </c>
      <c r="J490">
        <v>3000</v>
      </c>
      <c r="K490" t="s">
        <v>108</v>
      </c>
      <c r="L490" t="s">
        <v>71</v>
      </c>
      <c r="M490" t="s">
        <v>47</v>
      </c>
      <c r="N490" t="b">
        <v>0</v>
      </c>
      <c r="O490" t="s">
        <v>303</v>
      </c>
    </row>
    <row r="491" spans="1:15" ht="15" customHeight="1">
      <c r="A491" t="s">
        <v>998</v>
      </c>
      <c r="B491" t="s">
        <v>999</v>
      </c>
      <c r="C491" t="s">
        <v>149</v>
      </c>
      <c r="D491" t="s">
        <v>69</v>
      </c>
      <c r="E491">
        <v>8</v>
      </c>
      <c r="F491">
        <v>6.3</v>
      </c>
      <c r="G491">
        <v>0.79</v>
      </c>
      <c r="H491">
        <v>24</v>
      </c>
      <c r="I491">
        <v>3000</v>
      </c>
      <c r="J491">
        <v>1000</v>
      </c>
      <c r="K491" t="s">
        <v>490</v>
      </c>
      <c r="L491" t="s">
        <v>96</v>
      </c>
      <c r="M491" t="s">
        <v>44</v>
      </c>
      <c r="N491" t="b">
        <v>0</v>
      </c>
      <c r="O491" t="s">
        <v>491</v>
      </c>
    </row>
    <row r="492" spans="1:15" ht="15" customHeight="1">
      <c r="A492" t="s">
        <v>281</v>
      </c>
      <c r="B492" t="s">
        <v>1000</v>
      </c>
      <c r="C492" t="s">
        <v>129</v>
      </c>
      <c r="D492" t="s">
        <v>130</v>
      </c>
      <c r="E492">
        <v>12</v>
      </c>
      <c r="F492">
        <v>10.8</v>
      </c>
      <c r="G492">
        <v>0.9</v>
      </c>
      <c r="H492">
        <v>12</v>
      </c>
      <c r="I492">
        <v>5000</v>
      </c>
      <c r="J492">
        <v>1000</v>
      </c>
      <c r="K492" t="s">
        <v>162</v>
      </c>
      <c r="L492" t="s">
        <v>77</v>
      </c>
      <c r="M492" t="s">
        <v>51</v>
      </c>
      <c r="N492" t="b">
        <v>0</v>
      </c>
      <c r="O492" t="s">
        <v>180</v>
      </c>
    </row>
    <row r="493" spans="1:15" ht="15" customHeight="1">
      <c r="A493" t="s">
        <v>762</v>
      </c>
      <c r="B493" t="s">
        <v>1001</v>
      </c>
      <c r="C493" t="s">
        <v>81</v>
      </c>
      <c r="D493" t="s">
        <v>69</v>
      </c>
      <c r="E493">
        <v>10</v>
      </c>
      <c r="F493">
        <v>8.6</v>
      </c>
      <c r="G493">
        <v>0.86</v>
      </c>
      <c r="H493">
        <v>27</v>
      </c>
      <c r="I493">
        <v>10000</v>
      </c>
      <c r="J493">
        <v>3000</v>
      </c>
      <c r="K493" t="s">
        <v>125</v>
      </c>
      <c r="L493" t="s">
        <v>100</v>
      </c>
      <c r="M493" t="s">
        <v>44</v>
      </c>
      <c r="N493" t="b">
        <v>0</v>
      </c>
      <c r="O493" t="s">
        <v>126</v>
      </c>
    </row>
    <row r="494" spans="1:15" ht="15" customHeight="1">
      <c r="A494" t="s">
        <v>152</v>
      </c>
      <c r="B494" t="s">
        <v>1002</v>
      </c>
      <c r="C494" t="s">
        <v>75</v>
      </c>
      <c r="D494" t="s">
        <v>69</v>
      </c>
      <c r="E494">
        <v>17</v>
      </c>
      <c r="F494">
        <v>6.5</v>
      </c>
      <c r="G494">
        <v>0.38</v>
      </c>
      <c r="H494">
        <v>27</v>
      </c>
      <c r="I494">
        <v>2000</v>
      </c>
      <c r="J494">
        <v>1500</v>
      </c>
      <c r="K494" t="s">
        <v>150</v>
      </c>
      <c r="L494" t="s">
        <v>71</v>
      </c>
      <c r="M494" t="s">
        <v>48</v>
      </c>
      <c r="N494" t="b">
        <v>0</v>
      </c>
      <c r="O494" t="s">
        <v>528</v>
      </c>
    </row>
    <row r="495" spans="1:15" ht="15" customHeight="1">
      <c r="A495" t="s">
        <v>319</v>
      </c>
      <c r="B495" t="s">
        <v>1003</v>
      </c>
      <c r="C495" t="s">
        <v>149</v>
      </c>
      <c r="D495" t="s">
        <v>69</v>
      </c>
      <c r="E495">
        <v>9</v>
      </c>
      <c r="F495">
        <v>8.1</v>
      </c>
      <c r="G495">
        <v>0.9</v>
      </c>
      <c r="H495">
        <v>34</v>
      </c>
      <c r="I495">
        <v>3000</v>
      </c>
      <c r="J495">
        <v>1000</v>
      </c>
      <c r="K495" t="s">
        <v>433</v>
      </c>
      <c r="L495" t="s">
        <v>96</v>
      </c>
      <c r="M495" t="s">
        <v>51</v>
      </c>
      <c r="N495" t="b">
        <v>0</v>
      </c>
      <c r="O495" t="s">
        <v>434</v>
      </c>
    </row>
    <row r="496" spans="1:15" ht="15" customHeight="1">
      <c r="A496" t="s">
        <v>1004</v>
      </c>
      <c r="B496" t="s">
        <v>1005</v>
      </c>
      <c r="C496" t="s">
        <v>81</v>
      </c>
      <c r="D496" t="s">
        <v>69</v>
      </c>
      <c r="E496">
        <v>14</v>
      </c>
      <c r="F496">
        <v>9.9</v>
      </c>
      <c r="G496">
        <v>0.71</v>
      </c>
      <c r="H496">
        <v>26</v>
      </c>
      <c r="I496">
        <v>10000</v>
      </c>
      <c r="J496">
        <v>3000</v>
      </c>
      <c r="K496" t="s">
        <v>525</v>
      </c>
      <c r="L496" t="s">
        <v>77</v>
      </c>
      <c r="M496" t="s">
        <v>43</v>
      </c>
      <c r="N496" t="b">
        <v>0</v>
      </c>
      <c r="O496" t="s">
        <v>526</v>
      </c>
    </row>
    <row r="497" spans="1:15" ht="15" customHeight="1">
      <c r="A497" t="s">
        <v>223</v>
      </c>
      <c r="B497" t="s">
        <v>1006</v>
      </c>
      <c r="C497" t="s">
        <v>129</v>
      </c>
      <c r="D497" t="s">
        <v>130</v>
      </c>
      <c r="E497">
        <v>15</v>
      </c>
      <c r="F497">
        <v>13.9</v>
      </c>
      <c r="G497">
        <v>0.93</v>
      </c>
      <c r="H497">
        <v>22</v>
      </c>
      <c r="I497">
        <v>5000</v>
      </c>
      <c r="J497">
        <v>1000</v>
      </c>
      <c r="K497" t="s">
        <v>134</v>
      </c>
      <c r="L497" t="s">
        <v>96</v>
      </c>
      <c r="M497" t="s">
        <v>45</v>
      </c>
      <c r="N497" t="b">
        <v>0</v>
      </c>
      <c r="O497" t="s">
        <v>135</v>
      </c>
    </row>
    <row r="498" spans="1:15" ht="15" customHeight="1">
      <c r="A498" t="s">
        <v>742</v>
      </c>
      <c r="B498" t="s">
        <v>1007</v>
      </c>
      <c r="C498" t="s">
        <v>75</v>
      </c>
      <c r="D498" t="s">
        <v>69</v>
      </c>
      <c r="E498">
        <v>13</v>
      </c>
      <c r="F498">
        <v>8.1</v>
      </c>
      <c r="G498">
        <v>0.62</v>
      </c>
      <c r="H498">
        <v>8</v>
      </c>
      <c r="I498">
        <v>2000</v>
      </c>
      <c r="J498">
        <v>1500</v>
      </c>
      <c r="K498" t="s">
        <v>275</v>
      </c>
      <c r="L498" t="s">
        <v>117</v>
      </c>
      <c r="M498" t="s">
        <v>48</v>
      </c>
      <c r="N498" t="b">
        <v>1</v>
      </c>
      <c r="O498" t="s">
        <v>276</v>
      </c>
    </row>
    <row r="499" spans="1:15" ht="15" customHeight="1">
      <c r="A499" t="s">
        <v>281</v>
      </c>
      <c r="B499" t="s">
        <v>1008</v>
      </c>
      <c r="C499" t="s">
        <v>149</v>
      </c>
      <c r="D499" t="s">
        <v>69</v>
      </c>
      <c r="E499">
        <v>10</v>
      </c>
      <c r="F499">
        <v>7.9</v>
      </c>
      <c r="G499">
        <v>0.79</v>
      </c>
      <c r="H499">
        <v>26</v>
      </c>
      <c r="I499">
        <v>3000</v>
      </c>
      <c r="J499">
        <v>1000</v>
      </c>
      <c r="K499" t="s">
        <v>294</v>
      </c>
      <c r="L499" t="s">
        <v>77</v>
      </c>
      <c r="M499" t="s">
        <v>51</v>
      </c>
      <c r="N499" t="b">
        <v>0</v>
      </c>
      <c r="O499" t="s">
        <v>295</v>
      </c>
    </row>
    <row r="500" spans="1:15" ht="15" customHeight="1">
      <c r="A500" t="s">
        <v>1009</v>
      </c>
      <c r="B500" t="s">
        <v>1010</v>
      </c>
      <c r="C500" t="s">
        <v>129</v>
      </c>
      <c r="D500" t="s">
        <v>130</v>
      </c>
      <c r="E500">
        <v>8</v>
      </c>
      <c r="F500">
        <v>4.3</v>
      </c>
      <c r="G500">
        <v>0.54</v>
      </c>
      <c r="H500">
        <v>12</v>
      </c>
      <c r="I500">
        <v>5000</v>
      </c>
      <c r="J500">
        <v>1000</v>
      </c>
      <c r="K500" t="s">
        <v>162</v>
      </c>
      <c r="L500" t="s">
        <v>117</v>
      </c>
      <c r="M500" t="s">
        <v>42</v>
      </c>
      <c r="N500" t="b">
        <v>1</v>
      </c>
      <c r="O500" t="s">
        <v>180</v>
      </c>
    </row>
    <row r="501" spans="1:15" ht="15" customHeight="1">
      <c r="A501" t="s">
        <v>557</v>
      </c>
      <c r="B501" t="s">
        <v>1011</v>
      </c>
      <c r="C501" t="s">
        <v>129</v>
      </c>
      <c r="D501" t="s">
        <v>130</v>
      </c>
      <c r="E501">
        <v>14</v>
      </c>
      <c r="F501">
        <v>5.5</v>
      </c>
      <c r="G501">
        <v>0.39</v>
      </c>
      <c r="H501">
        <v>22</v>
      </c>
      <c r="I501">
        <v>5000</v>
      </c>
      <c r="J501">
        <v>1000</v>
      </c>
      <c r="K501" t="s">
        <v>134</v>
      </c>
      <c r="L501" t="s">
        <v>91</v>
      </c>
      <c r="M501" t="s">
        <v>50</v>
      </c>
      <c r="N501" t="b">
        <v>1</v>
      </c>
      <c r="O501" t="s">
        <v>135</v>
      </c>
    </row>
    <row r="502" spans="1:15" ht="15" customHeight="1">
      <c r="A502" t="s">
        <v>1012</v>
      </c>
      <c r="B502" t="s">
        <v>1013</v>
      </c>
      <c r="C502" t="s">
        <v>75</v>
      </c>
      <c r="D502" t="s">
        <v>69</v>
      </c>
      <c r="E502">
        <v>13</v>
      </c>
      <c r="F502">
        <v>5.2</v>
      </c>
      <c r="G502">
        <v>0.4</v>
      </c>
      <c r="H502">
        <v>27</v>
      </c>
      <c r="I502">
        <v>2000</v>
      </c>
      <c r="J502">
        <v>1500</v>
      </c>
      <c r="K502" t="s">
        <v>150</v>
      </c>
      <c r="L502" t="s">
        <v>96</v>
      </c>
      <c r="M502" t="s">
        <v>41</v>
      </c>
      <c r="N502" t="b">
        <v>0</v>
      </c>
      <c r="O502" t="s">
        <v>528</v>
      </c>
    </row>
    <row r="503" spans="1:15" ht="15" customHeight="1">
      <c r="A503" t="s">
        <v>590</v>
      </c>
      <c r="B503" t="s">
        <v>1014</v>
      </c>
      <c r="C503" t="s">
        <v>149</v>
      </c>
      <c r="D503" t="s">
        <v>69</v>
      </c>
      <c r="E503">
        <v>10</v>
      </c>
      <c r="F503">
        <v>8.6999999999999993</v>
      </c>
      <c r="G503">
        <v>0.87</v>
      </c>
      <c r="H503">
        <v>37</v>
      </c>
      <c r="I503">
        <v>3000</v>
      </c>
      <c r="J503">
        <v>1000</v>
      </c>
      <c r="K503" t="s">
        <v>672</v>
      </c>
      <c r="L503" t="s">
        <v>77</v>
      </c>
      <c r="M503" t="s">
        <v>49</v>
      </c>
      <c r="N503" t="b">
        <v>0</v>
      </c>
      <c r="O503" t="s">
        <v>134</v>
      </c>
    </row>
    <row r="504" spans="1:15" ht="15" customHeight="1">
      <c r="A504" t="s">
        <v>618</v>
      </c>
      <c r="B504" t="s">
        <v>1015</v>
      </c>
      <c r="C504" t="s">
        <v>149</v>
      </c>
      <c r="D504" t="s">
        <v>69</v>
      </c>
      <c r="E504">
        <v>8</v>
      </c>
      <c r="F504">
        <v>6.5</v>
      </c>
      <c r="G504">
        <v>0.81</v>
      </c>
      <c r="H504">
        <v>25</v>
      </c>
      <c r="I504">
        <v>3000</v>
      </c>
      <c r="J504">
        <v>1000</v>
      </c>
      <c r="K504" t="s">
        <v>479</v>
      </c>
      <c r="L504" t="s">
        <v>117</v>
      </c>
      <c r="M504" t="s">
        <v>46</v>
      </c>
      <c r="N504" t="b">
        <v>1</v>
      </c>
      <c r="O504" t="s">
        <v>480</v>
      </c>
    </row>
    <row r="505" spans="1:15" ht="15" customHeight="1">
      <c r="A505" t="s">
        <v>468</v>
      </c>
      <c r="B505" t="s">
        <v>1016</v>
      </c>
      <c r="C505" t="s">
        <v>81</v>
      </c>
      <c r="D505" t="s">
        <v>69</v>
      </c>
      <c r="E505">
        <v>18</v>
      </c>
      <c r="F505">
        <v>13.5</v>
      </c>
      <c r="G505">
        <v>0.75</v>
      </c>
      <c r="H505">
        <v>19</v>
      </c>
      <c r="I505">
        <v>10000</v>
      </c>
      <c r="J505">
        <v>3000</v>
      </c>
      <c r="K505" t="s">
        <v>309</v>
      </c>
      <c r="L505" t="s">
        <v>117</v>
      </c>
      <c r="M505" t="s">
        <v>49</v>
      </c>
      <c r="N505" t="b">
        <v>1</v>
      </c>
      <c r="O505" t="s">
        <v>310</v>
      </c>
    </row>
    <row r="506" spans="1:15" ht="15" customHeight="1">
      <c r="A506" t="s">
        <v>193</v>
      </c>
      <c r="B506" t="s">
        <v>1017</v>
      </c>
      <c r="C506" t="s">
        <v>129</v>
      </c>
      <c r="D506" t="s">
        <v>130</v>
      </c>
      <c r="E506">
        <v>19</v>
      </c>
      <c r="F506">
        <v>5.3</v>
      </c>
      <c r="G506">
        <v>0.28000000000000003</v>
      </c>
      <c r="H506">
        <v>9</v>
      </c>
      <c r="I506">
        <v>5000</v>
      </c>
      <c r="J506">
        <v>1000</v>
      </c>
      <c r="K506" t="s">
        <v>438</v>
      </c>
      <c r="L506" t="s">
        <v>117</v>
      </c>
      <c r="M506" t="s">
        <v>50</v>
      </c>
      <c r="N506" t="b">
        <v>1</v>
      </c>
      <c r="O506" t="s">
        <v>90</v>
      </c>
    </row>
    <row r="507" spans="1:15" ht="15" customHeight="1">
      <c r="A507" t="s">
        <v>1018</v>
      </c>
      <c r="B507" t="s">
        <v>1019</v>
      </c>
      <c r="C507" t="s">
        <v>81</v>
      </c>
      <c r="D507" t="s">
        <v>69</v>
      </c>
      <c r="E507">
        <v>10</v>
      </c>
      <c r="F507">
        <v>8.6</v>
      </c>
      <c r="G507">
        <v>0.86</v>
      </c>
      <c r="H507">
        <v>9</v>
      </c>
      <c r="I507">
        <v>10000</v>
      </c>
      <c r="J507">
        <v>3000</v>
      </c>
      <c r="K507" t="s">
        <v>108</v>
      </c>
      <c r="L507" t="s">
        <v>96</v>
      </c>
      <c r="M507" t="s">
        <v>49</v>
      </c>
      <c r="N507" t="b">
        <v>0</v>
      </c>
      <c r="O507" t="s">
        <v>303</v>
      </c>
    </row>
    <row r="508" spans="1:15" ht="15" customHeight="1">
      <c r="A508" t="s">
        <v>475</v>
      </c>
      <c r="B508" t="s">
        <v>1020</v>
      </c>
      <c r="C508" t="s">
        <v>149</v>
      </c>
      <c r="D508" t="s">
        <v>69</v>
      </c>
      <c r="E508">
        <v>12</v>
      </c>
      <c r="F508">
        <v>9.5</v>
      </c>
      <c r="G508">
        <v>0.79</v>
      </c>
      <c r="H508">
        <v>20</v>
      </c>
      <c r="I508">
        <v>3000</v>
      </c>
      <c r="J508">
        <v>1000</v>
      </c>
      <c r="K508" t="s">
        <v>162</v>
      </c>
      <c r="L508" t="s">
        <v>91</v>
      </c>
      <c r="M508" t="s">
        <v>47</v>
      </c>
      <c r="N508" t="b">
        <v>1</v>
      </c>
      <c r="O508" t="s">
        <v>180</v>
      </c>
    </row>
    <row r="509" spans="1:15" ht="15" customHeight="1">
      <c r="A509" t="s">
        <v>646</v>
      </c>
      <c r="B509" t="s">
        <v>1021</v>
      </c>
      <c r="C509" t="s">
        <v>75</v>
      </c>
      <c r="D509" t="s">
        <v>69</v>
      </c>
      <c r="E509">
        <v>14</v>
      </c>
      <c r="F509">
        <v>5.4</v>
      </c>
      <c r="G509">
        <v>0.39</v>
      </c>
      <c r="H509">
        <v>27</v>
      </c>
      <c r="I509">
        <v>2000</v>
      </c>
      <c r="J509">
        <v>1500</v>
      </c>
      <c r="K509" t="s">
        <v>150</v>
      </c>
      <c r="L509" t="s">
        <v>77</v>
      </c>
      <c r="M509" t="s">
        <v>40</v>
      </c>
      <c r="N509" t="b">
        <v>0</v>
      </c>
      <c r="O509" t="s">
        <v>528</v>
      </c>
    </row>
    <row r="510" spans="1:15" ht="15" customHeight="1">
      <c r="A510" t="s">
        <v>1022</v>
      </c>
      <c r="B510" t="s">
        <v>1023</v>
      </c>
      <c r="C510" t="s">
        <v>81</v>
      </c>
      <c r="D510" t="s">
        <v>69</v>
      </c>
      <c r="E510">
        <v>16</v>
      </c>
      <c r="F510">
        <v>14.1</v>
      </c>
      <c r="G510">
        <v>0.88</v>
      </c>
      <c r="H510">
        <v>25</v>
      </c>
      <c r="I510">
        <v>10000</v>
      </c>
      <c r="J510">
        <v>3000</v>
      </c>
      <c r="K510" t="s">
        <v>138</v>
      </c>
      <c r="L510" t="s">
        <v>104</v>
      </c>
      <c r="M510" t="s">
        <v>41</v>
      </c>
      <c r="N510" t="b">
        <v>0</v>
      </c>
      <c r="O510" t="s">
        <v>139</v>
      </c>
    </row>
    <row r="511" spans="1:15" ht="15" customHeight="1">
      <c r="A511" t="s">
        <v>783</v>
      </c>
      <c r="B511" t="s">
        <v>1024</v>
      </c>
      <c r="C511" t="s">
        <v>81</v>
      </c>
      <c r="D511" t="s">
        <v>69</v>
      </c>
      <c r="E511">
        <v>8</v>
      </c>
      <c r="F511">
        <v>7.2</v>
      </c>
      <c r="G511">
        <v>0.9</v>
      </c>
      <c r="H511">
        <v>23</v>
      </c>
      <c r="I511">
        <v>10000</v>
      </c>
      <c r="J511">
        <v>3000</v>
      </c>
      <c r="K511" t="s">
        <v>626</v>
      </c>
      <c r="L511" t="s">
        <v>71</v>
      </c>
      <c r="M511" t="s">
        <v>41</v>
      </c>
      <c r="N511" t="b">
        <v>0</v>
      </c>
      <c r="O511" t="s">
        <v>627</v>
      </c>
    </row>
    <row r="512" spans="1:15" ht="15" customHeight="1">
      <c r="A512" t="s">
        <v>877</v>
      </c>
      <c r="B512" t="s">
        <v>1025</v>
      </c>
      <c r="C512" t="s">
        <v>149</v>
      </c>
      <c r="D512" t="s">
        <v>69</v>
      </c>
      <c r="E512">
        <v>9</v>
      </c>
      <c r="F512">
        <v>8.9</v>
      </c>
      <c r="G512">
        <v>0.99</v>
      </c>
      <c r="H512">
        <v>27</v>
      </c>
      <c r="I512">
        <v>3000</v>
      </c>
      <c r="J512">
        <v>1000</v>
      </c>
      <c r="K512" t="s">
        <v>845</v>
      </c>
      <c r="L512" t="s">
        <v>91</v>
      </c>
      <c r="M512" t="s">
        <v>40</v>
      </c>
      <c r="N512" t="b">
        <v>1</v>
      </c>
      <c r="O512" t="s">
        <v>357</v>
      </c>
    </row>
    <row r="513" spans="1:15" ht="15" customHeight="1">
      <c r="A513" t="s">
        <v>1026</v>
      </c>
      <c r="B513" t="s">
        <v>1027</v>
      </c>
      <c r="C513" t="s">
        <v>81</v>
      </c>
      <c r="D513" t="s">
        <v>69</v>
      </c>
      <c r="E513">
        <v>13</v>
      </c>
      <c r="F513">
        <v>12.3</v>
      </c>
      <c r="G513">
        <v>0.95</v>
      </c>
      <c r="H513">
        <v>10</v>
      </c>
      <c r="I513">
        <v>10000</v>
      </c>
      <c r="J513">
        <v>3000</v>
      </c>
      <c r="K513" t="s">
        <v>103</v>
      </c>
      <c r="L513" t="s">
        <v>96</v>
      </c>
      <c r="M513" t="s">
        <v>50</v>
      </c>
      <c r="N513" t="b">
        <v>0</v>
      </c>
      <c r="O513" t="s">
        <v>105</v>
      </c>
    </row>
    <row r="514" spans="1:15" ht="15" customHeight="1">
      <c r="A514" t="s">
        <v>594</v>
      </c>
      <c r="B514" t="s">
        <v>1028</v>
      </c>
      <c r="C514" t="s">
        <v>81</v>
      </c>
      <c r="D514" t="s">
        <v>69</v>
      </c>
      <c r="E514">
        <v>16</v>
      </c>
      <c r="F514">
        <v>8.4</v>
      </c>
      <c r="G514">
        <v>0.53</v>
      </c>
      <c r="H514">
        <v>29</v>
      </c>
      <c r="I514">
        <v>10000</v>
      </c>
      <c r="J514">
        <v>3000</v>
      </c>
      <c r="K514" t="s">
        <v>603</v>
      </c>
      <c r="L514" t="s">
        <v>91</v>
      </c>
      <c r="M514" t="s">
        <v>43</v>
      </c>
      <c r="N514" t="b">
        <v>1</v>
      </c>
      <c r="O514" t="s">
        <v>604</v>
      </c>
    </row>
    <row r="515" spans="1:15" ht="15" customHeight="1">
      <c r="A515" t="s">
        <v>353</v>
      </c>
      <c r="B515" t="s">
        <v>1029</v>
      </c>
      <c r="C515" t="s">
        <v>129</v>
      </c>
      <c r="D515" t="s">
        <v>130</v>
      </c>
      <c r="E515">
        <v>10</v>
      </c>
      <c r="F515">
        <v>6.7</v>
      </c>
      <c r="G515">
        <v>0.67</v>
      </c>
      <c r="H515">
        <v>15</v>
      </c>
      <c r="I515">
        <v>5000</v>
      </c>
      <c r="J515">
        <v>1000</v>
      </c>
      <c r="K515" t="s">
        <v>479</v>
      </c>
      <c r="L515" t="s">
        <v>117</v>
      </c>
      <c r="M515" t="s">
        <v>47</v>
      </c>
      <c r="N515" t="b">
        <v>1</v>
      </c>
      <c r="O515" t="s">
        <v>480</v>
      </c>
    </row>
    <row r="516" spans="1:15" ht="15" customHeight="1">
      <c r="A516" t="s">
        <v>572</v>
      </c>
      <c r="B516" t="s">
        <v>1030</v>
      </c>
      <c r="C516" t="s">
        <v>68</v>
      </c>
      <c r="D516" t="s">
        <v>69</v>
      </c>
      <c r="E516">
        <v>15</v>
      </c>
      <c r="F516">
        <v>3.3</v>
      </c>
      <c r="G516">
        <v>0.22</v>
      </c>
      <c r="H516">
        <v>1</v>
      </c>
      <c r="I516">
        <v>30000</v>
      </c>
      <c r="J516">
        <v>5000</v>
      </c>
      <c r="K516" t="s">
        <v>70</v>
      </c>
      <c r="L516" t="s">
        <v>100</v>
      </c>
      <c r="M516" t="s">
        <v>46</v>
      </c>
      <c r="N516" t="b">
        <v>0</v>
      </c>
      <c r="O516" t="s">
        <v>72</v>
      </c>
    </row>
    <row r="517" spans="1:15" ht="15" customHeight="1">
      <c r="A517" t="s">
        <v>1031</v>
      </c>
      <c r="B517" t="s">
        <v>1032</v>
      </c>
      <c r="C517" t="s">
        <v>68</v>
      </c>
      <c r="D517" t="s">
        <v>69</v>
      </c>
      <c r="E517">
        <v>9</v>
      </c>
      <c r="F517">
        <v>1.8</v>
      </c>
      <c r="G517">
        <v>0.2</v>
      </c>
      <c r="H517">
        <v>5</v>
      </c>
      <c r="I517">
        <v>30000</v>
      </c>
      <c r="J517">
        <v>5000</v>
      </c>
      <c r="K517" t="s">
        <v>112</v>
      </c>
      <c r="L517" t="s">
        <v>91</v>
      </c>
      <c r="M517" t="s">
        <v>45</v>
      </c>
      <c r="N517" t="b">
        <v>1</v>
      </c>
      <c r="O517" t="s">
        <v>113</v>
      </c>
    </row>
    <row r="518" spans="1:15" ht="15" customHeight="1">
      <c r="A518" t="s">
        <v>746</v>
      </c>
      <c r="B518" t="s">
        <v>1033</v>
      </c>
      <c r="C518" t="s">
        <v>75</v>
      </c>
      <c r="D518" t="s">
        <v>69</v>
      </c>
      <c r="E518">
        <v>19</v>
      </c>
      <c r="F518">
        <v>6.5</v>
      </c>
      <c r="G518">
        <v>0.34</v>
      </c>
      <c r="H518">
        <v>26</v>
      </c>
      <c r="I518">
        <v>2000</v>
      </c>
      <c r="J518">
        <v>1500</v>
      </c>
      <c r="K518" t="s">
        <v>298</v>
      </c>
      <c r="L518" t="s">
        <v>71</v>
      </c>
      <c r="M518" t="s">
        <v>50</v>
      </c>
      <c r="N518" t="b">
        <v>0</v>
      </c>
      <c r="O518" t="s">
        <v>299</v>
      </c>
    </row>
    <row r="519" spans="1:15" ht="15" customHeight="1">
      <c r="A519" t="s">
        <v>340</v>
      </c>
      <c r="B519" t="s">
        <v>1034</v>
      </c>
      <c r="C519" t="s">
        <v>75</v>
      </c>
      <c r="D519" t="s">
        <v>69</v>
      </c>
      <c r="E519">
        <v>12</v>
      </c>
      <c r="F519">
        <v>5</v>
      </c>
      <c r="G519">
        <v>0.42</v>
      </c>
      <c r="H519">
        <v>18</v>
      </c>
      <c r="I519">
        <v>2000</v>
      </c>
      <c r="J519">
        <v>1500</v>
      </c>
      <c r="K519" t="s">
        <v>225</v>
      </c>
      <c r="L519" t="s">
        <v>117</v>
      </c>
      <c r="M519" t="s">
        <v>45</v>
      </c>
      <c r="N519" t="b">
        <v>1</v>
      </c>
      <c r="O519" t="s">
        <v>226</v>
      </c>
    </row>
    <row r="520" spans="1:15" ht="15" customHeight="1">
      <c r="A520" t="s">
        <v>1035</v>
      </c>
      <c r="B520" t="s">
        <v>1036</v>
      </c>
      <c r="C520" t="s">
        <v>75</v>
      </c>
      <c r="D520" t="s">
        <v>69</v>
      </c>
      <c r="E520">
        <v>20</v>
      </c>
      <c r="F520">
        <v>3.6</v>
      </c>
      <c r="G520">
        <v>0.18</v>
      </c>
      <c r="H520">
        <v>30</v>
      </c>
      <c r="I520">
        <v>2000</v>
      </c>
      <c r="J520">
        <v>1500</v>
      </c>
      <c r="K520" t="s">
        <v>162</v>
      </c>
      <c r="L520" t="s">
        <v>100</v>
      </c>
      <c r="M520" t="s">
        <v>48</v>
      </c>
      <c r="N520" t="b">
        <v>0</v>
      </c>
      <c r="O520" t="s">
        <v>510</v>
      </c>
    </row>
    <row r="521" spans="1:15" ht="15" customHeight="1">
      <c r="A521" t="s">
        <v>511</v>
      </c>
      <c r="B521" t="s">
        <v>1037</v>
      </c>
      <c r="C521" t="s">
        <v>129</v>
      </c>
      <c r="D521" t="s">
        <v>130</v>
      </c>
      <c r="E521">
        <v>8</v>
      </c>
      <c r="F521">
        <v>5.7</v>
      </c>
      <c r="G521">
        <v>0.71</v>
      </c>
      <c r="H521">
        <v>21</v>
      </c>
      <c r="I521">
        <v>5000</v>
      </c>
      <c r="J521">
        <v>1000</v>
      </c>
      <c r="K521" t="s">
        <v>131</v>
      </c>
      <c r="L521" t="s">
        <v>104</v>
      </c>
      <c r="M521" t="s">
        <v>50</v>
      </c>
      <c r="N521" t="b">
        <v>0</v>
      </c>
      <c r="O521" t="s">
        <v>132</v>
      </c>
    </row>
    <row r="522" spans="1:15" ht="15" customHeight="1">
      <c r="A522" t="s">
        <v>616</v>
      </c>
      <c r="B522" t="s">
        <v>1038</v>
      </c>
      <c r="C522" t="s">
        <v>81</v>
      </c>
      <c r="D522" t="s">
        <v>69</v>
      </c>
      <c r="E522">
        <v>12</v>
      </c>
      <c r="F522">
        <v>10.6</v>
      </c>
      <c r="G522">
        <v>0.88</v>
      </c>
      <c r="H522">
        <v>17</v>
      </c>
      <c r="I522">
        <v>10000</v>
      </c>
      <c r="J522">
        <v>3000</v>
      </c>
      <c r="K522" t="s">
        <v>389</v>
      </c>
      <c r="L522" t="s">
        <v>96</v>
      </c>
      <c r="M522" t="s">
        <v>42</v>
      </c>
      <c r="N522" t="b">
        <v>0</v>
      </c>
      <c r="O522" t="s">
        <v>390</v>
      </c>
    </row>
    <row r="523" spans="1:15" ht="15" customHeight="1">
      <c r="A523" t="s">
        <v>1039</v>
      </c>
      <c r="B523" t="s">
        <v>1040</v>
      </c>
      <c r="C523" t="s">
        <v>68</v>
      </c>
      <c r="D523" t="s">
        <v>69</v>
      </c>
      <c r="E523">
        <v>10</v>
      </c>
      <c r="F523">
        <v>2</v>
      </c>
      <c r="G523">
        <v>0.2</v>
      </c>
      <c r="H523">
        <v>1</v>
      </c>
      <c r="I523">
        <v>30000</v>
      </c>
      <c r="J523">
        <v>5000</v>
      </c>
      <c r="K523" t="s">
        <v>70</v>
      </c>
      <c r="L523" t="s">
        <v>104</v>
      </c>
      <c r="M523" t="s">
        <v>49</v>
      </c>
      <c r="N523" t="b">
        <v>0</v>
      </c>
      <c r="O523" t="s">
        <v>72</v>
      </c>
    </row>
    <row r="524" spans="1:15" ht="15" customHeight="1">
      <c r="A524" t="s">
        <v>616</v>
      </c>
      <c r="B524" t="s">
        <v>1041</v>
      </c>
      <c r="C524" t="s">
        <v>129</v>
      </c>
      <c r="D524" t="s">
        <v>130</v>
      </c>
      <c r="E524">
        <v>20</v>
      </c>
      <c r="F524">
        <v>6.5</v>
      </c>
      <c r="G524">
        <v>0.33</v>
      </c>
      <c r="H524">
        <v>9</v>
      </c>
      <c r="I524">
        <v>5000</v>
      </c>
      <c r="J524">
        <v>1000</v>
      </c>
      <c r="K524" t="s">
        <v>438</v>
      </c>
      <c r="L524" t="s">
        <v>96</v>
      </c>
      <c r="M524" t="s">
        <v>42</v>
      </c>
      <c r="N524" t="b">
        <v>0</v>
      </c>
      <c r="O524" t="s">
        <v>90</v>
      </c>
    </row>
    <row r="525" spans="1:15" ht="15" customHeight="1">
      <c r="A525" t="s">
        <v>590</v>
      </c>
      <c r="B525" t="s">
        <v>1042</v>
      </c>
      <c r="C525" t="s">
        <v>81</v>
      </c>
      <c r="D525" t="s">
        <v>69</v>
      </c>
      <c r="E525">
        <v>18</v>
      </c>
      <c r="F525">
        <v>15</v>
      </c>
      <c r="G525">
        <v>0.83</v>
      </c>
      <c r="H525">
        <v>18</v>
      </c>
      <c r="I525">
        <v>10000</v>
      </c>
      <c r="J525">
        <v>3000</v>
      </c>
      <c r="K525" t="s">
        <v>142</v>
      </c>
      <c r="L525" t="s">
        <v>77</v>
      </c>
      <c r="M525" t="s">
        <v>49</v>
      </c>
      <c r="N525" t="b">
        <v>0</v>
      </c>
      <c r="O525" t="s">
        <v>143</v>
      </c>
    </row>
    <row r="526" spans="1:15" ht="15" customHeight="1">
      <c r="A526" t="s">
        <v>271</v>
      </c>
      <c r="B526" t="s">
        <v>1043</v>
      </c>
      <c r="C526" t="s">
        <v>129</v>
      </c>
      <c r="D526" t="s">
        <v>130</v>
      </c>
      <c r="E526">
        <v>9</v>
      </c>
      <c r="F526">
        <v>5.4</v>
      </c>
      <c r="G526">
        <v>0.6</v>
      </c>
      <c r="H526">
        <v>16</v>
      </c>
      <c r="I526">
        <v>5000</v>
      </c>
      <c r="J526">
        <v>1000</v>
      </c>
      <c r="K526" t="s">
        <v>357</v>
      </c>
      <c r="L526" t="s">
        <v>91</v>
      </c>
      <c r="M526" t="s">
        <v>41</v>
      </c>
      <c r="N526" t="b">
        <v>1</v>
      </c>
      <c r="O526" t="s">
        <v>456</v>
      </c>
    </row>
    <row r="527" spans="1:15" ht="15" customHeight="1">
      <c r="A527" t="s">
        <v>1044</v>
      </c>
      <c r="B527" t="s">
        <v>1045</v>
      </c>
      <c r="C527" t="s">
        <v>81</v>
      </c>
      <c r="D527" t="s">
        <v>69</v>
      </c>
      <c r="E527">
        <v>8</v>
      </c>
      <c r="F527">
        <v>7.1</v>
      </c>
      <c r="G527">
        <v>0.89</v>
      </c>
      <c r="H527">
        <v>24</v>
      </c>
      <c r="I527">
        <v>10000</v>
      </c>
      <c r="J527">
        <v>3000</v>
      </c>
      <c r="K527" t="s">
        <v>306</v>
      </c>
      <c r="L527" t="s">
        <v>71</v>
      </c>
      <c r="M527" t="s">
        <v>48</v>
      </c>
      <c r="N527" t="b">
        <v>0</v>
      </c>
      <c r="O527" t="s">
        <v>307</v>
      </c>
    </row>
    <row r="528" spans="1:15" ht="15" customHeight="1">
      <c r="A528" t="s">
        <v>473</v>
      </c>
      <c r="B528" t="s">
        <v>1046</v>
      </c>
      <c r="C528" t="s">
        <v>129</v>
      </c>
      <c r="D528" t="s">
        <v>130</v>
      </c>
      <c r="E528">
        <v>20</v>
      </c>
      <c r="F528">
        <v>15.3</v>
      </c>
      <c r="G528">
        <v>0.77</v>
      </c>
      <c r="H528">
        <v>27</v>
      </c>
      <c r="I528">
        <v>5000</v>
      </c>
      <c r="J528">
        <v>1000</v>
      </c>
      <c r="K528" t="s">
        <v>172</v>
      </c>
      <c r="L528" t="s">
        <v>77</v>
      </c>
      <c r="M528" t="s">
        <v>42</v>
      </c>
      <c r="N528" t="b">
        <v>0</v>
      </c>
      <c r="O528" t="s">
        <v>173</v>
      </c>
    </row>
    <row r="529" spans="1:15" ht="15" customHeight="1">
      <c r="A529" t="s">
        <v>371</v>
      </c>
      <c r="B529" t="s">
        <v>1047</v>
      </c>
      <c r="C529" t="s">
        <v>75</v>
      </c>
      <c r="D529" t="s">
        <v>69</v>
      </c>
      <c r="E529">
        <v>19</v>
      </c>
      <c r="F529">
        <v>18.600000000000001</v>
      </c>
      <c r="G529">
        <v>0.98</v>
      </c>
      <c r="H529">
        <v>16</v>
      </c>
      <c r="I529">
        <v>2000</v>
      </c>
      <c r="J529">
        <v>1500</v>
      </c>
      <c r="K529" t="s">
        <v>938</v>
      </c>
      <c r="L529" t="s">
        <v>100</v>
      </c>
      <c r="M529" t="s">
        <v>47</v>
      </c>
      <c r="N529" t="b">
        <v>0</v>
      </c>
      <c r="O529" t="s">
        <v>939</v>
      </c>
    </row>
    <row r="530" spans="1:15" ht="15" customHeight="1">
      <c r="A530" t="s">
        <v>1048</v>
      </c>
      <c r="B530" t="s">
        <v>1049</v>
      </c>
      <c r="C530" t="s">
        <v>81</v>
      </c>
      <c r="D530" t="s">
        <v>69</v>
      </c>
      <c r="E530">
        <v>16</v>
      </c>
      <c r="F530">
        <v>7.2</v>
      </c>
      <c r="G530">
        <v>0.45</v>
      </c>
      <c r="H530">
        <v>25</v>
      </c>
      <c r="I530">
        <v>10000</v>
      </c>
      <c r="J530">
        <v>3000</v>
      </c>
      <c r="K530" t="s">
        <v>138</v>
      </c>
      <c r="L530" t="s">
        <v>91</v>
      </c>
      <c r="M530" t="s">
        <v>47</v>
      </c>
      <c r="N530" t="b">
        <v>1</v>
      </c>
      <c r="O530" t="s">
        <v>139</v>
      </c>
    </row>
    <row r="531" spans="1:15" ht="15" customHeight="1">
      <c r="A531" t="s">
        <v>618</v>
      </c>
      <c r="B531" t="s">
        <v>1050</v>
      </c>
      <c r="C531" t="s">
        <v>81</v>
      </c>
      <c r="D531" t="s">
        <v>69</v>
      </c>
      <c r="E531">
        <v>11</v>
      </c>
      <c r="F531">
        <v>9.1</v>
      </c>
      <c r="G531">
        <v>0.83</v>
      </c>
      <c r="H531">
        <v>23</v>
      </c>
      <c r="I531">
        <v>10000</v>
      </c>
      <c r="J531">
        <v>3000</v>
      </c>
      <c r="K531" t="s">
        <v>626</v>
      </c>
      <c r="L531" t="s">
        <v>117</v>
      </c>
      <c r="M531" t="s">
        <v>46</v>
      </c>
      <c r="N531" t="b">
        <v>1</v>
      </c>
      <c r="O531" t="s">
        <v>627</v>
      </c>
    </row>
    <row r="532" spans="1:15" ht="15" customHeight="1">
      <c r="A532" t="s">
        <v>1051</v>
      </c>
      <c r="B532" t="s">
        <v>1052</v>
      </c>
      <c r="C532" t="s">
        <v>68</v>
      </c>
      <c r="D532" t="s">
        <v>69</v>
      </c>
      <c r="E532">
        <v>8</v>
      </c>
      <c r="F532">
        <v>1.6</v>
      </c>
      <c r="G532">
        <v>0.2</v>
      </c>
      <c r="H532">
        <v>3</v>
      </c>
      <c r="I532">
        <v>30000</v>
      </c>
      <c r="J532">
        <v>5000</v>
      </c>
      <c r="K532" t="s">
        <v>108</v>
      </c>
      <c r="L532" t="s">
        <v>117</v>
      </c>
      <c r="M532" t="s">
        <v>41</v>
      </c>
      <c r="N532" t="b">
        <v>1</v>
      </c>
      <c r="O532" t="s">
        <v>109</v>
      </c>
    </row>
    <row r="533" spans="1:15" ht="15" customHeight="1">
      <c r="A533" t="s">
        <v>756</v>
      </c>
      <c r="B533" t="s">
        <v>1053</v>
      </c>
      <c r="C533" t="s">
        <v>81</v>
      </c>
      <c r="D533" t="s">
        <v>69</v>
      </c>
      <c r="E533">
        <v>17</v>
      </c>
      <c r="F533">
        <v>3.7</v>
      </c>
      <c r="G533">
        <v>0.22</v>
      </c>
      <c r="H533">
        <v>16</v>
      </c>
      <c r="I533">
        <v>10000</v>
      </c>
      <c r="J533">
        <v>3000</v>
      </c>
      <c r="K533" t="s">
        <v>283</v>
      </c>
      <c r="L533" t="s">
        <v>117</v>
      </c>
      <c r="M533" t="s">
        <v>41</v>
      </c>
      <c r="N533" t="b">
        <v>1</v>
      </c>
      <c r="O533" t="s">
        <v>284</v>
      </c>
    </row>
    <row r="534" spans="1:15" ht="15" customHeight="1">
      <c r="A534" t="s">
        <v>1054</v>
      </c>
      <c r="B534" t="s">
        <v>1055</v>
      </c>
      <c r="C534" t="s">
        <v>68</v>
      </c>
      <c r="D534" t="s">
        <v>69</v>
      </c>
      <c r="E534">
        <v>9</v>
      </c>
      <c r="F534">
        <v>1.3</v>
      </c>
      <c r="G534">
        <v>0.14000000000000001</v>
      </c>
      <c r="H534">
        <v>1</v>
      </c>
      <c r="I534">
        <v>30000</v>
      </c>
      <c r="J534">
        <v>5000</v>
      </c>
      <c r="K534" t="s">
        <v>70</v>
      </c>
      <c r="L534" t="s">
        <v>77</v>
      </c>
      <c r="M534" t="s">
        <v>45</v>
      </c>
      <c r="N534" t="b">
        <v>0</v>
      </c>
      <c r="O534" t="s">
        <v>72</v>
      </c>
    </row>
    <row r="535" spans="1:15" ht="15" customHeight="1">
      <c r="A535" t="s">
        <v>964</v>
      </c>
      <c r="B535" t="s">
        <v>1056</v>
      </c>
      <c r="C535" t="s">
        <v>149</v>
      </c>
      <c r="D535" t="s">
        <v>69</v>
      </c>
      <c r="E535">
        <v>11</v>
      </c>
      <c r="F535">
        <v>9.8000000000000007</v>
      </c>
      <c r="G535">
        <v>0.89</v>
      </c>
      <c r="H535">
        <v>20</v>
      </c>
      <c r="I535">
        <v>3000</v>
      </c>
      <c r="J535">
        <v>1000</v>
      </c>
      <c r="K535" t="s">
        <v>162</v>
      </c>
      <c r="L535" t="s">
        <v>96</v>
      </c>
      <c r="M535" t="s">
        <v>48</v>
      </c>
      <c r="N535" t="b">
        <v>0</v>
      </c>
      <c r="O535" t="s">
        <v>180</v>
      </c>
    </row>
    <row r="536" spans="1:15" ht="15" customHeight="1">
      <c r="A536" t="s">
        <v>936</v>
      </c>
      <c r="B536" t="s">
        <v>1057</v>
      </c>
      <c r="C536" t="s">
        <v>68</v>
      </c>
      <c r="D536" t="s">
        <v>69</v>
      </c>
      <c r="E536">
        <v>11</v>
      </c>
      <c r="F536">
        <v>2.5</v>
      </c>
      <c r="G536">
        <v>0.23</v>
      </c>
      <c r="H536">
        <v>2</v>
      </c>
      <c r="I536">
        <v>30000</v>
      </c>
      <c r="J536">
        <v>5000</v>
      </c>
      <c r="K536" t="s">
        <v>162</v>
      </c>
      <c r="L536" t="s">
        <v>100</v>
      </c>
      <c r="M536" t="s">
        <v>47</v>
      </c>
      <c r="N536" t="b">
        <v>0</v>
      </c>
      <c r="O536" t="s">
        <v>163</v>
      </c>
    </row>
    <row r="537" spans="1:15" ht="15" customHeight="1">
      <c r="A537" t="s">
        <v>674</v>
      </c>
      <c r="B537" t="s">
        <v>1058</v>
      </c>
      <c r="C537" t="s">
        <v>81</v>
      </c>
      <c r="D537" t="s">
        <v>69</v>
      </c>
      <c r="E537">
        <v>17</v>
      </c>
      <c r="F537">
        <v>4.3</v>
      </c>
      <c r="G537">
        <v>0.25</v>
      </c>
      <c r="H537">
        <v>12</v>
      </c>
      <c r="I537">
        <v>10000</v>
      </c>
      <c r="J537">
        <v>3000</v>
      </c>
      <c r="K537" t="s">
        <v>95</v>
      </c>
      <c r="L537" t="s">
        <v>100</v>
      </c>
      <c r="M537" t="s">
        <v>40</v>
      </c>
      <c r="N537" t="b">
        <v>0</v>
      </c>
      <c r="O537" t="s">
        <v>257</v>
      </c>
    </row>
    <row r="538" spans="1:15" ht="15" customHeight="1">
      <c r="A538" t="s">
        <v>475</v>
      </c>
      <c r="B538" t="s">
        <v>1059</v>
      </c>
      <c r="C538" t="s">
        <v>149</v>
      </c>
      <c r="D538" t="s">
        <v>69</v>
      </c>
      <c r="E538">
        <v>10</v>
      </c>
      <c r="F538">
        <v>8.1999999999999993</v>
      </c>
      <c r="G538">
        <v>0.82</v>
      </c>
      <c r="H538">
        <v>39</v>
      </c>
      <c r="I538">
        <v>3000</v>
      </c>
      <c r="J538">
        <v>1000</v>
      </c>
      <c r="K538" t="s">
        <v>257</v>
      </c>
      <c r="L538" t="s">
        <v>91</v>
      </c>
      <c r="M538" t="s">
        <v>47</v>
      </c>
      <c r="N538" t="b">
        <v>1</v>
      </c>
      <c r="O538" t="s">
        <v>258</v>
      </c>
    </row>
    <row r="539" spans="1:15" ht="15" customHeight="1">
      <c r="A539" t="s">
        <v>568</v>
      </c>
      <c r="B539" t="s">
        <v>1060</v>
      </c>
      <c r="C539" t="s">
        <v>81</v>
      </c>
      <c r="D539" t="s">
        <v>69</v>
      </c>
      <c r="E539">
        <v>20</v>
      </c>
      <c r="F539">
        <v>12.6</v>
      </c>
      <c r="G539">
        <v>0.63</v>
      </c>
      <c r="H539">
        <v>10</v>
      </c>
      <c r="I539">
        <v>10000</v>
      </c>
      <c r="J539">
        <v>3000</v>
      </c>
      <c r="K539" t="s">
        <v>103</v>
      </c>
      <c r="L539" t="s">
        <v>77</v>
      </c>
      <c r="M539" t="s">
        <v>41</v>
      </c>
      <c r="N539" t="b">
        <v>0</v>
      </c>
      <c r="O539" t="s">
        <v>105</v>
      </c>
    </row>
    <row r="540" spans="1:15" ht="15" customHeight="1">
      <c r="A540" t="s">
        <v>447</v>
      </c>
      <c r="B540" t="s">
        <v>1061</v>
      </c>
      <c r="C540" t="s">
        <v>68</v>
      </c>
      <c r="D540" t="s">
        <v>69</v>
      </c>
      <c r="E540">
        <v>13</v>
      </c>
      <c r="F540">
        <v>3</v>
      </c>
      <c r="G540">
        <v>0.23</v>
      </c>
      <c r="H540">
        <v>4</v>
      </c>
      <c r="I540">
        <v>30000</v>
      </c>
      <c r="J540">
        <v>5000</v>
      </c>
      <c r="K540" t="s">
        <v>95</v>
      </c>
      <c r="L540" t="s">
        <v>71</v>
      </c>
      <c r="M540" t="s">
        <v>44</v>
      </c>
      <c r="N540" t="b">
        <v>0</v>
      </c>
      <c r="O540" t="s">
        <v>97</v>
      </c>
    </row>
    <row r="541" spans="1:15" ht="15" customHeight="1">
      <c r="A541" t="s">
        <v>430</v>
      </c>
      <c r="B541" t="s">
        <v>1062</v>
      </c>
      <c r="C541" t="s">
        <v>149</v>
      </c>
      <c r="D541" t="s">
        <v>69</v>
      </c>
      <c r="E541">
        <v>10</v>
      </c>
      <c r="F541">
        <v>8.6999999999999993</v>
      </c>
      <c r="G541">
        <v>0.87</v>
      </c>
      <c r="H541">
        <v>39</v>
      </c>
      <c r="I541">
        <v>3000</v>
      </c>
      <c r="J541">
        <v>1000</v>
      </c>
      <c r="K541" t="s">
        <v>257</v>
      </c>
      <c r="L541" t="s">
        <v>104</v>
      </c>
      <c r="M541" t="s">
        <v>42</v>
      </c>
      <c r="N541" t="b">
        <v>0</v>
      </c>
      <c r="O541" t="s">
        <v>258</v>
      </c>
    </row>
    <row r="542" spans="1:15" ht="15" customHeight="1">
      <c r="A542" t="s">
        <v>332</v>
      </c>
      <c r="B542" t="s">
        <v>1063</v>
      </c>
      <c r="C542" t="s">
        <v>68</v>
      </c>
      <c r="D542" t="s">
        <v>69</v>
      </c>
      <c r="E542">
        <v>10</v>
      </c>
      <c r="F542">
        <v>1.5</v>
      </c>
      <c r="G542">
        <v>0.15</v>
      </c>
      <c r="H542">
        <v>3</v>
      </c>
      <c r="I542">
        <v>30000</v>
      </c>
      <c r="J542">
        <v>5000</v>
      </c>
      <c r="K542" t="s">
        <v>108</v>
      </c>
      <c r="L542" t="s">
        <v>96</v>
      </c>
      <c r="M542" t="s">
        <v>42</v>
      </c>
      <c r="N542" t="b">
        <v>0</v>
      </c>
      <c r="O542" t="s">
        <v>109</v>
      </c>
    </row>
    <row r="543" spans="1:15" ht="15" customHeight="1">
      <c r="A543" t="s">
        <v>334</v>
      </c>
      <c r="B543" t="s">
        <v>1064</v>
      </c>
      <c r="C543" t="s">
        <v>68</v>
      </c>
      <c r="D543" t="s">
        <v>69</v>
      </c>
      <c r="E543">
        <v>11</v>
      </c>
      <c r="F543">
        <v>3</v>
      </c>
      <c r="G543">
        <v>0.27</v>
      </c>
      <c r="H543">
        <v>1</v>
      </c>
      <c r="I543">
        <v>30000</v>
      </c>
      <c r="J543">
        <v>5000</v>
      </c>
      <c r="K543" t="s">
        <v>70</v>
      </c>
      <c r="L543" t="s">
        <v>77</v>
      </c>
      <c r="M543" t="s">
        <v>43</v>
      </c>
      <c r="N543" t="b">
        <v>0</v>
      </c>
      <c r="O543" t="s">
        <v>72</v>
      </c>
    </row>
    <row r="544" spans="1:15" ht="15" customHeight="1">
      <c r="A544" t="s">
        <v>663</v>
      </c>
      <c r="B544" t="s">
        <v>1065</v>
      </c>
      <c r="C544" t="s">
        <v>149</v>
      </c>
      <c r="D544" t="s">
        <v>69</v>
      </c>
      <c r="E544">
        <v>8</v>
      </c>
      <c r="F544">
        <v>7.7</v>
      </c>
      <c r="G544">
        <v>0.96</v>
      </c>
      <c r="H544">
        <v>27</v>
      </c>
      <c r="I544">
        <v>3000</v>
      </c>
      <c r="J544">
        <v>1000</v>
      </c>
      <c r="K544" t="s">
        <v>845</v>
      </c>
      <c r="L544" t="s">
        <v>104</v>
      </c>
      <c r="M544" t="s">
        <v>43</v>
      </c>
      <c r="N544" t="b">
        <v>0</v>
      </c>
      <c r="O544" t="s">
        <v>357</v>
      </c>
    </row>
    <row r="545" spans="1:15" ht="15" customHeight="1">
      <c r="A545" t="s">
        <v>98</v>
      </c>
      <c r="B545" t="s">
        <v>1066</v>
      </c>
      <c r="C545" t="s">
        <v>75</v>
      </c>
      <c r="D545" t="s">
        <v>69</v>
      </c>
      <c r="E545">
        <v>19</v>
      </c>
      <c r="F545">
        <v>18.5</v>
      </c>
      <c r="G545">
        <v>0.97</v>
      </c>
      <c r="H545">
        <v>15</v>
      </c>
      <c r="I545">
        <v>2000</v>
      </c>
      <c r="J545">
        <v>1500</v>
      </c>
      <c r="K545" t="s">
        <v>70</v>
      </c>
      <c r="L545" t="s">
        <v>100</v>
      </c>
      <c r="M545" t="s">
        <v>47</v>
      </c>
      <c r="N545" t="b">
        <v>0</v>
      </c>
      <c r="O545" t="s">
        <v>598</v>
      </c>
    </row>
    <row r="546" spans="1:15" ht="15" customHeight="1">
      <c r="A546" t="s">
        <v>554</v>
      </c>
      <c r="B546" t="s">
        <v>1067</v>
      </c>
      <c r="C546" t="s">
        <v>75</v>
      </c>
      <c r="D546" t="s">
        <v>69</v>
      </c>
      <c r="E546">
        <v>10</v>
      </c>
      <c r="F546">
        <v>9.1999999999999993</v>
      </c>
      <c r="G546">
        <v>0.92</v>
      </c>
      <c r="H546">
        <v>17</v>
      </c>
      <c r="I546">
        <v>2000</v>
      </c>
      <c r="J546">
        <v>1500</v>
      </c>
      <c r="K546" t="s">
        <v>862</v>
      </c>
      <c r="L546" t="s">
        <v>71</v>
      </c>
      <c r="M546" t="s">
        <v>40</v>
      </c>
      <c r="N546" t="b">
        <v>0</v>
      </c>
      <c r="O546" t="s">
        <v>863</v>
      </c>
    </row>
    <row r="547" spans="1:15" ht="15" customHeight="1">
      <c r="A547" t="s">
        <v>756</v>
      </c>
      <c r="B547" t="s">
        <v>1068</v>
      </c>
      <c r="C547" t="s">
        <v>129</v>
      </c>
      <c r="D547" t="s">
        <v>130</v>
      </c>
      <c r="E547">
        <v>18</v>
      </c>
      <c r="F547">
        <v>7.1</v>
      </c>
      <c r="G547">
        <v>0.39</v>
      </c>
      <c r="H547">
        <v>22</v>
      </c>
      <c r="I547">
        <v>5000</v>
      </c>
      <c r="J547">
        <v>1000</v>
      </c>
      <c r="K547" t="s">
        <v>134</v>
      </c>
      <c r="L547" t="s">
        <v>117</v>
      </c>
      <c r="M547" t="s">
        <v>41</v>
      </c>
      <c r="N547" t="b">
        <v>1</v>
      </c>
      <c r="O547" t="s">
        <v>135</v>
      </c>
    </row>
    <row r="548" spans="1:15" ht="15" customHeight="1">
      <c r="A548" t="s">
        <v>355</v>
      </c>
      <c r="B548" t="s">
        <v>1069</v>
      </c>
      <c r="C548" t="s">
        <v>81</v>
      </c>
      <c r="D548" t="s">
        <v>69</v>
      </c>
      <c r="E548">
        <v>11</v>
      </c>
      <c r="F548">
        <v>3.4</v>
      </c>
      <c r="G548">
        <v>0.31</v>
      </c>
      <c r="H548">
        <v>17</v>
      </c>
      <c r="I548">
        <v>10000</v>
      </c>
      <c r="J548">
        <v>3000</v>
      </c>
      <c r="K548" t="s">
        <v>389</v>
      </c>
      <c r="L548" t="s">
        <v>104</v>
      </c>
      <c r="M548" t="s">
        <v>51</v>
      </c>
      <c r="N548" t="b">
        <v>0</v>
      </c>
      <c r="O548" t="s">
        <v>390</v>
      </c>
    </row>
    <row r="549" spans="1:15" ht="15" customHeight="1">
      <c r="A549" t="s">
        <v>487</v>
      </c>
      <c r="B549" t="s">
        <v>1070</v>
      </c>
      <c r="C549" t="s">
        <v>81</v>
      </c>
      <c r="D549" t="s">
        <v>69</v>
      </c>
      <c r="E549">
        <v>14</v>
      </c>
      <c r="F549">
        <v>13.3</v>
      </c>
      <c r="G549">
        <v>0.95</v>
      </c>
      <c r="H549">
        <v>12</v>
      </c>
      <c r="I549">
        <v>10000</v>
      </c>
      <c r="J549">
        <v>3000</v>
      </c>
      <c r="K549" t="s">
        <v>95</v>
      </c>
      <c r="L549" t="s">
        <v>96</v>
      </c>
      <c r="M549" t="s">
        <v>43</v>
      </c>
      <c r="N549" t="b">
        <v>0</v>
      </c>
      <c r="O549" t="s">
        <v>257</v>
      </c>
    </row>
    <row r="550" spans="1:15" ht="15" customHeight="1">
      <c r="A550" t="s">
        <v>319</v>
      </c>
      <c r="B550" t="s">
        <v>1071</v>
      </c>
      <c r="C550" t="s">
        <v>75</v>
      </c>
      <c r="D550" t="s">
        <v>69</v>
      </c>
      <c r="E550">
        <v>15</v>
      </c>
      <c r="F550">
        <v>3</v>
      </c>
      <c r="G550">
        <v>0.2</v>
      </c>
      <c r="H550">
        <v>28</v>
      </c>
      <c r="I550">
        <v>2000</v>
      </c>
      <c r="J550">
        <v>1500</v>
      </c>
      <c r="K550" t="s">
        <v>262</v>
      </c>
      <c r="L550" t="s">
        <v>96</v>
      </c>
      <c r="M550" t="s">
        <v>51</v>
      </c>
      <c r="N550" t="b">
        <v>0</v>
      </c>
      <c r="O550" t="s">
        <v>289</v>
      </c>
    </row>
    <row r="551" spans="1:15" ht="15" customHeight="1">
      <c r="A551" t="s">
        <v>439</v>
      </c>
      <c r="B551" t="s">
        <v>1072</v>
      </c>
      <c r="C551" t="s">
        <v>81</v>
      </c>
      <c r="D551" t="s">
        <v>69</v>
      </c>
      <c r="E551">
        <v>20</v>
      </c>
      <c r="F551">
        <v>12.1</v>
      </c>
      <c r="G551">
        <v>0.6</v>
      </c>
      <c r="H551">
        <v>8</v>
      </c>
      <c r="I551">
        <v>10000</v>
      </c>
      <c r="J551">
        <v>3000</v>
      </c>
      <c r="K551" t="s">
        <v>357</v>
      </c>
      <c r="L551" t="s">
        <v>71</v>
      </c>
      <c r="M551" t="s">
        <v>48</v>
      </c>
      <c r="N551" t="b">
        <v>0</v>
      </c>
      <c r="O551" t="s">
        <v>295</v>
      </c>
    </row>
    <row r="552" spans="1:15" ht="15" customHeight="1">
      <c r="A552" t="s">
        <v>355</v>
      </c>
      <c r="B552" t="s">
        <v>1073</v>
      </c>
      <c r="C552" t="s">
        <v>149</v>
      </c>
      <c r="D552" t="s">
        <v>69</v>
      </c>
      <c r="E552">
        <v>8</v>
      </c>
      <c r="F552">
        <v>7.5</v>
      </c>
      <c r="G552">
        <v>0.94</v>
      </c>
      <c r="H552">
        <v>16</v>
      </c>
      <c r="I552">
        <v>3000</v>
      </c>
      <c r="J552">
        <v>1000</v>
      </c>
      <c r="K552" t="s">
        <v>361</v>
      </c>
      <c r="L552" t="s">
        <v>104</v>
      </c>
      <c r="M552" t="s">
        <v>51</v>
      </c>
      <c r="N552" t="b">
        <v>0</v>
      </c>
      <c r="O552" t="s">
        <v>870</v>
      </c>
    </row>
    <row r="553" spans="1:15" ht="15" customHeight="1">
      <c r="A553" t="s">
        <v>1074</v>
      </c>
      <c r="B553" t="s">
        <v>1075</v>
      </c>
      <c r="C553" t="s">
        <v>75</v>
      </c>
      <c r="D553" t="s">
        <v>69</v>
      </c>
      <c r="E553">
        <v>14</v>
      </c>
      <c r="F553">
        <v>6.3</v>
      </c>
      <c r="G553">
        <v>0.45</v>
      </c>
      <c r="H553">
        <v>7</v>
      </c>
      <c r="I553">
        <v>2000</v>
      </c>
      <c r="J553">
        <v>1500</v>
      </c>
      <c r="K553" t="s">
        <v>241</v>
      </c>
      <c r="L553" t="s">
        <v>71</v>
      </c>
      <c r="M553" t="s">
        <v>42</v>
      </c>
      <c r="N553" t="b">
        <v>0</v>
      </c>
      <c r="O553" t="s">
        <v>242</v>
      </c>
    </row>
    <row r="554" spans="1:15" ht="15" customHeight="1">
      <c r="A554" t="s">
        <v>1076</v>
      </c>
      <c r="B554" t="s">
        <v>1077</v>
      </c>
      <c r="C554" t="s">
        <v>129</v>
      </c>
      <c r="D554" t="s">
        <v>130</v>
      </c>
      <c r="E554">
        <v>18</v>
      </c>
      <c r="F554">
        <v>8.1999999999999993</v>
      </c>
      <c r="G554">
        <v>0.46</v>
      </c>
      <c r="H554">
        <v>8</v>
      </c>
      <c r="I554">
        <v>5000</v>
      </c>
      <c r="J554">
        <v>1000</v>
      </c>
      <c r="K554" t="s">
        <v>76</v>
      </c>
      <c r="L554" t="s">
        <v>91</v>
      </c>
      <c r="M554" t="s">
        <v>51</v>
      </c>
      <c r="N554" t="b">
        <v>1</v>
      </c>
      <c r="O554" t="s">
        <v>317</v>
      </c>
    </row>
    <row r="555" spans="1:15" ht="15" customHeight="1">
      <c r="A555" t="s">
        <v>988</v>
      </c>
      <c r="B555" t="s">
        <v>1078</v>
      </c>
      <c r="C555" t="s">
        <v>75</v>
      </c>
      <c r="D555" t="s">
        <v>69</v>
      </c>
      <c r="E555">
        <v>20</v>
      </c>
      <c r="F555">
        <v>18.899999999999999</v>
      </c>
      <c r="G555">
        <v>0.94</v>
      </c>
      <c r="H555">
        <v>18</v>
      </c>
      <c r="I555">
        <v>2000</v>
      </c>
      <c r="J555">
        <v>1500</v>
      </c>
      <c r="K555" t="s">
        <v>225</v>
      </c>
      <c r="L555" t="s">
        <v>104</v>
      </c>
      <c r="M555" t="s">
        <v>50</v>
      </c>
      <c r="N555" t="b">
        <v>0</v>
      </c>
      <c r="O555" t="s">
        <v>226</v>
      </c>
    </row>
    <row r="556" spans="1:15" ht="15" customHeight="1">
      <c r="A556" t="s">
        <v>607</v>
      </c>
      <c r="B556" t="s">
        <v>1079</v>
      </c>
      <c r="C556" t="s">
        <v>75</v>
      </c>
      <c r="D556" t="s">
        <v>69</v>
      </c>
      <c r="E556">
        <v>10</v>
      </c>
      <c r="F556">
        <v>7.1</v>
      </c>
      <c r="G556">
        <v>0.71</v>
      </c>
      <c r="H556">
        <v>12</v>
      </c>
      <c r="I556">
        <v>2000</v>
      </c>
      <c r="J556">
        <v>1500</v>
      </c>
      <c r="K556" t="s">
        <v>265</v>
      </c>
      <c r="L556" t="s">
        <v>100</v>
      </c>
      <c r="M556" t="s">
        <v>42</v>
      </c>
      <c r="N556" t="b">
        <v>0</v>
      </c>
      <c r="O556" t="s">
        <v>266</v>
      </c>
    </row>
    <row r="557" spans="1:15" ht="15" customHeight="1">
      <c r="A557" t="s">
        <v>1080</v>
      </c>
      <c r="B557" t="s">
        <v>1081</v>
      </c>
      <c r="C557" t="s">
        <v>129</v>
      </c>
      <c r="D557" t="s">
        <v>130</v>
      </c>
      <c r="E557">
        <v>13</v>
      </c>
      <c r="F557">
        <v>8.4</v>
      </c>
      <c r="G557">
        <v>0.65</v>
      </c>
      <c r="H557">
        <v>20</v>
      </c>
      <c r="I557">
        <v>5000</v>
      </c>
      <c r="J557">
        <v>1000</v>
      </c>
      <c r="K557" t="s">
        <v>103</v>
      </c>
      <c r="L557" t="s">
        <v>117</v>
      </c>
      <c r="M557" t="s">
        <v>49</v>
      </c>
      <c r="N557" t="b">
        <v>1</v>
      </c>
      <c r="O557" t="s">
        <v>169</v>
      </c>
    </row>
    <row r="558" spans="1:15" ht="15" customHeight="1">
      <c r="A558" t="s">
        <v>473</v>
      </c>
      <c r="B558" t="s">
        <v>1082</v>
      </c>
      <c r="C558" t="s">
        <v>149</v>
      </c>
      <c r="D558" t="s">
        <v>69</v>
      </c>
      <c r="E558">
        <v>9</v>
      </c>
      <c r="F558">
        <v>8.9</v>
      </c>
      <c r="G558">
        <v>0.99</v>
      </c>
      <c r="H558">
        <v>33</v>
      </c>
      <c r="I558">
        <v>3000</v>
      </c>
      <c r="J558">
        <v>1000</v>
      </c>
      <c r="K558" t="s">
        <v>169</v>
      </c>
      <c r="L558" t="s">
        <v>77</v>
      </c>
      <c r="M558" t="s">
        <v>42</v>
      </c>
      <c r="N558" t="b">
        <v>0</v>
      </c>
      <c r="O558" t="s">
        <v>702</v>
      </c>
    </row>
    <row r="559" spans="1:15" ht="15" customHeight="1">
      <c r="A559" t="s">
        <v>804</v>
      </c>
      <c r="B559" t="s">
        <v>1083</v>
      </c>
      <c r="C559" t="s">
        <v>129</v>
      </c>
      <c r="D559" t="s">
        <v>130</v>
      </c>
      <c r="E559">
        <v>11</v>
      </c>
      <c r="F559">
        <v>3.7</v>
      </c>
      <c r="G559">
        <v>0.34</v>
      </c>
      <c r="H559">
        <v>21</v>
      </c>
      <c r="I559">
        <v>5000</v>
      </c>
      <c r="J559">
        <v>1000</v>
      </c>
      <c r="K559" t="s">
        <v>131</v>
      </c>
      <c r="L559" t="s">
        <v>104</v>
      </c>
      <c r="M559" t="s">
        <v>40</v>
      </c>
      <c r="N559" t="b">
        <v>0</v>
      </c>
      <c r="O559" t="s">
        <v>132</v>
      </c>
    </row>
    <row r="560" spans="1:15" ht="15" customHeight="1">
      <c r="A560" t="s">
        <v>1084</v>
      </c>
      <c r="B560" t="s">
        <v>1085</v>
      </c>
      <c r="C560" t="s">
        <v>149</v>
      </c>
      <c r="D560" t="s">
        <v>69</v>
      </c>
      <c r="E560">
        <v>12</v>
      </c>
      <c r="F560">
        <v>8.9</v>
      </c>
      <c r="G560">
        <v>0.74</v>
      </c>
      <c r="H560">
        <v>28</v>
      </c>
      <c r="I560">
        <v>3000</v>
      </c>
      <c r="J560">
        <v>1000</v>
      </c>
      <c r="K560" t="s">
        <v>176</v>
      </c>
      <c r="L560" t="s">
        <v>77</v>
      </c>
      <c r="M560" t="s">
        <v>44</v>
      </c>
      <c r="N560" t="b">
        <v>0</v>
      </c>
      <c r="O560" t="s">
        <v>177</v>
      </c>
    </row>
    <row r="561" spans="1:15" ht="15" customHeight="1">
      <c r="A561" t="s">
        <v>1086</v>
      </c>
      <c r="B561" t="s">
        <v>1087</v>
      </c>
      <c r="C561" t="s">
        <v>149</v>
      </c>
      <c r="D561" t="s">
        <v>69</v>
      </c>
      <c r="E561">
        <v>10</v>
      </c>
      <c r="F561">
        <v>6.1</v>
      </c>
      <c r="G561">
        <v>0.61</v>
      </c>
      <c r="H561">
        <v>35</v>
      </c>
      <c r="I561">
        <v>3000</v>
      </c>
      <c r="J561">
        <v>1000</v>
      </c>
      <c r="K561" t="s">
        <v>131</v>
      </c>
      <c r="L561" t="s">
        <v>71</v>
      </c>
      <c r="M561" t="s">
        <v>44</v>
      </c>
      <c r="N561" t="b">
        <v>0</v>
      </c>
      <c r="O561" t="s">
        <v>132</v>
      </c>
    </row>
    <row r="562" spans="1:15" ht="15" customHeight="1">
      <c r="A562" t="s">
        <v>152</v>
      </c>
      <c r="B562" t="s">
        <v>1088</v>
      </c>
      <c r="C562" t="s">
        <v>81</v>
      </c>
      <c r="D562" t="s">
        <v>69</v>
      </c>
      <c r="E562">
        <v>10</v>
      </c>
      <c r="F562">
        <v>5.8</v>
      </c>
      <c r="G562">
        <v>0.57999999999999996</v>
      </c>
      <c r="H562">
        <v>14</v>
      </c>
      <c r="I562">
        <v>10000</v>
      </c>
      <c r="J562">
        <v>3000</v>
      </c>
      <c r="K562" t="s">
        <v>116</v>
      </c>
      <c r="L562" t="s">
        <v>71</v>
      </c>
      <c r="M562" t="s">
        <v>48</v>
      </c>
      <c r="N562" t="b">
        <v>0</v>
      </c>
      <c r="O562" t="s">
        <v>118</v>
      </c>
    </row>
    <row r="563" spans="1:15" ht="15" customHeight="1">
      <c r="A563" t="s">
        <v>398</v>
      </c>
      <c r="B563" t="s">
        <v>1089</v>
      </c>
      <c r="C563" t="s">
        <v>81</v>
      </c>
      <c r="D563" t="s">
        <v>69</v>
      </c>
      <c r="E563">
        <v>16</v>
      </c>
      <c r="F563">
        <v>12.8</v>
      </c>
      <c r="G563">
        <v>0.8</v>
      </c>
      <c r="H563">
        <v>26</v>
      </c>
      <c r="I563">
        <v>10000</v>
      </c>
      <c r="J563">
        <v>3000</v>
      </c>
      <c r="K563" t="s">
        <v>525</v>
      </c>
      <c r="L563" t="s">
        <v>117</v>
      </c>
      <c r="M563" t="s">
        <v>43</v>
      </c>
      <c r="N563" t="b">
        <v>1</v>
      </c>
      <c r="O563" t="s">
        <v>526</v>
      </c>
    </row>
    <row r="564" spans="1:15" ht="15" customHeight="1">
      <c r="A564" t="s">
        <v>416</v>
      </c>
      <c r="B564" t="s">
        <v>1090</v>
      </c>
      <c r="C564" t="s">
        <v>68</v>
      </c>
      <c r="D564" t="s">
        <v>69</v>
      </c>
      <c r="E564">
        <v>16</v>
      </c>
      <c r="F564">
        <v>1.9</v>
      </c>
      <c r="G564">
        <v>0.12</v>
      </c>
      <c r="H564">
        <v>4</v>
      </c>
      <c r="I564">
        <v>30000</v>
      </c>
      <c r="J564">
        <v>5000</v>
      </c>
      <c r="K564" t="s">
        <v>95</v>
      </c>
      <c r="L564" t="s">
        <v>77</v>
      </c>
      <c r="M564" t="s">
        <v>44</v>
      </c>
      <c r="N564" t="b">
        <v>0</v>
      </c>
      <c r="O564" t="s">
        <v>97</v>
      </c>
    </row>
    <row r="565" spans="1:15" ht="15" customHeight="1">
      <c r="A565" t="s">
        <v>751</v>
      </c>
      <c r="B565" t="s">
        <v>1091</v>
      </c>
      <c r="C565" t="s">
        <v>81</v>
      </c>
      <c r="D565" t="s">
        <v>69</v>
      </c>
      <c r="E565">
        <v>16</v>
      </c>
      <c r="F565">
        <v>7.7</v>
      </c>
      <c r="G565">
        <v>0.48</v>
      </c>
      <c r="H565">
        <v>25</v>
      </c>
      <c r="I565">
        <v>10000</v>
      </c>
      <c r="J565">
        <v>3000</v>
      </c>
      <c r="K565" t="s">
        <v>138</v>
      </c>
      <c r="L565" t="s">
        <v>100</v>
      </c>
      <c r="M565" t="s">
        <v>41</v>
      </c>
      <c r="N565" t="b">
        <v>0</v>
      </c>
      <c r="O565" t="s">
        <v>139</v>
      </c>
    </row>
    <row r="566" spans="1:15" ht="15" customHeight="1">
      <c r="A566" t="s">
        <v>485</v>
      </c>
      <c r="B566" t="s">
        <v>1092</v>
      </c>
      <c r="C566" t="s">
        <v>75</v>
      </c>
      <c r="D566" t="s">
        <v>69</v>
      </c>
      <c r="E566">
        <v>9</v>
      </c>
      <c r="F566">
        <v>8</v>
      </c>
      <c r="G566">
        <v>0.89</v>
      </c>
      <c r="H566">
        <v>12</v>
      </c>
      <c r="I566">
        <v>2000</v>
      </c>
      <c r="J566">
        <v>1500</v>
      </c>
      <c r="K566" t="s">
        <v>265</v>
      </c>
      <c r="L566" t="s">
        <v>100</v>
      </c>
      <c r="M566" t="s">
        <v>50</v>
      </c>
      <c r="N566" t="b">
        <v>0</v>
      </c>
      <c r="O566" t="s">
        <v>266</v>
      </c>
    </row>
    <row r="567" spans="1:15" ht="15" customHeight="1">
      <c r="A567" t="s">
        <v>1093</v>
      </c>
      <c r="B567" t="s">
        <v>1094</v>
      </c>
      <c r="C567" t="s">
        <v>129</v>
      </c>
      <c r="D567" t="s">
        <v>130</v>
      </c>
      <c r="E567">
        <v>8</v>
      </c>
      <c r="F567">
        <v>5</v>
      </c>
      <c r="G567">
        <v>0.62</v>
      </c>
      <c r="H567">
        <v>12</v>
      </c>
      <c r="I567">
        <v>5000</v>
      </c>
      <c r="J567">
        <v>1000</v>
      </c>
      <c r="K567" t="s">
        <v>162</v>
      </c>
      <c r="L567" t="s">
        <v>77</v>
      </c>
      <c r="M567" t="s">
        <v>40</v>
      </c>
      <c r="N567" t="b">
        <v>0</v>
      </c>
      <c r="O567" t="s">
        <v>180</v>
      </c>
    </row>
    <row r="568" spans="1:15" ht="15" customHeight="1">
      <c r="A568" t="s">
        <v>281</v>
      </c>
      <c r="B568" t="s">
        <v>1095</v>
      </c>
      <c r="C568" t="s">
        <v>149</v>
      </c>
      <c r="D568" t="s">
        <v>69</v>
      </c>
      <c r="E568">
        <v>9</v>
      </c>
      <c r="F568">
        <v>6.2</v>
      </c>
      <c r="G568">
        <v>0.69</v>
      </c>
      <c r="H568">
        <v>29</v>
      </c>
      <c r="I568">
        <v>3000</v>
      </c>
      <c r="J568">
        <v>1000</v>
      </c>
      <c r="K568" t="s">
        <v>303</v>
      </c>
      <c r="L568" t="s">
        <v>77</v>
      </c>
      <c r="M568" t="s">
        <v>51</v>
      </c>
      <c r="N568" t="b">
        <v>0</v>
      </c>
      <c r="O568" t="s">
        <v>323</v>
      </c>
    </row>
    <row r="569" spans="1:15" ht="15" customHeight="1">
      <c r="A569" t="s">
        <v>1009</v>
      </c>
      <c r="B569" t="s">
        <v>1096</v>
      </c>
      <c r="C569" t="s">
        <v>149</v>
      </c>
      <c r="D569" t="s">
        <v>69</v>
      </c>
      <c r="E569">
        <v>10</v>
      </c>
      <c r="F569">
        <v>6.9</v>
      </c>
      <c r="G569">
        <v>0.69</v>
      </c>
      <c r="H569">
        <v>19</v>
      </c>
      <c r="I569">
        <v>3000</v>
      </c>
      <c r="J569">
        <v>1000</v>
      </c>
      <c r="K569" t="s">
        <v>198</v>
      </c>
      <c r="L569" t="s">
        <v>117</v>
      </c>
      <c r="M569" t="s">
        <v>42</v>
      </c>
      <c r="N569" t="b">
        <v>1</v>
      </c>
      <c r="O569" t="s">
        <v>262</v>
      </c>
    </row>
    <row r="570" spans="1:15" ht="15" customHeight="1">
      <c r="A570" t="s">
        <v>676</v>
      </c>
      <c r="B570" t="s">
        <v>1097</v>
      </c>
      <c r="C570" t="s">
        <v>149</v>
      </c>
      <c r="D570" t="s">
        <v>69</v>
      </c>
      <c r="E570">
        <v>8</v>
      </c>
      <c r="F570">
        <v>6.1</v>
      </c>
      <c r="G570">
        <v>0.76</v>
      </c>
      <c r="H570">
        <v>37</v>
      </c>
      <c r="I570">
        <v>3000</v>
      </c>
      <c r="J570">
        <v>1000</v>
      </c>
      <c r="K570" t="s">
        <v>672</v>
      </c>
      <c r="L570" t="s">
        <v>71</v>
      </c>
      <c r="M570" t="s">
        <v>49</v>
      </c>
      <c r="N570" t="b">
        <v>0</v>
      </c>
      <c r="O570" t="s">
        <v>134</v>
      </c>
    </row>
    <row r="571" spans="1:15" ht="15" customHeight="1">
      <c r="A571" t="s">
        <v>160</v>
      </c>
      <c r="B571" t="s">
        <v>1098</v>
      </c>
      <c r="C571" t="s">
        <v>68</v>
      </c>
      <c r="D571" t="s">
        <v>69</v>
      </c>
      <c r="E571">
        <v>10</v>
      </c>
      <c r="F571">
        <v>2.1</v>
      </c>
      <c r="G571">
        <v>0.21</v>
      </c>
      <c r="H571">
        <v>3</v>
      </c>
      <c r="I571">
        <v>30000</v>
      </c>
      <c r="J571">
        <v>5000</v>
      </c>
      <c r="K571" t="s">
        <v>108</v>
      </c>
      <c r="L571" t="s">
        <v>71</v>
      </c>
      <c r="M571" t="s">
        <v>45</v>
      </c>
      <c r="N571" t="b">
        <v>0</v>
      </c>
      <c r="O571" t="s">
        <v>109</v>
      </c>
    </row>
    <row r="572" spans="1:15" ht="15" customHeight="1">
      <c r="A572" t="s">
        <v>630</v>
      </c>
      <c r="B572" t="s">
        <v>1099</v>
      </c>
      <c r="C572" t="s">
        <v>75</v>
      </c>
      <c r="D572" t="s">
        <v>69</v>
      </c>
      <c r="E572">
        <v>8</v>
      </c>
      <c r="F572">
        <v>4.3</v>
      </c>
      <c r="G572">
        <v>0.54</v>
      </c>
      <c r="H572">
        <v>29</v>
      </c>
      <c r="I572">
        <v>2000</v>
      </c>
      <c r="J572">
        <v>1500</v>
      </c>
      <c r="K572" t="s">
        <v>519</v>
      </c>
      <c r="L572" t="s">
        <v>77</v>
      </c>
      <c r="M572" t="s">
        <v>47</v>
      </c>
      <c r="N572" t="b">
        <v>0</v>
      </c>
      <c r="O572" t="s">
        <v>520</v>
      </c>
    </row>
    <row r="573" spans="1:15" ht="15" customHeight="1">
      <c r="A573" t="s">
        <v>636</v>
      </c>
      <c r="B573" t="s">
        <v>1100</v>
      </c>
      <c r="C573" t="s">
        <v>149</v>
      </c>
      <c r="D573" t="s">
        <v>69</v>
      </c>
      <c r="E573">
        <v>12</v>
      </c>
      <c r="F573">
        <v>9.9</v>
      </c>
      <c r="G573">
        <v>0.83</v>
      </c>
      <c r="H573">
        <v>15</v>
      </c>
      <c r="I573">
        <v>3000</v>
      </c>
      <c r="J573">
        <v>1000</v>
      </c>
      <c r="K573" t="s">
        <v>438</v>
      </c>
      <c r="L573" t="s">
        <v>77</v>
      </c>
      <c r="M573" t="s">
        <v>46</v>
      </c>
      <c r="N573" t="b">
        <v>0</v>
      </c>
      <c r="O573" t="s">
        <v>90</v>
      </c>
    </row>
    <row r="574" spans="1:15" ht="15" customHeight="1">
      <c r="A574" t="s">
        <v>1101</v>
      </c>
      <c r="B574" t="s">
        <v>1102</v>
      </c>
      <c r="C574" t="s">
        <v>75</v>
      </c>
      <c r="D574" t="s">
        <v>69</v>
      </c>
      <c r="E574">
        <v>20</v>
      </c>
      <c r="F574">
        <v>3.3</v>
      </c>
      <c r="G574">
        <v>0.16</v>
      </c>
      <c r="H574">
        <v>27</v>
      </c>
      <c r="I574">
        <v>2000</v>
      </c>
      <c r="J574">
        <v>1500</v>
      </c>
      <c r="K574" t="s">
        <v>150</v>
      </c>
      <c r="L574" t="s">
        <v>77</v>
      </c>
      <c r="M574" t="s">
        <v>49</v>
      </c>
      <c r="N574" t="b">
        <v>0</v>
      </c>
      <c r="O574" t="s">
        <v>528</v>
      </c>
    </row>
    <row r="575" spans="1:15" ht="15" customHeight="1">
      <c r="A575" t="s">
        <v>546</v>
      </c>
      <c r="B575" t="s">
        <v>1103</v>
      </c>
      <c r="C575" t="s">
        <v>129</v>
      </c>
      <c r="D575" t="s">
        <v>130</v>
      </c>
      <c r="E575">
        <v>14</v>
      </c>
      <c r="F575">
        <v>8.8000000000000007</v>
      </c>
      <c r="G575">
        <v>0.63</v>
      </c>
      <c r="H575">
        <v>28</v>
      </c>
      <c r="I575">
        <v>5000</v>
      </c>
      <c r="J575">
        <v>1000</v>
      </c>
      <c r="K575" t="s">
        <v>116</v>
      </c>
      <c r="L575" t="s">
        <v>100</v>
      </c>
      <c r="M575" t="s">
        <v>45</v>
      </c>
      <c r="N575" t="b">
        <v>0</v>
      </c>
      <c r="O575" t="s">
        <v>470</v>
      </c>
    </row>
    <row r="576" spans="1:15" ht="15" customHeight="1">
      <c r="A576" t="s">
        <v>167</v>
      </c>
      <c r="B576" t="s">
        <v>1104</v>
      </c>
      <c r="C576" t="s">
        <v>149</v>
      </c>
      <c r="D576" t="s">
        <v>69</v>
      </c>
      <c r="E576">
        <v>8</v>
      </c>
      <c r="F576">
        <v>7.9</v>
      </c>
      <c r="G576">
        <v>0.99</v>
      </c>
      <c r="H576">
        <v>36</v>
      </c>
      <c r="I576">
        <v>3000</v>
      </c>
      <c r="J576">
        <v>1000</v>
      </c>
      <c r="K576" t="s">
        <v>154</v>
      </c>
      <c r="L576" t="s">
        <v>104</v>
      </c>
      <c r="M576" t="s">
        <v>49</v>
      </c>
      <c r="N576" t="b">
        <v>0</v>
      </c>
      <c r="O576" t="s">
        <v>155</v>
      </c>
    </row>
    <row r="577" spans="1:15" ht="15" customHeight="1">
      <c r="A577" t="s">
        <v>363</v>
      </c>
      <c r="B577" t="s">
        <v>1105</v>
      </c>
      <c r="C577" t="s">
        <v>129</v>
      </c>
      <c r="D577" t="s">
        <v>130</v>
      </c>
      <c r="E577">
        <v>8</v>
      </c>
      <c r="F577">
        <v>7.2</v>
      </c>
      <c r="G577">
        <v>0.9</v>
      </c>
      <c r="H577">
        <v>22</v>
      </c>
      <c r="I577">
        <v>5000</v>
      </c>
      <c r="J577">
        <v>1000</v>
      </c>
      <c r="K577" t="s">
        <v>134</v>
      </c>
      <c r="L577" t="s">
        <v>71</v>
      </c>
      <c r="M577" t="s">
        <v>43</v>
      </c>
      <c r="N577" t="b">
        <v>0</v>
      </c>
      <c r="O577" t="s">
        <v>135</v>
      </c>
    </row>
    <row r="578" spans="1:15" ht="15" customHeight="1">
      <c r="A578" t="s">
        <v>1106</v>
      </c>
      <c r="B578" t="s">
        <v>1107</v>
      </c>
      <c r="C578" t="s">
        <v>81</v>
      </c>
      <c r="D578" t="s">
        <v>69</v>
      </c>
      <c r="E578">
        <v>8</v>
      </c>
      <c r="F578">
        <v>4.7</v>
      </c>
      <c r="G578">
        <v>0.59</v>
      </c>
      <c r="H578">
        <v>25</v>
      </c>
      <c r="I578">
        <v>10000</v>
      </c>
      <c r="J578">
        <v>3000</v>
      </c>
      <c r="K578" t="s">
        <v>138</v>
      </c>
      <c r="L578" t="s">
        <v>71</v>
      </c>
      <c r="M578" t="s">
        <v>47</v>
      </c>
      <c r="N578" t="b">
        <v>0</v>
      </c>
      <c r="O578" t="s">
        <v>139</v>
      </c>
    </row>
    <row r="579" spans="1:15" ht="15" customHeight="1">
      <c r="A579" t="s">
        <v>468</v>
      </c>
      <c r="B579" t="s">
        <v>1108</v>
      </c>
      <c r="C579" t="s">
        <v>75</v>
      </c>
      <c r="D579" t="s">
        <v>69</v>
      </c>
      <c r="E579">
        <v>14</v>
      </c>
      <c r="F579">
        <v>8.3000000000000007</v>
      </c>
      <c r="G579">
        <v>0.59</v>
      </c>
      <c r="H579">
        <v>16</v>
      </c>
      <c r="I579">
        <v>2000</v>
      </c>
      <c r="J579">
        <v>1500</v>
      </c>
      <c r="K579" t="s">
        <v>938</v>
      </c>
      <c r="L579" t="s">
        <v>117</v>
      </c>
      <c r="M579" t="s">
        <v>49</v>
      </c>
      <c r="N579" t="b">
        <v>1</v>
      </c>
      <c r="O579" t="s">
        <v>939</v>
      </c>
    </row>
    <row r="580" spans="1:15" ht="15" customHeight="1">
      <c r="A580" t="s">
        <v>1039</v>
      </c>
      <c r="B580" t="s">
        <v>1109</v>
      </c>
      <c r="C580" t="s">
        <v>81</v>
      </c>
      <c r="D580" t="s">
        <v>69</v>
      </c>
      <c r="E580">
        <v>17</v>
      </c>
      <c r="F580">
        <v>15.2</v>
      </c>
      <c r="G580">
        <v>0.89</v>
      </c>
      <c r="H580">
        <v>16</v>
      </c>
      <c r="I580">
        <v>10000</v>
      </c>
      <c r="J580">
        <v>3000</v>
      </c>
      <c r="K580" t="s">
        <v>283</v>
      </c>
      <c r="L580" t="s">
        <v>104</v>
      </c>
      <c r="M580" t="s">
        <v>49</v>
      </c>
      <c r="N580" t="b">
        <v>0</v>
      </c>
      <c r="O580" t="s">
        <v>284</v>
      </c>
    </row>
    <row r="581" spans="1:15" ht="15" customHeight="1">
      <c r="A581" t="s">
        <v>1110</v>
      </c>
      <c r="B581" t="s">
        <v>1111</v>
      </c>
      <c r="C581" t="s">
        <v>129</v>
      </c>
      <c r="D581" t="s">
        <v>130</v>
      </c>
      <c r="E581">
        <v>17</v>
      </c>
      <c r="F581">
        <v>3.3</v>
      </c>
      <c r="G581">
        <v>0.19</v>
      </c>
      <c r="H581">
        <v>17</v>
      </c>
      <c r="I581">
        <v>5000</v>
      </c>
      <c r="J581">
        <v>1000</v>
      </c>
      <c r="K581" t="s">
        <v>109</v>
      </c>
      <c r="L581" t="s">
        <v>96</v>
      </c>
      <c r="M581" t="s">
        <v>45</v>
      </c>
      <c r="N581" t="b">
        <v>0</v>
      </c>
      <c r="O581" t="s">
        <v>176</v>
      </c>
    </row>
    <row r="582" spans="1:15" ht="15" customHeight="1">
      <c r="A582" t="s">
        <v>1051</v>
      </c>
      <c r="B582" t="s">
        <v>1112</v>
      </c>
      <c r="C582" t="s">
        <v>68</v>
      </c>
      <c r="D582" t="s">
        <v>69</v>
      </c>
      <c r="E582">
        <v>12</v>
      </c>
      <c r="F582">
        <v>3</v>
      </c>
      <c r="G582">
        <v>0.25</v>
      </c>
      <c r="H582">
        <v>5</v>
      </c>
      <c r="I582">
        <v>30000</v>
      </c>
      <c r="J582">
        <v>5000</v>
      </c>
      <c r="K582" t="s">
        <v>112</v>
      </c>
      <c r="L582" t="s">
        <v>117</v>
      </c>
      <c r="M582" t="s">
        <v>41</v>
      </c>
      <c r="N582" t="b">
        <v>1</v>
      </c>
      <c r="O582" t="s">
        <v>113</v>
      </c>
    </row>
    <row r="583" spans="1:15" ht="15" customHeight="1">
      <c r="A583" t="s">
        <v>799</v>
      </c>
      <c r="B583" t="s">
        <v>1113</v>
      </c>
      <c r="C583" t="s">
        <v>81</v>
      </c>
      <c r="D583" t="s">
        <v>69</v>
      </c>
      <c r="E583">
        <v>18</v>
      </c>
      <c r="F583">
        <v>16.2</v>
      </c>
      <c r="G583">
        <v>0.9</v>
      </c>
      <c r="H583">
        <v>22</v>
      </c>
      <c r="I583">
        <v>10000</v>
      </c>
      <c r="J583">
        <v>3000</v>
      </c>
      <c r="K583" t="s">
        <v>548</v>
      </c>
      <c r="L583" t="s">
        <v>77</v>
      </c>
      <c r="M583" t="s">
        <v>46</v>
      </c>
      <c r="N583" t="b">
        <v>0</v>
      </c>
      <c r="O583" t="s">
        <v>549</v>
      </c>
    </row>
    <row r="584" spans="1:15" ht="15" customHeight="1">
      <c r="A584" t="s">
        <v>753</v>
      </c>
      <c r="B584" t="s">
        <v>1114</v>
      </c>
      <c r="C584" t="s">
        <v>68</v>
      </c>
      <c r="D584" t="s">
        <v>69</v>
      </c>
      <c r="E584">
        <v>10</v>
      </c>
      <c r="F584">
        <v>2.1</v>
      </c>
      <c r="G584">
        <v>0.21</v>
      </c>
      <c r="H584">
        <v>4</v>
      </c>
      <c r="I584">
        <v>30000</v>
      </c>
      <c r="J584">
        <v>5000</v>
      </c>
      <c r="K584" t="s">
        <v>95</v>
      </c>
      <c r="L584" t="s">
        <v>91</v>
      </c>
      <c r="M584" t="s">
        <v>42</v>
      </c>
      <c r="N584" t="b">
        <v>1</v>
      </c>
      <c r="O584" t="s">
        <v>97</v>
      </c>
    </row>
    <row r="585" spans="1:15" ht="15" customHeight="1">
      <c r="A585" t="s">
        <v>924</v>
      </c>
      <c r="B585" t="s">
        <v>1115</v>
      </c>
      <c r="C585" t="s">
        <v>75</v>
      </c>
      <c r="D585" t="s">
        <v>69</v>
      </c>
      <c r="E585">
        <v>13</v>
      </c>
      <c r="F585">
        <v>7.4</v>
      </c>
      <c r="G585">
        <v>0.56999999999999995</v>
      </c>
      <c r="H585">
        <v>24</v>
      </c>
      <c r="I585">
        <v>2000</v>
      </c>
      <c r="J585">
        <v>1500</v>
      </c>
      <c r="K585" t="s">
        <v>361</v>
      </c>
      <c r="L585" t="s">
        <v>104</v>
      </c>
      <c r="M585" t="s">
        <v>49</v>
      </c>
      <c r="N585" t="b">
        <v>0</v>
      </c>
      <c r="O585" t="s">
        <v>362</v>
      </c>
    </row>
    <row r="586" spans="1:15" ht="15" customHeight="1">
      <c r="A586" t="s">
        <v>497</v>
      </c>
      <c r="B586" t="s">
        <v>1116</v>
      </c>
      <c r="C586" t="s">
        <v>81</v>
      </c>
      <c r="D586" t="s">
        <v>69</v>
      </c>
      <c r="E586">
        <v>8</v>
      </c>
      <c r="F586">
        <v>6.1</v>
      </c>
      <c r="G586">
        <v>0.76</v>
      </c>
      <c r="H586">
        <v>29</v>
      </c>
      <c r="I586">
        <v>10000</v>
      </c>
      <c r="J586">
        <v>3000</v>
      </c>
      <c r="K586" t="s">
        <v>603</v>
      </c>
      <c r="L586" t="s">
        <v>104</v>
      </c>
      <c r="M586" t="s">
        <v>44</v>
      </c>
      <c r="N586" t="b">
        <v>0</v>
      </c>
      <c r="O586" t="s">
        <v>604</v>
      </c>
    </row>
    <row r="587" spans="1:15" ht="15" customHeight="1">
      <c r="A587" t="s">
        <v>1117</v>
      </c>
      <c r="B587" t="s">
        <v>1118</v>
      </c>
      <c r="C587" t="s">
        <v>75</v>
      </c>
      <c r="D587" t="s">
        <v>69</v>
      </c>
      <c r="E587">
        <v>19</v>
      </c>
      <c r="F587">
        <v>5</v>
      </c>
      <c r="G587">
        <v>0.26</v>
      </c>
      <c r="H587">
        <v>29</v>
      </c>
      <c r="I587">
        <v>2000</v>
      </c>
      <c r="J587">
        <v>1500</v>
      </c>
      <c r="K587" t="s">
        <v>519</v>
      </c>
      <c r="L587" t="s">
        <v>117</v>
      </c>
      <c r="M587" t="s">
        <v>43</v>
      </c>
      <c r="N587" t="b">
        <v>1</v>
      </c>
      <c r="O587" t="s">
        <v>520</v>
      </c>
    </row>
    <row r="588" spans="1:15" ht="15" customHeight="1">
      <c r="A588" t="s">
        <v>404</v>
      </c>
      <c r="B588" t="s">
        <v>1119</v>
      </c>
      <c r="C588" t="s">
        <v>149</v>
      </c>
      <c r="D588" t="s">
        <v>69</v>
      </c>
      <c r="E588">
        <v>9</v>
      </c>
      <c r="F588">
        <v>6.5</v>
      </c>
      <c r="G588">
        <v>0.72</v>
      </c>
      <c r="H588">
        <v>24</v>
      </c>
      <c r="I588">
        <v>3000</v>
      </c>
      <c r="J588">
        <v>1000</v>
      </c>
      <c r="K588" t="s">
        <v>490</v>
      </c>
      <c r="L588" t="s">
        <v>77</v>
      </c>
      <c r="M588" t="s">
        <v>44</v>
      </c>
      <c r="N588" t="b">
        <v>0</v>
      </c>
      <c r="O588" t="s">
        <v>491</v>
      </c>
    </row>
    <row r="589" spans="1:15" ht="15" customHeight="1">
      <c r="A589" t="s">
        <v>393</v>
      </c>
      <c r="B589" t="s">
        <v>1120</v>
      </c>
      <c r="C589" t="s">
        <v>68</v>
      </c>
      <c r="D589" t="s">
        <v>69</v>
      </c>
      <c r="E589">
        <v>9</v>
      </c>
      <c r="F589">
        <v>1.7</v>
      </c>
      <c r="G589">
        <v>0.19</v>
      </c>
      <c r="H589">
        <v>3</v>
      </c>
      <c r="I589">
        <v>30000</v>
      </c>
      <c r="J589">
        <v>5000</v>
      </c>
      <c r="K589" t="s">
        <v>108</v>
      </c>
      <c r="L589" t="s">
        <v>100</v>
      </c>
      <c r="M589" t="s">
        <v>49</v>
      </c>
      <c r="N589" t="b">
        <v>0</v>
      </c>
      <c r="O589" t="s">
        <v>109</v>
      </c>
    </row>
    <row r="590" spans="1:15" ht="15" customHeight="1">
      <c r="A590" t="s">
        <v>441</v>
      </c>
      <c r="B590" t="s">
        <v>1121</v>
      </c>
      <c r="C590" t="s">
        <v>75</v>
      </c>
      <c r="D590" t="s">
        <v>69</v>
      </c>
      <c r="E590">
        <v>16</v>
      </c>
      <c r="F590">
        <v>8.4</v>
      </c>
      <c r="G590">
        <v>0.53</v>
      </c>
      <c r="H590">
        <v>6</v>
      </c>
      <c r="I590">
        <v>2000</v>
      </c>
      <c r="J590">
        <v>1500</v>
      </c>
      <c r="K590" t="s">
        <v>269</v>
      </c>
      <c r="L590" t="s">
        <v>77</v>
      </c>
      <c r="M590" t="s">
        <v>43</v>
      </c>
      <c r="N590" t="b">
        <v>0</v>
      </c>
      <c r="O590" t="s">
        <v>270</v>
      </c>
    </row>
    <row r="591" spans="1:15" ht="15" customHeight="1">
      <c r="A591" t="s">
        <v>572</v>
      </c>
      <c r="B591" t="s">
        <v>1122</v>
      </c>
      <c r="C591" t="s">
        <v>68</v>
      </c>
      <c r="D591" t="s">
        <v>69</v>
      </c>
      <c r="E591">
        <v>8</v>
      </c>
      <c r="F591">
        <v>1.6</v>
      </c>
      <c r="G591">
        <v>0.2</v>
      </c>
      <c r="H591">
        <v>1</v>
      </c>
      <c r="I591">
        <v>30000</v>
      </c>
      <c r="J591">
        <v>5000</v>
      </c>
      <c r="K591" t="s">
        <v>70</v>
      </c>
      <c r="L591" t="s">
        <v>100</v>
      </c>
      <c r="M591" t="s">
        <v>46</v>
      </c>
      <c r="N591" t="b">
        <v>0</v>
      </c>
      <c r="O591" t="s">
        <v>72</v>
      </c>
    </row>
    <row r="592" spans="1:15" ht="15" customHeight="1">
      <c r="A592" t="s">
        <v>1123</v>
      </c>
      <c r="B592" t="s">
        <v>1124</v>
      </c>
      <c r="C592" t="s">
        <v>129</v>
      </c>
      <c r="D592" t="s">
        <v>130</v>
      </c>
      <c r="E592">
        <v>11</v>
      </c>
      <c r="F592">
        <v>3</v>
      </c>
      <c r="G592">
        <v>0.27</v>
      </c>
      <c r="H592">
        <v>12</v>
      </c>
      <c r="I592">
        <v>5000</v>
      </c>
      <c r="J592">
        <v>1000</v>
      </c>
      <c r="K592" t="s">
        <v>162</v>
      </c>
      <c r="L592" t="s">
        <v>77</v>
      </c>
      <c r="M592" t="s">
        <v>49</v>
      </c>
      <c r="N592" t="b">
        <v>0</v>
      </c>
      <c r="O592" t="s">
        <v>180</v>
      </c>
    </row>
    <row r="593" spans="1:15" ht="15" customHeight="1">
      <c r="A593" t="s">
        <v>583</v>
      </c>
      <c r="B593" t="s">
        <v>1125</v>
      </c>
      <c r="C593" t="s">
        <v>129</v>
      </c>
      <c r="D593" t="s">
        <v>130</v>
      </c>
      <c r="E593">
        <v>10</v>
      </c>
      <c r="F593">
        <v>6.2</v>
      </c>
      <c r="G593">
        <v>0.62</v>
      </c>
      <c r="H593">
        <v>29</v>
      </c>
      <c r="I593">
        <v>5000</v>
      </c>
      <c r="J593">
        <v>1000</v>
      </c>
      <c r="K593" t="s">
        <v>113</v>
      </c>
      <c r="L593" t="s">
        <v>100</v>
      </c>
      <c r="M593" t="s">
        <v>40</v>
      </c>
      <c r="N593" t="b">
        <v>0</v>
      </c>
      <c r="O593" t="s">
        <v>146</v>
      </c>
    </row>
    <row r="594" spans="1:15" ht="15" customHeight="1">
      <c r="A594" t="s">
        <v>1126</v>
      </c>
      <c r="B594" t="s">
        <v>1127</v>
      </c>
      <c r="C594" t="s">
        <v>68</v>
      </c>
      <c r="D594" t="s">
        <v>69</v>
      </c>
      <c r="E594">
        <v>14</v>
      </c>
      <c r="F594">
        <v>1.3</v>
      </c>
      <c r="G594">
        <v>0.09</v>
      </c>
      <c r="H594">
        <v>3</v>
      </c>
      <c r="I594">
        <v>30000</v>
      </c>
      <c r="J594">
        <v>5000</v>
      </c>
      <c r="K594" t="s">
        <v>108</v>
      </c>
      <c r="L594" t="s">
        <v>104</v>
      </c>
      <c r="M594" t="s">
        <v>46</v>
      </c>
      <c r="N594" t="b">
        <v>0</v>
      </c>
      <c r="O594" t="s">
        <v>109</v>
      </c>
    </row>
    <row r="595" spans="1:15" ht="15" customHeight="1">
      <c r="A595" t="s">
        <v>321</v>
      </c>
      <c r="B595" t="s">
        <v>1128</v>
      </c>
      <c r="C595" t="s">
        <v>149</v>
      </c>
      <c r="D595" t="s">
        <v>69</v>
      </c>
      <c r="E595">
        <v>12</v>
      </c>
      <c r="F595">
        <v>7.2</v>
      </c>
      <c r="G595">
        <v>0.6</v>
      </c>
      <c r="H595">
        <v>20</v>
      </c>
      <c r="I595">
        <v>3000</v>
      </c>
      <c r="J595">
        <v>1000</v>
      </c>
      <c r="K595" t="s">
        <v>162</v>
      </c>
      <c r="L595" t="s">
        <v>91</v>
      </c>
      <c r="M595" t="s">
        <v>50</v>
      </c>
      <c r="N595" t="b">
        <v>1</v>
      </c>
      <c r="O595" t="s">
        <v>180</v>
      </c>
    </row>
    <row r="596" spans="1:15" ht="15" customHeight="1">
      <c r="A596" t="s">
        <v>205</v>
      </c>
      <c r="B596" t="s">
        <v>1129</v>
      </c>
      <c r="C596" t="s">
        <v>81</v>
      </c>
      <c r="D596" t="s">
        <v>69</v>
      </c>
      <c r="E596">
        <v>18</v>
      </c>
      <c r="F596">
        <v>5.3</v>
      </c>
      <c r="G596">
        <v>0.28999999999999998</v>
      </c>
      <c r="H596">
        <v>20</v>
      </c>
      <c r="I596">
        <v>10000</v>
      </c>
      <c r="J596">
        <v>3000</v>
      </c>
      <c r="K596" t="s">
        <v>86</v>
      </c>
      <c r="L596" t="s">
        <v>100</v>
      </c>
      <c r="M596" t="s">
        <v>48</v>
      </c>
      <c r="N596" t="b">
        <v>0</v>
      </c>
      <c r="O596" t="s">
        <v>87</v>
      </c>
    </row>
    <row r="597" spans="1:15" ht="15" customHeight="1">
      <c r="A597" t="s">
        <v>691</v>
      </c>
      <c r="B597" t="s">
        <v>1130</v>
      </c>
      <c r="C597" t="s">
        <v>149</v>
      </c>
      <c r="D597" t="s">
        <v>69</v>
      </c>
      <c r="E597">
        <v>12</v>
      </c>
      <c r="F597">
        <v>11.7</v>
      </c>
      <c r="G597">
        <v>0.97</v>
      </c>
      <c r="H597">
        <v>17</v>
      </c>
      <c r="I597">
        <v>3000</v>
      </c>
      <c r="J597">
        <v>1000</v>
      </c>
      <c r="K597" t="s">
        <v>634</v>
      </c>
      <c r="L597" t="s">
        <v>100</v>
      </c>
      <c r="M597" t="s">
        <v>47</v>
      </c>
      <c r="N597" t="b">
        <v>0</v>
      </c>
      <c r="O597" t="s">
        <v>158</v>
      </c>
    </row>
    <row r="598" spans="1:15" ht="15" customHeight="1">
      <c r="A598" t="s">
        <v>88</v>
      </c>
      <c r="B598" t="s">
        <v>1131</v>
      </c>
      <c r="C598" t="s">
        <v>75</v>
      </c>
      <c r="D598" t="s">
        <v>69</v>
      </c>
      <c r="E598">
        <v>16</v>
      </c>
      <c r="F598">
        <v>11.6</v>
      </c>
      <c r="G598">
        <v>0.72</v>
      </c>
      <c r="H598">
        <v>30</v>
      </c>
      <c r="I598">
        <v>2000</v>
      </c>
      <c r="J598">
        <v>1500</v>
      </c>
      <c r="K598" t="s">
        <v>162</v>
      </c>
      <c r="L598" t="s">
        <v>91</v>
      </c>
      <c r="M598" t="s">
        <v>51</v>
      </c>
      <c r="N598" t="b">
        <v>1</v>
      </c>
      <c r="O598" t="s">
        <v>510</v>
      </c>
    </row>
    <row r="599" spans="1:15" ht="15" customHeight="1">
      <c r="A599" t="s">
        <v>285</v>
      </c>
      <c r="B599" t="s">
        <v>1132</v>
      </c>
      <c r="C599" t="s">
        <v>81</v>
      </c>
      <c r="D599" t="s">
        <v>69</v>
      </c>
      <c r="E599">
        <v>8</v>
      </c>
      <c r="F599">
        <v>6.3</v>
      </c>
      <c r="G599">
        <v>0.79</v>
      </c>
      <c r="H599">
        <v>29</v>
      </c>
      <c r="I599">
        <v>10000</v>
      </c>
      <c r="J599">
        <v>3000</v>
      </c>
      <c r="K599" t="s">
        <v>603</v>
      </c>
      <c r="L599" t="s">
        <v>77</v>
      </c>
      <c r="M599" t="s">
        <v>45</v>
      </c>
      <c r="N599" t="b">
        <v>0</v>
      </c>
      <c r="O599" t="s">
        <v>604</v>
      </c>
    </row>
    <row r="600" spans="1:15" ht="15" customHeight="1">
      <c r="A600" t="s">
        <v>1133</v>
      </c>
      <c r="B600" t="s">
        <v>1134</v>
      </c>
      <c r="C600" t="s">
        <v>129</v>
      </c>
      <c r="D600" t="s">
        <v>130</v>
      </c>
      <c r="E600">
        <v>17</v>
      </c>
      <c r="F600">
        <v>5.7</v>
      </c>
      <c r="G600">
        <v>0.34</v>
      </c>
      <c r="H600">
        <v>7</v>
      </c>
      <c r="I600">
        <v>5000</v>
      </c>
      <c r="J600">
        <v>1000</v>
      </c>
      <c r="K600" t="s">
        <v>1135</v>
      </c>
      <c r="L600" t="s">
        <v>96</v>
      </c>
      <c r="M600" t="s">
        <v>49</v>
      </c>
      <c r="N600" t="b">
        <v>0</v>
      </c>
      <c r="O600" t="s">
        <v>862</v>
      </c>
    </row>
    <row r="601" spans="1:15" ht="15" customHeight="1">
      <c r="A601" t="s">
        <v>712</v>
      </c>
      <c r="B601" t="s">
        <v>1136</v>
      </c>
      <c r="C601" t="s">
        <v>68</v>
      </c>
      <c r="D601" t="s">
        <v>69</v>
      </c>
      <c r="E601">
        <v>8</v>
      </c>
      <c r="F601">
        <v>3.2</v>
      </c>
      <c r="G601">
        <v>0.4</v>
      </c>
      <c r="H601">
        <v>4</v>
      </c>
      <c r="I601">
        <v>30000</v>
      </c>
      <c r="J601">
        <v>5000</v>
      </c>
      <c r="K601" t="s">
        <v>95</v>
      </c>
      <c r="L601" t="s">
        <v>71</v>
      </c>
      <c r="M601" t="s">
        <v>41</v>
      </c>
      <c r="N601" t="b">
        <v>0</v>
      </c>
      <c r="O601" t="s">
        <v>97</v>
      </c>
    </row>
    <row r="602" spans="1:15" ht="15" customHeight="1">
      <c r="A602" t="s">
        <v>513</v>
      </c>
      <c r="B602" t="s">
        <v>1137</v>
      </c>
      <c r="C602" t="s">
        <v>75</v>
      </c>
      <c r="D602" t="s">
        <v>69</v>
      </c>
      <c r="E602">
        <v>10</v>
      </c>
      <c r="F602">
        <v>9.6999999999999993</v>
      </c>
      <c r="G602">
        <v>0.97</v>
      </c>
      <c r="H602">
        <v>26</v>
      </c>
      <c r="I602">
        <v>2000</v>
      </c>
      <c r="J602">
        <v>1500</v>
      </c>
      <c r="K602" t="s">
        <v>298</v>
      </c>
      <c r="L602" t="s">
        <v>96</v>
      </c>
      <c r="M602" t="s">
        <v>40</v>
      </c>
      <c r="N602" t="b">
        <v>0</v>
      </c>
      <c r="O602" t="s">
        <v>299</v>
      </c>
    </row>
    <row r="603" spans="1:15" ht="15" customHeight="1">
      <c r="A603" t="s">
        <v>319</v>
      </c>
      <c r="B603" t="s">
        <v>1138</v>
      </c>
      <c r="C603" t="s">
        <v>68</v>
      </c>
      <c r="D603" t="s">
        <v>69</v>
      </c>
      <c r="E603">
        <v>10</v>
      </c>
      <c r="F603">
        <v>2.6</v>
      </c>
      <c r="G603">
        <v>0.26</v>
      </c>
      <c r="H603">
        <v>2</v>
      </c>
      <c r="I603">
        <v>30000</v>
      </c>
      <c r="J603">
        <v>5000</v>
      </c>
      <c r="K603" t="s">
        <v>162</v>
      </c>
      <c r="L603" t="s">
        <v>96</v>
      </c>
      <c r="M603" t="s">
        <v>51</v>
      </c>
      <c r="N603" t="b">
        <v>0</v>
      </c>
      <c r="O603" t="s">
        <v>163</v>
      </c>
    </row>
    <row r="604" spans="1:15" ht="15" customHeight="1">
      <c r="A604" t="s">
        <v>473</v>
      </c>
      <c r="B604" t="s">
        <v>1139</v>
      </c>
      <c r="C604" t="s">
        <v>149</v>
      </c>
      <c r="D604" t="s">
        <v>69</v>
      </c>
      <c r="E604">
        <v>12</v>
      </c>
      <c r="F604">
        <v>9.6</v>
      </c>
      <c r="G604">
        <v>0.8</v>
      </c>
      <c r="H604">
        <v>17</v>
      </c>
      <c r="I604">
        <v>3000</v>
      </c>
      <c r="J604">
        <v>1000</v>
      </c>
      <c r="K604" t="s">
        <v>634</v>
      </c>
      <c r="L604" t="s">
        <v>77</v>
      </c>
      <c r="M604" t="s">
        <v>42</v>
      </c>
      <c r="N604" t="b">
        <v>0</v>
      </c>
      <c r="O604" t="s">
        <v>158</v>
      </c>
    </row>
    <row r="605" spans="1:15" ht="15" customHeight="1">
      <c r="A605" t="s">
        <v>680</v>
      </c>
      <c r="B605" t="s">
        <v>1140</v>
      </c>
      <c r="C605" t="s">
        <v>129</v>
      </c>
      <c r="D605" t="s">
        <v>130</v>
      </c>
      <c r="E605">
        <v>19</v>
      </c>
      <c r="F605">
        <v>11.2</v>
      </c>
      <c r="G605">
        <v>0.59</v>
      </c>
      <c r="H605">
        <v>13</v>
      </c>
      <c r="I605">
        <v>5000</v>
      </c>
      <c r="J605">
        <v>1000</v>
      </c>
      <c r="K605" t="s">
        <v>313</v>
      </c>
      <c r="L605" t="s">
        <v>100</v>
      </c>
      <c r="M605" t="s">
        <v>40</v>
      </c>
      <c r="N605" t="b">
        <v>0</v>
      </c>
      <c r="O605" t="s">
        <v>314</v>
      </c>
    </row>
    <row r="606" spans="1:15" ht="15" customHeight="1">
      <c r="A606" t="s">
        <v>781</v>
      </c>
      <c r="B606" t="s">
        <v>1141</v>
      </c>
      <c r="C606" t="s">
        <v>81</v>
      </c>
      <c r="D606" t="s">
        <v>69</v>
      </c>
      <c r="E606">
        <v>8</v>
      </c>
      <c r="F606">
        <v>6.7</v>
      </c>
      <c r="G606">
        <v>0.84</v>
      </c>
      <c r="H606">
        <v>15</v>
      </c>
      <c r="I606">
        <v>10000</v>
      </c>
      <c r="J606">
        <v>3000</v>
      </c>
      <c r="K606" t="s">
        <v>112</v>
      </c>
      <c r="L606" t="s">
        <v>96</v>
      </c>
      <c r="M606" t="s">
        <v>45</v>
      </c>
      <c r="N606" t="b">
        <v>0</v>
      </c>
      <c r="O606" t="s">
        <v>234</v>
      </c>
    </row>
    <row r="607" spans="1:15" ht="15" customHeight="1">
      <c r="A607" t="s">
        <v>218</v>
      </c>
      <c r="B607" t="s">
        <v>1142</v>
      </c>
      <c r="C607" t="s">
        <v>75</v>
      </c>
      <c r="D607" t="s">
        <v>69</v>
      </c>
      <c r="E607">
        <v>8</v>
      </c>
      <c r="F607">
        <v>3.6</v>
      </c>
      <c r="G607">
        <v>0.45</v>
      </c>
      <c r="H607">
        <v>18</v>
      </c>
      <c r="I607">
        <v>2000</v>
      </c>
      <c r="J607">
        <v>1500</v>
      </c>
      <c r="K607" t="s">
        <v>225</v>
      </c>
      <c r="L607" t="s">
        <v>77</v>
      </c>
      <c r="M607" t="s">
        <v>45</v>
      </c>
      <c r="N607" t="b">
        <v>0</v>
      </c>
      <c r="O607" t="s">
        <v>226</v>
      </c>
    </row>
    <row r="608" spans="1:15" ht="15" customHeight="1">
      <c r="A608" t="s">
        <v>332</v>
      </c>
      <c r="B608" t="s">
        <v>1143</v>
      </c>
      <c r="C608" t="s">
        <v>75</v>
      </c>
      <c r="D608" t="s">
        <v>69</v>
      </c>
      <c r="E608">
        <v>10</v>
      </c>
      <c r="F608">
        <v>7</v>
      </c>
      <c r="G608">
        <v>0.7</v>
      </c>
      <c r="H608">
        <v>15</v>
      </c>
      <c r="I608">
        <v>2000</v>
      </c>
      <c r="J608">
        <v>1500</v>
      </c>
      <c r="K608" t="s">
        <v>70</v>
      </c>
      <c r="L608" t="s">
        <v>96</v>
      </c>
      <c r="M608" t="s">
        <v>42</v>
      </c>
      <c r="N608" t="b">
        <v>0</v>
      </c>
      <c r="O608" t="s">
        <v>598</v>
      </c>
    </row>
    <row r="609" spans="1:15" ht="15" customHeight="1">
      <c r="A609" t="s">
        <v>801</v>
      </c>
      <c r="B609" t="s">
        <v>1144</v>
      </c>
      <c r="C609" t="s">
        <v>149</v>
      </c>
      <c r="D609" t="s">
        <v>69</v>
      </c>
      <c r="E609">
        <v>9</v>
      </c>
      <c r="F609">
        <v>7.9</v>
      </c>
      <c r="G609">
        <v>0.88</v>
      </c>
      <c r="H609">
        <v>19</v>
      </c>
      <c r="I609">
        <v>3000</v>
      </c>
      <c r="J609">
        <v>1000</v>
      </c>
      <c r="K609" t="s">
        <v>198</v>
      </c>
      <c r="L609" t="s">
        <v>91</v>
      </c>
      <c r="M609" t="s">
        <v>40</v>
      </c>
      <c r="N609" t="b">
        <v>1</v>
      </c>
      <c r="O609" t="s">
        <v>262</v>
      </c>
    </row>
    <row r="610" spans="1:15" ht="15" customHeight="1">
      <c r="A610" t="s">
        <v>267</v>
      </c>
      <c r="B610" t="s">
        <v>1145</v>
      </c>
      <c r="C610" t="s">
        <v>81</v>
      </c>
      <c r="D610" t="s">
        <v>69</v>
      </c>
      <c r="E610">
        <v>12</v>
      </c>
      <c r="F610">
        <v>10.4</v>
      </c>
      <c r="G610">
        <v>0.87</v>
      </c>
      <c r="H610">
        <v>28</v>
      </c>
      <c r="I610">
        <v>10000</v>
      </c>
      <c r="J610">
        <v>3000</v>
      </c>
      <c r="K610" t="s">
        <v>966</v>
      </c>
      <c r="L610" t="s">
        <v>104</v>
      </c>
      <c r="M610" t="s">
        <v>48</v>
      </c>
      <c r="N610" t="b">
        <v>0</v>
      </c>
      <c r="O610" t="s">
        <v>967</v>
      </c>
    </row>
    <row r="611" spans="1:15" ht="15" customHeight="1">
      <c r="A611" t="s">
        <v>213</v>
      </c>
      <c r="B611" t="s">
        <v>1146</v>
      </c>
      <c r="C611" t="s">
        <v>75</v>
      </c>
      <c r="D611" t="s">
        <v>69</v>
      </c>
      <c r="E611">
        <v>19</v>
      </c>
      <c r="F611">
        <v>3</v>
      </c>
      <c r="G611">
        <v>0.16</v>
      </c>
      <c r="H611">
        <v>26</v>
      </c>
      <c r="I611">
        <v>2000</v>
      </c>
      <c r="J611">
        <v>1500</v>
      </c>
      <c r="K611" t="s">
        <v>298</v>
      </c>
      <c r="L611" t="s">
        <v>71</v>
      </c>
      <c r="M611" t="s">
        <v>47</v>
      </c>
      <c r="N611" t="b">
        <v>0</v>
      </c>
      <c r="O611" t="s">
        <v>299</v>
      </c>
    </row>
    <row r="612" spans="1:15" ht="15" customHeight="1">
      <c r="A612" t="s">
        <v>466</v>
      </c>
      <c r="B612" t="s">
        <v>1147</v>
      </c>
      <c r="C612" t="s">
        <v>149</v>
      </c>
      <c r="D612" t="s">
        <v>69</v>
      </c>
      <c r="E612">
        <v>9</v>
      </c>
      <c r="F612">
        <v>7.9</v>
      </c>
      <c r="G612">
        <v>0.88</v>
      </c>
      <c r="H612">
        <v>17</v>
      </c>
      <c r="I612">
        <v>3000</v>
      </c>
      <c r="J612">
        <v>1000</v>
      </c>
      <c r="K612" t="s">
        <v>634</v>
      </c>
      <c r="L612" t="s">
        <v>96</v>
      </c>
      <c r="M612" t="s">
        <v>48</v>
      </c>
      <c r="N612" t="b">
        <v>0</v>
      </c>
      <c r="O612" t="s">
        <v>158</v>
      </c>
    </row>
    <row r="613" spans="1:15" ht="15" customHeight="1">
      <c r="A613" t="s">
        <v>187</v>
      </c>
      <c r="B613" t="s">
        <v>1148</v>
      </c>
      <c r="C613" t="s">
        <v>149</v>
      </c>
      <c r="D613" t="s">
        <v>69</v>
      </c>
      <c r="E613">
        <v>10</v>
      </c>
      <c r="F613">
        <v>7</v>
      </c>
      <c r="G613">
        <v>0.7</v>
      </c>
      <c r="H613">
        <v>25</v>
      </c>
      <c r="I613">
        <v>3000</v>
      </c>
      <c r="J613">
        <v>1000</v>
      </c>
      <c r="K613" t="s">
        <v>479</v>
      </c>
      <c r="L613" t="s">
        <v>100</v>
      </c>
      <c r="M613" t="s">
        <v>40</v>
      </c>
      <c r="N613" t="b">
        <v>0</v>
      </c>
      <c r="O613" t="s">
        <v>480</v>
      </c>
    </row>
    <row r="614" spans="1:15" ht="15" customHeight="1">
      <c r="A614" t="s">
        <v>384</v>
      </c>
      <c r="B614" t="s">
        <v>1149</v>
      </c>
      <c r="C614" t="s">
        <v>68</v>
      </c>
      <c r="D614" t="s">
        <v>69</v>
      </c>
      <c r="E614">
        <v>11</v>
      </c>
      <c r="F614">
        <v>2.6</v>
      </c>
      <c r="G614">
        <v>0.24</v>
      </c>
      <c r="H614">
        <v>2</v>
      </c>
      <c r="I614">
        <v>30000</v>
      </c>
      <c r="J614">
        <v>5000</v>
      </c>
      <c r="K614" t="s">
        <v>162</v>
      </c>
      <c r="L614" t="s">
        <v>104</v>
      </c>
      <c r="M614" t="s">
        <v>47</v>
      </c>
      <c r="N614" t="b">
        <v>0</v>
      </c>
      <c r="O614" t="s">
        <v>163</v>
      </c>
    </row>
    <row r="615" spans="1:15" ht="15" customHeight="1">
      <c r="A615" t="s">
        <v>866</v>
      </c>
      <c r="B615" t="s">
        <v>1150</v>
      </c>
      <c r="C615" t="s">
        <v>149</v>
      </c>
      <c r="D615" t="s">
        <v>69</v>
      </c>
      <c r="E615">
        <v>10</v>
      </c>
      <c r="F615">
        <v>7.9</v>
      </c>
      <c r="G615">
        <v>0.79</v>
      </c>
      <c r="H615">
        <v>23</v>
      </c>
      <c r="I615">
        <v>3000</v>
      </c>
      <c r="J615">
        <v>1000</v>
      </c>
      <c r="K615" t="s">
        <v>229</v>
      </c>
      <c r="L615" t="s">
        <v>104</v>
      </c>
      <c r="M615" t="s">
        <v>40</v>
      </c>
      <c r="N615" t="b">
        <v>0</v>
      </c>
      <c r="O615" t="s">
        <v>249</v>
      </c>
    </row>
    <row r="616" spans="1:15" ht="15" customHeight="1">
      <c r="A616" t="s">
        <v>1151</v>
      </c>
      <c r="B616" t="s">
        <v>1152</v>
      </c>
      <c r="C616" t="s">
        <v>68</v>
      </c>
      <c r="D616" t="s">
        <v>69</v>
      </c>
      <c r="E616">
        <v>10</v>
      </c>
      <c r="F616">
        <v>0.7</v>
      </c>
      <c r="G616">
        <v>7.0000000000000007E-2</v>
      </c>
      <c r="H616">
        <v>4</v>
      </c>
      <c r="I616">
        <v>30000</v>
      </c>
      <c r="J616">
        <v>5000</v>
      </c>
      <c r="K616" t="s">
        <v>95</v>
      </c>
      <c r="L616" t="s">
        <v>77</v>
      </c>
      <c r="M616" t="s">
        <v>42</v>
      </c>
      <c r="N616" t="b">
        <v>0</v>
      </c>
      <c r="O616" t="s">
        <v>97</v>
      </c>
    </row>
    <row r="617" spans="1:15" ht="15" customHeight="1">
      <c r="A617" t="s">
        <v>1153</v>
      </c>
      <c r="B617" t="s">
        <v>1154</v>
      </c>
      <c r="C617" t="s">
        <v>149</v>
      </c>
      <c r="D617" t="s">
        <v>69</v>
      </c>
      <c r="E617">
        <v>11</v>
      </c>
      <c r="F617">
        <v>7.1</v>
      </c>
      <c r="G617">
        <v>0.65</v>
      </c>
      <c r="H617">
        <v>20</v>
      </c>
      <c r="I617">
        <v>3000</v>
      </c>
      <c r="J617">
        <v>1000</v>
      </c>
      <c r="K617" t="s">
        <v>162</v>
      </c>
      <c r="L617" t="s">
        <v>104</v>
      </c>
      <c r="M617" t="s">
        <v>40</v>
      </c>
      <c r="N617" t="b">
        <v>0</v>
      </c>
      <c r="O617" t="s">
        <v>180</v>
      </c>
    </row>
    <row r="618" spans="1:15" ht="15" customHeight="1">
      <c r="A618" t="s">
        <v>329</v>
      </c>
      <c r="B618" t="s">
        <v>1155</v>
      </c>
      <c r="C618" t="s">
        <v>81</v>
      </c>
      <c r="D618" t="s">
        <v>69</v>
      </c>
      <c r="E618">
        <v>20</v>
      </c>
      <c r="F618">
        <v>15.9</v>
      </c>
      <c r="G618">
        <v>0.8</v>
      </c>
      <c r="H618">
        <v>18</v>
      </c>
      <c r="I618">
        <v>10000</v>
      </c>
      <c r="J618">
        <v>3000</v>
      </c>
      <c r="K618" t="s">
        <v>142</v>
      </c>
      <c r="L618" t="s">
        <v>96</v>
      </c>
      <c r="M618" t="s">
        <v>49</v>
      </c>
      <c r="N618" t="b">
        <v>0</v>
      </c>
      <c r="O618" t="s">
        <v>143</v>
      </c>
    </row>
    <row r="619" spans="1:15" ht="15" customHeight="1">
      <c r="A619" t="s">
        <v>554</v>
      </c>
      <c r="B619" t="s">
        <v>1156</v>
      </c>
      <c r="C619" t="s">
        <v>129</v>
      </c>
      <c r="D619" t="s">
        <v>130</v>
      </c>
      <c r="E619">
        <v>15</v>
      </c>
      <c r="F619">
        <v>9</v>
      </c>
      <c r="G619">
        <v>0.6</v>
      </c>
      <c r="H619">
        <v>7</v>
      </c>
      <c r="I619">
        <v>5000</v>
      </c>
      <c r="J619">
        <v>1000</v>
      </c>
      <c r="K619" t="s">
        <v>1135</v>
      </c>
      <c r="L619" t="s">
        <v>71</v>
      </c>
      <c r="M619" t="s">
        <v>40</v>
      </c>
      <c r="N619" t="b">
        <v>0</v>
      </c>
      <c r="O619" t="s">
        <v>862</v>
      </c>
    </row>
    <row r="620" spans="1:15" ht="15" customHeight="1">
      <c r="A620" t="s">
        <v>561</v>
      </c>
      <c r="B620" t="s">
        <v>1157</v>
      </c>
      <c r="C620" t="s">
        <v>129</v>
      </c>
      <c r="D620" t="s">
        <v>130</v>
      </c>
      <c r="E620">
        <v>17</v>
      </c>
      <c r="F620">
        <v>4.5</v>
      </c>
      <c r="G620">
        <v>0.26</v>
      </c>
      <c r="H620">
        <v>18</v>
      </c>
      <c r="I620">
        <v>5000</v>
      </c>
      <c r="J620">
        <v>1000</v>
      </c>
      <c r="K620" t="s">
        <v>108</v>
      </c>
      <c r="L620" t="s">
        <v>71</v>
      </c>
      <c r="M620" t="s">
        <v>50</v>
      </c>
      <c r="N620" t="b">
        <v>0</v>
      </c>
      <c r="O620" t="s">
        <v>166</v>
      </c>
    </row>
    <row r="621" spans="1:15" ht="15" customHeight="1">
      <c r="A621" t="s">
        <v>811</v>
      </c>
      <c r="B621" t="s">
        <v>1158</v>
      </c>
      <c r="C621" t="s">
        <v>81</v>
      </c>
      <c r="D621" t="s">
        <v>69</v>
      </c>
      <c r="E621">
        <v>12</v>
      </c>
      <c r="F621">
        <v>7</v>
      </c>
      <c r="G621">
        <v>0.57999999999999996</v>
      </c>
      <c r="H621">
        <v>17</v>
      </c>
      <c r="I621">
        <v>10000</v>
      </c>
      <c r="J621">
        <v>3000</v>
      </c>
      <c r="K621" t="s">
        <v>389</v>
      </c>
      <c r="L621" t="s">
        <v>91</v>
      </c>
      <c r="M621" t="s">
        <v>46</v>
      </c>
      <c r="N621" t="b">
        <v>1</v>
      </c>
      <c r="O621" t="s">
        <v>390</v>
      </c>
    </row>
    <row r="622" spans="1:15" ht="15" customHeight="1">
      <c r="A622" t="s">
        <v>1159</v>
      </c>
      <c r="B622" t="s">
        <v>1160</v>
      </c>
      <c r="C622" t="s">
        <v>129</v>
      </c>
      <c r="D622" t="s">
        <v>130</v>
      </c>
      <c r="E622">
        <v>19</v>
      </c>
      <c r="F622">
        <v>11.5</v>
      </c>
      <c r="G622">
        <v>0.61</v>
      </c>
      <c r="H622">
        <v>27</v>
      </c>
      <c r="I622">
        <v>5000</v>
      </c>
      <c r="J622">
        <v>1000</v>
      </c>
      <c r="K622" t="s">
        <v>172</v>
      </c>
      <c r="L622" t="s">
        <v>100</v>
      </c>
      <c r="M622" t="s">
        <v>48</v>
      </c>
      <c r="N622" t="b">
        <v>0</v>
      </c>
      <c r="O622" t="s">
        <v>173</v>
      </c>
    </row>
    <row r="623" spans="1:15" ht="15" customHeight="1">
      <c r="A623" t="s">
        <v>471</v>
      </c>
      <c r="B623" t="s">
        <v>1161</v>
      </c>
      <c r="C623" t="s">
        <v>75</v>
      </c>
      <c r="D623" t="s">
        <v>69</v>
      </c>
      <c r="E623">
        <v>13</v>
      </c>
      <c r="F623">
        <v>6.6</v>
      </c>
      <c r="G623">
        <v>0.51</v>
      </c>
      <c r="H623">
        <v>25</v>
      </c>
      <c r="I623">
        <v>2000</v>
      </c>
      <c r="J623">
        <v>1500</v>
      </c>
      <c r="K623" t="s">
        <v>158</v>
      </c>
      <c r="L623" t="s">
        <v>117</v>
      </c>
      <c r="M623" t="s">
        <v>47</v>
      </c>
      <c r="N623" t="b">
        <v>1</v>
      </c>
      <c r="O623" t="s">
        <v>400</v>
      </c>
    </row>
    <row r="624" spans="1:15" ht="15" customHeight="1">
      <c r="A624" t="s">
        <v>875</v>
      </c>
      <c r="B624" t="s">
        <v>1162</v>
      </c>
      <c r="C624" t="s">
        <v>129</v>
      </c>
      <c r="D624" t="s">
        <v>130</v>
      </c>
      <c r="E624">
        <v>17</v>
      </c>
      <c r="F624">
        <v>7.7</v>
      </c>
      <c r="G624">
        <v>0.45</v>
      </c>
      <c r="H624">
        <v>24</v>
      </c>
      <c r="I624">
        <v>5000</v>
      </c>
      <c r="J624">
        <v>1000</v>
      </c>
      <c r="K624" t="s">
        <v>95</v>
      </c>
      <c r="L624" t="s">
        <v>96</v>
      </c>
      <c r="M624" t="s">
        <v>47</v>
      </c>
      <c r="N624" t="b">
        <v>0</v>
      </c>
      <c r="O624" t="s">
        <v>217</v>
      </c>
    </row>
    <row r="625" spans="1:15" ht="15" customHeight="1">
      <c r="A625" t="s">
        <v>505</v>
      </c>
      <c r="B625" t="s">
        <v>1163</v>
      </c>
      <c r="C625" t="s">
        <v>129</v>
      </c>
      <c r="D625" t="s">
        <v>130</v>
      </c>
      <c r="E625">
        <v>18</v>
      </c>
      <c r="F625">
        <v>17.100000000000001</v>
      </c>
      <c r="G625">
        <v>0.95</v>
      </c>
      <c r="H625">
        <v>10</v>
      </c>
      <c r="I625">
        <v>5000</v>
      </c>
      <c r="J625">
        <v>1000</v>
      </c>
      <c r="K625" t="s">
        <v>158</v>
      </c>
      <c r="L625" t="s">
        <v>100</v>
      </c>
      <c r="M625" t="s">
        <v>51</v>
      </c>
      <c r="N625" t="b">
        <v>0</v>
      </c>
      <c r="O625" t="s">
        <v>159</v>
      </c>
    </row>
    <row r="626" spans="1:15" ht="15" customHeight="1">
      <c r="A626" t="s">
        <v>315</v>
      </c>
      <c r="B626" t="s">
        <v>1164</v>
      </c>
      <c r="C626" t="s">
        <v>149</v>
      </c>
      <c r="D626" t="s">
        <v>69</v>
      </c>
      <c r="E626">
        <v>9</v>
      </c>
      <c r="F626">
        <v>6.3</v>
      </c>
      <c r="G626">
        <v>0.7</v>
      </c>
      <c r="H626">
        <v>28</v>
      </c>
      <c r="I626">
        <v>3000</v>
      </c>
      <c r="J626">
        <v>1000</v>
      </c>
      <c r="K626" t="s">
        <v>176</v>
      </c>
      <c r="L626" t="s">
        <v>104</v>
      </c>
      <c r="M626" t="s">
        <v>50</v>
      </c>
      <c r="N626" t="b">
        <v>0</v>
      </c>
      <c r="O626" t="s">
        <v>177</v>
      </c>
    </row>
    <row r="627" spans="1:15" ht="15" customHeight="1">
      <c r="A627" t="s">
        <v>416</v>
      </c>
      <c r="B627" t="s">
        <v>1165</v>
      </c>
      <c r="C627" t="s">
        <v>149</v>
      </c>
      <c r="D627" t="s">
        <v>69</v>
      </c>
      <c r="E627">
        <v>10</v>
      </c>
      <c r="F627">
        <v>9.1</v>
      </c>
      <c r="G627">
        <v>0.91</v>
      </c>
      <c r="H627">
        <v>16</v>
      </c>
      <c r="I627">
        <v>3000</v>
      </c>
      <c r="J627">
        <v>1000</v>
      </c>
      <c r="K627" t="s">
        <v>361</v>
      </c>
      <c r="L627" t="s">
        <v>77</v>
      </c>
      <c r="M627" t="s">
        <v>44</v>
      </c>
      <c r="N627" t="b">
        <v>0</v>
      </c>
      <c r="O627" t="s">
        <v>870</v>
      </c>
    </row>
    <row r="628" spans="1:15" ht="15" customHeight="1">
      <c r="A628" t="s">
        <v>1166</v>
      </c>
      <c r="B628" t="s">
        <v>1167</v>
      </c>
      <c r="C628" t="s">
        <v>129</v>
      </c>
      <c r="D628" t="s">
        <v>130</v>
      </c>
      <c r="E628">
        <v>16</v>
      </c>
      <c r="F628">
        <v>6</v>
      </c>
      <c r="G628">
        <v>0.38</v>
      </c>
      <c r="H628">
        <v>25</v>
      </c>
      <c r="I628">
        <v>5000</v>
      </c>
      <c r="J628">
        <v>1000</v>
      </c>
      <c r="K628" t="s">
        <v>245</v>
      </c>
      <c r="L628" t="s">
        <v>96</v>
      </c>
      <c r="M628" t="s">
        <v>46</v>
      </c>
      <c r="N628" t="b">
        <v>0</v>
      </c>
      <c r="O628" t="s">
        <v>246</v>
      </c>
    </row>
    <row r="629" spans="1:15" ht="15" customHeight="1">
      <c r="A629" t="s">
        <v>1168</v>
      </c>
      <c r="B629" t="s">
        <v>1169</v>
      </c>
      <c r="C629" t="s">
        <v>68</v>
      </c>
      <c r="D629" t="s">
        <v>69</v>
      </c>
      <c r="E629">
        <v>8</v>
      </c>
      <c r="F629">
        <v>1.9</v>
      </c>
      <c r="G629">
        <v>0.24</v>
      </c>
      <c r="H629">
        <v>4</v>
      </c>
      <c r="I629">
        <v>30000</v>
      </c>
      <c r="J629">
        <v>5000</v>
      </c>
      <c r="K629" t="s">
        <v>95</v>
      </c>
      <c r="L629" t="s">
        <v>91</v>
      </c>
      <c r="M629" t="s">
        <v>46</v>
      </c>
      <c r="N629" t="b">
        <v>1</v>
      </c>
      <c r="O629" t="s">
        <v>97</v>
      </c>
    </row>
    <row r="630" spans="1:15" ht="15" customHeight="1">
      <c r="A630" t="s">
        <v>903</v>
      </c>
      <c r="B630" t="s">
        <v>1170</v>
      </c>
      <c r="C630" t="s">
        <v>68</v>
      </c>
      <c r="D630" t="s">
        <v>69</v>
      </c>
      <c r="E630">
        <v>13</v>
      </c>
      <c r="F630">
        <v>1.4</v>
      </c>
      <c r="G630">
        <v>0.11</v>
      </c>
      <c r="H630">
        <v>4</v>
      </c>
      <c r="I630">
        <v>30000</v>
      </c>
      <c r="J630">
        <v>5000</v>
      </c>
      <c r="K630" t="s">
        <v>95</v>
      </c>
      <c r="L630" t="s">
        <v>117</v>
      </c>
      <c r="M630" t="s">
        <v>49</v>
      </c>
      <c r="N630" t="b">
        <v>1</v>
      </c>
      <c r="O630" t="s">
        <v>97</v>
      </c>
    </row>
    <row r="631" spans="1:15" ht="15" customHeight="1">
      <c r="A631" t="s">
        <v>544</v>
      </c>
      <c r="B631" t="s">
        <v>1171</v>
      </c>
      <c r="C631" t="s">
        <v>68</v>
      </c>
      <c r="D631" t="s">
        <v>69</v>
      </c>
      <c r="E631">
        <v>9</v>
      </c>
      <c r="F631">
        <v>1.1000000000000001</v>
      </c>
      <c r="G631">
        <v>0.12</v>
      </c>
      <c r="H631">
        <v>3</v>
      </c>
      <c r="I631">
        <v>30000</v>
      </c>
      <c r="J631">
        <v>5000</v>
      </c>
      <c r="K631" t="s">
        <v>108</v>
      </c>
      <c r="L631" t="s">
        <v>100</v>
      </c>
      <c r="M631" t="s">
        <v>42</v>
      </c>
      <c r="N631" t="b">
        <v>0</v>
      </c>
      <c r="O631" t="s">
        <v>109</v>
      </c>
    </row>
    <row r="632" spans="1:15" ht="15" customHeight="1">
      <c r="A632" t="s">
        <v>588</v>
      </c>
      <c r="B632" t="s">
        <v>1172</v>
      </c>
      <c r="C632" t="s">
        <v>129</v>
      </c>
      <c r="D632" t="s">
        <v>130</v>
      </c>
      <c r="E632">
        <v>9</v>
      </c>
      <c r="F632">
        <v>4.4000000000000004</v>
      </c>
      <c r="G632">
        <v>0.49</v>
      </c>
      <c r="H632">
        <v>29</v>
      </c>
      <c r="I632">
        <v>5000</v>
      </c>
      <c r="J632">
        <v>1000</v>
      </c>
      <c r="K632" t="s">
        <v>113</v>
      </c>
      <c r="L632" t="s">
        <v>104</v>
      </c>
      <c r="M632" t="s">
        <v>42</v>
      </c>
      <c r="N632" t="b">
        <v>0</v>
      </c>
      <c r="O632" t="s">
        <v>146</v>
      </c>
    </row>
    <row r="633" spans="1:15" ht="15" customHeight="1">
      <c r="A633" t="s">
        <v>160</v>
      </c>
      <c r="B633" t="s">
        <v>1173</v>
      </c>
      <c r="C633" t="s">
        <v>149</v>
      </c>
      <c r="D633" t="s">
        <v>69</v>
      </c>
      <c r="E633">
        <v>10</v>
      </c>
      <c r="F633">
        <v>8.1</v>
      </c>
      <c r="G633">
        <v>0.81</v>
      </c>
      <c r="H633">
        <v>32</v>
      </c>
      <c r="I633">
        <v>3000</v>
      </c>
      <c r="J633">
        <v>1000</v>
      </c>
      <c r="K633" t="s">
        <v>576</v>
      </c>
      <c r="L633" t="s">
        <v>71</v>
      </c>
      <c r="M633" t="s">
        <v>45</v>
      </c>
      <c r="N633" t="b">
        <v>0</v>
      </c>
      <c r="O633" t="s">
        <v>336</v>
      </c>
    </row>
    <row r="634" spans="1:15" ht="15" customHeight="1">
      <c r="A634" t="s">
        <v>903</v>
      </c>
      <c r="B634" t="s">
        <v>1174</v>
      </c>
      <c r="C634" t="s">
        <v>75</v>
      </c>
      <c r="D634" t="s">
        <v>69</v>
      </c>
      <c r="E634">
        <v>12</v>
      </c>
      <c r="F634">
        <v>5.8</v>
      </c>
      <c r="G634">
        <v>0.48</v>
      </c>
      <c r="H634">
        <v>21</v>
      </c>
      <c r="I634">
        <v>2000</v>
      </c>
      <c r="J634">
        <v>1500</v>
      </c>
      <c r="K634" t="s">
        <v>365</v>
      </c>
      <c r="L634" t="s">
        <v>117</v>
      </c>
      <c r="M634" t="s">
        <v>49</v>
      </c>
      <c r="N634" t="b">
        <v>1</v>
      </c>
      <c r="O634" t="s">
        <v>366</v>
      </c>
    </row>
    <row r="635" spans="1:15" ht="15" customHeight="1">
      <c r="A635" t="s">
        <v>447</v>
      </c>
      <c r="B635" t="s">
        <v>1175</v>
      </c>
      <c r="C635" t="s">
        <v>149</v>
      </c>
      <c r="D635" t="s">
        <v>69</v>
      </c>
      <c r="E635">
        <v>8</v>
      </c>
      <c r="F635">
        <v>7.2</v>
      </c>
      <c r="G635">
        <v>0.9</v>
      </c>
      <c r="H635">
        <v>36</v>
      </c>
      <c r="I635">
        <v>3000</v>
      </c>
      <c r="J635">
        <v>1000</v>
      </c>
      <c r="K635" t="s">
        <v>154</v>
      </c>
      <c r="L635" t="s">
        <v>71</v>
      </c>
      <c r="M635" t="s">
        <v>44</v>
      </c>
      <c r="N635" t="b">
        <v>0</v>
      </c>
      <c r="O635" t="s">
        <v>155</v>
      </c>
    </row>
    <row r="636" spans="1:15" ht="15" customHeight="1">
      <c r="A636" t="s">
        <v>891</v>
      </c>
      <c r="B636" t="s">
        <v>1176</v>
      </c>
      <c r="C636" t="s">
        <v>129</v>
      </c>
      <c r="D636" t="s">
        <v>130</v>
      </c>
      <c r="E636">
        <v>17</v>
      </c>
      <c r="F636">
        <v>3.2</v>
      </c>
      <c r="G636">
        <v>0.19</v>
      </c>
      <c r="H636">
        <v>16</v>
      </c>
      <c r="I636">
        <v>5000</v>
      </c>
      <c r="J636">
        <v>1000</v>
      </c>
      <c r="K636" t="s">
        <v>357</v>
      </c>
      <c r="L636" t="s">
        <v>77</v>
      </c>
      <c r="M636" t="s">
        <v>48</v>
      </c>
      <c r="N636" t="b">
        <v>0</v>
      </c>
      <c r="O636" t="s">
        <v>456</v>
      </c>
    </row>
    <row r="637" spans="1:15" ht="15" customHeight="1">
      <c r="A637" t="s">
        <v>1177</v>
      </c>
      <c r="B637" t="s">
        <v>1178</v>
      </c>
      <c r="C637" t="s">
        <v>75</v>
      </c>
      <c r="D637" t="s">
        <v>69</v>
      </c>
      <c r="E637">
        <v>14</v>
      </c>
      <c r="F637">
        <v>4.8</v>
      </c>
      <c r="G637">
        <v>0.34</v>
      </c>
      <c r="H637">
        <v>11</v>
      </c>
      <c r="I637">
        <v>2000</v>
      </c>
      <c r="J637">
        <v>1500</v>
      </c>
      <c r="K637" t="s">
        <v>689</v>
      </c>
      <c r="L637" t="s">
        <v>117</v>
      </c>
      <c r="M637" t="s">
        <v>42</v>
      </c>
      <c r="N637" t="b">
        <v>1</v>
      </c>
      <c r="O637" t="s">
        <v>690</v>
      </c>
    </row>
    <row r="638" spans="1:15" ht="15" customHeight="1">
      <c r="A638" t="s">
        <v>748</v>
      </c>
      <c r="B638" t="s">
        <v>1179</v>
      </c>
      <c r="C638" t="s">
        <v>68</v>
      </c>
      <c r="D638" t="s">
        <v>69</v>
      </c>
      <c r="E638">
        <v>11</v>
      </c>
      <c r="F638">
        <v>1.2</v>
      </c>
      <c r="G638">
        <v>0.11</v>
      </c>
      <c r="H638">
        <v>3</v>
      </c>
      <c r="I638">
        <v>30000</v>
      </c>
      <c r="J638">
        <v>5000</v>
      </c>
      <c r="K638" t="s">
        <v>108</v>
      </c>
      <c r="L638" t="s">
        <v>117</v>
      </c>
      <c r="M638" t="s">
        <v>42</v>
      </c>
      <c r="N638" t="b">
        <v>1</v>
      </c>
      <c r="O638" t="s">
        <v>109</v>
      </c>
    </row>
    <row r="639" spans="1:15" ht="15" customHeight="1">
      <c r="A639" t="s">
        <v>570</v>
      </c>
      <c r="B639" t="s">
        <v>1180</v>
      </c>
      <c r="C639" t="s">
        <v>149</v>
      </c>
      <c r="D639" t="s">
        <v>69</v>
      </c>
      <c r="E639">
        <v>8</v>
      </c>
      <c r="F639">
        <v>6.6</v>
      </c>
      <c r="G639">
        <v>0.82</v>
      </c>
      <c r="H639">
        <v>38</v>
      </c>
      <c r="I639">
        <v>3000</v>
      </c>
      <c r="J639">
        <v>1000</v>
      </c>
      <c r="K639" t="s">
        <v>220</v>
      </c>
      <c r="L639" t="s">
        <v>96</v>
      </c>
      <c r="M639" t="s">
        <v>44</v>
      </c>
      <c r="N639" t="b">
        <v>0</v>
      </c>
      <c r="O639" t="s">
        <v>785</v>
      </c>
    </row>
    <row r="640" spans="1:15" ht="15" customHeight="1">
      <c r="A640" t="s">
        <v>342</v>
      </c>
      <c r="B640" t="s">
        <v>1181</v>
      </c>
      <c r="C640" t="s">
        <v>129</v>
      </c>
      <c r="D640" t="s">
        <v>130</v>
      </c>
      <c r="E640">
        <v>8</v>
      </c>
      <c r="F640">
        <v>6.2</v>
      </c>
      <c r="G640">
        <v>0.78</v>
      </c>
      <c r="H640">
        <v>10</v>
      </c>
      <c r="I640">
        <v>5000</v>
      </c>
      <c r="J640">
        <v>1000</v>
      </c>
      <c r="K640" t="s">
        <v>158</v>
      </c>
      <c r="L640" t="s">
        <v>71</v>
      </c>
      <c r="M640" t="s">
        <v>46</v>
      </c>
      <c r="N640" t="b">
        <v>0</v>
      </c>
      <c r="O640" t="s">
        <v>159</v>
      </c>
    </row>
    <row r="641" spans="1:15" ht="15" customHeight="1">
      <c r="A641" t="s">
        <v>196</v>
      </c>
      <c r="B641" t="s">
        <v>1182</v>
      </c>
      <c r="C641" t="s">
        <v>75</v>
      </c>
      <c r="D641" t="s">
        <v>69</v>
      </c>
      <c r="E641">
        <v>12</v>
      </c>
      <c r="F641">
        <v>3.9</v>
      </c>
      <c r="G641">
        <v>0.33</v>
      </c>
      <c r="H641">
        <v>17</v>
      </c>
      <c r="I641">
        <v>2000</v>
      </c>
      <c r="J641">
        <v>1500</v>
      </c>
      <c r="K641" t="s">
        <v>862</v>
      </c>
      <c r="L641" t="s">
        <v>100</v>
      </c>
      <c r="M641" t="s">
        <v>47</v>
      </c>
      <c r="N641" t="b">
        <v>0</v>
      </c>
      <c r="O641" t="s">
        <v>863</v>
      </c>
    </row>
    <row r="642" spans="1:15" ht="15" customHeight="1">
      <c r="A642" t="s">
        <v>721</v>
      </c>
      <c r="B642" t="s">
        <v>1183</v>
      </c>
      <c r="C642" t="s">
        <v>129</v>
      </c>
      <c r="D642" t="s">
        <v>130</v>
      </c>
      <c r="E642">
        <v>14</v>
      </c>
      <c r="F642">
        <v>13.3</v>
      </c>
      <c r="G642">
        <v>0.95</v>
      </c>
      <c r="H642">
        <v>25</v>
      </c>
      <c r="I642">
        <v>5000</v>
      </c>
      <c r="J642">
        <v>1000</v>
      </c>
      <c r="K642" t="s">
        <v>245</v>
      </c>
      <c r="L642" t="s">
        <v>100</v>
      </c>
      <c r="M642" t="s">
        <v>49</v>
      </c>
      <c r="N642" t="b">
        <v>0</v>
      </c>
      <c r="O642" t="s">
        <v>246</v>
      </c>
    </row>
    <row r="643" spans="1:15" ht="15" customHeight="1">
      <c r="A643" t="s">
        <v>1022</v>
      </c>
      <c r="B643" t="s">
        <v>1184</v>
      </c>
      <c r="C643" t="s">
        <v>75</v>
      </c>
      <c r="D643" t="s">
        <v>69</v>
      </c>
      <c r="E643">
        <v>10</v>
      </c>
      <c r="F643">
        <v>3.7</v>
      </c>
      <c r="G643">
        <v>0.37</v>
      </c>
      <c r="H643">
        <v>20</v>
      </c>
      <c r="I643">
        <v>2000</v>
      </c>
      <c r="J643">
        <v>1500</v>
      </c>
      <c r="K643" t="s">
        <v>76</v>
      </c>
      <c r="L643" t="s">
        <v>104</v>
      </c>
      <c r="M643" t="s">
        <v>41</v>
      </c>
      <c r="N643" t="b">
        <v>0</v>
      </c>
      <c r="O643" t="s">
        <v>78</v>
      </c>
    </row>
    <row r="644" spans="1:15" ht="15" customHeight="1">
      <c r="A644" t="s">
        <v>1084</v>
      </c>
      <c r="B644" t="s">
        <v>1185</v>
      </c>
      <c r="C644" t="s">
        <v>81</v>
      </c>
      <c r="D644" t="s">
        <v>69</v>
      </c>
      <c r="E644">
        <v>9</v>
      </c>
      <c r="F644">
        <v>7.5</v>
      </c>
      <c r="G644">
        <v>0.83</v>
      </c>
      <c r="H644">
        <v>22</v>
      </c>
      <c r="I644">
        <v>10000</v>
      </c>
      <c r="J644">
        <v>3000</v>
      </c>
      <c r="K644" t="s">
        <v>548</v>
      </c>
      <c r="L644" t="s">
        <v>77</v>
      </c>
      <c r="M644" t="s">
        <v>44</v>
      </c>
      <c r="N644" t="b">
        <v>0</v>
      </c>
      <c r="O644" t="s">
        <v>549</v>
      </c>
    </row>
    <row r="645" spans="1:15" ht="15" customHeight="1">
      <c r="A645" t="s">
        <v>1186</v>
      </c>
      <c r="B645" t="s">
        <v>1187</v>
      </c>
      <c r="C645" t="s">
        <v>68</v>
      </c>
      <c r="D645" t="s">
        <v>69</v>
      </c>
      <c r="E645">
        <v>10</v>
      </c>
      <c r="F645">
        <v>2.8</v>
      </c>
      <c r="G645">
        <v>0.28000000000000003</v>
      </c>
      <c r="H645">
        <v>2</v>
      </c>
      <c r="I645">
        <v>30000</v>
      </c>
      <c r="J645">
        <v>5000</v>
      </c>
      <c r="K645" t="s">
        <v>162</v>
      </c>
      <c r="L645" t="s">
        <v>96</v>
      </c>
      <c r="M645" t="s">
        <v>42</v>
      </c>
      <c r="N645" t="b">
        <v>0</v>
      </c>
      <c r="O645" t="s">
        <v>163</v>
      </c>
    </row>
    <row r="646" spans="1:15" ht="15" customHeight="1">
      <c r="A646" t="s">
        <v>1188</v>
      </c>
      <c r="B646" t="s">
        <v>1189</v>
      </c>
      <c r="C646" t="s">
        <v>68</v>
      </c>
      <c r="D646" t="s">
        <v>69</v>
      </c>
      <c r="E646">
        <v>11</v>
      </c>
      <c r="F646">
        <v>2</v>
      </c>
      <c r="G646">
        <v>0.18</v>
      </c>
      <c r="H646">
        <v>4</v>
      </c>
      <c r="I646">
        <v>30000</v>
      </c>
      <c r="J646">
        <v>5000</v>
      </c>
      <c r="K646" t="s">
        <v>95</v>
      </c>
      <c r="L646" t="s">
        <v>117</v>
      </c>
      <c r="M646" t="s">
        <v>50</v>
      </c>
      <c r="N646" t="b">
        <v>1</v>
      </c>
      <c r="O646" t="s">
        <v>97</v>
      </c>
    </row>
    <row r="647" spans="1:15" ht="15" customHeight="1">
      <c r="A647" t="s">
        <v>505</v>
      </c>
      <c r="B647" t="s">
        <v>1190</v>
      </c>
      <c r="C647" t="s">
        <v>68</v>
      </c>
      <c r="D647" t="s">
        <v>69</v>
      </c>
      <c r="E647">
        <v>15</v>
      </c>
      <c r="F647">
        <v>2</v>
      </c>
      <c r="G647">
        <v>0.13</v>
      </c>
      <c r="H647">
        <v>3</v>
      </c>
      <c r="I647">
        <v>30000</v>
      </c>
      <c r="J647">
        <v>5000</v>
      </c>
      <c r="K647" t="s">
        <v>108</v>
      </c>
      <c r="L647" t="s">
        <v>100</v>
      </c>
      <c r="M647" t="s">
        <v>51</v>
      </c>
      <c r="N647" t="b">
        <v>0</v>
      </c>
      <c r="O647" t="s">
        <v>109</v>
      </c>
    </row>
    <row r="648" spans="1:15" ht="15" customHeight="1">
      <c r="A648" t="s">
        <v>801</v>
      </c>
      <c r="B648" t="s">
        <v>1191</v>
      </c>
      <c r="C648" t="s">
        <v>81</v>
      </c>
      <c r="D648" t="s">
        <v>69</v>
      </c>
      <c r="E648">
        <v>9</v>
      </c>
      <c r="F648">
        <v>3.9</v>
      </c>
      <c r="G648">
        <v>0.43</v>
      </c>
      <c r="H648">
        <v>26</v>
      </c>
      <c r="I648">
        <v>10000</v>
      </c>
      <c r="J648">
        <v>3000</v>
      </c>
      <c r="K648" t="s">
        <v>525</v>
      </c>
      <c r="L648" t="s">
        <v>91</v>
      </c>
      <c r="M648" t="s">
        <v>40</v>
      </c>
      <c r="N648" t="b">
        <v>1</v>
      </c>
      <c r="O648" t="s">
        <v>526</v>
      </c>
    </row>
    <row r="649" spans="1:15" ht="15" customHeight="1">
      <c r="A649" t="s">
        <v>877</v>
      </c>
      <c r="B649" t="s">
        <v>1192</v>
      </c>
      <c r="C649" t="s">
        <v>129</v>
      </c>
      <c r="D649" t="s">
        <v>130</v>
      </c>
      <c r="E649">
        <v>18</v>
      </c>
      <c r="F649">
        <v>11.8</v>
      </c>
      <c r="G649">
        <v>0.66</v>
      </c>
      <c r="H649">
        <v>11</v>
      </c>
      <c r="I649">
        <v>5000</v>
      </c>
      <c r="J649">
        <v>1000</v>
      </c>
      <c r="K649" t="s">
        <v>163</v>
      </c>
      <c r="L649" t="s">
        <v>91</v>
      </c>
      <c r="M649" t="s">
        <v>40</v>
      </c>
      <c r="N649" t="b">
        <v>1</v>
      </c>
      <c r="O649" t="s">
        <v>150</v>
      </c>
    </row>
    <row r="650" spans="1:15" ht="15" customHeight="1">
      <c r="A650" t="s">
        <v>296</v>
      </c>
      <c r="B650" t="s">
        <v>1193</v>
      </c>
      <c r="C650" t="s">
        <v>68</v>
      </c>
      <c r="D650" t="s">
        <v>69</v>
      </c>
      <c r="E650">
        <v>16</v>
      </c>
      <c r="F650">
        <v>1.3</v>
      </c>
      <c r="G650">
        <v>0.08</v>
      </c>
      <c r="H650">
        <v>4</v>
      </c>
      <c r="I650">
        <v>30000</v>
      </c>
      <c r="J650">
        <v>5000</v>
      </c>
      <c r="K650" t="s">
        <v>95</v>
      </c>
      <c r="L650" t="s">
        <v>100</v>
      </c>
      <c r="M650" t="s">
        <v>50</v>
      </c>
      <c r="N650" t="b">
        <v>0</v>
      </c>
      <c r="O650" t="s">
        <v>97</v>
      </c>
    </row>
    <row r="651" spans="1:15" ht="15" customHeight="1">
      <c r="A651" t="s">
        <v>1194</v>
      </c>
      <c r="B651" t="s">
        <v>1195</v>
      </c>
      <c r="C651" t="s">
        <v>149</v>
      </c>
      <c r="D651" t="s">
        <v>69</v>
      </c>
      <c r="E651">
        <v>12</v>
      </c>
      <c r="F651">
        <v>11.1</v>
      </c>
      <c r="G651">
        <v>0.92</v>
      </c>
      <c r="H651">
        <v>22</v>
      </c>
      <c r="I651">
        <v>3000</v>
      </c>
      <c r="J651">
        <v>1000</v>
      </c>
      <c r="K651" t="s">
        <v>556</v>
      </c>
      <c r="L651" t="s">
        <v>104</v>
      </c>
      <c r="M651" t="s">
        <v>50</v>
      </c>
      <c r="N651" t="b">
        <v>0</v>
      </c>
      <c r="O651" t="s">
        <v>313</v>
      </c>
    </row>
    <row r="652" spans="1:15" ht="15" customHeight="1">
      <c r="A652" t="s">
        <v>650</v>
      </c>
      <c r="B652" t="s">
        <v>1196</v>
      </c>
      <c r="C652" t="s">
        <v>81</v>
      </c>
      <c r="D652" t="s">
        <v>69</v>
      </c>
      <c r="E652">
        <v>9</v>
      </c>
      <c r="F652">
        <v>5.4</v>
      </c>
      <c r="G652">
        <v>0.6</v>
      </c>
      <c r="H652">
        <v>9</v>
      </c>
      <c r="I652">
        <v>10000</v>
      </c>
      <c r="J652">
        <v>3000</v>
      </c>
      <c r="K652" t="s">
        <v>108</v>
      </c>
      <c r="L652" t="s">
        <v>100</v>
      </c>
      <c r="M652" t="s">
        <v>46</v>
      </c>
      <c r="N652" t="b">
        <v>0</v>
      </c>
      <c r="O652" t="s">
        <v>303</v>
      </c>
    </row>
    <row r="653" spans="1:15" ht="15" customHeight="1">
      <c r="A653" t="s">
        <v>187</v>
      </c>
      <c r="B653" t="s">
        <v>1197</v>
      </c>
      <c r="C653" t="s">
        <v>149</v>
      </c>
      <c r="D653" t="s">
        <v>69</v>
      </c>
      <c r="E653">
        <v>10</v>
      </c>
      <c r="F653">
        <v>7.7</v>
      </c>
      <c r="G653">
        <v>0.77</v>
      </c>
      <c r="H653">
        <v>18</v>
      </c>
      <c r="I653">
        <v>3000</v>
      </c>
      <c r="J653">
        <v>1000</v>
      </c>
      <c r="K653" t="s">
        <v>150</v>
      </c>
      <c r="L653" t="s">
        <v>100</v>
      </c>
      <c r="M653" t="s">
        <v>40</v>
      </c>
      <c r="N653" t="b">
        <v>0</v>
      </c>
      <c r="O653" t="s">
        <v>151</v>
      </c>
    </row>
    <row r="654" spans="1:15" ht="15" customHeight="1">
      <c r="A654" t="s">
        <v>199</v>
      </c>
      <c r="B654" t="s">
        <v>1198</v>
      </c>
      <c r="C654" t="s">
        <v>75</v>
      </c>
      <c r="D654" t="s">
        <v>69</v>
      </c>
      <c r="E654">
        <v>8</v>
      </c>
      <c r="F654">
        <v>3.5</v>
      </c>
      <c r="G654">
        <v>0.44</v>
      </c>
      <c r="H654">
        <v>27</v>
      </c>
      <c r="I654">
        <v>2000</v>
      </c>
      <c r="J654">
        <v>1500</v>
      </c>
      <c r="K654" t="s">
        <v>150</v>
      </c>
      <c r="L654" t="s">
        <v>100</v>
      </c>
      <c r="M654" t="s">
        <v>44</v>
      </c>
      <c r="N654" t="b">
        <v>0</v>
      </c>
      <c r="O654" t="s">
        <v>528</v>
      </c>
    </row>
    <row r="655" spans="1:15" ht="15" customHeight="1">
      <c r="A655" t="s">
        <v>386</v>
      </c>
      <c r="B655" t="s">
        <v>1199</v>
      </c>
      <c r="C655" t="s">
        <v>81</v>
      </c>
      <c r="D655" t="s">
        <v>69</v>
      </c>
      <c r="E655">
        <v>15</v>
      </c>
      <c r="F655">
        <v>11.9</v>
      </c>
      <c r="G655">
        <v>0.79</v>
      </c>
      <c r="H655">
        <v>8</v>
      </c>
      <c r="I655">
        <v>10000</v>
      </c>
      <c r="J655">
        <v>3000</v>
      </c>
      <c r="K655" t="s">
        <v>357</v>
      </c>
      <c r="L655" t="s">
        <v>77</v>
      </c>
      <c r="M655" t="s">
        <v>42</v>
      </c>
      <c r="N655" t="b">
        <v>0</v>
      </c>
      <c r="O655" t="s">
        <v>295</v>
      </c>
    </row>
    <row r="656" spans="1:15" ht="15" customHeight="1">
      <c r="A656" t="s">
        <v>505</v>
      </c>
      <c r="B656" t="s">
        <v>1200</v>
      </c>
      <c r="C656" t="s">
        <v>149</v>
      </c>
      <c r="D656" t="s">
        <v>69</v>
      </c>
      <c r="E656">
        <v>10</v>
      </c>
      <c r="F656">
        <v>7.4</v>
      </c>
      <c r="G656">
        <v>0.74</v>
      </c>
      <c r="H656">
        <v>33</v>
      </c>
      <c r="I656">
        <v>3000</v>
      </c>
      <c r="J656">
        <v>1000</v>
      </c>
      <c r="K656" t="s">
        <v>169</v>
      </c>
      <c r="L656" t="s">
        <v>100</v>
      </c>
      <c r="M656" t="s">
        <v>51</v>
      </c>
      <c r="N656" t="b">
        <v>0</v>
      </c>
      <c r="O656" t="s">
        <v>702</v>
      </c>
    </row>
    <row r="657" spans="1:15" ht="15" customHeight="1">
      <c r="A657" t="s">
        <v>570</v>
      </c>
      <c r="B657" t="s">
        <v>1201</v>
      </c>
      <c r="C657" t="s">
        <v>75</v>
      </c>
      <c r="D657" t="s">
        <v>69</v>
      </c>
      <c r="E657">
        <v>13</v>
      </c>
      <c r="F657">
        <v>11.3</v>
      </c>
      <c r="G657">
        <v>0.87</v>
      </c>
      <c r="H657">
        <v>17</v>
      </c>
      <c r="I657">
        <v>2000</v>
      </c>
      <c r="J657">
        <v>1500</v>
      </c>
      <c r="K657" t="s">
        <v>862</v>
      </c>
      <c r="L657" t="s">
        <v>96</v>
      </c>
      <c r="M657" t="s">
        <v>44</v>
      </c>
      <c r="N657" t="b">
        <v>0</v>
      </c>
      <c r="O657" t="s">
        <v>863</v>
      </c>
    </row>
    <row r="658" spans="1:15" ht="15" customHeight="1">
      <c r="A658" t="s">
        <v>1202</v>
      </c>
      <c r="B658" t="s">
        <v>1203</v>
      </c>
      <c r="C658" t="s">
        <v>68</v>
      </c>
      <c r="D658" t="s">
        <v>69</v>
      </c>
      <c r="E658">
        <v>15</v>
      </c>
      <c r="F658">
        <v>1.5</v>
      </c>
      <c r="G658">
        <v>0.1</v>
      </c>
      <c r="H658">
        <v>4</v>
      </c>
      <c r="I658">
        <v>30000</v>
      </c>
      <c r="J658">
        <v>5000</v>
      </c>
      <c r="K658" t="s">
        <v>95</v>
      </c>
      <c r="L658" t="s">
        <v>100</v>
      </c>
      <c r="M658" t="s">
        <v>45</v>
      </c>
      <c r="N658" t="b">
        <v>0</v>
      </c>
      <c r="O658" t="s">
        <v>97</v>
      </c>
    </row>
    <row r="659" spans="1:15" ht="15" customHeight="1">
      <c r="A659" t="s">
        <v>957</v>
      </c>
      <c r="B659" t="s">
        <v>1204</v>
      </c>
      <c r="C659" t="s">
        <v>75</v>
      </c>
      <c r="D659" t="s">
        <v>69</v>
      </c>
      <c r="E659">
        <v>16</v>
      </c>
      <c r="F659">
        <v>14.6</v>
      </c>
      <c r="G659">
        <v>0.91</v>
      </c>
      <c r="H659">
        <v>22</v>
      </c>
      <c r="I659">
        <v>2000</v>
      </c>
      <c r="J659">
        <v>1500</v>
      </c>
      <c r="K659" t="s">
        <v>90</v>
      </c>
      <c r="L659" t="s">
        <v>96</v>
      </c>
      <c r="M659" t="s">
        <v>48</v>
      </c>
      <c r="N659" t="b">
        <v>0</v>
      </c>
      <c r="O659" t="s">
        <v>92</v>
      </c>
    </row>
    <row r="660" spans="1:15" ht="15" customHeight="1">
      <c r="A660" t="s">
        <v>273</v>
      </c>
      <c r="B660" t="s">
        <v>1205</v>
      </c>
      <c r="C660" t="s">
        <v>68</v>
      </c>
      <c r="D660" t="s">
        <v>69</v>
      </c>
      <c r="E660">
        <v>15</v>
      </c>
      <c r="F660">
        <v>1.5</v>
      </c>
      <c r="G660">
        <v>0.1</v>
      </c>
      <c r="H660">
        <v>3</v>
      </c>
      <c r="I660">
        <v>30000</v>
      </c>
      <c r="J660">
        <v>5000</v>
      </c>
      <c r="K660" t="s">
        <v>108</v>
      </c>
      <c r="L660" t="s">
        <v>96</v>
      </c>
      <c r="M660" t="s">
        <v>50</v>
      </c>
      <c r="N660" t="b">
        <v>0</v>
      </c>
      <c r="O660" t="s">
        <v>109</v>
      </c>
    </row>
    <row r="661" spans="1:15" ht="15" customHeight="1">
      <c r="A661" t="s">
        <v>796</v>
      </c>
      <c r="B661" t="s">
        <v>1206</v>
      </c>
      <c r="C661" t="s">
        <v>129</v>
      </c>
      <c r="D661" t="s">
        <v>130</v>
      </c>
      <c r="E661">
        <v>8</v>
      </c>
      <c r="F661">
        <v>5</v>
      </c>
      <c r="G661">
        <v>0.62</v>
      </c>
      <c r="H661">
        <v>7</v>
      </c>
      <c r="I661">
        <v>5000</v>
      </c>
      <c r="J661">
        <v>1000</v>
      </c>
      <c r="K661" t="s">
        <v>1135</v>
      </c>
      <c r="L661" t="s">
        <v>91</v>
      </c>
      <c r="M661" t="s">
        <v>43</v>
      </c>
      <c r="N661" t="b">
        <v>1</v>
      </c>
      <c r="O661" t="s">
        <v>862</v>
      </c>
    </row>
    <row r="662" spans="1:15" ht="15" customHeight="1">
      <c r="A662" t="s">
        <v>181</v>
      </c>
      <c r="B662" t="s">
        <v>1207</v>
      </c>
      <c r="C662" t="s">
        <v>129</v>
      </c>
      <c r="D662" t="s">
        <v>130</v>
      </c>
      <c r="E662">
        <v>13</v>
      </c>
      <c r="F662">
        <v>7.7</v>
      </c>
      <c r="G662">
        <v>0.59</v>
      </c>
      <c r="H662">
        <v>23</v>
      </c>
      <c r="I662">
        <v>5000</v>
      </c>
      <c r="J662">
        <v>1000</v>
      </c>
      <c r="K662" t="s">
        <v>97</v>
      </c>
      <c r="L662" t="s">
        <v>71</v>
      </c>
      <c r="M662" t="s">
        <v>42</v>
      </c>
      <c r="N662" t="b">
        <v>0</v>
      </c>
      <c r="O662" t="s">
        <v>220</v>
      </c>
    </row>
    <row r="663" spans="1:15" ht="15" customHeight="1">
      <c r="A663" t="s">
        <v>1208</v>
      </c>
      <c r="B663" t="s">
        <v>1209</v>
      </c>
      <c r="C663" t="s">
        <v>149</v>
      </c>
      <c r="D663" t="s">
        <v>69</v>
      </c>
      <c r="E663">
        <v>10</v>
      </c>
      <c r="F663">
        <v>7.5</v>
      </c>
      <c r="G663">
        <v>0.75</v>
      </c>
      <c r="H663">
        <v>22</v>
      </c>
      <c r="I663">
        <v>3000</v>
      </c>
      <c r="J663">
        <v>1000</v>
      </c>
      <c r="K663" t="s">
        <v>556</v>
      </c>
      <c r="L663" t="s">
        <v>117</v>
      </c>
      <c r="M663" t="s">
        <v>43</v>
      </c>
      <c r="N663" t="b">
        <v>1</v>
      </c>
      <c r="O663" t="s">
        <v>313</v>
      </c>
    </row>
    <row r="664" spans="1:15" ht="15" customHeight="1">
      <c r="A664" t="s">
        <v>1022</v>
      </c>
      <c r="B664" t="s">
        <v>1210</v>
      </c>
      <c r="C664" t="s">
        <v>149</v>
      </c>
      <c r="D664" t="s">
        <v>69</v>
      </c>
      <c r="E664">
        <v>9</v>
      </c>
      <c r="F664">
        <v>7.2</v>
      </c>
      <c r="G664">
        <v>0.8</v>
      </c>
      <c r="H664">
        <v>35</v>
      </c>
      <c r="I664">
        <v>3000</v>
      </c>
      <c r="J664">
        <v>1000</v>
      </c>
      <c r="K664" t="s">
        <v>131</v>
      </c>
      <c r="L664" t="s">
        <v>104</v>
      </c>
      <c r="M664" t="s">
        <v>41</v>
      </c>
      <c r="N664" t="b">
        <v>0</v>
      </c>
      <c r="O664" t="s">
        <v>132</v>
      </c>
    </row>
    <row r="665" spans="1:15" ht="15" customHeight="1">
      <c r="A665" t="s">
        <v>1211</v>
      </c>
      <c r="B665" t="s">
        <v>1212</v>
      </c>
      <c r="C665" t="s">
        <v>75</v>
      </c>
      <c r="D665" t="s">
        <v>69</v>
      </c>
      <c r="E665">
        <v>10</v>
      </c>
      <c r="F665">
        <v>9.9</v>
      </c>
      <c r="G665">
        <v>0.99</v>
      </c>
      <c r="H665">
        <v>28</v>
      </c>
      <c r="I665">
        <v>2000</v>
      </c>
      <c r="J665">
        <v>1500</v>
      </c>
      <c r="K665" t="s">
        <v>262</v>
      </c>
      <c r="L665" t="s">
        <v>91</v>
      </c>
      <c r="M665" t="s">
        <v>49</v>
      </c>
      <c r="N665" t="b">
        <v>1</v>
      </c>
      <c r="O665" t="s">
        <v>289</v>
      </c>
    </row>
    <row r="666" spans="1:15" ht="15" customHeight="1">
      <c r="A666" t="s">
        <v>1213</v>
      </c>
      <c r="B666" t="s">
        <v>1214</v>
      </c>
      <c r="C666" t="s">
        <v>68</v>
      </c>
      <c r="D666" t="s">
        <v>69</v>
      </c>
      <c r="E666">
        <v>15</v>
      </c>
      <c r="F666">
        <v>3.5</v>
      </c>
      <c r="G666">
        <v>0.23</v>
      </c>
      <c r="H666">
        <v>4</v>
      </c>
      <c r="I666">
        <v>30000</v>
      </c>
      <c r="J666">
        <v>5000</v>
      </c>
      <c r="K666" t="s">
        <v>95</v>
      </c>
      <c r="L666" t="s">
        <v>100</v>
      </c>
      <c r="M666" t="s">
        <v>41</v>
      </c>
      <c r="N666" t="b">
        <v>0</v>
      </c>
      <c r="O666" t="s">
        <v>97</v>
      </c>
    </row>
    <row r="667" spans="1:15" ht="15" customHeight="1">
      <c r="A667" t="s">
        <v>423</v>
      </c>
      <c r="B667" t="s">
        <v>1215</v>
      </c>
      <c r="C667" t="s">
        <v>68</v>
      </c>
      <c r="D667" t="s">
        <v>69</v>
      </c>
      <c r="E667">
        <v>13</v>
      </c>
      <c r="F667">
        <v>3.3</v>
      </c>
      <c r="G667">
        <v>0.25</v>
      </c>
      <c r="H667">
        <v>4</v>
      </c>
      <c r="I667">
        <v>30000</v>
      </c>
      <c r="J667">
        <v>5000</v>
      </c>
      <c r="K667" t="s">
        <v>95</v>
      </c>
      <c r="L667" t="s">
        <v>117</v>
      </c>
      <c r="M667" t="s">
        <v>40</v>
      </c>
      <c r="N667" t="b">
        <v>1</v>
      </c>
      <c r="O667" t="s">
        <v>97</v>
      </c>
    </row>
    <row r="668" spans="1:15" ht="15" customHeight="1">
      <c r="A668" t="s">
        <v>281</v>
      </c>
      <c r="B668" t="s">
        <v>1216</v>
      </c>
      <c r="C668" t="s">
        <v>129</v>
      </c>
      <c r="D668" t="s">
        <v>130</v>
      </c>
      <c r="E668">
        <v>18</v>
      </c>
      <c r="F668">
        <v>13.9</v>
      </c>
      <c r="G668">
        <v>0.77</v>
      </c>
      <c r="H668">
        <v>29</v>
      </c>
      <c r="I668">
        <v>5000</v>
      </c>
      <c r="J668">
        <v>1000</v>
      </c>
      <c r="K668" t="s">
        <v>113</v>
      </c>
      <c r="L668" t="s">
        <v>77</v>
      </c>
      <c r="M668" t="s">
        <v>51</v>
      </c>
      <c r="N668" t="b">
        <v>0</v>
      </c>
      <c r="O668" t="s">
        <v>146</v>
      </c>
    </row>
    <row r="669" spans="1:15" ht="15" customHeight="1">
      <c r="A669" t="s">
        <v>106</v>
      </c>
      <c r="B669" t="s">
        <v>1217</v>
      </c>
      <c r="C669" t="s">
        <v>68</v>
      </c>
      <c r="D669" t="s">
        <v>69</v>
      </c>
      <c r="E669">
        <v>8</v>
      </c>
      <c r="F669">
        <v>2.2000000000000002</v>
      </c>
      <c r="G669">
        <v>0.28000000000000003</v>
      </c>
      <c r="H669">
        <v>5</v>
      </c>
      <c r="I669">
        <v>30000</v>
      </c>
      <c r="J669">
        <v>5000</v>
      </c>
      <c r="K669" t="s">
        <v>112</v>
      </c>
      <c r="L669" t="s">
        <v>71</v>
      </c>
      <c r="M669" t="s">
        <v>49</v>
      </c>
      <c r="N669" t="b">
        <v>0</v>
      </c>
      <c r="O669" t="s">
        <v>113</v>
      </c>
    </row>
    <row r="670" spans="1:15" ht="15" customHeight="1">
      <c r="A670" t="s">
        <v>1133</v>
      </c>
      <c r="B670" t="s">
        <v>1218</v>
      </c>
      <c r="C670" t="s">
        <v>75</v>
      </c>
      <c r="D670" t="s">
        <v>69</v>
      </c>
      <c r="E670">
        <v>14</v>
      </c>
      <c r="F670">
        <v>11.8</v>
      </c>
      <c r="G670">
        <v>0.84</v>
      </c>
      <c r="H670">
        <v>9</v>
      </c>
      <c r="I670">
        <v>2000</v>
      </c>
      <c r="J670">
        <v>1500</v>
      </c>
      <c r="K670" t="s">
        <v>740</v>
      </c>
      <c r="L670" t="s">
        <v>96</v>
      </c>
      <c r="M670" t="s">
        <v>49</v>
      </c>
      <c r="N670" t="b">
        <v>0</v>
      </c>
      <c r="O670" t="s">
        <v>741</v>
      </c>
    </row>
    <row r="671" spans="1:15" ht="15" customHeight="1">
      <c r="A671" t="s">
        <v>402</v>
      </c>
      <c r="B671" t="s">
        <v>1219</v>
      </c>
      <c r="C671" t="s">
        <v>81</v>
      </c>
      <c r="D671" t="s">
        <v>69</v>
      </c>
      <c r="E671">
        <v>18</v>
      </c>
      <c r="F671">
        <v>9.1999999999999993</v>
      </c>
      <c r="G671">
        <v>0.51</v>
      </c>
      <c r="H671">
        <v>16</v>
      </c>
      <c r="I671">
        <v>10000</v>
      </c>
      <c r="J671">
        <v>3000</v>
      </c>
      <c r="K671" t="s">
        <v>283</v>
      </c>
      <c r="L671" t="s">
        <v>71</v>
      </c>
      <c r="M671" t="s">
        <v>41</v>
      </c>
      <c r="N671" t="b">
        <v>0</v>
      </c>
      <c r="O671" t="s">
        <v>284</v>
      </c>
    </row>
    <row r="672" spans="1:15" ht="15" customHeight="1">
      <c r="A672" t="s">
        <v>321</v>
      </c>
      <c r="B672" t="s">
        <v>1220</v>
      </c>
      <c r="C672" t="s">
        <v>68</v>
      </c>
      <c r="D672" t="s">
        <v>69</v>
      </c>
      <c r="E672">
        <v>12</v>
      </c>
      <c r="F672">
        <v>3.5</v>
      </c>
      <c r="G672">
        <v>0.28999999999999998</v>
      </c>
      <c r="H672">
        <v>1</v>
      </c>
      <c r="I672">
        <v>30000</v>
      </c>
      <c r="J672">
        <v>5000</v>
      </c>
      <c r="K672" t="s">
        <v>70</v>
      </c>
      <c r="L672" t="s">
        <v>91</v>
      </c>
      <c r="M672" t="s">
        <v>50</v>
      </c>
      <c r="N672" t="b">
        <v>1</v>
      </c>
      <c r="O672" t="s">
        <v>72</v>
      </c>
    </row>
    <row r="673" spans="1:15" ht="15" customHeight="1">
      <c r="A673" t="s">
        <v>601</v>
      </c>
      <c r="B673" t="s">
        <v>1221</v>
      </c>
      <c r="C673" t="s">
        <v>81</v>
      </c>
      <c r="D673" t="s">
        <v>69</v>
      </c>
      <c r="E673">
        <v>17</v>
      </c>
      <c r="F673">
        <v>12.5</v>
      </c>
      <c r="G673">
        <v>0.74</v>
      </c>
      <c r="H673">
        <v>12</v>
      </c>
      <c r="I673">
        <v>10000</v>
      </c>
      <c r="J673">
        <v>3000</v>
      </c>
      <c r="K673" t="s">
        <v>95</v>
      </c>
      <c r="L673" t="s">
        <v>117</v>
      </c>
      <c r="M673" t="s">
        <v>40</v>
      </c>
      <c r="N673" t="b">
        <v>1</v>
      </c>
      <c r="O673" t="s">
        <v>257</v>
      </c>
    </row>
    <row r="674" spans="1:15" ht="15" customHeight="1">
      <c r="A674" t="s">
        <v>441</v>
      </c>
      <c r="B674" t="s">
        <v>1222</v>
      </c>
      <c r="C674" t="s">
        <v>81</v>
      </c>
      <c r="D674" t="s">
        <v>69</v>
      </c>
      <c r="E674">
        <v>10</v>
      </c>
      <c r="F674">
        <v>4.3</v>
      </c>
      <c r="G674">
        <v>0.43</v>
      </c>
      <c r="H674">
        <v>11</v>
      </c>
      <c r="I674">
        <v>10000</v>
      </c>
      <c r="J674">
        <v>3000</v>
      </c>
      <c r="K674" t="s">
        <v>134</v>
      </c>
      <c r="L674" t="s">
        <v>77</v>
      </c>
      <c r="M674" t="s">
        <v>43</v>
      </c>
      <c r="N674" t="b">
        <v>0</v>
      </c>
      <c r="O674" t="s">
        <v>155</v>
      </c>
    </row>
    <row r="675" spans="1:15" ht="15" customHeight="1">
      <c r="A675" t="s">
        <v>110</v>
      </c>
      <c r="B675" t="s">
        <v>1223</v>
      </c>
      <c r="C675" t="s">
        <v>129</v>
      </c>
      <c r="D675" t="s">
        <v>130</v>
      </c>
      <c r="E675">
        <v>18</v>
      </c>
      <c r="F675">
        <v>12.7</v>
      </c>
      <c r="G675">
        <v>0.71</v>
      </c>
      <c r="H675">
        <v>30</v>
      </c>
      <c r="I675">
        <v>5000</v>
      </c>
      <c r="J675">
        <v>1000</v>
      </c>
      <c r="K675" t="s">
        <v>112</v>
      </c>
      <c r="L675" t="s">
        <v>100</v>
      </c>
      <c r="M675" t="s">
        <v>43</v>
      </c>
      <c r="N675" t="b">
        <v>0</v>
      </c>
      <c r="O675" t="s">
        <v>195</v>
      </c>
    </row>
    <row r="676" spans="1:15" ht="15" customHeight="1">
      <c r="A676" t="s">
        <v>1224</v>
      </c>
      <c r="B676" t="s">
        <v>1225</v>
      </c>
      <c r="C676" t="s">
        <v>75</v>
      </c>
      <c r="D676" t="s">
        <v>69</v>
      </c>
      <c r="E676">
        <v>12</v>
      </c>
      <c r="F676">
        <v>11.9</v>
      </c>
      <c r="G676">
        <v>0.99</v>
      </c>
      <c r="H676">
        <v>29</v>
      </c>
      <c r="I676">
        <v>2000</v>
      </c>
      <c r="J676">
        <v>1500</v>
      </c>
      <c r="K676" t="s">
        <v>519</v>
      </c>
      <c r="L676" t="s">
        <v>100</v>
      </c>
      <c r="M676" t="s">
        <v>49</v>
      </c>
      <c r="N676" t="b">
        <v>0</v>
      </c>
      <c r="O676" t="s">
        <v>520</v>
      </c>
    </row>
    <row r="677" spans="1:15" ht="15" customHeight="1">
      <c r="A677" t="s">
        <v>371</v>
      </c>
      <c r="B677" t="s">
        <v>1226</v>
      </c>
      <c r="C677" t="s">
        <v>129</v>
      </c>
      <c r="D677" t="s">
        <v>130</v>
      </c>
      <c r="E677">
        <v>11</v>
      </c>
      <c r="F677">
        <v>8.5</v>
      </c>
      <c r="G677">
        <v>0.77</v>
      </c>
      <c r="H677">
        <v>13</v>
      </c>
      <c r="I677">
        <v>5000</v>
      </c>
      <c r="J677">
        <v>1000</v>
      </c>
      <c r="K677" t="s">
        <v>313</v>
      </c>
      <c r="L677" t="s">
        <v>100</v>
      </c>
      <c r="M677" t="s">
        <v>47</v>
      </c>
      <c r="N677" t="b">
        <v>0</v>
      </c>
      <c r="O677" t="s">
        <v>314</v>
      </c>
    </row>
    <row r="678" spans="1:15" ht="15" customHeight="1">
      <c r="A678" t="s">
        <v>756</v>
      </c>
      <c r="B678" t="s">
        <v>1227</v>
      </c>
      <c r="C678" t="s">
        <v>129</v>
      </c>
      <c r="D678" t="s">
        <v>130</v>
      </c>
      <c r="E678">
        <v>18</v>
      </c>
      <c r="F678">
        <v>6.4</v>
      </c>
      <c r="G678">
        <v>0.36</v>
      </c>
      <c r="H678">
        <v>12</v>
      </c>
      <c r="I678">
        <v>5000</v>
      </c>
      <c r="J678">
        <v>1000</v>
      </c>
      <c r="K678" t="s">
        <v>162</v>
      </c>
      <c r="L678" t="s">
        <v>117</v>
      </c>
      <c r="M678" t="s">
        <v>41</v>
      </c>
      <c r="N678" t="b">
        <v>1</v>
      </c>
      <c r="O678" t="s">
        <v>180</v>
      </c>
    </row>
    <row r="679" spans="1:15" ht="15" customHeight="1">
      <c r="A679" t="s">
        <v>646</v>
      </c>
      <c r="B679" t="s">
        <v>1228</v>
      </c>
      <c r="C679" t="s">
        <v>81</v>
      </c>
      <c r="D679" t="s">
        <v>69</v>
      </c>
      <c r="E679">
        <v>15</v>
      </c>
      <c r="F679">
        <v>3.4</v>
      </c>
      <c r="G679">
        <v>0.23</v>
      </c>
      <c r="H679">
        <v>29</v>
      </c>
      <c r="I679">
        <v>10000</v>
      </c>
      <c r="J679">
        <v>3000</v>
      </c>
      <c r="K679" t="s">
        <v>603</v>
      </c>
      <c r="L679" t="s">
        <v>77</v>
      </c>
      <c r="M679" t="s">
        <v>40</v>
      </c>
      <c r="N679" t="b">
        <v>0</v>
      </c>
      <c r="O679" t="s">
        <v>604</v>
      </c>
    </row>
    <row r="680" spans="1:15" ht="15" customHeight="1">
      <c r="A680" t="s">
        <v>1229</v>
      </c>
      <c r="B680" t="s">
        <v>1230</v>
      </c>
      <c r="C680" t="s">
        <v>129</v>
      </c>
      <c r="D680" t="s">
        <v>130</v>
      </c>
      <c r="E680">
        <v>10</v>
      </c>
      <c r="F680">
        <v>4.3</v>
      </c>
      <c r="G680">
        <v>0.43</v>
      </c>
      <c r="H680">
        <v>29</v>
      </c>
      <c r="I680">
        <v>5000</v>
      </c>
      <c r="J680">
        <v>1000</v>
      </c>
      <c r="K680" t="s">
        <v>113</v>
      </c>
      <c r="L680" t="s">
        <v>104</v>
      </c>
      <c r="M680" t="s">
        <v>44</v>
      </c>
      <c r="N680" t="b">
        <v>0</v>
      </c>
      <c r="O680" t="s">
        <v>146</v>
      </c>
    </row>
    <row r="681" spans="1:15" ht="15" customHeight="1">
      <c r="A681" t="s">
        <v>1231</v>
      </c>
      <c r="B681" t="s">
        <v>1232</v>
      </c>
      <c r="C681" t="s">
        <v>81</v>
      </c>
      <c r="D681" t="s">
        <v>69</v>
      </c>
      <c r="E681">
        <v>10</v>
      </c>
      <c r="F681">
        <v>6.3</v>
      </c>
      <c r="G681">
        <v>0.63</v>
      </c>
      <c r="H681">
        <v>21</v>
      </c>
      <c r="I681">
        <v>10000</v>
      </c>
      <c r="J681">
        <v>3000</v>
      </c>
      <c r="K681" t="s">
        <v>279</v>
      </c>
      <c r="L681" t="s">
        <v>91</v>
      </c>
      <c r="M681" t="s">
        <v>51</v>
      </c>
      <c r="N681" t="b">
        <v>1</v>
      </c>
      <c r="O681" t="s">
        <v>280</v>
      </c>
    </row>
    <row r="682" spans="1:15" ht="15" customHeight="1">
      <c r="A682" t="s">
        <v>1194</v>
      </c>
      <c r="B682" t="s">
        <v>1233</v>
      </c>
      <c r="C682" t="s">
        <v>81</v>
      </c>
      <c r="D682" t="s">
        <v>69</v>
      </c>
      <c r="E682">
        <v>9</v>
      </c>
      <c r="F682">
        <v>7.4</v>
      </c>
      <c r="G682">
        <v>0.82</v>
      </c>
      <c r="H682">
        <v>18</v>
      </c>
      <c r="I682">
        <v>10000</v>
      </c>
      <c r="J682">
        <v>3000</v>
      </c>
      <c r="K682" t="s">
        <v>142</v>
      </c>
      <c r="L682" t="s">
        <v>104</v>
      </c>
      <c r="M682" t="s">
        <v>50</v>
      </c>
      <c r="N682" t="b">
        <v>0</v>
      </c>
      <c r="O682" t="s">
        <v>143</v>
      </c>
    </row>
    <row r="683" spans="1:15" ht="15" customHeight="1">
      <c r="A683" t="s">
        <v>152</v>
      </c>
      <c r="B683" t="s">
        <v>1234</v>
      </c>
      <c r="C683" t="s">
        <v>149</v>
      </c>
      <c r="D683" t="s">
        <v>69</v>
      </c>
      <c r="E683">
        <v>8</v>
      </c>
      <c r="F683">
        <v>6.6</v>
      </c>
      <c r="G683">
        <v>0.82</v>
      </c>
      <c r="H683">
        <v>16</v>
      </c>
      <c r="I683">
        <v>3000</v>
      </c>
      <c r="J683">
        <v>1000</v>
      </c>
      <c r="K683" t="s">
        <v>361</v>
      </c>
      <c r="L683" t="s">
        <v>71</v>
      </c>
      <c r="M683" t="s">
        <v>48</v>
      </c>
      <c r="N683" t="b">
        <v>0</v>
      </c>
      <c r="O683" t="s">
        <v>870</v>
      </c>
    </row>
    <row r="684" spans="1:15" ht="15" customHeight="1">
      <c r="A684" t="s">
        <v>832</v>
      </c>
      <c r="B684" t="s">
        <v>1235</v>
      </c>
      <c r="C684" t="s">
        <v>68</v>
      </c>
      <c r="D684" t="s">
        <v>69</v>
      </c>
      <c r="E684">
        <v>16</v>
      </c>
      <c r="F684">
        <v>3.2</v>
      </c>
      <c r="G684">
        <v>0.2</v>
      </c>
      <c r="H684">
        <v>5</v>
      </c>
      <c r="I684">
        <v>30000</v>
      </c>
      <c r="J684">
        <v>5000</v>
      </c>
      <c r="K684" t="s">
        <v>112</v>
      </c>
      <c r="L684" t="s">
        <v>117</v>
      </c>
      <c r="M684" t="s">
        <v>50</v>
      </c>
      <c r="N684" t="b">
        <v>1</v>
      </c>
      <c r="O684" t="s">
        <v>113</v>
      </c>
    </row>
    <row r="685" spans="1:15" ht="15" customHeight="1">
      <c r="A685" t="s">
        <v>601</v>
      </c>
      <c r="B685" t="s">
        <v>1236</v>
      </c>
      <c r="C685" t="s">
        <v>81</v>
      </c>
      <c r="D685" t="s">
        <v>69</v>
      </c>
      <c r="E685">
        <v>11</v>
      </c>
      <c r="F685">
        <v>10.7</v>
      </c>
      <c r="G685">
        <v>0.97</v>
      </c>
      <c r="H685">
        <v>17</v>
      </c>
      <c r="I685">
        <v>10000</v>
      </c>
      <c r="J685">
        <v>3000</v>
      </c>
      <c r="K685" t="s">
        <v>389</v>
      </c>
      <c r="L685" t="s">
        <v>117</v>
      </c>
      <c r="M685" t="s">
        <v>40</v>
      </c>
      <c r="N685" t="b">
        <v>1</v>
      </c>
      <c r="O685" t="s">
        <v>390</v>
      </c>
    </row>
    <row r="686" spans="1:15" ht="15" customHeight="1">
      <c r="A686" t="s">
        <v>255</v>
      </c>
      <c r="B686" t="s">
        <v>1237</v>
      </c>
      <c r="C686" t="s">
        <v>81</v>
      </c>
      <c r="D686" t="s">
        <v>69</v>
      </c>
      <c r="E686">
        <v>15</v>
      </c>
      <c r="F686">
        <v>13.2</v>
      </c>
      <c r="G686">
        <v>0.88</v>
      </c>
      <c r="H686">
        <v>13</v>
      </c>
      <c r="I686">
        <v>10000</v>
      </c>
      <c r="J686">
        <v>3000</v>
      </c>
      <c r="K686" t="s">
        <v>203</v>
      </c>
      <c r="L686" t="s">
        <v>96</v>
      </c>
      <c r="M686" t="s">
        <v>47</v>
      </c>
      <c r="N686" t="b">
        <v>0</v>
      </c>
      <c r="O686" t="s">
        <v>204</v>
      </c>
    </row>
    <row r="687" spans="1:15" ht="15" customHeight="1">
      <c r="A687" t="s">
        <v>781</v>
      </c>
      <c r="B687" t="s">
        <v>1238</v>
      </c>
      <c r="C687" t="s">
        <v>68</v>
      </c>
      <c r="D687" t="s">
        <v>69</v>
      </c>
      <c r="E687">
        <v>12</v>
      </c>
      <c r="F687">
        <v>3.5</v>
      </c>
      <c r="G687">
        <v>0.28999999999999998</v>
      </c>
      <c r="H687">
        <v>5</v>
      </c>
      <c r="I687">
        <v>30000</v>
      </c>
      <c r="J687">
        <v>5000</v>
      </c>
      <c r="K687" t="s">
        <v>112</v>
      </c>
      <c r="L687" t="s">
        <v>96</v>
      </c>
      <c r="M687" t="s">
        <v>45</v>
      </c>
      <c r="N687" t="b">
        <v>0</v>
      </c>
      <c r="O687" t="s">
        <v>113</v>
      </c>
    </row>
    <row r="688" spans="1:15" ht="15" customHeight="1">
      <c r="A688" t="s">
        <v>716</v>
      </c>
      <c r="B688" t="s">
        <v>1239</v>
      </c>
      <c r="C688" t="s">
        <v>68</v>
      </c>
      <c r="D688" t="s">
        <v>69</v>
      </c>
      <c r="E688">
        <v>11</v>
      </c>
      <c r="F688">
        <v>1.1000000000000001</v>
      </c>
      <c r="G688">
        <v>0.1</v>
      </c>
      <c r="H688">
        <v>5</v>
      </c>
      <c r="I688">
        <v>30000</v>
      </c>
      <c r="J688">
        <v>5000</v>
      </c>
      <c r="K688" t="s">
        <v>112</v>
      </c>
      <c r="L688" t="s">
        <v>91</v>
      </c>
      <c r="M688" t="s">
        <v>51</v>
      </c>
      <c r="N688" t="b">
        <v>1</v>
      </c>
      <c r="O688" t="s">
        <v>113</v>
      </c>
    </row>
    <row r="689" spans="1:15" ht="15" customHeight="1">
      <c r="A689" t="s">
        <v>462</v>
      </c>
      <c r="B689" t="s">
        <v>1240</v>
      </c>
      <c r="C689" t="s">
        <v>129</v>
      </c>
      <c r="D689" t="s">
        <v>130</v>
      </c>
      <c r="E689">
        <v>13</v>
      </c>
      <c r="F689">
        <v>12.3</v>
      </c>
      <c r="G689">
        <v>0.95</v>
      </c>
      <c r="H689">
        <v>27</v>
      </c>
      <c r="I689">
        <v>5000</v>
      </c>
      <c r="J689">
        <v>1000</v>
      </c>
      <c r="K689" t="s">
        <v>172</v>
      </c>
      <c r="L689" t="s">
        <v>71</v>
      </c>
      <c r="M689" t="s">
        <v>43</v>
      </c>
      <c r="N689" t="b">
        <v>0</v>
      </c>
      <c r="O689" t="s">
        <v>173</v>
      </c>
    </row>
    <row r="690" spans="1:15" ht="15" customHeight="1">
      <c r="A690" t="s">
        <v>221</v>
      </c>
      <c r="B690" t="s">
        <v>1241</v>
      </c>
      <c r="C690" t="s">
        <v>75</v>
      </c>
      <c r="D690" t="s">
        <v>69</v>
      </c>
      <c r="E690">
        <v>9</v>
      </c>
      <c r="F690">
        <v>3.7</v>
      </c>
      <c r="G690">
        <v>0.41</v>
      </c>
      <c r="H690">
        <v>8</v>
      </c>
      <c r="I690">
        <v>2000</v>
      </c>
      <c r="J690">
        <v>1500</v>
      </c>
      <c r="K690" t="s">
        <v>275</v>
      </c>
      <c r="L690" t="s">
        <v>71</v>
      </c>
      <c r="M690" t="s">
        <v>49</v>
      </c>
      <c r="N690" t="b">
        <v>0</v>
      </c>
      <c r="O690" t="s">
        <v>276</v>
      </c>
    </row>
    <row r="691" spans="1:15" ht="15" customHeight="1">
      <c r="A691" t="s">
        <v>1012</v>
      </c>
      <c r="B691" t="s">
        <v>1242</v>
      </c>
      <c r="C691" t="s">
        <v>68</v>
      </c>
      <c r="D691" t="s">
        <v>69</v>
      </c>
      <c r="E691">
        <v>13</v>
      </c>
      <c r="F691">
        <v>3</v>
      </c>
      <c r="G691">
        <v>0.23</v>
      </c>
      <c r="H691">
        <v>1</v>
      </c>
      <c r="I691">
        <v>30000</v>
      </c>
      <c r="J691">
        <v>5000</v>
      </c>
      <c r="K691" t="s">
        <v>70</v>
      </c>
      <c r="L691" t="s">
        <v>96</v>
      </c>
      <c r="M691" t="s">
        <v>41</v>
      </c>
      <c r="N691" t="b">
        <v>0</v>
      </c>
      <c r="O691" t="s">
        <v>72</v>
      </c>
    </row>
    <row r="692" spans="1:15" ht="15" customHeight="1">
      <c r="A692" t="s">
        <v>324</v>
      </c>
      <c r="B692" t="s">
        <v>1243</v>
      </c>
      <c r="C692" t="s">
        <v>129</v>
      </c>
      <c r="D692" t="s">
        <v>130</v>
      </c>
      <c r="E692">
        <v>16</v>
      </c>
      <c r="F692">
        <v>9.6</v>
      </c>
      <c r="G692">
        <v>0.6</v>
      </c>
      <c r="H692">
        <v>30</v>
      </c>
      <c r="I692">
        <v>5000</v>
      </c>
      <c r="J692">
        <v>1000</v>
      </c>
      <c r="K692" t="s">
        <v>112</v>
      </c>
      <c r="L692" t="s">
        <v>91</v>
      </c>
      <c r="M692" t="s">
        <v>48</v>
      </c>
      <c r="N692" t="b">
        <v>1</v>
      </c>
      <c r="O692" t="s">
        <v>195</v>
      </c>
    </row>
    <row r="693" spans="1:15" ht="15" customHeight="1">
      <c r="A693" t="s">
        <v>809</v>
      </c>
      <c r="B693" t="s">
        <v>1244</v>
      </c>
      <c r="C693" t="s">
        <v>68</v>
      </c>
      <c r="D693" t="s">
        <v>69</v>
      </c>
      <c r="E693">
        <v>10</v>
      </c>
      <c r="F693">
        <v>2.6</v>
      </c>
      <c r="G693">
        <v>0.26</v>
      </c>
      <c r="H693">
        <v>3</v>
      </c>
      <c r="I693">
        <v>30000</v>
      </c>
      <c r="J693">
        <v>5000</v>
      </c>
      <c r="K693" t="s">
        <v>108</v>
      </c>
      <c r="L693" t="s">
        <v>104</v>
      </c>
      <c r="M693" t="s">
        <v>45</v>
      </c>
      <c r="N693" t="b">
        <v>0</v>
      </c>
      <c r="O693" t="s">
        <v>109</v>
      </c>
    </row>
    <row r="694" spans="1:15" ht="15" customHeight="1">
      <c r="A694" t="s">
        <v>799</v>
      </c>
      <c r="B694" t="s">
        <v>1245</v>
      </c>
      <c r="C694" t="s">
        <v>68</v>
      </c>
      <c r="D694" t="s">
        <v>69</v>
      </c>
      <c r="E694">
        <v>15</v>
      </c>
      <c r="F694">
        <v>3.6</v>
      </c>
      <c r="G694">
        <v>0.24</v>
      </c>
      <c r="H694">
        <v>3</v>
      </c>
      <c r="I694">
        <v>30000</v>
      </c>
      <c r="J694">
        <v>5000</v>
      </c>
      <c r="K694" t="s">
        <v>108</v>
      </c>
      <c r="L694" t="s">
        <v>77</v>
      </c>
      <c r="M694" t="s">
        <v>46</v>
      </c>
      <c r="N694" t="b">
        <v>0</v>
      </c>
      <c r="O694" t="s">
        <v>109</v>
      </c>
    </row>
    <row r="695" spans="1:15" ht="15" customHeight="1">
      <c r="A695" t="s">
        <v>450</v>
      </c>
      <c r="B695" t="s">
        <v>1246</v>
      </c>
      <c r="C695" t="s">
        <v>68</v>
      </c>
      <c r="D695" t="s">
        <v>69</v>
      </c>
      <c r="E695">
        <v>13</v>
      </c>
      <c r="F695">
        <v>0.6</v>
      </c>
      <c r="G695">
        <v>0.05</v>
      </c>
      <c r="H695">
        <v>5</v>
      </c>
      <c r="I695">
        <v>30000</v>
      </c>
      <c r="J695">
        <v>5000</v>
      </c>
      <c r="K695" t="s">
        <v>112</v>
      </c>
      <c r="L695" t="s">
        <v>117</v>
      </c>
      <c r="M695" t="s">
        <v>49</v>
      </c>
      <c r="N695" t="b">
        <v>1</v>
      </c>
      <c r="O695" t="s">
        <v>113</v>
      </c>
    </row>
    <row r="696" spans="1:15" ht="15" customHeight="1">
      <c r="A696" t="s">
        <v>721</v>
      </c>
      <c r="B696" t="s">
        <v>1247</v>
      </c>
      <c r="C696" t="s">
        <v>68</v>
      </c>
      <c r="D696" t="s">
        <v>69</v>
      </c>
      <c r="E696">
        <v>13</v>
      </c>
      <c r="F696">
        <v>2.8</v>
      </c>
      <c r="G696">
        <v>0.22</v>
      </c>
      <c r="H696">
        <v>2</v>
      </c>
      <c r="I696">
        <v>30000</v>
      </c>
      <c r="J696">
        <v>5000</v>
      </c>
      <c r="K696" t="s">
        <v>162</v>
      </c>
      <c r="L696" t="s">
        <v>100</v>
      </c>
      <c r="M696" t="s">
        <v>49</v>
      </c>
      <c r="N696" t="b">
        <v>0</v>
      </c>
      <c r="O696" t="s">
        <v>163</v>
      </c>
    </row>
    <row r="697" spans="1:15" ht="15" customHeight="1">
      <c r="A697" t="s">
        <v>1248</v>
      </c>
      <c r="B697" t="s">
        <v>1249</v>
      </c>
      <c r="C697" t="s">
        <v>81</v>
      </c>
      <c r="D697" t="s">
        <v>69</v>
      </c>
      <c r="E697">
        <v>8</v>
      </c>
      <c r="F697">
        <v>4.4000000000000004</v>
      </c>
      <c r="G697">
        <v>0.55000000000000004</v>
      </c>
      <c r="H697">
        <v>16</v>
      </c>
      <c r="I697">
        <v>10000</v>
      </c>
      <c r="J697">
        <v>3000</v>
      </c>
      <c r="K697" t="s">
        <v>283</v>
      </c>
      <c r="L697" t="s">
        <v>96</v>
      </c>
      <c r="M697" t="s">
        <v>50</v>
      </c>
      <c r="N697" t="b">
        <v>0</v>
      </c>
      <c r="O697" t="s">
        <v>284</v>
      </c>
    </row>
    <row r="698" spans="1:15" ht="15" customHeight="1">
      <c r="A698" t="s">
        <v>1250</v>
      </c>
      <c r="B698" t="s">
        <v>1251</v>
      </c>
      <c r="C698" t="s">
        <v>75</v>
      </c>
      <c r="D698" t="s">
        <v>69</v>
      </c>
      <c r="E698">
        <v>14</v>
      </c>
      <c r="F698">
        <v>7.8</v>
      </c>
      <c r="G698">
        <v>0.56000000000000005</v>
      </c>
      <c r="H698">
        <v>28</v>
      </c>
      <c r="I698">
        <v>2000</v>
      </c>
      <c r="J698">
        <v>1500</v>
      </c>
      <c r="K698" t="s">
        <v>262</v>
      </c>
      <c r="L698" t="s">
        <v>96</v>
      </c>
      <c r="M698" t="s">
        <v>41</v>
      </c>
      <c r="N698" t="b">
        <v>0</v>
      </c>
      <c r="O698" t="s">
        <v>289</v>
      </c>
    </row>
    <row r="699" spans="1:15" ht="15" customHeight="1">
      <c r="A699" t="s">
        <v>1186</v>
      </c>
      <c r="B699" t="s">
        <v>1252</v>
      </c>
      <c r="C699" t="s">
        <v>68</v>
      </c>
      <c r="D699" t="s">
        <v>69</v>
      </c>
      <c r="E699">
        <v>11</v>
      </c>
      <c r="F699">
        <v>3.9</v>
      </c>
      <c r="G699">
        <v>0.35</v>
      </c>
      <c r="H699">
        <v>3</v>
      </c>
      <c r="I699">
        <v>30000</v>
      </c>
      <c r="J699">
        <v>5000</v>
      </c>
      <c r="K699" t="s">
        <v>108</v>
      </c>
      <c r="L699" t="s">
        <v>96</v>
      </c>
      <c r="M699" t="s">
        <v>42</v>
      </c>
      <c r="N699" t="b">
        <v>0</v>
      </c>
      <c r="O699" t="s">
        <v>109</v>
      </c>
    </row>
    <row r="700" spans="1:15" ht="15" customHeight="1">
      <c r="A700" t="s">
        <v>123</v>
      </c>
      <c r="B700" t="s">
        <v>1253</v>
      </c>
      <c r="C700" t="s">
        <v>81</v>
      </c>
      <c r="D700" t="s">
        <v>69</v>
      </c>
      <c r="E700">
        <v>15</v>
      </c>
      <c r="F700">
        <v>3.5</v>
      </c>
      <c r="G700">
        <v>0.23</v>
      </c>
      <c r="H700">
        <v>15</v>
      </c>
      <c r="I700">
        <v>10000</v>
      </c>
      <c r="J700">
        <v>3000</v>
      </c>
      <c r="K700" t="s">
        <v>112</v>
      </c>
      <c r="L700" t="s">
        <v>91</v>
      </c>
      <c r="M700" t="s">
        <v>42</v>
      </c>
      <c r="N700" t="b">
        <v>1</v>
      </c>
      <c r="O700" t="s">
        <v>234</v>
      </c>
    </row>
    <row r="701" spans="1:15" ht="15" customHeight="1">
      <c r="A701" t="s">
        <v>1254</v>
      </c>
      <c r="B701" t="s">
        <v>1255</v>
      </c>
      <c r="C701" t="s">
        <v>149</v>
      </c>
      <c r="D701" t="s">
        <v>69</v>
      </c>
      <c r="E701">
        <v>9</v>
      </c>
      <c r="F701">
        <v>6.8</v>
      </c>
      <c r="G701">
        <v>0.76</v>
      </c>
      <c r="H701">
        <v>16</v>
      </c>
      <c r="I701">
        <v>3000</v>
      </c>
      <c r="J701">
        <v>1000</v>
      </c>
      <c r="K701" t="s">
        <v>361</v>
      </c>
      <c r="L701" t="s">
        <v>77</v>
      </c>
      <c r="M701" t="s">
        <v>40</v>
      </c>
      <c r="N701" t="b">
        <v>0</v>
      </c>
      <c r="O701" t="s">
        <v>870</v>
      </c>
    </row>
    <row r="702" spans="1:15" ht="15" customHeight="1">
      <c r="A702" t="s">
        <v>725</v>
      </c>
      <c r="B702" t="s">
        <v>1256</v>
      </c>
      <c r="C702" t="s">
        <v>129</v>
      </c>
      <c r="D702" t="s">
        <v>130</v>
      </c>
      <c r="E702">
        <v>18</v>
      </c>
      <c r="F702">
        <v>13</v>
      </c>
      <c r="G702">
        <v>0.72</v>
      </c>
      <c r="H702">
        <v>7</v>
      </c>
      <c r="I702">
        <v>5000</v>
      </c>
      <c r="J702">
        <v>1000</v>
      </c>
      <c r="K702" t="s">
        <v>1135</v>
      </c>
      <c r="L702" t="s">
        <v>117</v>
      </c>
      <c r="M702" t="s">
        <v>50</v>
      </c>
      <c r="N702" t="b">
        <v>1</v>
      </c>
      <c r="O702" t="s">
        <v>862</v>
      </c>
    </row>
    <row r="703" spans="1:15" ht="15" customHeight="1">
      <c r="A703" t="s">
        <v>101</v>
      </c>
      <c r="B703" t="s">
        <v>1257</v>
      </c>
      <c r="C703" t="s">
        <v>68</v>
      </c>
      <c r="D703" t="s">
        <v>69</v>
      </c>
      <c r="E703">
        <v>12</v>
      </c>
      <c r="F703">
        <v>3.3</v>
      </c>
      <c r="G703">
        <v>0.27</v>
      </c>
      <c r="H703">
        <v>2</v>
      </c>
      <c r="I703">
        <v>30000</v>
      </c>
      <c r="J703">
        <v>5000</v>
      </c>
      <c r="K703" t="s">
        <v>162</v>
      </c>
      <c r="L703" t="s">
        <v>104</v>
      </c>
      <c r="M703" t="s">
        <v>41</v>
      </c>
      <c r="N703" t="b">
        <v>0</v>
      </c>
      <c r="O703" t="s">
        <v>163</v>
      </c>
    </row>
    <row r="704" spans="1:15" ht="15" customHeight="1">
      <c r="A704" t="s">
        <v>1258</v>
      </c>
      <c r="B704" t="s">
        <v>1259</v>
      </c>
      <c r="C704" t="s">
        <v>129</v>
      </c>
      <c r="D704" t="s">
        <v>130</v>
      </c>
      <c r="E704">
        <v>12</v>
      </c>
      <c r="F704">
        <v>11.6</v>
      </c>
      <c r="G704">
        <v>0.97</v>
      </c>
      <c r="H704">
        <v>16</v>
      </c>
      <c r="I704">
        <v>5000</v>
      </c>
      <c r="J704">
        <v>1000</v>
      </c>
      <c r="K704" t="s">
        <v>357</v>
      </c>
      <c r="L704" t="s">
        <v>91</v>
      </c>
      <c r="M704" t="s">
        <v>48</v>
      </c>
      <c r="N704" t="b">
        <v>1</v>
      </c>
      <c r="O704" t="s">
        <v>456</v>
      </c>
    </row>
    <row r="705" spans="1:15" ht="15" customHeight="1">
      <c r="A705" t="s">
        <v>1260</v>
      </c>
      <c r="B705" t="s">
        <v>1261</v>
      </c>
      <c r="C705" t="s">
        <v>68</v>
      </c>
      <c r="D705" t="s">
        <v>69</v>
      </c>
      <c r="E705">
        <v>9</v>
      </c>
      <c r="F705">
        <v>3.3</v>
      </c>
      <c r="G705">
        <v>0.37</v>
      </c>
      <c r="H705">
        <v>4</v>
      </c>
      <c r="I705">
        <v>30000</v>
      </c>
      <c r="J705">
        <v>5000</v>
      </c>
      <c r="K705" t="s">
        <v>95</v>
      </c>
      <c r="L705" t="s">
        <v>117</v>
      </c>
      <c r="M705" t="s">
        <v>51</v>
      </c>
      <c r="N705" t="b">
        <v>1</v>
      </c>
      <c r="O705" t="s">
        <v>97</v>
      </c>
    </row>
    <row r="706" spans="1:15" ht="15" customHeight="1">
      <c r="A706" t="s">
        <v>590</v>
      </c>
      <c r="B706" t="s">
        <v>1262</v>
      </c>
      <c r="C706" t="s">
        <v>149</v>
      </c>
      <c r="D706" t="s">
        <v>69</v>
      </c>
      <c r="E706">
        <v>11</v>
      </c>
      <c r="F706">
        <v>8.3000000000000007</v>
      </c>
      <c r="G706">
        <v>0.75</v>
      </c>
      <c r="H706">
        <v>23</v>
      </c>
      <c r="I706">
        <v>3000</v>
      </c>
      <c r="J706">
        <v>1000</v>
      </c>
      <c r="K706" t="s">
        <v>229</v>
      </c>
      <c r="L706" t="s">
        <v>77</v>
      </c>
      <c r="M706" t="s">
        <v>49</v>
      </c>
      <c r="N706" t="b">
        <v>0</v>
      </c>
      <c r="O706" t="s">
        <v>249</v>
      </c>
    </row>
    <row r="707" spans="1:15" ht="15" customHeight="1">
      <c r="A707" t="s">
        <v>762</v>
      </c>
      <c r="B707" t="s">
        <v>1263</v>
      </c>
      <c r="C707" t="s">
        <v>75</v>
      </c>
      <c r="D707" t="s">
        <v>69</v>
      </c>
      <c r="E707">
        <v>12</v>
      </c>
      <c r="F707">
        <v>9.5</v>
      </c>
      <c r="G707">
        <v>0.79</v>
      </c>
      <c r="H707">
        <v>13</v>
      </c>
      <c r="I707">
        <v>2000</v>
      </c>
      <c r="J707">
        <v>1500</v>
      </c>
      <c r="K707" t="s">
        <v>211</v>
      </c>
      <c r="L707" t="s">
        <v>100</v>
      </c>
      <c r="M707" t="s">
        <v>44</v>
      </c>
      <c r="N707" t="b">
        <v>0</v>
      </c>
      <c r="O707" t="s">
        <v>212</v>
      </c>
    </row>
    <row r="708" spans="1:15" ht="15" customHeight="1">
      <c r="A708" t="s">
        <v>851</v>
      </c>
      <c r="B708" t="s">
        <v>1264</v>
      </c>
      <c r="C708" t="s">
        <v>75</v>
      </c>
      <c r="D708" t="s">
        <v>69</v>
      </c>
      <c r="E708">
        <v>13</v>
      </c>
      <c r="F708">
        <v>11.9</v>
      </c>
      <c r="G708">
        <v>0.92</v>
      </c>
      <c r="H708">
        <v>11</v>
      </c>
      <c r="I708">
        <v>2000</v>
      </c>
      <c r="J708">
        <v>1500</v>
      </c>
      <c r="K708" t="s">
        <v>689</v>
      </c>
      <c r="L708" t="s">
        <v>104</v>
      </c>
      <c r="M708" t="s">
        <v>45</v>
      </c>
      <c r="N708" t="b">
        <v>0</v>
      </c>
      <c r="O708" t="s">
        <v>690</v>
      </c>
    </row>
    <row r="709" spans="1:15" ht="15" customHeight="1">
      <c r="A709" t="s">
        <v>84</v>
      </c>
      <c r="B709" t="s">
        <v>1265</v>
      </c>
      <c r="C709" t="s">
        <v>129</v>
      </c>
      <c r="D709" t="s">
        <v>130</v>
      </c>
      <c r="E709">
        <v>15</v>
      </c>
      <c r="F709">
        <v>10.8</v>
      </c>
      <c r="G709">
        <v>0.72</v>
      </c>
      <c r="H709">
        <v>12</v>
      </c>
      <c r="I709">
        <v>5000</v>
      </c>
      <c r="J709">
        <v>1000</v>
      </c>
      <c r="K709" t="s">
        <v>162</v>
      </c>
      <c r="L709" t="s">
        <v>77</v>
      </c>
      <c r="M709" t="s">
        <v>51</v>
      </c>
      <c r="N709" t="b">
        <v>0</v>
      </c>
      <c r="O709" t="s">
        <v>180</v>
      </c>
    </row>
    <row r="710" spans="1:15" ht="15" customHeight="1">
      <c r="A710" t="s">
        <v>423</v>
      </c>
      <c r="B710" t="s">
        <v>1266</v>
      </c>
      <c r="C710" t="s">
        <v>68</v>
      </c>
      <c r="D710" t="s">
        <v>69</v>
      </c>
      <c r="E710">
        <v>15</v>
      </c>
      <c r="F710">
        <v>2.6</v>
      </c>
      <c r="G710">
        <v>0.17</v>
      </c>
      <c r="H710">
        <v>1</v>
      </c>
      <c r="I710">
        <v>30000</v>
      </c>
      <c r="J710">
        <v>5000</v>
      </c>
      <c r="K710" t="s">
        <v>70</v>
      </c>
      <c r="L710" t="s">
        <v>117</v>
      </c>
      <c r="M710" t="s">
        <v>40</v>
      </c>
      <c r="N710" t="b">
        <v>1</v>
      </c>
      <c r="O710" t="s">
        <v>72</v>
      </c>
    </row>
    <row r="711" spans="1:15" ht="15" customHeight="1">
      <c r="A711" t="s">
        <v>386</v>
      </c>
      <c r="B711" t="s">
        <v>1267</v>
      </c>
      <c r="C711" t="s">
        <v>75</v>
      </c>
      <c r="D711" t="s">
        <v>69</v>
      </c>
      <c r="E711">
        <v>18</v>
      </c>
      <c r="F711">
        <v>18</v>
      </c>
      <c r="G711">
        <v>1</v>
      </c>
      <c r="H711">
        <v>19</v>
      </c>
      <c r="I711">
        <v>2000</v>
      </c>
      <c r="J711">
        <v>1500</v>
      </c>
      <c r="K711" t="s">
        <v>408</v>
      </c>
      <c r="L711" t="s">
        <v>77</v>
      </c>
      <c r="M711" t="s">
        <v>42</v>
      </c>
      <c r="N711" t="b">
        <v>0</v>
      </c>
      <c r="O711" t="s">
        <v>409</v>
      </c>
    </row>
    <row r="712" spans="1:15" ht="15" customHeight="1">
      <c r="A712" t="s">
        <v>277</v>
      </c>
      <c r="B712" t="s">
        <v>1268</v>
      </c>
      <c r="C712" t="s">
        <v>75</v>
      </c>
      <c r="D712" t="s">
        <v>69</v>
      </c>
      <c r="E712">
        <v>20</v>
      </c>
      <c r="F712">
        <v>4.5</v>
      </c>
      <c r="G712">
        <v>0.23</v>
      </c>
      <c r="H712">
        <v>24</v>
      </c>
      <c r="I712">
        <v>2000</v>
      </c>
      <c r="J712">
        <v>1500</v>
      </c>
      <c r="K712" t="s">
        <v>361</v>
      </c>
      <c r="L712" t="s">
        <v>104</v>
      </c>
      <c r="M712" t="s">
        <v>43</v>
      </c>
      <c r="N712" t="b">
        <v>0</v>
      </c>
      <c r="O712" t="s">
        <v>362</v>
      </c>
    </row>
    <row r="713" spans="1:15" ht="15" customHeight="1">
      <c r="A713" t="s">
        <v>644</v>
      </c>
      <c r="B713" t="s">
        <v>1269</v>
      </c>
      <c r="C713" t="s">
        <v>81</v>
      </c>
      <c r="D713" t="s">
        <v>69</v>
      </c>
      <c r="E713">
        <v>18</v>
      </c>
      <c r="F713">
        <v>17.2</v>
      </c>
      <c r="G713">
        <v>0.96</v>
      </c>
      <c r="H713">
        <v>29</v>
      </c>
      <c r="I713">
        <v>10000</v>
      </c>
      <c r="J713">
        <v>3000</v>
      </c>
      <c r="K713" t="s">
        <v>603</v>
      </c>
      <c r="L713" t="s">
        <v>117</v>
      </c>
      <c r="M713" t="s">
        <v>45</v>
      </c>
      <c r="N713" t="b">
        <v>1</v>
      </c>
      <c r="O713" t="s">
        <v>604</v>
      </c>
    </row>
    <row r="714" spans="1:15" ht="15" customHeight="1">
      <c r="A714" t="s">
        <v>1250</v>
      </c>
      <c r="B714" t="s">
        <v>1270</v>
      </c>
      <c r="C714" t="s">
        <v>68</v>
      </c>
      <c r="D714" t="s">
        <v>69</v>
      </c>
      <c r="E714">
        <v>11</v>
      </c>
      <c r="F714">
        <v>2.1</v>
      </c>
      <c r="G714">
        <v>0.19</v>
      </c>
      <c r="H714">
        <v>2</v>
      </c>
      <c r="I714">
        <v>30000</v>
      </c>
      <c r="J714">
        <v>5000</v>
      </c>
      <c r="K714" t="s">
        <v>162</v>
      </c>
      <c r="L714" t="s">
        <v>96</v>
      </c>
      <c r="M714" t="s">
        <v>41</v>
      </c>
      <c r="N714" t="b">
        <v>0</v>
      </c>
      <c r="O714" t="s">
        <v>163</v>
      </c>
    </row>
    <row r="715" spans="1:15" ht="15" customHeight="1">
      <c r="A715" t="s">
        <v>759</v>
      </c>
      <c r="B715" t="s">
        <v>1271</v>
      </c>
      <c r="C715" t="s">
        <v>68</v>
      </c>
      <c r="D715" t="s">
        <v>69</v>
      </c>
      <c r="E715">
        <v>9</v>
      </c>
      <c r="F715">
        <v>3.7</v>
      </c>
      <c r="G715">
        <v>0.41</v>
      </c>
      <c r="H715">
        <v>4</v>
      </c>
      <c r="I715">
        <v>30000</v>
      </c>
      <c r="J715">
        <v>5000</v>
      </c>
      <c r="K715" t="s">
        <v>95</v>
      </c>
      <c r="L715" t="s">
        <v>96</v>
      </c>
      <c r="M715" t="s">
        <v>51</v>
      </c>
      <c r="N715" t="b">
        <v>0</v>
      </c>
      <c r="O715" t="s">
        <v>97</v>
      </c>
    </row>
    <row r="716" spans="1:15" ht="15" customHeight="1">
      <c r="A716" t="s">
        <v>477</v>
      </c>
      <c r="B716" t="s">
        <v>1272</v>
      </c>
      <c r="C716" t="s">
        <v>81</v>
      </c>
      <c r="D716" t="s">
        <v>69</v>
      </c>
      <c r="E716">
        <v>17</v>
      </c>
      <c r="F716">
        <v>3.9</v>
      </c>
      <c r="G716">
        <v>0.23</v>
      </c>
      <c r="H716">
        <v>20</v>
      </c>
      <c r="I716">
        <v>10000</v>
      </c>
      <c r="J716">
        <v>3000</v>
      </c>
      <c r="K716" t="s">
        <v>86</v>
      </c>
      <c r="L716" t="s">
        <v>71</v>
      </c>
      <c r="M716" t="s">
        <v>42</v>
      </c>
      <c r="N716" t="b">
        <v>0</v>
      </c>
      <c r="O716" t="s">
        <v>87</v>
      </c>
    </row>
    <row r="717" spans="1:15" ht="15" customHeight="1">
      <c r="A717" t="s">
        <v>235</v>
      </c>
      <c r="B717" t="s">
        <v>1273</v>
      </c>
      <c r="C717" t="s">
        <v>81</v>
      </c>
      <c r="D717" t="s">
        <v>69</v>
      </c>
      <c r="E717">
        <v>18</v>
      </c>
      <c r="F717">
        <v>4.9000000000000004</v>
      </c>
      <c r="G717">
        <v>0.27</v>
      </c>
      <c r="H717">
        <v>14</v>
      </c>
      <c r="I717">
        <v>10000</v>
      </c>
      <c r="J717">
        <v>3000</v>
      </c>
      <c r="K717" t="s">
        <v>116</v>
      </c>
      <c r="L717" t="s">
        <v>91</v>
      </c>
      <c r="M717" t="s">
        <v>45</v>
      </c>
      <c r="N717" t="b">
        <v>1</v>
      </c>
      <c r="O717" t="s">
        <v>118</v>
      </c>
    </row>
    <row r="718" spans="1:15" ht="15" customHeight="1">
      <c r="A718" t="s">
        <v>725</v>
      </c>
      <c r="B718" t="s">
        <v>1274</v>
      </c>
      <c r="C718" t="s">
        <v>129</v>
      </c>
      <c r="D718" t="s">
        <v>130</v>
      </c>
      <c r="E718">
        <v>13</v>
      </c>
      <c r="F718">
        <v>6</v>
      </c>
      <c r="G718">
        <v>0.46</v>
      </c>
      <c r="H718">
        <v>18</v>
      </c>
      <c r="I718">
        <v>5000</v>
      </c>
      <c r="J718">
        <v>1000</v>
      </c>
      <c r="K718" t="s">
        <v>108</v>
      </c>
      <c r="L718" t="s">
        <v>117</v>
      </c>
      <c r="M718" t="s">
        <v>50</v>
      </c>
      <c r="N718" t="b">
        <v>1</v>
      </c>
      <c r="O718" t="s">
        <v>166</v>
      </c>
    </row>
    <row r="719" spans="1:15" ht="15" customHeight="1">
      <c r="A719" t="s">
        <v>1080</v>
      </c>
      <c r="B719" t="s">
        <v>1275</v>
      </c>
      <c r="C719" t="s">
        <v>75</v>
      </c>
      <c r="D719" t="s">
        <v>69</v>
      </c>
      <c r="E719">
        <v>8</v>
      </c>
      <c r="F719">
        <v>5.6</v>
      </c>
      <c r="G719">
        <v>0.7</v>
      </c>
      <c r="H719">
        <v>17</v>
      </c>
      <c r="I719">
        <v>2000</v>
      </c>
      <c r="J719">
        <v>1500</v>
      </c>
      <c r="K719" t="s">
        <v>862</v>
      </c>
      <c r="L719" t="s">
        <v>117</v>
      </c>
      <c r="M719" t="s">
        <v>49</v>
      </c>
      <c r="N719" t="b">
        <v>1</v>
      </c>
      <c r="O719" t="s">
        <v>863</v>
      </c>
    </row>
    <row r="720" spans="1:15" ht="15" customHeight="1">
      <c r="A720" t="s">
        <v>183</v>
      </c>
      <c r="B720" t="s">
        <v>1276</v>
      </c>
      <c r="C720" t="s">
        <v>75</v>
      </c>
      <c r="D720" t="s">
        <v>69</v>
      </c>
      <c r="E720">
        <v>10</v>
      </c>
      <c r="F720">
        <v>6.3</v>
      </c>
      <c r="G720">
        <v>0.63</v>
      </c>
      <c r="H720">
        <v>13</v>
      </c>
      <c r="I720">
        <v>2000</v>
      </c>
      <c r="J720">
        <v>1500</v>
      </c>
      <c r="K720" t="s">
        <v>211</v>
      </c>
      <c r="L720" t="s">
        <v>100</v>
      </c>
      <c r="M720" t="s">
        <v>51</v>
      </c>
      <c r="N720" t="b">
        <v>0</v>
      </c>
      <c r="O720" t="s">
        <v>212</v>
      </c>
    </row>
    <row r="721" spans="1:15" ht="15" customHeight="1">
      <c r="A721" t="s">
        <v>466</v>
      </c>
      <c r="B721" t="s">
        <v>1277</v>
      </c>
      <c r="C721" t="s">
        <v>81</v>
      </c>
      <c r="D721" t="s">
        <v>69</v>
      </c>
      <c r="E721">
        <v>10</v>
      </c>
      <c r="F721">
        <v>7.5</v>
      </c>
      <c r="G721">
        <v>0.75</v>
      </c>
      <c r="H721">
        <v>20</v>
      </c>
      <c r="I721">
        <v>10000</v>
      </c>
      <c r="J721">
        <v>3000</v>
      </c>
      <c r="K721" t="s">
        <v>86</v>
      </c>
      <c r="L721" t="s">
        <v>96</v>
      </c>
      <c r="M721" t="s">
        <v>48</v>
      </c>
      <c r="N721" t="b">
        <v>0</v>
      </c>
      <c r="O721" t="s">
        <v>87</v>
      </c>
    </row>
    <row r="722" spans="1:15" ht="15" customHeight="1">
      <c r="A722" t="s">
        <v>1278</v>
      </c>
      <c r="B722" t="s">
        <v>1279</v>
      </c>
      <c r="C722" t="s">
        <v>75</v>
      </c>
      <c r="D722" t="s">
        <v>69</v>
      </c>
      <c r="E722">
        <v>11</v>
      </c>
      <c r="F722">
        <v>7.4</v>
      </c>
      <c r="G722">
        <v>0.67</v>
      </c>
      <c r="H722">
        <v>19</v>
      </c>
      <c r="I722">
        <v>2000</v>
      </c>
      <c r="J722">
        <v>1500</v>
      </c>
      <c r="K722" t="s">
        <v>408</v>
      </c>
      <c r="L722" t="s">
        <v>77</v>
      </c>
      <c r="M722" t="s">
        <v>50</v>
      </c>
      <c r="N722" t="b">
        <v>0</v>
      </c>
      <c r="O722" t="s">
        <v>409</v>
      </c>
    </row>
    <row r="723" spans="1:15" ht="15" customHeight="1">
      <c r="A723" t="s">
        <v>1031</v>
      </c>
      <c r="B723" t="s">
        <v>1280</v>
      </c>
      <c r="C723" t="s">
        <v>68</v>
      </c>
      <c r="D723" t="s">
        <v>69</v>
      </c>
      <c r="E723">
        <v>10</v>
      </c>
      <c r="F723">
        <v>1.5</v>
      </c>
      <c r="G723">
        <v>0.15</v>
      </c>
      <c r="H723">
        <v>2</v>
      </c>
      <c r="I723">
        <v>30000</v>
      </c>
      <c r="J723">
        <v>5000</v>
      </c>
      <c r="K723" t="s">
        <v>162</v>
      </c>
      <c r="L723" t="s">
        <v>91</v>
      </c>
      <c r="M723" t="s">
        <v>45</v>
      </c>
      <c r="N723" t="b">
        <v>1</v>
      </c>
      <c r="O723" t="s">
        <v>163</v>
      </c>
    </row>
    <row r="724" spans="1:15" ht="15" customHeight="1">
      <c r="A724" t="s">
        <v>66</v>
      </c>
      <c r="B724" t="s">
        <v>1281</v>
      </c>
      <c r="C724" t="s">
        <v>129</v>
      </c>
      <c r="D724" t="s">
        <v>130</v>
      </c>
      <c r="E724">
        <v>11</v>
      </c>
      <c r="F724">
        <v>8.6999999999999993</v>
      </c>
      <c r="G724">
        <v>0.79</v>
      </c>
      <c r="H724">
        <v>15</v>
      </c>
      <c r="I724">
        <v>5000</v>
      </c>
      <c r="J724">
        <v>1000</v>
      </c>
      <c r="K724" t="s">
        <v>479</v>
      </c>
      <c r="L724" t="s">
        <v>71</v>
      </c>
      <c r="M724" t="s">
        <v>51</v>
      </c>
      <c r="N724" t="b">
        <v>0</v>
      </c>
      <c r="O724" t="s">
        <v>480</v>
      </c>
    </row>
    <row r="725" spans="1:15" ht="15" customHeight="1">
      <c r="A725" t="s">
        <v>79</v>
      </c>
      <c r="B725" t="s">
        <v>1282</v>
      </c>
      <c r="C725" t="s">
        <v>129</v>
      </c>
      <c r="D725" t="s">
        <v>130</v>
      </c>
      <c r="E725">
        <v>11</v>
      </c>
      <c r="F725">
        <v>3.1</v>
      </c>
      <c r="G725">
        <v>0.28000000000000003</v>
      </c>
      <c r="H725">
        <v>22</v>
      </c>
      <c r="I725">
        <v>5000</v>
      </c>
      <c r="J725">
        <v>1000</v>
      </c>
      <c r="K725" t="s">
        <v>134</v>
      </c>
      <c r="L725" t="s">
        <v>77</v>
      </c>
      <c r="M725" t="s">
        <v>51</v>
      </c>
      <c r="N725" t="b">
        <v>0</v>
      </c>
      <c r="O725" t="s">
        <v>135</v>
      </c>
    </row>
    <row r="726" spans="1:15" ht="15" customHeight="1">
      <c r="A726" t="s">
        <v>736</v>
      </c>
      <c r="B726" t="s">
        <v>1283</v>
      </c>
      <c r="C726" t="s">
        <v>149</v>
      </c>
      <c r="D726" t="s">
        <v>69</v>
      </c>
      <c r="E726">
        <v>10</v>
      </c>
      <c r="F726">
        <v>7.6</v>
      </c>
      <c r="G726">
        <v>0.76</v>
      </c>
      <c r="H726">
        <v>18</v>
      </c>
      <c r="I726">
        <v>3000</v>
      </c>
      <c r="J726">
        <v>1000</v>
      </c>
      <c r="K726" t="s">
        <v>150</v>
      </c>
      <c r="L726" t="s">
        <v>104</v>
      </c>
      <c r="M726" t="s">
        <v>43</v>
      </c>
      <c r="N726" t="b">
        <v>0</v>
      </c>
      <c r="O726" t="s">
        <v>151</v>
      </c>
    </row>
    <row r="727" spans="1:15" ht="15" customHeight="1">
      <c r="A727" t="s">
        <v>144</v>
      </c>
      <c r="B727" t="s">
        <v>1284</v>
      </c>
      <c r="C727" t="s">
        <v>75</v>
      </c>
      <c r="D727" t="s">
        <v>69</v>
      </c>
      <c r="E727">
        <v>9</v>
      </c>
      <c r="F727">
        <v>4.0999999999999996</v>
      </c>
      <c r="G727">
        <v>0.46</v>
      </c>
      <c r="H727">
        <v>27</v>
      </c>
      <c r="I727">
        <v>2000</v>
      </c>
      <c r="J727">
        <v>1500</v>
      </c>
      <c r="K727" t="s">
        <v>150</v>
      </c>
      <c r="L727" t="s">
        <v>100</v>
      </c>
      <c r="M727" t="s">
        <v>44</v>
      </c>
      <c r="N727" t="b">
        <v>0</v>
      </c>
      <c r="O727" t="s">
        <v>528</v>
      </c>
    </row>
    <row r="728" spans="1:15" ht="15" customHeight="1">
      <c r="A728" t="s">
        <v>376</v>
      </c>
      <c r="B728" t="s">
        <v>1285</v>
      </c>
      <c r="C728" t="s">
        <v>68</v>
      </c>
      <c r="D728" t="s">
        <v>69</v>
      </c>
      <c r="E728">
        <v>11</v>
      </c>
      <c r="F728">
        <v>3.6</v>
      </c>
      <c r="G728">
        <v>0.33</v>
      </c>
      <c r="H728">
        <v>2</v>
      </c>
      <c r="I728">
        <v>30000</v>
      </c>
      <c r="J728">
        <v>5000</v>
      </c>
      <c r="K728" t="s">
        <v>162</v>
      </c>
      <c r="L728" t="s">
        <v>77</v>
      </c>
      <c r="M728" t="s">
        <v>50</v>
      </c>
      <c r="N728" t="b">
        <v>0</v>
      </c>
      <c r="O728" t="s">
        <v>163</v>
      </c>
    </row>
    <row r="729" spans="1:15" ht="15" customHeight="1">
      <c r="A729" t="s">
        <v>243</v>
      </c>
      <c r="B729" t="s">
        <v>1286</v>
      </c>
      <c r="C729" t="s">
        <v>68</v>
      </c>
      <c r="D729" t="s">
        <v>69</v>
      </c>
      <c r="E729">
        <v>8</v>
      </c>
      <c r="F729">
        <v>0.9</v>
      </c>
      <c r="G729">
        <v>0.11</v>
      </c>
      <c r="H729">
        <v>2</v>
      </c>
      <c r="I729">
        <v>30000</v>
      </c>
      <c r="J729">
        <v>5000</v>
      </c>
      <c r="K729" t="s">
        <v>162</v>
      </c>
      <c r="L729" t="s">
        <v>117</v>
      </c>
      <c r="M729" t="s">
        <v>40</v>
      </c>
      <c r="N729" t="b">
        <v>1</v>
      </c>
      <c r="O729" t="s">
        <v>163</v>
      </c>
    </row>
    <row r="730" spans="1:15" ht="15" customHeight="1">
      <c r="A730" t="s">
        <v>500</v>
      </c>
      <c r="B730" t="s">
        <v>1287</v>
      </c>
      <c r="C730" t="s">
        <v>81</v>
      </c>
      <c r="D730" t="s">
        <v>69</v>
      </c>
      <c r="E730">
        <v>10</v>
      </c>
      <c r="F730">
        <v>4.5</v>
      </c>
      <c r="G730">
        <v>0.45</v>
      </c>
      <c r="H730">
        <v>27</v>
      </c>
      <c r="I730">
        <v>10000</v>
      </c>
      <c r="J730">
        <v>3000</v>
      </c>
      <c r="K730" t="s">
        <v>125</v>
      </c>
      <c r="L730" t="s">
        <v>77</v>
      </c>
      <c r="M730" t="s">
        <v>47</v>
      </c>
      <c r="N730" t="b">
        <v>0</v>
      </c>
      <c r="O730" t="s">
        <v>126</v>
      </c>
    </row>
    <row r="731" spans="1:15" ht="15" customHeight="1">
      <c r="A731" t="s">
        <v>1110</v>
      </c>
      <c r="B731" t="s">
        <v>1288</v>
      </c>
      <c r="C731" t="s">
        <v>68</v>
      </c>
      <c r="D731" t="s">
        <v>69</v>
      </c>
      <c r="E731">
        <v>11</v>
      </c>
      <c r="F731">
        <v>2.2999999999999998</v>
      </c>
      <c r="G731">
        <v>0.21</v>
      </c>
      <c r="H731">
        <v>3</v>
      </c>
      <c r="I731">
        <v>30000</v>
      </c>
      <c r="J731">
        <v>5000</v>
      </c>
      <c r="K731" t="s">
        <v>108</v>
      </c>
      <c r="L731" t="s">
        <v>96</v>
      </c>
      <c r="M731" t="s">
        <v>45</v>
      </c>
      <c r="N731" t="b">
        <v>0</v>
      </c>
      <c r="O731" t="s">
        <v>109</v>
      </c>
    </row>
    <row r="732" spans="1:15" ht="15" customHeight="1">
      <c r="A732" t="s">
        <v>384</v>
      </c>
      <c r="B732" t="s">
        <v>1289</v>
      </c>
      <c r="C732" t="s">
        <v>75</v>
      </c>
      <c r="D732" t="s">
        <v>69</v>
      </c>
      <c r="E732">
        <v>17</v>
      </c>
      <c r="F732">
        <v>9.1</v>
      </c>
      <c r="G732">
        <v>0.54</v>
      </c>
      <c r="H732">
        <v>27</v>
      </c>
      <c r="I732">
        <v>2000</v>
      </c>
      <c r="J732">
        <v>1500</v>
      </c>
      <c r="K732" t="s">
        <v>150</v>
      </c>
      <c r="L732" t="s">
        <v>104</v>
      </c>
      <c r="M732" t="s">
        <v>47</v>
      </c>
      <c r="N732" t="b">
        <v>0</v>
      </c>
      <c r="O732" t="s">
        <v>528</v>
      </c>
    </row>
    <row r="733" spans="1:15" ht="15" customHeight="1">
      <c r="A733" t="s">
        <v>215</v>
      </c>
      <c r="B733" t="s">
        <v>1290</v>
      </c>
      <c r="C733" t="s">
        <v>149</v>
      </c>
      <c r="D733" t="s">
        <v>69</v>
      </c>
      <c r="E733">
        <v>12</v>
      </c>
      <c r="F733">
        <v>8.1</v>
      </c>
      <c r="G733">
        <v>0.67</v>
      </c>
      <c r="H733">
        <v>25</v>
      </c>
      <c r="I733">
        <v>3000</v>
      </c>
      <c r="J733">
        <v>1000</v>
      </c>
      <c r="K733" t="s">
        <v>479</v>
      </c>
      <c r="L733" t="s">
        <v>117</v>
      </c>
      <c r="M733" t="s">
        <v>48</v>
      </c>
      <c r="N733" t="b">
        <v>1</v>
      </c>
      <c r="O733" t="s">
        <v>480</v>
      </c>
    </row>
    <row r="734" spans="1:15" ht="15" customHeight="1">
      <c r="A734" t="s">
        <v>301</v>
      </c>
      <c r="B734" t="s">
        <v>1291</v>
      </c>
      <c r="C734" t="s">
        <v>75</v>
      </c>
      <c r="D734" t="s">
        <v>69</v>
      </c>
      <c r="E734">
        <v>11</v>
      </c>
      <c r="F734">
        <v>4.3</v>
      </c>
      <c r="G734">
        <v>0.39</v>
      </c>
      <c r="H734">
        <v>12</v>
      </c>
      <c r="I734">
        <v>2000</v>
      </c>
      <c r="J734">
        <v>1500</v>
      </c>
      <c r="K734" t="s">
        <v>265</v>
      </c>
      <c r="L734" t="s">
        <v>100</v>
      </c>
      <c r="M734" t="s">
        <v>50</v>
      </c>
      <c r="N734" t="b">
        <v>0</v>
      </c>
      <c r="O734" t="s">
        <v>266</v>
      </c>
    </row>
    <row r="735" spans="1:15" ht="15" customHeight="1">
      <c r="A735" t="s">
        <v>1022</v>
      </c>
      <c r="B735" t="s">
        <v>1292</v>
      </c>
      <c r="C735" t="s">
        <v>129</v>
      </c>
      <c r="D735" t="s">
        <v>130</v>
      </c>
      <c r="E735">
        <v>16</v>
      </c>
      <c r="F735">
        <v>14.8</v>
      </c>
      <c r="G735">
        <v>0.93</v>
      </c>
      <c r="H735">
        <v>13</v>
      </c>
      <c r="I735">
        <v>5000</v>
      </c>
      <c r="J735">
        <v>1000</v>
      </c>
      <c r="K735" t="s">
        <v>313</v>
      </c>
      <c r="L735" t="s">
        <v>104</v>
      </c>
      <c r="M735" t="s">
        <v>41</v>
      </c>
      <c r="N735" t="b">
        <v>0</v>
      </c>
      <c r="O735" t="s">
        <v>314</v>
      </c>
    </row>
    <row r="736" spans="1:15" ht="15" customHeight="1">
      <c r="A736" t="s">
        <v>136</v>
      </c>
      <c r="B736" t="s">
        <v>1293</v>
      </c>
      <c r="C736" t="s">
        <v>75</v>
      </c>
      <c r="D736" t="s">
        <v>69</v>
      </c>
      <c r="E736">
        <v>13</v>
      </c>
      <c r="F736">
        <v>9</v>
      </c>
      <c r="G736">
        <v>0.69</v>
      </c>
      <c r="H736">
        <v>8</v>
      </c>
      <c r="I736">
        <v>2000</v>
      </c>
      <c r="J736">
        <v>1500</v>
      </c>
      <c r="K736" t="s">
        <v>275</v>
      </c>
      <c r="L736" t="s">
        <v>96</v>
      </c>
      <c r="M736" t="s">
        <v>41</v>
      </c>
      <c r="N736" t="b">
        <v>0</v>
      </c>
      <c r="O736" t="s">
        <v>276</v>
      </c>
    </row>
    <row r="737" spans="1:15" ht="15" customHeight="1">
      <c r="A737" t="s">
        <v>705</v>
      </c>
      <c r="B737" t="s">
        <v>1294</v>
      </c>
      <c r="C737" t="s">
        <v>81</v>
      </c>
      <c r="D737" t="s">
        <v>69</v>
      </c>
      <c r="E737">
        <v>11</v>
      </c>
      <c r="F737">
        <v>9</v>
      </c>
      <c r="G737">
        <v>0.82</v>
      </c>
      <c r="H737">
        <v>27</v>
      </c>
      <c r="I737">
        <v>10000</v>
      </c>
      <c r="J737">
        <v>3000</v>
      </c>
      <c r="K737" t="s">
        <v>125</v>
      </c>
      <c r="L737" t="s">
        <v>71</v>
      </c>
      <c r="M737" t="s">
        <v>41</v>
      </c>
      <c r="N737" t="b">
        <v>0</v>
      </c>
      <c r="O737" t="s">
        <v>126</v>
      </c>
    </row>
    <row r="738" spans="1:15" ht="15" customHeight="1">
      <c r="A738" t="s">
        <v>355</v>
      </c>
      <c r="B738" t="s">
        <v>1295</v>
      </c>
      <c r="C738" t="s">
        <v>81</v>
      </c>
      <c r="D738" t="s">
        <v>69</v>
      </c>
      <c r="E738">
        <v>18</v>
      </c>
      <c r="F738">
        <v>15</v>
      </c>
      <c r="G738">
        <v>0.83</v>
      </c>
      <c r="H738">
        <v>20</v>
      </c>
      <c r="I738">
        <v>10000</v>
      </c>
      <c r="J738">
        <v>3000</v>
      </c>
      <c r="K738" t="s">
        <v>86</v>
      </c>
      <c r="L738" t="s">
        <v>104</v>
      </c>
      <c r="M738" t="s">
        <v>51</v>
      </c>
      <c r="N738" t="b">
        <v>0</v>
      </c>
      <c r="O738" t="s">
        <v>87</v>
      </c>
    </row>
    <row r="739" spans="1:15" ht="15" customHeight="1">
      <c r="A739" t="s">
        <v>718</v>
      </c>
      <c r="B739" t="s">
        <v>1296</v>
      </c>
      <c r="C739" t="s">
        <v>75</v>
      </c>
      <c r="D739" t="s">
        <v>69</v>
      </c>
      <c r="E739">
        <v>18</v>
      </c>
      <c r="F739">
        <v>6.3</v>
      </c>
      <c r="G739">
        <v>0.35</v>
      </c>
      <c r="H739">
        <v>6</v>
      </c>
      <c r="I739">
        <v>2000</v>
      </c>
      <c r="J739">
        <v>1500</v>
      </c>
      <c r="K739" t="s">
        <v>269</v>
      </c>
      <c r="L739" t="s">
        <v>71</v>
      </c>
      <c r="M739" t="s">
        <v>50</v>
      </c>
      <c r="N739" t="b">
        <v>0</v>
      </c>
      <c r="O739" t="s">
        <v>270</v>
      </c>
    </row>
    <row r="740" spans="1:15" ht="15" customHeight="1">
      <c r="A740" t="s">
        <v>324</v>
      </c>
      <c r="B740" t="s">
        <v>1297</v>
      </c>
      <c r="C740" t="s">
        <v>129</v>
      </c>
      <c r="D740" t="s">
        <v>130</v>
      </c>
      <c r="E740">
        <v>15</v>
      </c>
      <c r="F740">
        <v>11</v>
      </c>
      <c r="G740">
        <v>0.73</v>
      </c>
      <c r="H740">
        <v>20</v>
      </c>
      <c r="I740">
        <v>5000</v>
      </c>
      <c r="J740">
        <v>1000</v>
      </c>
      <c r="K740" t="s">
        <v>103</v>
      </c>
      <c r="L740" t="s">
        <v>91</v>
      </c>
      <c r="M740" t="s">
        <v>48</v>
      </c>
      <c r="N740" t="b">
        <v>1</v>
      </c>
      <c r="O740" t="s">
        <v>169</v>
      </c>
    </row>
    <row r="741" spans="1:15" ht="15" customHeight="1">
      <c r="A741" t="s">
        <v>583</v>
      </c>
      <c r="B741" t="s">
        <v>1298</v>
      </c>
      <c r="C741" t="s">
        <v>75</v>
      </c>
      <c r="D741" t="s">
        <v>69</v>
      </c>
      <c r="E741">
        <v>17</v>
      </c>
      <c r="F741">
        <v>16.8</v>
      </c>
      <c r="G741">
        <v>0.99</v>
      </c>
      <c r="H741">
        <v>10</v>
      </c>
      <c r="I741">
        <v>2000</v>
      </c>
      <c r="J741">
        <v>1500</v>
      </c>
      <c r="K741" t="s">
        <v>418</v>
      </c>
      <c r="L741" t="s">
        <v>100</v>
      </c>
      <c r="M741" t="s">
        <v>40</v>
      </c>
      <c r="N741" t="b">
        <v>0</v>
      </c>
      <c r="O741" t="s">
        <v>419</v>
      </c>
    </row>
    <row r="742" spans="1:15" ht="15" customHeight="1">
      <c r="A742" t="s">
        <v>674</v>
      </c>
      <c r="B742" t="s">
        <v>1299</v>
      </c>
      <c r="C742" t="s">
        <v>81</v>
      </c>
      <c r="D742" t="s">
        <v>69</v>
      </c>
      <c r="E742">
        <v>16</v>
      </c>
      <c r="F742">
        <v>9.3000000000000007</v>
      </c>
      <c r="G742">
        <v>0.57999999999999996</v>
      </c>
      <c r="H742">
        <v>9</v>
      </c>
      <c r="I742">
        <v>10000</v>
      </c>
      <c r="J742">
        <v>3000</v>
      </c>
      <c r="K742" t="s">
        <v>108</v>
      </c>
      <c r="L742" t="s">
        <v>100</v>
      </c>
      <c r="M742" t="s">
        <v>40</v>
      </c>
      <c r="N742" t="b">
        <v>0</v>
      </c>
      <c r="O742" t="s">
        <v>303</v>
      </c>
    </row>
    <row r="743" spans="1:15" ht="15" customHeight="1">
      <c r="A743" t="s">
        <v>696</v>
      </c>
      <c r="B743" t="s">
        <v>1300</v>
      </c>
      <c r="C743" t="s">
        <v>68</v>
      </c>
      <c r="D743" t="s">
        <v>69</v>
      </c>
      <c r="E743">
        <v>13</v>
      </c>
      <c r="F743">
        <v>1.9</v>
      </c>
      <c r="G743">
        <v>0.15</v>
      </c>
      <c r="H743">
        <v>1</v>
      </c>
      <c r="I743">
        <v>30000</v>
      </c>
      <c r="J743">
        <v>5000</v>
      </c>
      <c r="K743" t="s">
        <v>70</v>
      </c>
      <c r="L743" t="s">
        <v>96</v>
      </c>
      <c r="M743" t="s">
        <v>47</v>
      </c>
      <c r="N743" t="b">
        <v>0</v>
      </c>
      <c r="O743" t="s">
        <v>72</v>
      </c>
    </row>
    <row r="744" spans="1:15" ht="15" customHeight="1">
      <c r="A744" t="s">
        <v>304</v>
      </c>
      <c r="B744" t="s">
        <v>1301</v>
      </c>
      <c r="C744" t="s">
        <v>68</v>
      </c>
      <c r="D744" t="s">
        <v>69</v>
      </c>
      <c r="E744">
        <v>8</v>
      </c>
      <c r="F744">
        <v>3.1</v>
      </c>
      <c r="G744">
        <v>0.39</v>
      </c>
      <c r="H744">
        <v>2</v>
      </c>
      <c r="I744">
        <v>30000</v>
      </c>
      <c r="J744">
        <v>5000</v>
      </c>
      <c r="K744" t="s">
        <v>162</v>
      </c>
      <c r="L744" t="s">
        <v>104</v>
      </c>
      <c r="M744" t="s">
        <v>45</v>
      </c>
      <c r="N744" t="b">
        <v>0</v>
      </c>
      <c r="O744" t="s">
        <v>163</v>
      </c>
    </row>
    <row r="745" spans="1:15" ht="15" customHeight="1">
      <c r="A745" t="s">
        <v>160</v>
      </c>
      <c r="B745" t="s">
        <v>1302</v>
      </c>
      <c r="C745" t="s">
        <v>75</v>
      </c>
      <c r="D745" t="s">
        <v>69</v>
      </c>
      <c r="E745">
        <v>11</v>
      </c>
      <c r="F745">
        <v>8.6999999999999993</v>
      </c>
      <c r="G745">
        <v>0.79</v>
      </c>
      <c r="H745">
        <v>29</v>
      </c>
      <c r="I745">
        <v>2000</v>
      </c>
      <c r="J745">
        <v>1500</v>
      </c>
      <c r="K745" t="s">
        <v>519</v>
      </c>
      <c r="L745" t="s">
        <v>71</v>
      </c>
      <c r="M745" t="s">
        <v>45</v>
      </c>
      <c r="N745" t="b">
        <v>0</v>
      </c>
      <c r="O745" t="s">
        <v>520</v>
      </c>
    </row>
    <row r="746" spans="1:15" ht="15" customHeight="1">
      <c r="A746" t="s">
        <v>1110</v>
      </c>
      <c r="B746" t="s">
        <v>1303</v>
      </c>
      <c r="C746" t="s">
        <v>75</v>
      </c>
      <c r="D746" t="s">
        <v>69</v>
      </c>
      <c r="E746">
        <v>18</v>
      </c>
      <c r="F746">
        <v>5.7</v>
      </c>
      <c r="G746">
        <v>0.32</v>
      </c>
      <c r="H746">
        <v>11</v>
      </c>
      <c r="I746">
        <v>2000</v>
      </c>
      <c r="J746">
        <v>1500</v>
      </c>
      <c r="K746" t="s">
        <v>689</v>
      </c>
      <c r="L746" t="s">
        <v>96</v>
      </c>
      <c r="M746" t="s">
        <v>45</v>
      </c>
      <c r="N746" t="b">
        <v>0</v>
      </c>
      <c r="O746" t="s">
        <v>690</v>
      </c>
    </row>
    <row r="747" spans="1:15" ht="15" customHeight="1">
      <c r="A747" t="s">
        <v>363</v>
      </c>
      <c r="B747" t="s">
        <v>1304</v>
      </c>
      <c r="C747" t="s">
        <v>75</v>
      </c>
      <c r="D747" t="s">
        <v>69</v>
      </c>
      <c r="E747">
        <v>13</v>
      </c>
      <c r="F747">
        <v>6.3</v>
      </c>
      <c r="G747">
        <v>0.48</v>
      </c>
      <c r="H747">
        <v>8</v>
      </c>
      <c r="I747">
        <v>2000</v>
      </c>
      <c r="J747">
        <v>1500</v>
      </c>
      <c r="K747" t="s">
        <v>275</v>
      </c>
      <c r="L747" t="s">
        <v>71</v>
      </c>
      <c r="M747" t="s">
        <v>43</v>
      </c>
      <c r="N747" t="b">
        <v>0</v>
      </c>
      <c r="O747" t="s">
        <v>276</v>
      </c>
    </row>
    <row r="748" spans="1:15" ht="15" customHeight="1">
      <c r="A748" t="s">
        <v>860</v>
      </c>
      <c r="B748" t="s">
        <v>1305</v>
      </c>
      <c r="C748" t="s">
        <v>75</v>
      </c>
      <c r="D748" t="s">
        <v>69</v>
      </c>
      <c r="E748">
        <v>19</v>
      </c>
      <c r="F748">
        <v>12.3</v>
      </c>
      <c r="G748">
        <v>0.65</v>
      </c>
      <c r="H748">
        <v>24</v>
      </c>
      <c r="I748">
        <v>2000</v>
      </c>
      <c r="J748">
        <v>1500</v>
      </c>
      <c r="K748" t="s">
        <v>361</v>
      </c>
      <c r="L748" t="s">
        <v>96</v>
      </c>
      <c r="M748" t="s">
        <v>42</v>
      </c>
      <c r="N748" t="b">
        <v>0</v>
      </c>
      <c r="O748" t="s">
        <v>362</v>
      </c>
    </row>
    <row r="749" spans="1:15" ht="15" customHeight="1">
      <c r="A749" t="s">
        <v>783</v>
      </c>
      <c r="B749" t="s">
        <v>1306</v>
      </c>
      <c r="C749" t="s">
        <v>149</v>
      </c>
      <c r="D749" t="s">
        <v>69</v>
      </c>
      <c r="E749">
        <v>8</v>
      </c>
      <c r="F749">
        <v>6.8</v>
      </c>
      <c r="G749">
        <v>0.85</v>
      </c>
      <c r="H749">
        <v>26</v>
      </c>
      <c r="I749">
        <v>3000</v>
      </c>
      <c r="J749">
        <v>1000</v>
      </c>
      <c r="K749" t="s">
        <v>294</v>
      </c>
      <c r="L749" t="s">
        <v>71</v>
      </c>
      <c r="M749" t="s">
        <v>41</v>
      </c>
      <c r="N749" t="b">
        <v>0</v>
      </c>
      <c r="O749" t="s">
        <v>295</v>
      </c>
    </row>
    <row r="750" spans="1:15" ht="15" customHeight="1">
      <c r="A750" t="s">
        <v>799</v>
      </c>
      <c r="B750" t="s">
        <v>1307</v>
      </c>
      <c r="C750" t="s">
        <v>68</v>
      </c>
      <c r="D750" t="s">
        <v>69</v>
      </c>
      <c r="E750">
        <v>9</v>
      </c>
      <c r="F750">
        <v>1.2</v>
      </c>
      <c r="G750">
        <v>0.13</v>
      </c>
      <c r="H750">
        <v>2</v>
      </c>
      <c r="I750">
        <v>30000</v>
      </c>
      <c r="J750">
        <v>5000</v>
      </c>
      <c r="K750" t="s">
        <v>162</v>
      </c>
      <c r="L750" t="s">
        <v>77</v>
      </c>
      <c r="M750" t="s">
        <v>46</v>
      </c>
      <c r="N750" t="b">
        <v>0</v>
      </c>
      <c r="O750" t="s">
        <v>163</v>
      </c>
    </row>
    <row r="751" spans="1:15" ht="15" customHeight="1">
      <c r="A751" t="s">
        <v>1308</v>
      </c>
      <c r="B751" t="s">
        <v>1309</v>
      </c>
      <c r="C751" t="s">
        <v>75</v>
      </c>
      <c r="D751" t="s">
        <v>69</v>
      </c>
      <c r="E751">
        <v>13</v>
      </c>
      <c r="F751">
        <v>4</v>
      </c>
      <c r="G751">
        <v>0.31</v>
      </c>
      <c r="H751">
        <v>11</v>
      </c>
      <c r="I751">
        <v>2000</v>
      </c>
      <c r="J751">
        <v>1500</v>
      </c>
      <c r="K751" t="s">
        <v>689</v>
      </c>
      <c r="L751" t="s">
        <v>91</v>
      </c>
      <c r="M751" t="s">
        <v>44</v>
      </c>
      <c r="N751" t="b">
        <v>1</v>
      </c>
      <c r="O751" t="s">
        <v>690</v>
      </c>
    </row>
    <row r="752" spans="1:15" ht="15" customHeight="1">
      <c r="A752" t="s">
        <v>1310</v>
      </c>
      <c r="B752" t="s">
        <v>1311</v>
      </c>
      <c r="C752" t="s">
        <v>75</v>
      </c>
      <c r="D752" t="s">
        <v>69</v>
      </c>
      <c r="E752">
        <v>10</v>
      </c>
      <c r="F752">
        <v>3.5</v>
      </c>
      <c r="G752">
        <v>0.35</v>
      </c>
      <c r="H752">
        <v>26</v>
      </c>
      <c r="I752">
        <v>2000</v>
      </c>
      <c r="J752">
        <v>1500</v>
      </c>
      <c r="K752" t="s">
        <v>298</v>
      </c>
      <c r="L752" t="s">
        <v>117</v>
      </c>
      <c r="M752" t="s">
        <v>47</v>
      </c>
      <c r="N752" t="b">
        <v>1</v>
      </c>
      <c r="O752" t="s">
        <v>299</v>
      </c>
    </row>
    <row r="753" spans="1:15" ht="15" customHeight="1">
      <c r="A753" t="s">
        <v>189</v>
      </c>
      <c r="B753" t="s">
        <v>1312</v>
      </c>
      <c r="C753" t="s">
        <v>149</v>
      </c>
      <c r="D753" t="s">
        <v>69</v>
      </c>
      <c r="E753">
        <v>10</v>
      </c>
      <c r="F753">
        <v>6.4</v>
      </c>
      <c r="G753">
        <v>0.64</v>
      </c>
      <c r="H753">
        <v>36</v>
      </c>
      <c r="I753">
        <v>3000</v>
      </c>
      <c r="J753">
        <v>1000</v>
      </c>
      <c r="K753" t="s">
        <v>154</v>
      </c>
      <c r="L753" t="s">
        <v>104</v>
      </c>
      <c r="M753" t="s">
        <v>51</v>
      </c>
      <c r="N753" t="b">
        <v>0</v>
      </c>
      <c r="O753" t="s">
        <v>155</v>
      </c>
    </row>
    <row r="754" spans="1:15" ht="15" customHeight="1">
      <c r="A754" t="s">
        <v>201</v>
      </c>
      <c r="B754" t="s">
        <v>1313</v>
      </c>
      <c r="C754" t="s">
        <v>75</v>
      </c>
      <c r="D754" t="s">
        <v>69</v>
      </c>
      <c r="E754">
        <v>9</v>
      </c>
      <c r="F754">
        <v>6.3</v>
      </c>
      <c r="G754">
        <v>0.7</v>
      </c>
      <c r="H754">
        <v>27</v>
      </c>
      <c r="I754">
        <v>2000</v>
      </c>
      <c r="J754">
        <v>1500</v>
      </c>
      <c r="K754" t="s">
        <v>150</v>
      </c>
      <c r="L754" t="s">
        <v>77</v>
      </c>
      <c r="M754" t="s">
        <v>50</v>
      </c>
      <c r="N754" t="b">
        <v>0</v>
      </c>
      <c r="O754" t="s">
        <v>528</v>
      </c>
    </row>
    <row r="755" spans="1:15" ht="15" customHeight="1">
      <c r="A755" t="s">
        <v>410</v>
      </c>
      <c r="B755" t="s">
        <v>1314</v>
      </c>
      <c r="C755" t="s">
        <v>129</v>
      </c>
      <c r="D755" t="s">
        <v>130</v>
      </c>
      <c r="E755">
        <v>9</v>
      </c>
      <c r="F755">
        <v>4.0999999999999996</v>
      </c>
      <c r="G755">
        <v>0.46</v>
      </c>
      <c r="H755">
        <v>21</v>
      </c>
      <c r="I755">
        <v>5000</v>
      </c>
      <c r="J755">
        <v>1000</v>
      </c>
      <c r="K755" t="s">
        <v>131</v>
      </c>
      <c r="L755" t="s">
        <v>96</v>
      </c>
      <c r="M755" t="s">
        <v>46</v>
      </c>
      <c r="N755" t="b">
        <v>0</v>
      </c>
      <c r="O755" t="s">
        <v>132</v>
      </c>
    </row>
    <row r="756" spans="1:15" ht="15" customHeight="1">
      <c r="A756" t="s">
        <v>542</v>
      </c>
      <c r="B756" t="s">
        <v>1315</v>
      </c>
      <c r="C756" t="s">
        <v>149</v>
      </c>
      <c r="D756" t="s">
        <v>69</v>
      </c>
      <c r="E756">
        <v>10</v>
      </c>
      <c r="F756">
        <v>7.9</v>
      </c>
      <c r="G756">
        <v>0.79</v>
      </c>
      <c r="H756">
        <v>27</v>
      </c>
      <c r="I756">
        <v>3000</v>
      </c>
      <c r="J756">
        <v>1000</v>
      </c>
      <c r="K756" t="s">
        <v>845</v>
      </c>
      <c r="L756" t="s">
        <v>77</v>
      </c>
      <c r="M756" t="s">
        <v>44</v>
      </c>
      <c r="N756" t="b">
        <v>0</v>
      </c>
      <c r="O756" t="s">
        <v>357</v>
      </c>
    </row>
    <row r="757" spans="1:15" ht="15" customHeight="1">
      <c r="A757" t="s">
        <v>156</v>
      </c>
      <c r="B757" t="s">
        <v>1316</v>
      </c>
      <c r="C757" t="s">
        <v>129</v>
      </c>
      <c r="D757" t="s">
        <v>130</v>
      </c>
      <c r="E757">
        <v>12</v>
      </c>
      <c r="F757">
        <v>4.3</v>
      </c>
      <c r="G757">
        <v>0.36</v>
      </c>
      <c r="H757">
        <v>20</v>
      </c>
      <c r="I757">
        <v>5000</v>
      </c>
      <c r="J757">
        <v>1000</v>
      </c>
      <c r="K757" t="s">
        <v>103</v>
      </c>
      <c r="L757" t="s">
        <v>77</v>
      </c>
      <c r="M757" t="s">
        <v>47</v>
      </c>
      <c r="N757" t="b">
        <v>0</v>
      </c>
      <c r="O757" t="s">
        <v>169</v>
      </c>
    </row>
    <row r="758" spans="1:15" ht="15" customHeight="1">
      <c r="A758" t="s">
        <v>1317</v>
      </c>
      <c r="B758" t="s">
        <v>1318</v>
      </c>
      <c r="C758" t="s">
        <v>81</v>
      </c>
      <c r="D758" t="s">
        <v>69</v>
      </c>
      <c r="E758">
        <v>9</v>
      </c>
      <c r="F758">
        <v>8.4</v>
      </c>
      <c r="G758">
        <v>0.93</v>
      </c>
      <c r="H758">
        <v>13</v>
      </c>
      <c r="I758">
        <v>10000</v>
      </c>
      <c r="J758">
        <v>3000</v>
      </c>
      <c r="K758" t="s">
        <v>203</v>
      </c>
      <c r="L758" t="s">
        <v>71</v>
      </c>
      <c r="M758" t="s">
        <v>40</v>
      </c>
      <c r="N758" t="b">
        <v>0</v>
      </c>
      <c r="O758" t="s">
        <v>204</v>
      </c>
    </row>
    <row r="759" spans="1:15" ht="15" customHeight="1">
      <c r="A759" t="s">
        <v>344</v>
      </c>
      <c r="B759" t="s">
        <v>1319</v>
      </c>
      <c r="C759" t="s">
        <v>81</v>
      </c>
      <c r="D759" t="s">
        <v>69</v>
      </c>
      <c r="E759">
        <v>11</v>
      </c>
      <c r="F759">
        <v>7.8</v>
      </c>
      <c r="G759">
        <v>0.71</v>
      </c>
      <c r="H759">
        <v>9</v>
      </c>
      <c r="I759">
        <v>10000</v>
      </c>
      <c r="J759">
        <v>3000</v>
      </c>
      <c r="K759" t="s">
        <v>108</v>
      </c>
      <c r="L759" t="s">
        <v>100</v>
      </c>
      <c r="M759" t="s">
        <v>50</v>
      </c>
      <c r="N759" t="b">
        <v>0</v>
      </c>
      <c r="O759" t="s">
        <v>303</v>
      </c>
    </row>
    <row r="760" spans="1:15" ht="15" customHeight="1">
      <c r="A760" t="s">
        <v>1039</v>
      </c>
      <c r="B760" t="s">
        <v>1320</v>
      </c>
      <c r="C760" t="s">
        <v>129</v>
      </c>
      <c r="D760" t="s">
        <v>130</v>
      </c>
      <c r="E760">
        <v>19</v>
      </c>
      <c r="F760">
        <v>3.8</v>
      </c>
      <c r="G760">
        <v>0.2</v>
      </c>
      <c r="H760">
        <v>9</v>
      </c>
      <c r="I760">
        <v>5000</v>
      </c>
      <c r="J760">
        <v>1000</v>
      </c>
      <c r="K760" t="s">
        <v>438</v>
      </c>
      <c r="L760" t="s">
        <v>104</v>
      </c>
      <c r="M760" t="s">
        <v>49</v>
      </c>
      <c r="N760" t="b">
        <v>0</v>
      </c>
      <c r="O760" t="s">
        <v>90</v>
      </c>
    </row>
    <row r="761" spans="1:15" ht="15" customHeight="1">
      <c r="A761" t="s">
        <v>1321</v>
      </c>
      <c r="B761" t="s">
        <v>1322</v>
      </c>
      <c r="C761" t="s">
        <v>129</v>
      </c>
      <c r="D761" t="s">
        <v>130</v>
      </c>
      <c r="E761">
        <v>15</v>
      </c>
      <c r="F761">
        <v>6.2</v>
      </c>
      <c r="G761">
        <v>0.41</v>
      </c>
      <c r="H761">
        <v>7</v>
      </c>
      <c r="I761">
        <v>5000</v>
      </c>
      <c r="J761">
        <v>1000</v>
      </c>
      <c r="K761" t="s">
        <v>1135</v>
      </c>
      <c r="L761" t="s">
        <v>71</v>
      </c>
      <c r="M761" t="s">
        <v>40</v>
      </c>
      <c r="N761" t="b">
        <v>0</v>
      </c>
      <c r="O761" t="s">
        <v>862</v>
      </c>
    </row>
    <row r="762" spans="1:15" ht="15" customHeight="1">
      <c r="A762" t="s">
        <v>406</v>
      </c>
      <c r="B762" t="s">
        <v>1323</v>
      </c>
      <c r="C762" t="s">
        <v>75</v>
      </c>
      <c r="D762" t="s">
        <v>69</v>
      </c>
      <c r="E762">
        <v>13</v>
      </c>
      <c r="F762">
        <v>3.9</v>
      </c>
      <c r="G762">
        <v>0.3</v>
      </c>
      <c r="H762">
        <v>26</v>
      </c>
      <c r="I762">
        <v>2000</v>
      </c>
      <c r="J762">
        <v>1500</v>
      </c>
      <c r="K762" t="s">
        <v>298</v>
      </c>
      <c r="L762" t="s">
        <v>96</v>
      </c>
      <c r="M762" t="s">
        <v>47</v>
      </c>
      <c r="N762" t="b">
        <v>0</v>
      </c>
      <c r="O762" t="s">
        <v>299</v>
      </c>
    </row>
    <row r="763" spans="1:15" ht="15" customHeight="1">
      <c r="A763" t="s">
        <v>1126</v>
      </c>
      <c r="B763" t="s">
        <v>1324</v>
      </c>
      <c r="C763" t="s">
        <v>149</v>
      </c>
      <c r="D763" t="s">
        <v>69</v>
      </c>
      <c r="E763">
        <v>9</v>
      </c>
      <c r="F763">
        <v>7.8</v>
      </c>
      <c r="G763">
        <v>0.87</v>
      </c>
      <c r="H763">
        <v>25</v>
      </c>
      <c r="I763">
        <v>3000</v>
      </c>
      <c r="J763">
        <v>1000</v>
      </c>
      <c r="K763" t="s">
        <v>479</v>
      </c>
      <c r="L763" t="s">
        <v>104</v>
      </c>
      <c r="M763" t="s">
        <v>46</v>
      </c>
      <c r="N763" t="b">
        <v>0</v>
      </c>
      <c r="O763" t="s">
        <v>480</v>
      </c>
    </row>
    <row r="764" spans="1:15" ht="15" customHeight="1">
      <c r="A764" t="s">
        <v>650</v>
      </c>
      <c r="B764" t="s">
        <v>1325</v>
      </c>
      <c r="C764" t="s">
        <v>75</v>
      </c>
      <c r="D764" t="s">
        <v>69</v>
      </c>
      <c r="E764">
        <v>20</v>
      </c>
      <c r="F764">
        <v>12.8</v>
      </c>
      <c r="G764">
        <v>0.64</v>
      </c>
      <c r="H764">
        <v>8</v>
      </c>
      <c r="I764">
        <v>2000</v>
      </c>
      <c r="J764">
        <v>1500</v>
      </c>
      <c r="K764" t="s">
        <v>275</v>
      </c>
      <c r="L764" t="s">
        <v>100</v>
      </c>
      <c r="M764" t="s">
        <v>46</v>
      </c>
      <c r="N764" t="b">
        <v>0</v>
      </c>
      <c r="O764" t="s">
        <v>276</v>
      </c>
    </row>
    <row r="765" spans="1:15" ht="15" customHeight="1">
      <c r="A765" t="s">
        <v>1106</v>
      </c>
      <c r="B765" t="s">
        <v>1326</v>
      </c>
      <c r="C765" t="s">
        <v>81</v>
      </c>
      <c r="D765" t="s">
        <v>69</v>
      </c>
      <c r="E765">
        <v>16</v>
      </c>
      <c r="F765">
        <v>6.6</v>
      </c>
      <c r="G765">
        <v>0.41</v>
      </c>
      <c r="H765">
        <v>29</v>
      </c>
      <c r="I765">
        <v>10000</v>
      </c>
      <c r="J765">
        <v>3000</v>
      </c>
      <c r="K765" t="s">
        <v>603</v>
      </c>
      <c r="L765" t="s">
        <v>71</v>
      </c>
      <c r="M765" t="s">
        <v>47</v>
      </c>
      <c r="N765" t="b">
        <v>0</v>
      </c>
      <c r="O765" t="s">
        <v>604</v>
      </c>
    </row>
    <row r="766" spans="1:15" ht="15" customHeight="1">
      <c r="A766" t="s">
        <v>946</v>
      </c>
      <c r="B766" t="s">
        <v>1327</v>
      </c>
      <c r="C766" t="s">
        <v>68</v>
      </c>
      <c r="D766" t="s">
        <v>69</v>
      </c>
      <c r="E766">
        <v>13</v>
      </c>
      <c r="F766">
        <v>1.7</v>
      </c>
      <c r="G766">
        <v>0.13</v>
      </c>
      <c r="H766">
        <v>2</v>
      </c>
      <c r="I766">
        <v>30000</v>
      </c>
      <c r="J766">
        <v>5000</v>
      </c>
      <c r="K766" t="s">
        <v>162</v>
      </c>
      <c r="L766" t="s">
        <v>100</v>
      </c>
      <c r="M766" t="s">
        <v>51</v>
      </c>
      <c r="N766" t="b">
        <v>0</v>
      </c>
      <c r="O766" t="s">
        <v>163</v>
      </c>
    </row>
    <row r="767" spans="1:15" ht="15" customHeight="1">
      <c r="A767" t="s">
        <v>191</v>
      </c>
      <c r="B767" t="s">
        <v>1328</v>
      </c>
      <c r="C767" t="s">
        <v>129</v>
      </c>
      <c r="D767" t="s">
        <v>130</v>
      </c>
      <c r="E767">
        <v>17</v>
      </c>
      <c r="F767">
        <v>14.8</v>
      </c>
      <c r="G767">
        <v>0.87</v>
      </c>
      <c r="H767">
        <v>18</v>
      </c>
      <c r="I767">
        <v>5000</v>
      </c>
      <c r="J767">
        <v>1000</v>
      </c>
      <c r="K767" t="s">
        <v>108</v>
      </c>
      <c r="L767" t="s">
        <v>71</v>
      </c>
      <c r="M767" t="s">
        <v>49</v>
      </c>
      <c r="N767" t="b">
        <v>0</v>
      </c>
      <c r="O767" t="s">
        <v>166</v>
      </c>
    </row>
    <row r="768" spans="1:15" ht="15" customHeight="1">
      <c r="A768" t="s">
        <v>1329</v>
      </c>
      <c r="B768" t="s">
        <v>1330</v>
      </c>
      <c r="C768" t="s">
        <v>129</v>
      </c>
      <c r="D768" t="s">
        <v>130</v>
      </c>
      <c r="E768">
        <v>12</v>
      </c>
      <c r="F768">
        <v>7.8</v>
      </c>
      <c r="G768">
        <v>0.65</v>
      </c>
      <c r="H768">
        <v>7</v>
      </c>
      <c r="I768">
        <v>5000</v>
      </c>
      <c r="J768">
        <v>1000</v>
      </c>
      <c r="K768" t="s">
        <v>1135</v>
      </c>
      <c r="L768" t="s">
        <v>104</v>
      </c>
      <c r="M768" t="s">
        <v>51</v>
      </c>
      <c r="N768" t="b">
        <v>0</v>
      </c>
      <c r="O768" t="s">
        <v>862</v>
      </c>
    </row>
    <row r="769" spans="1:15" ht="15" customHeight="1">
      <c r="A769" t="s">
        <v>694</v>
      </c>
      <c r="B769" t="s">
        <v>1331</v>
      </c>
      <c r="C769" t="s">
        <v>129</v>
      </c>
      <c r="D769" t="s">
        <v>130</v>
      </c>
      <c r="E769">
        <v>8</v>
      </c>
      <c r="F769">
        <v>4</v>
      </c>
      <c r="G769">
        <v>0.5</v>
      </c>
      <c r="H769">
        <v>17</v>
      </c>
      <c r="I769">
        <v>5000</v>
      </c>
      <c r="J769">
        <v>1000</v>
      </c>
      <c r="K769" t="s">
        <v>109</v>
      </c>
      <c r="L769" t="s">
        <v>96</v>
      </c>
      <c r="M769" t="s">
        <v>46</v>
      </c>
      <c r="N769" t="b">
        <v>0</v>
      </c>
      <c r="O769" t="s">
        <v>176</v>
      </c>
    </row>
    <row r="770" spans="1:15" ht="15" customHeight="1">
      <c r="A770" t="s">
        <v>181</v>
      </c>
      <c r="B770" t="s">
        <v>1332</v>
      </c>
      <c r="C770" t="s">
        <v>81</v>
      </c>
      <c r="D770" t="s">
        <v>69</v>
      </c>
      <c r="E770">
        <v>13</v>
      </c>
      <c r="F770">
        <v>5.7</v>
      </c>
      <c r="G770">
        <v>0.44</v>
      </c>
      <c r="H770">
        <v>24</v>
      </c>
      <c r="I770">
        <v>10000</v>
      </c>
      <c r="J770">
        <v>3000</v>
      </c>
      <c r="K770" t="s">
        <v>306</v>
      </c>
      <c r="L770" t="s">
        <v>71</v>
      </c>
      <c r="M770" t="s">
        <v>42</v>
      </c>
      <c r="N770" t="b">
        <v>0</v>
      </c>
      <c r="O770" t="s">
        <v>307</v>
      </c>
    </row>
    <row r="771" spans="1:15" ht="15" customHeight="1">
      <c r="A771" t="s">
        <v>441</v>
      </c>
      <c r="B771" t="s">
        <v>1333</v>
      </c>
      <c r="C771" t="s">
        <v>75</v>
      </c>
      <c r="D771" t="s">
        <v>69</v>
      </c>
      <c r="E771">
        <v>11</v>
      </c>
      <c r="F771">
        <v>7.1</v>
      </c>
      <c r="G771">
        <v>0.65</v>
      </c>
      <c r="H771">
        <v>6</v>
      </c>
      <c r="I771">
        <v>2000</v>
      </c>
      <c r="J771">
        <v>1500</v>
      </c>
      <c r="K771" t="s">
        <v>269</v>
      </c>
      <c r="L771" t="s">
        <v>77</v>
      </c>
      <c r="M771" t="s">
        <v>43</v>
      </c>
      <c r="N771" t="b">
        <v>0</v>
      </c>
      <c r="O771" t="s">
        <v>270</v>
      </c>
    </row>
    <row r="772" spans="1:15" ht="15" customHeight="1">
      <c r="A772" t="s">
        <v>811</v>
      </c>
      <c r="B772" t="s">
        <v>1334</v>
      </c>
      <c r="C772" t="s">
        <v>75</v>
      </c>
      <c r="D772" t="s">
        <v>69</v>
      </c>
      <c r="E772">
        <v>13</v>
      </c>
      <c r="F772">
        <v>3.5</v>
      </c>
      <c r="G772">
        <v>0.27</v>
      </c>
      <c r="H772">
        <v>20</v>
      </c>
      <c r="I772">
        <v>2000</v>
      </c>
      <c r="J772">
        <v>1500</v>
      </c>
      <c r="K772" t="s">
        <v>76</v>
      </c>
      <c r="L772" t="s">
        <v>91</v>
      </c>
      <c r="M772" t="s">
        <v>46</v>
      </c>
      <c r="N772" t="b">
        <v>1</v>
      </c>
      <c r="O772" t="s">
        <v>78</v>
      </c>
    </row>
    <row r="773" spans="1:15" ht="15" customHeight="1">
      <c r="A773" t="s">
        <v>402</v>
      </c>
      <c r="B773" t="s">
        <v>1335</v>
      </c>
      <c r="C773" t="s">
        <v>129</v>
      </c>
      <c r="D773" t="s">
        <v>130</v>
      </c>
      <c r="E773">
        <v>14</v>
      </c>
      <c r="F773">
        <v>6.6</v>
      </c>
      <c r="G773">
        <v>0.47</v>
      </c>
      <c r="H773">
        <v>19</v>
      </c>
      <c r="I773">
        <v>5000</v>
      </c>
      <c r="J773">
        <v>1000</v>
      </c>
      <c r="K773" t="s">
        <v>336</v>
      </c>
      <c r="L773" t="s">
        <v>71</v>
      </c>
      <c r="M773" t="s">
        <v>41</v>
      </c>
      <c r="N773" t="b">
        <v>0</v>
      </c>
      <c r="O773" t="s">
        <v>337</v>
      </c>
    </row>
    <row r="774" spans="1:15" ht="15" customHeight="1">
      <c r="A774" t="s">
        <v>1086</v>
      </c>
      <c r="B774" t="s">
        <v>1336</v>
      </c>
      <c r="C774" t="s">
        <v>129</v>
      </c>
      <c r="D774" t="s">
        <v>130</v>
      </c>
      <c r="E774">
        <v>18</v>
      </c>
      <c r="F774">
        <v>8.1</v>
      </c>
      <c r="G774">
        <v>0.45</v>
      </c>
      <c r="H774">
        <v>11</v>
      </c>
      <c r="I774">
        <v>5000</v>
      </c>
      <c r="J774">
        <v>1000</v>
      </c>
      <c r="K774" t="s">
        <v>163</v>
      </c>
      <c r="L774" t="s">
        <v>71</v>
      </c>
      <c r="M774" t="s">
        <v>44</v>
      </c>
      <c r="N774" t="b">
        <v>0</v>
      </c>
      <c r="O774" t="s">
        <v>150</v>
      </c>
    </row>
    <row r="775" spans="1:15" ht="15" customHeight="1">
      <c r="A775" t="s">
        <v>848</v>
      </c>
      <c r="B775" t="s">
        <v>1337</v>
      </c>
      <c r="C775" t="s">
        <v>129</v>
      </c>
      <c r="D775" t="s">
        <v>130</v>
      </c>
      <c r="E775">
        <v>20</v>
      </c>
      <c r="F775">
        <v>6.2</v>
      </c>
      <c r="G775">
        <v>0.31</v>
      </c>
      <c r="H775">
        <v>7</v>
      </c>
      <c r="I775">
        <v>5000</v>
      </c>
      <c r="J775">
        <v>1000</v>
      </c>
      <c r="K775" t="s">
        <v>1135</v>
      </c>
      <c r="L775" t="s">
        <v>117</v>
      </c>
      <c r="M775" t="s">
        <v>48</v>
      </c>
      <c r="N775" t="b">
        <v>1</v>
      </c>
      <c r="O775" t="s">
        <v>862</v>
      </c>
    </row>
    <row r="776" spans="1:15" ht="15" customHeight="1">
      <c r="A776" t="s">
        <v>1338</v>
      </c>
      <c r="B776" t="s">
        <v>1339</v>
      </c>
      <c r="C776" t="s">
        <v>149</v>
      </c>
      <c r="D776" t="s">
        <v>69</v>
      </c>
      <c r="E776">
        <v>10</v>
      </c>
      <c r="F776">
        <v>7.2</v>
      </c>
      <c r="G776">
        <v>0.72</v>
      </c>
      <c r="H776">
        <v>25</v>
      </c>
      <c r="I776">
        <v>3000</v>
      </c>
      <c r="J776">
        <v>1000</v>
      </c>
      <c r="K776" t="s">
        <v>479</v>
      </c>
      <c r="L776" t="s">
        <v>104</v>
      </c>
      <c r="M776" t="s">
        <v>47</v>
      </c>
      <c r="N776" t="b">
        <v>0</v>
      </c>
      <c r="O776" t="s">
        <v>480</v>
      </c>
    </row>
    <row r="777" spans="1:15" ht="15" customHeight="1">
      <c r="A777" t="s">
        <v>164</v>
      </c>
      <c r="B777" t="s">
        <v>1340</v>
      </c>
      <c r="C777" t="s">
        <v>68</v>
      </c>
      <c r="D777" t="s">
        <v>69</v>
      </c>
      <c r="E777">
        <v>16</v>
      </c>
      <c r="F777">
        <v>3.2</v>
      </c>
      <c r="G777">
        <v>0.2</v>
      </c>
      <c r="H777">
        <v>4</v>
      </c>
      <c r="I777">
        <v>30000</v>
      </c>
      <c r="J777">
        <v>5000</v>
      </c>
      <c r="K777" t="s">
        <v>95</v>
      </c>
      <c r="L777" t="s">
        <v>71</v>
      </c>
      <c r="M777" t="s">
        <v>51</v>
      </c>
      <c r="N777" t="b">
        <v>0</v>
      </c>
      <c r="O777" t="s">
        <v>97</v>
      </c>
    </row>
    <row r="778" spans="1:15" ht="15" customHeight="1">
      <c r="A778" t="s">
        <v>406</v>
      </c>
      <c r="B778" t="s">
        <v>1341</v>
      </c>
      <c r="C778" t="s">
        <v>68</v>
      </c>
      <c r="D778" t="s">
        <v>69</v>
      </c>
      <c r="E778">
        <v>12</v>
      </c>
      <c r="F778">
        <v>3.8</v>
      </c>
      <c r="G778">
        <v>0.32</v>
      </c>
      <c r="H778">
        <v>2</v>
      </c>
      <c r="I778">
        <v>30000</v>
      </c>
      <c r="J778">
        <v>5000</v>
      </c>
      <c r="K778" t="s">
        <v>162</v>
      </c>
      <c r="L778" t="s">
        <v>96</v>
      </c>
      <c r="M778" t="s">
        <v>47</v>
      </c>
      <c r="N778" t="b">
        <v>0</v>
      </c>
      <c r="O778" t="s">
        <v>163</v>
      </c>
    </row>
    <row r="779" spans="1:15" ht="15" customHeight="1">
      <c r="A779" t="s">
        <v>73</v>
      </c>
      <c r="B779" t="s">
        <v>1342</v>
      </c>
      <c r="C779" t="s">
        <v>75</v>
      </c>
      <c r="D779" t="s">
        <v>69</v>
      </c>
      <c r="E779">
        <v>10</v>
      </c>
      <c r="F779">
        <v>8.8000000000000007</v>
      </c>
      <c r="G779">
        <v>0.88</v>
      </c>
      <c r="H779">
        <v>16</v>
      </c>
      <c r="I779">
        <v>2000</v>
      </c>
      <c r="J779">
        <v>1500</v>
      </c>
      <c r="K779" t="s">
        <v>938</v>
      </c>
      <c r="L779" t="s">
        <v>77</v>
      </c>
      <c r="M779" t="s">
        <v>40</v>
      </c>
      <c r="N779" t="b">
        <v>0</v>
      </c>
      <c r="O779" t="s">
        <v>939</v>
      </c>
    </row>
    <row r="780" spans="1:15" ht="15" customHeight="1">
      <c r="A780" t="s">
        <v>1211</v>
      </c>
      <c r="B780" t="s">
        <v>1343</v>
      </c>
      <c r="C780" t="s">
        <v>68</v>
      </c>
      <c r="D780" t="s">
        <v>69</v>
      </c>
      <c r="E780">
        <v>15</v>
      </c>
      <c r="F780">
        <v>1.7</v>
      </c>
      <c r="G780">
        <v>0.11</v>
      </c>
      <c r="H780">
        <v>1</v>
      </c>
      <c r="I780">
        <v>30000</v>
      </c>
      <c r="J780">
        <v>5000</v>
      </c>
      <c r="K780" t="s">
        <v>70</v>
      </c>
      <c r="L780" t="s">
        <v>91</v>
      </c>
      <c r="M780" t="s">
        <v>49</v>
      </c>
      <c r="N780" t="b">
        <v>1</v>
      </c>
      <c r="O780" t="s">
        <v>72</v>
      </c>
    </row>
    <row r="781" spans="1:15" ht="15" customHeight="1">
      <c r="A781" t="s">
        <v>351</v>
      </c>
      <c r="B781" t="s">
        <v>1344</v>
      </c>
      <c r="C781" t="s">
        <v>129</v>
      </c>
      <c r="D781" t="s">
        <v>130</v>
      </c>
      <c r="E781">
        <v>17</v>
      </c>
      <c r="F781">
        <v>6.9</v>
      </c>
      <c r="G781">
        <v>0.41</v>
      </c>
      <c r="H781">
        <v>9</v>
      </c>
      <c r="I781">
        <v>5000</v>
      </c>
      <c r="J781">
        <v>1000</v>
      </c>
      <c r="K781" t="s">
        <v>438</v>
      </c>
      <c r="L781" t="s">
        <v>71</v>
      </c>
      <c r="M781" t="s">
        <v>45</v>
      </c>
      <c r="N781" t="b">
        <v>0</v>
      </c>
      <c r="O781" t="s">
        <v>90</v>
      </c>
    </row>
    <row r="782" spans="1:15" ht="15" customHeight="1">
      <c r="A782" t="s">
        <v>445</v>
      </c>
      <c r="B782" t="s">
        <v>1345</v>
      </c>
      <c r="C782" t="s">
        <v>129</v>
      </c>
      <c r="D782" t="s">
        <v>130</v>
      </c>
      <c r="E782">
        <v>20</v>
      </c>
      <c r="F782">
        <v>12.3</v>
      </c>
      <c r="G782">
        <v>0.61</v>
      </c>
      <c r="H782">
        <v>28</v>
      </c>
      <c r="I782">
        <v>5000</v>
      </c>
      <c r="J782">
        <v>1000</v>
      </c>
      <c r="K782" t="s">
        <v>116</v>
      </c>
      <c r="L782" t="s">
        <v>117</v>
      </c>
      <c r="M782" t="s">
        <v>45</v>
      </c>
      <c r="N782" t="b">
        <v>1</v>
      </c>
      <c r="O782" t="s">
        <v>470</v>
      </c>
    </row>
    <row r="783" spans="1:15" ht="15" customHeight="1">
      <c r="A783" t="s">
        <v>857</v>
      </c>
      <c r="B783" t="s">
        <v>1346</v>
      </c>
      <c r="C783" t="s">
        <v>129</v>
      </c>
      <c r="D783" t="s">
        <v>130</v>
      </c>
      <c r="E783">
        <v>11</v>
      </c>
      <c r="F783">
        <v>8.9</v>
      </c>
      <c r="G783">
        <v>0.81</v>
      </c>
      <c r="H783">
        <v>27</v>
      </c>
      <c r="I783">
        <v>5000</v>
      </c>
      <c r="J783">
        <v>1000</v>
      </c>
      <c r="K783" t="s">
        <v>172</v>
      </c>
      <c r="L783" t="s">
        <v>91</v>
      </c>
      <c r="M783" t="s">
        <v>48</v>
      </c>
      <c r="N783" t="b">
        <v>1</v>
      </c>
      <c r="O783" t="s">
        <v>173</v>
      </c>
    </row>
    <row r="784" spans="1:15" ht="15" customHeight="1">
      <c r="A784" t="s">
        <v>359</v>
      </c>
      <c r="B784" t="s">
        <v>1347</v>
      </c>
      <c r="C784" t="s">
        <v>68</v>
      </c>
      <c r="D784" t="s">
        <v>69</v>
      </c>
      <c r="E784">
        <v>11</v>
      </c>
      <c r="F784">
        <v>2</v>
      </c>
      <c r="G784">
        <v>0.18</v>
      </c>
      <c r="H784">
        <v>4</v>
      </c>
      <c r="I784">
        <v>30000</v>
      </c>
      <c r="J784">
        <v>5000</v>
      </c>
      <c r="K784" t="s">
        <v>95</v>
      </c>
      <c r="L784" t="s">
        <v>117</v>
      </c>
      <c r="M784" t="s">
        <v>47</v>
      </c>
      <c r="N784" t="b">
        <v>1</v>
      </c>
      <c r="O784" t="s">
        <v>97</v>
      </c>
    </row>
    <row r="785" spans="1:15" ht="15" customHeight="1">
      <c r="A785" t="s">
        <v>447</v>
      </c>
      <c r="B785" t="s">
        <v>1348</v>
      </c>
      <c r="C785" t="s">
        <v>68</v>
      </c>
      <c r="D785" t="s">
        <v>69</v>
      </c>
      <c r="E785">
        <v>8</v>
      </c>
      <c r="F785">
        <v>0.7</v>
      </c>
      <c r="G785">
        <v>0.09</v>
      </c>
      <c r="H785">
        <v>3</v>
      </c>
      <c r="I785">
        <v>30000</v>
      </c>
      <c r="J785">
        <v>5000</v>
      </c>
      <c r="K785" t="s">
        <v>108</v>
      </c>
      <c r="L785" t="s">
        <v>71</v>
      </c>
      <c r="M785" t="s">
        <v>44</v>
      </c>
      <c r="N785" t="b">
        <v>0</v>
      </c>
      <c r="O785" t="s">
        <v>109</v>
      </c>
    </row>
    <row r="786" spans="1:15" ht="15" customHeight="1">
      <c r="A786" t="s">
        <v>1044</v>
      </c>
      <c r="B786" t="s">
        <v>1349</v>
      </c>
      <c r="C786" t="s">
        <v>129</v>
      </c>
      <c r="D786" t="s">
        <v>130</v>
      </c>
      <c r="E786">
        <v>20</v>
      </c>
      <c r="F786">
        <v>8</v>
      </c>
      <c r="G786">
        <v>0.4</v>
      </c>
      <c r="H786">
        <v>18</v>
      </c>
      <c r="I786">
        <v>5000</v>
      </c>
      <c r="J786">
        <v>1000</v>
      </c>
      <c r="K786" t="s">
        <v>108</v>
      </c>
      <c r="L786" t="s">
        <v>71</v>
      </c>
      <c r="M786" t="s">
        <v>48</v>
      </c>
      <c r="N786" t="b">
        <v>0</v>
      </c>
      <c r="O786" t="s">
        <v>166</v>
      </c>
    </row>
    <row r="787" spans="1:15" ht="15" customHeight="1">
      <c r="A787" t="s">
        <v>1009</v>
      </c>
      <c r="B787" t="s">
        <v>1350</v>
      </c>
      <c r="C787" t="s">
        <v>68</v>
      </c>
      <c r="D787" t="s">
        <v>69</v>
      </c>
      <c r="E787">
        <v>13</v>
      </c>
      <c r="F787">
        <v>2.7</v>
      </c>
      <c r="G787">
        <v>0.21</v>
      </c>
      <c r="H787">
        <v>5</v>
      </c>
      <c r="I787">
        <v>30000</v>
      </c>
      <c r="J787">
        <v>5000</v>
      </c>
      <c r="K787" t="s">
        <v>112</v>
      </c>
      <c r="L787" t="s">
        <v>117</v>
      </c>
      <c r="M787" t="s">
        <v>42</v>
      </c>
      <c r="N787" t="b">
        <v>1</v>
      </c>
      <c r="O787" t="s">
        <v>113</v>
      </c>
    </row>
    <row r="788" spans="1:15" ht="15" customHeight="1">
      <c r="A788" t="s">
        <v>544</v>
      </c>
      <c r="B788" t="s">
        <v>1351</v>
      </c>
      <c r="C788" t="s">
        <v>75</v>
      </c>
      <c r="D788" t="s">
        <v>69</v>
      </c>
      <c r="E788">
        <v>10</v>
      </c>
      <c r="F788">
        <v>8.8000000000000007</v>
      </c>
      <c r="G788">
        <v>0.88</v>
      </c>
      <c r="H788">
        <v>22</v>
      </c>
      <c r="I788">
        <v>2000</v>
      </c>
      <c r="J788">
        <v>1500</v>
      </c>
      <c r="K788" t="s">
        <v>90</v>
      </c>
      <c r="L788" t="s">
        <v>100</v>
      </c>
      <c r="M788" t="s">
        <v>42</v>
      </c>
      <c r="N788" t="b">
        <v>0</v>
      </c>
      <c r="O788" t="s">
        <v>92</v>
      </c>
    </row>
    <row r="789" spans="1:15" ht="15" customHeight="1">
      <c r="A789" t="s">
        <v>1352</v>
      </c>
      <c r="B789" t="s">
        <v>1353</v>
      </c>
      <c r="C789" t="s">
        <v>68</v>
      </c>
      <c r="D789" t="s">
        <v>69</v>
      </c>
      <c r="E789">
        <v>9</v>
      </c>
      <c r="F789">
        <v>2.6</v>
      </c>
      <c r="G789">
        <v>0.28999999999999998</v>
      </c>
      <c r="H789">
        <v>5</v>
      </c>
      <c r="I789">
        <v>30000</v>
      </c>
      <c r="J789">
        <v>5000</v>
      </c>
      <c r="K789" t="s">
        <v>112</v>
      </c>
      <c r="L789" t="s">
        <v>91</v>
      </c>
      <c r="M789" t="s">
        <v>49</v>
      </c>
      <c r="N789" t="b">
        <v>1</v>
      </c>
      <c r="O789" t="s">
        <v>113</v>
      </c>
    </row>
    <row r="790" spans="1:15" ht="15" customHeight="1">
      <c r="A790" t="s">
        <v>439</v>
      </c>
      <c r="B790" t="s">
        <v>1354</v>
      </c>
      <c r="C790" t="s">
        <v>149</v>
      </c>
      <c r="D790" t="s">
        <v>69</v>
      </c>
      <c r="E790">
        <v>8</v>
      </c>
      <c r="F790">
        <v>7.5</v>
      </c>
      <c r="G790">
        <v>0.94</v>
      </c>
      <c r="H790">
        <v>29</v>
      </c>
      <c r="I790">
        <v>3000</v>
      </c>
      <c r="J790">
        <v>1000</v>
      </c>
      <c r="K790" t="s">
        <v>303</v>
      </c>
      <c r="L790" t="s">
        <v>71</v>
      </c>
      <c r="M790" t="s">
        <v>48</v>
      </c>
      <c r="N790" t="b">
        <v>0</v>
      </c>
      <c r="O790" t="s">
        <v>323</v>
      </c>
    </row>
    <row r="791" spans="1:15" ht="15" customHeight="1">
      <c r="A791" t="s">
        <v>1054</v>
      </c>
      <c r="B791" t="s">
        <v>1355</v>
      </c>
      <c r="C791" t="s">
        <v>149</v>
      </c>
      <c r="D791" t="s">
        <v>69</v>
      </c>
      <c r="E791">
        <v>8</v>
      </c>
      <c r="F791">
        <v>6</v>
      </c>
      <c r="G791">
        <v>0.75</v>
      </c>
      <c r="H791">
        <v>21</v>
      </c>
      <c r="I791">
        <v>3000</v>
      </c>
      <c r="J791">
        <v>1000</v>
      </c>
      <c r="K791" t="s">
        <v>380</v>
      </c>
      <c r="L791" t="s">
        <v>77</v>
      </c>
      <c r="M791" t="s">
        <v>45</v>
      </c>
      <c r="N791" t="b">
        <v>0</v>
      </c>
      <c r="O791" t="s">
        <v>381</v>
      </c>
    </row>
    <row r="792" spans="1:15" ht="15" customHeight="1">
      <c r="A792" t="s">
        <v>860</v>
      </c>
      <c r="B792" t="s">
        <v>1356</v>
      </c>
      <c r="C792" t="s">
        <v>81</v>
      </c>
      <c r="D792" t="s">
        <v>69</v>
      </c>
      <c r="E792">
        <v>9</v>
      </c>
      <c r="F792">
        <v>5.4</v>
      </c>
      <c r="G792">
        <v>0.6</v>
      </c>
      <c r="H792">
        <v>21</v>
      </c>
      <c r="I792">
        <v>10000</v>
      </c>
      <c r="J792">
        <v>3000</v>
      </c>
      <c r="K792" t="s">
        <v>279</v>
      </c>
      <c r="L792" t="s">
        <v>96</v>
      </c>
      <c r="M792" t="s">
        <v>42</v>
      </c>
      <c r="N792" t="b">
        <v>0</v>
      </c>
      <c r="O792" t="s">
        <v>280</v>
      </c>
    </row>
    <row r="793" spans="1:15" ht="15" customHeight="1">
      <c r="A793" t="s">
        <v>544</v>
      </c>
      <c r="B793" t="s">
        <v>1357</v>
      </c>
      <c r="C793" t="s">
        <v>81</v>
      </c>
      <c r="D793" t="s">
        <v>69</v>
      </c>
      <c r="E793">
        <v>18</v>
      </c>
      <c r="F793">
        <v>11.9</v>
      </c>
      <c r="G793">
        <v>0.66</v>
      </c>
      <c r="H793">
        <v>17</v>
      </c>
      <c r="I793">
        <v>10000</v>
      </c>
      <c r="J793">
        <v>3000</v>
      </c>
      <c r="K793" t="s">
        <v>389</v>
      </c>
      <c r="L793" t="s">
        <v>100</v>
      </c>
      <c r="M793" t="s">
        <v>42</v>
      </c>
      <c r="N793" t="b">
        <v>0</v>
      </c>
      <c r="O793" t="s">
        <v>390</v>
      </c>
    </row>
    <row r="794" spans="1:15" ht="15" customHeight="1">
      <c r="A794" t="s">
        <v>367</v>
      </c>
      <c r="B794" t="s">
        <v>1358</v>
      </c>
      <c r="C794" t="s">
        <v>129</v>
      </c>
      <c r="D794" t="s">
        <v>130</v>
      </c>
      <c r="E794">
        <v>11</v>
      </c>
      <c r="F794">
        <v>7</v>
      </c>
      <c r="G794">
        <v>0.64</v>
      </c>
      <c r="H794">
        <v>15</v>
      </c>
      <c r="I794">
        <v>5000</v>
      </c>
      <c r="J794">
        <v>1000</v>
      </c>
      <c r="K794" t="s">
        <v>479</v>
      </c>
      <c r="L794" t="s">
        <v>71</v>
      </c>
      <c r="M794" t="s">
        <v>51</v>
      </c>
      <c r="N794" t="b">
        <v>0</v>
      </c>
      <c r="O794" t="s">
        <v>480</v>
      </c>
    </row>
    <row r="795" spans="1:15" ht="15" customHeight="1">
      <c r="A795" t="s">
        <v>147</v>
      </c>
      <c r="B795" t="s">
        <v>1359</v>
      </c>
      <c r="C795" t="s">
        <v>149</v>
      </c>
      <c r="D795" t="s">
        <v>69</v>
      </c>
      <c r="E795">
        <v>11</v>
      </c>
      <c r="F795">
        <v>7.1</v>
      </c>
      <c r="G795">
        <v>0.65</v>
      </c>
      <c r="H795">
        <v>29</v>
      </c>
      <c r="I795">
        <v>3000</v>
      </c>
      <c r="J795">
        <v>1000</v>
      </c>
      <c r="K795" t="s">
        <v>303</v>
      </c>
      <c r="L795" t="s">
        <v>100</v>
      </c>
      <c r="M795" t="s">
        <v>43</v>
      </c>
      <c r="N795" t="b">
        <v>0</v>
      </c>
      <c r="O795" t="s">
        <v>323</v>
      </c>
    </row>
    <row r="796" spans="1:15" ht="15" customHeight="1">
      <c r="A796" t="s">
        <v>475</v>
      </c>
      <c r="B796" t="s">
        <v>1360</v>
      </c>
      <c r="C796" t="s">
        <v>149</v>
      </c>
      <c r="D796" t="s">
        <v>69</v>
      </c>
      <c r="E796">
        <v>8</v>
      </c>
      <c r="F796">
        <v>7.5</v>
      </c>
      <c r="G796">
        <v>0.94</v>
      </c>
      <c r="H796">
        <v>25</v>
      </c>
      <c r="I796">
        <v>3000</v>
      </c>
      <c r="J796">
        <v>1000</v>
      </c>
      <c r="K796" t="s">
        <v>479</v>
      </c>
      <c r="L796" t="s">
        <v>91</v>
      </c>
      <c r="M796" t="s">
        <v>47</v>
      </c>
      <c r="N796" t="b">
        <v>1</v>
      </c>
      <c r="O796" t="s">
        <v>480</v>
      </c>
    </row>
    <row r="797" spans="1:15" ht="15" customHeight="1">
      <c r="A797" t="s">
        <v>363</v>
      </c>
      <c r="B797" t="s">
        <v>1361</v>
      </c>
      <c r="C797" t="s">
        <v>68</v>
      </c>
      <c r="D797" t="s">
        <v>69</v>
      </c>
      <c r="E797">
        <v>11</v>
      </c>
      <c r="F797">
        <v>1.8</v>
      </c>
      <c r="G797">
        <v>0.16</v>
      </c>
      <c r="H797">
        <v>2</v>
      </c>
      <c r="I797">
        <v>30000</v>
      </c>
      <c r="J797">
        <v>5000</v>
      </c>
      <c r="K797" t="s">
        <v>162</v>
      </c>
      <c r="L797" t="s">
        <v>71</v>
      </c>
      <c r="M797" t="s">
        <v>43</v>
      </c>
      <c r="N797" t="b">
        <v>0</v>
      </c>
      <c r="O797" t="s">
        <v>163</v>
      </c>
    </row>
    <row r="798" spans="1:15" ht="15" customHeight="1">
      <c r="A798" t="s">
        <v>160</v>
      </c>
      <c r="B798" t="s">
        <v>1362</v>
      </c>
      <c r="C798" t="s">
        <v>75</v>
      </c>
      <c r="D798" t="s">
        <v>69</v>
      </c>
      <c r="E798">
        <v>16</v>
      </c>
      <c r="F798">
        <v>11</v>
      </c>
      <c r="G798">
        <v>0.69</v>
      </c>
      <c r="H798">
        <v>16</v>
      </c>
      <c r="I798">
        <v>2000</v>
      </c>
      <c r="J798">
        <v>1500</v>
      </c>
      <c r="K798" t="s">
        <v>938</v>
      </c>
      <c r="L798" t="s">
        <v>71</v>
      </c>
      <c r="M798" t="s">
        <v>45</v>
      </c>
      <c r="N798" t="b">
        <v>0</v>
      </c>
      <c r="O798" t="s">
        <v>939</v>
      </c>
    </row>
    <row r="799" spans="1:15" ht="15" customHeight="1">
      <c r="A799" t="s">
        <v>1168</v>
      </c>
      <c r="B799" t="s">
        <v>1363</v>
      </c>
      <c r="C799" t="s">
        <v>75</v>
      </c>
      <c r="D799" t="s">
        <v>69</v>
      </c>
      <c r="E799">
        <v>13</v>
      </c>
      <c r="F799">
        <v>5.3</v>
      </c>
      <c r="G799">
        <v>0.41</v>
      </c>
      <c r="H799">
        <v>22</v>
      </c>
      <c r="I799">
        <v>2000</v>
      </c>
      <c r="J799">
        <v>1500</v>
      </c>
      <c r="K799" t="s">
        <v>90</v>
      </c>
      <c r="L799" t="s">
        <v>91</v>
      </c>
      <c r="M799" t="s">
        <v>46</v>
      </c>
      <c r="N799" t="b">
        <v>1</v>
      </c>
      <c r="O799" t="s">
        <v>92</v>
      </c>
    </row>
    <row r="800" spans="1:15" ht="15" customHeight="1">
      <c r="A800" t="s">
        <v>770</v>
      </c>
      <c r="B800" t="s">
        <v>1364</v>
      </c>
      <c r="C800" t="s">
        <v>68</v>
      </c>
      <c r="D800" t="s">
        <v>69</v>
      </c>
      <c r="E800">
        <v>15</v>
      </c>
      <c r="F800">
        <v>1.7</v>
      </c>
      <c r="G800">
        <v>0.11</v>
      </c>
      <c r="H800">
        <v>3</v>
      </c>
      <c r="I800">
        <v>30000</v>
      </c>
      <c r="J800">
        <v>5000</v>
      </c>
      <c r="K800" t="s">
        <v>108</v>
      </c>
      <c r="L800" t="s">
        <v>104</v>
      </c>
      <c r="M800" t="s">
        <v>48</v>
      </c>
      <c r="N800" t="b">
        <v>0</v>
      </c>
      <c r="O800" t="s">
        <v>109</v>
      </c>
    </row>
    <row r="801" spans="1:15" ht="15" customHeight="1">
      <c r="A801" t="s">
        <v>1365</v>
      </c>
      <c r="B801" t="s">
        <v>1366</v>
      </c>
      <c r="C801" t="s">
        <v>75</v>
      </c>
      <c r="D801" t="s">
        <v>69</v>
      </c>
      <c r="E801">
        <v>17</v>
      </c>
      <c r="F801">
        <v>7.9</v>
      </c>
      <c r="G801">
        <v>0.46</v>
      </c>
      <c r="H801">
        <v>13</v>
      </c>
      <c r="I801">
        <v>2000</v>
      </c>
      <c r="J801">
        <v>1500</v>
      </c>
      <c r="K801" t="s">
        <v>211</v>
      </c>
      <c r="L801" t="s">
        <v>77</v>
      </c>
      <c r="M801" t="s">
        <v>43</v>
      </c>
      <c r="N801" t="b">
        <v>0</v>
      </c>
      <c r="O801" t="s">
        <v>212</v>
      </c>
    </row>
    <row r="802" spans="1:15" ht="15" customHeight="1">
      <c r="A802" t="s">
        <v>809</v>
      </c>
      <c r="B802" t="s">
        <v>1367</v>
      </c>
      <c r="C802" t="s">
        <v>149</v>
      </c>
      <c r="D802" t="s">
        <v>69</v>
      </c>
      <c r="E802">
        <v>8</v>
      </c>
      <c r="F802">
        <v>7.6</v>
      </c>
      <c r="G802">
        <v>0.95</v>
      </c>
      <c r="H802">
        <v>29</v>
      </c>
      <c r="I802">
        <v>3000</v>
      </c>
      <c r="J802">
        <v>1000</v>
      </c>
      <c r="K802" t="s">
        <v>303</v>
      </c>
      <c r="L802" t="s">
        <v>104</v>
      </c>
      <c r="M802" t="s">
        <v>45</v>
      </c>
      <c r="N802" t="b">
        <v>0</v>
      </c>
      <c r="O802" t="s">
        <v>323</v>
      </c>
    </row>
    <row r="803" spans="1:15" ht="15" customHeight="1">
      <c r="A803" t="s">
        <v>1101</v>
      </c>
      <c r="B803" t="s">
        <v>1368</v>
      </c>
      <c r="C803" t="s">
        <v>149</v>
      </c>
      <c r="D803" t="s">
        <v>69</v>
      </c>
      <c r="E803">
        <v>8</v>
      </c>
      <c r="F803">
        <v>6.5</v>
      </c>
      <c r="G803">
        <v>0.81</v>
      </c>
      <c r="H803">
        <v>30</v>
      </c>
      <c r="I803">
        <v>3000</v>
      </c>
      <c r="J803">
        <v>1000</v>
      </c>
      <c r="K803" t="s">
        <v>108</v>
      </c>
      <c r="L803" t="s">
        <v>77</v>
      </c>
      <c r="M803" t="s">
        <v>49</v>
      </c>
      <c r="N803" t="b">
        <v>0</v>
      </c>
      <c r="O803" t="s">
        <v>166</v>
      </c>
    </row>
    <row r="804" spans="1:15" ht="15" customHeight="1">
      <c r="A804" t="s">
        <v>1188</v>
      </c>
      <c r="B804" t="s">
        <v>1369</v>
      </c>
      <c r="C804" t="s">
        <v>129</v>
      </c>
      <c r="D804" t="s">
        <v>130</v>
      </c>
      <c r="E804">
        <v>11</v>
      </c>
      <c r="F804">
        <v>9.1</v>
      </c>
      <c r="G804">
        <v>0.83</v>
      </c>
      <c r="H804">
        <v>26</v>
      </c>
      <c r="I804">
        <v>5000</v>
      </c>
      <c r="J804">
        <v>1000</v>
      </c>
      <c r="K804" t="s">
        <v>203</v>
      </c>
      <c r="L804" t="s">
        <v>117</v>
      </c>
      <c r="M804" t="s">
        <v>50</v>
      </c>
      <c r="N804" t="b">
        <v>1</v>
      </c>
      <c r="O804" t="s">
        <v>623</v>
      </c>
    </row>
    <row r="805" spans="1:15" ht="15" customHeight="1">
      <c r="A805" t="s">
        <v>485</v>
      </c>
      <c r="B805" t="s">
        <v>1370</v>
      </c>
      <c r="C805" t="s">
        <v>81</v>
      </c>
      <c r="D805" t="s">
        <v>69</v>
      </c>
      <c r="E805">
        <v>12</v>
      </c>
      <c r="F805">
        <v>10.6</v>
      </c>
      <c r="G805">
        <v>0.88</v>
      </c>
      <c r="H805">
        <v>14</v>
      </c>
      <c r="I805">
        <v>10000</v>
      </c>
      <c r="J805">
        <v>3000</v>
      </c>
      <c r="K805" t="s">
        <v>116</v>
      </c>
      <c r="L805" t="s">
        <v>100</v>
      </c>
      <c r="M805" t="s">
        <v>50</v>
      </c>
      <c r="N805" t="b">
        <v>0</v>
      </c>
      <c r="O805" t="s">
        <v>118</v>
      </c>
    </row>
    <row r="806" spans="1:15" ht="15" customHeight="1">
      <c r="A806" t="s">
        <v>1371</v>
      </c>
      <c r="B806" t="s">
        <v>1372</v>
      </c>
      <c r="C806" t="s">
        <v>75</v>
      </c>
      <c r="D806" t="s">
        <v>69</v>
      </c>
      <c r="E806">
        <v>13</v>
      </c>
      <c r="F806">
        <v>12.9</v>
      </c>
      <c r="G806">
        <v>0.99</v>
      </c>
      <c r="H806">
        <v>25</v>
      </c>
      <c r="I806">
        <v>2000</v>
      </c>
      <c r="J806">
        <v>1500</v>
      </c>
      <c r="K806" t="s">
        <v>158</v>
      </c>
      <c r="L806" t="s">
        <v>104</v>
      </c>
      <c r="M806" t="s">
        <v>43</v>
      </c>
      <c r="N806" t="b">
        <v>0</v>
      </c>
      <c r="O806" t="s">
        <v>400</v>
      </c>
    </row>
    <row r="807" spans="1:15" ht="15" customHeight="1">
      <c r="A807" t="s">
        <v>946</v>
      </c>
      <c r="B807" t="s">
        <v>1373</v>
      </c>
      <c r="C807" t="s">
        <v>81</v>
      </c>
      <c r="D807" t="s">
        <v>69</v>
      </c>
      <c r="E807">
        <v>11</v>
      </c>
      <c r="F807">
        <v>10.9</v>
      </c>
      <c r="G807">
        <v>0.99</v>
      </c>
      <c r="H807">
        <v>12</v>
      </c>
      <c r="I807">
        <v>10000</v>
      </c>
      <c r="J807">
        <v>3000</v>
      </c>
      <c r="K807" t="s">
        <v>95</v>
      </c>
      <c r="L807" t="s">
        <v>100</v>
      </c>
      <c r="M807" t="s">
        <v>51</v>
      </c>
      <c r="N807" t="b">
        <v>0</v>
      </c>
      <c r="O807" t="s">
        <v>257</v>
      </c>
    </row>
    <row r="808" spans="1:15" ht="15" customHeight="1">
      <c r="A808" t="s">
        <v>359</v>
      </c>
      <c r="B808" t="s">
        <v>1374</v>
      </c>
      <c r="C808" t="s">
        <v>129</v>
      </c>
      <c r="D808" t="s">
        <v>130</v>
      </c>
      <c r="E808">
        <v>10</v>
      </c>
      <c r="F808">
        <v>9.1</v>
      </c>
      <c r="G808">
        <v>0.91</v>
      </c>
      <c r="H808">
        <v>6</v>
      </c>
      <c r="I808">
        <v>5000</v>
      </c>
      <c r="J808">
        <v>1000</v>
      </c>
      <c r="K808" t="s">
        <v>70</v>
      </c>
      <c r="L808" t="s">
        <v>117</v>
      </c>
      <c r="M808" t="s">
        <v>47</v>
      </c>
      <c r="N808" t="b">
        <v>1</v>
      </c>
      <c r="O808" t="s">
        <v>331</v>
      </c>
    </row>
    <row r="809" spans="1:15" ht="15" customHeight="1">
      <c r="A809" t="s">
        <v>811</v>
      </c>
      <c r="B809" t="s">
        <v>1375</v>
      </c>
      <c r="C809" t="s">
        <v>129</v>
      </c>
      <c r="D809" t="s">
        <v>130</v>
      </c>
      <c r="E809">
        <v>18</v>
      </c>
      <c r="F809">
        <v>6.4</v>
      </c>
      <c r="G809">
        <v>0.36</v>
      </c>
      <c r="H809">
        <v>12</v>
      </c>
      <c r="I809">
        <v>5000</v>
      </c>
      <c r="J809">
        <v>1000</v>
      </c>
      <c r="K809" t="s">
        <v>162</v>
      </c>
      <c r="L809" t="s">
        <v>91</v>
      </c>
      <c r="M809" t="s">
        <v>46</v>
      </c>
      <c r="N809" t="b">
        <v>1</v>
      </c>
      <c r="O809" t="s">
        <v>180</v>
      </c>
    </row>
    <row r="810" spans="1:15" ht="15" customHeight="1">
      <c r="A810" t="s">
        <v>227</v>
      </c>
      <c r="B810" t="s">
        <v>1376</v>
      </c>
      <c r="C810" t="s">
        <v>75</v>
      </c>
      <c r="D810" t="s">
        <v>69</v>
      </c>
      <c r="E810">
        <v>19</v>
      </c>
      <c r="F810">
        <v>7.1</v>
      </c>
      <c r="G810">
        <v>0.37</v>
      </c>
      <c r="H810">
        <v>30</v>
      </c>
      <c r="I810">
        <v>2000</v>
      </c>
      <c r="J810">
        <v>1500</v>
      </c>
      <c r="K810" t="s">
        <v>162</v>
      </c>
      <c r="L810" t="s">
        <v>77</v>
      </c>
      <c r="M810" t="s">
        <v>41</v>
      </c>
      <c r="N810" t="b">
        <v>0</v>
      </c>
      <c r="O810" t="s">
        <v>510</v>
      </c>
    </row>
    <row r="811" spans="1:15" ht="15" customHeight="1">
      <c r="A811" t="s">
        <v>410</v>
      </c>
      <c r="B811" t="s">
        <v>1377</v>
      </c>
      <c r="C811" t="s">
        <v>68</v>
      </c>
      <c r="D811" t="s">
        <v>69</v>
      </c>
      <c r="E811">
        <v>10</v>
      </c>
      <c r="F811">
        <v>1.2</v>
      </c>
      <c r="G811">
        <v>0.12</v>
      </c>
      <c r="H811">
        <v>4</v>
      </c>
      <c r="I811">
        <v>30000</v>
      </c>
      <c r="J811">
        <v>5000</v>
      </c>
      <c r="K811" t="s">
        <v>95</v>
      </c>
      <c r="L811" t="s">
        <v>96</v>
      </c>
      <c r="M811" t="s">
        <v>46</v>
      </c>
      <c r="N811" t="b">
        <v>0</v>
      </c>
      <c r="O811" t="s">
        <v>97</v>
      </c>
    </row>
    <row r="812" spans="1:15" ht="15" customHeight="1">
      <c r="A812" t="s">
        <v>500</v>
      </c>
      <c r="B812" t="s">
        <v>1378</v>
      </c>
      <c r="C812" t="s">
        <v>129</v>
      </c>
      <c r="D812" t="s">
        <v>130</v>
      </c>
      <c r="E812">
        <v>19</v>
      </c>
      <c r="F812">
        <v>5.3</v>
      </c>
      <c r="G812">
        <v>0.28000000000000003</v>
      </c>
      <c r="H812">
        <v>17</v>
      </c>
      <c r="I812">
        <v>5000</v>
      </c>
      <c r="J812">
        <v>1000</v>
      </c>
      <c r="K812" t="s">
        <v>109</v>
      </c>
      <c r="L812" t="s">
        <v>77</v>
      </c>
      <c r="M812" t="s">
        <v>47</v>
      </c>
      <c r="N812" t="b">
        <v>0</v>
      </c>
      <c r="O812" t="s">
        <v>176</v>
      </c>
    </row>
    <row r="813" spans="1:15" ht="15" customHeight="1">
      <c r="A813" t="s">
        <v>1379</v>
      </c>
      <c r="B813" t="s">
        <v>1380</v>
      </c>
      <c r="C813" t="s">
        <v>68</v>
      </c>
      <c r="D813" t="s">
        <v>69</v>
      </c>
      <c r="E813">
        <v>15</v>
      </c>
      <c r="F813">
        <v>3.8</v>
      </c>
      <c r="G813">
        <v>0.25</v>
      </c>
      <c r="H813">
        <v>5</v>
      </c>
      <c r="I813">
        <v>30000</v>
      </c>
      <c r="J813">
        <v>5000</v>
      </c>
      <c r="K813" t="s">
        <v>112</v>
      </c>
      <c r="L813" t="s">
        <v>117</v>
      </c>
      <c r="M813" t="s">
        <v>46</v>
      </c>
      <c r="N813" t="b">
        <v>1</v>
      </c>
      <c r="O813" t="s">
        <v>113</v>
      </c>
    </row>
    <row r="814" spans="1:15" ht="15" customHeight="1">
      <c r="A814" t="s">
        <v>748</v>
      </c>
      <c r="B814" t="s">
        <v>1381</v>
      </c>
      <c r="C814" t="s">
        <v>75</v>
      </c>
      <c r="D814" t="s">
        <v>69</v>
      </c>
      <c r="E814">
        <v>19</v>
      </c>
      <c r="F814">
        <v>13.6</v>
      </c>
      <c r="G814">
        <v>0.72</v>
      </c>
      <c r="H814">
        <v>21</v>
      </c>
      <c r="I814">
        <v>2000</v>
      </c>
      <c r="J814">
        <v>1500</v>
      </c>
      <c r="K814" t="s">
        <v>365</v>
      </c>
      <c r="L814" t="s">
        <v>117</v>
      </c>
      <c r="M814" t="s">
        <v>42</v>
      </c>
      <c r="N814" t="b">
        <v>1</v>
      </c>
      <c r="O814" t="s">
        <v>366</v>
      </c>
    </row>
    <row r="815" spans="1:15" ht="15" customHeight="1">
      <c r="A815" t="s">
        <v>920</v>
      </c>
      <c r="B815" t="s">
        <v>1382</v>
      </c>
      <c r="C815" t="s">
        <v>68</v>
      </c>
      <c r="D815" t="s">
        <v>69</v>
      </c>
      <c r="E815">
        <v>10</v>
      </c>
      <c r="F815">
        <v>3.7</v>
      </c>
      <c r="G815">
        <v>0.37</v>
      </c>
      <c r="H815">
        <v>5</v>
      </c>
      <c r="I815">
        <v>30000</v>
      </c>
      <c r="J815">
        <v>5000</v>
      </c>
      <c r="K815" t="s">
        <v>112</v>
      </c>
      <c r="L815" t="s">
        <v>96</v>
      </c>
      <c r="M815" t="s">
        <v>51</v>
      </c>
      <c r="N815" t="b">
        <v>0</v>
      </c>
      <c r="O815" t="s">
        <v>113</v>
      </c>
    </row>
    <row r="816" spans="1:15" ht="15" customHeight="1">
      <c r="A816" t="s">
        <v>462</v>
      </c>
      <c r="B816" t="s">
        <v>1383</v>
      </c>
      <c r="C816" t="s">
        <v>81</v>
      </c>
      <c r="D816" t="s">
        <v>69</v>
      </c>
      <c r="E816">
        <v>14</v>
      </c>
      <c r="F816">
        <v>13.4</v>
      </c>
      <c r="G816">
        <v>0.96</v>
      </c>
      <c r="H816">
        <v>28</v>
      </c>
      <c r="I816">
        <v>10000</v>
      </c>
      <c r="J816">
        <v>3000</v>
      </c>
      <c r="K816" t="s">
        <v>966</v>
      </c>
      <c r="L816" t="s">
        <v>71</v>
      </c>
      <c r="M816" t="s">
        <v>43</v>
      </c>
      <c r="N816" t="b">
        <v>0</v>
      </c>
      <c r="O816" t="s">
        <v>967</v>
      </c>
    </row>
    <row r="817" spans="1:15" ht="15" customHeight="1">
      <c r="A817" t="s">
        <v>290</v>
      </c>
      <c r="B817" t="s">
        <v>1384</v>
      </c>
      <c r="C817" t="s">
        <v>129</v>
      </c>
      <c r="D817" t="s">
        <v>130</v>
      </c>
      <c r="E817">
        <v>9</v>
      </c>
      <c r="F817">
        <v>4.5</v>
      </c>
      <c r="G817">
        <v>0.5</v>
      </c>
      <c r="H817">
        <v>13</v>
      </c>
      <c r="I817">
        <v>5000</v>
      </c>
      <c r="J817">
        <v>1000</v>
      </c>
      <c r="K817" t="s">
        <v>313</v>
      </c>
      <c r="L817" t="s">
        <v>104</v>
      </c>
      <c r="M817" t="s">
        <v>46</v>
      </c>
      <c r="N817" t="b">
        <v>0</v>
      </c>
      <c r="O817" t="s">
        <v>314</v>
      </c>
    </row>
    <row r="818" spans="1:15" ht="15" customHeight="1">
      <c r="A818" t="s">
        <v>483</v>
      </c>
      <c r="B818" t="s">
        <v>1385</v>
      </c>
      <c r="C818" t="s">
        <v>129</v>
      </c>
      <c r="D818" t="s">
        <v>130</v>
      </c>
      <c r="E818">
        <v>19</v>
      </c>
      <c r="F818">
        <v>17.899999999999999</v>
      </c>
      <c r="G818">
        <v>0.94</v>
      </c>
      <c r="H818">
        <v>8</v>
      </c>
      <c r="I818">
        <v>5000</v>
      </c>
      <c r="J818">
        <v>1000</v>
      </c>
      <c r="K818" t="s">
        <v>76</v>
      </c>
      <c r="L818" t="s">
        <v>91</v>
      </c>
      <c r="M818" t="s">
        <v>44</v>
      </c>
      <c r="N818" t="b">
        <v>1</v>
      </c>
      <c r="O818" t="s">
        <v>317</v>
      </c>
    </row>
    <row r="819" spans="1:15" ht="15" customHeight="1">
      <c r="A819" t="s">
        <v>753</v>
      </c>
      <c r="B819" t="s">
        <v>1386</v>
      </c>
      <c r="C819" t="s">
        <v>129</v>
      </c>
      <c r="D819" t="s">
        <v>130</v>
      </c>
      <c r="E819">
        <v>17</v>
      </c>
      <c r="F819">
        <v>9.3000000000000007</v>
      </c>
      <c r="G819">
        <v>0.55000000000000004</v>
      </c>
      <c r="H819">
        <v>16</v>
      </c>
      <c r="I819">
        <v>5000</v>
      </c>
      <c r="J819">
        <v>1000</v>
      </c>
      <c r="K819" t="s">
        <v>357</v>
      </c>
      <c r="L819" t="s">
        <v>91</v>
      </c>
      <c r="M819" t="s">
        <v>42</v>
      </c>
      <c r="N819" t="b">
        <v>1</v>
      </c>
      <c r="O819" t="s">
        <v>456</v>
      </c>
    </row>
    <row r="820" spans="1:15" ht="15" customHeight="1">
      <c r="A820" t="s">
        <v>680</v>
      </c>
      <c r="B820" t="s">
        <v>1387</v>
      </c>
      <c r="C820" t="s">
        <v>68</v>
      </c>
      <c r="D820" t="s">
        <v>69</v>
      </c>
      <c r="E820">
        <v>13</v>
      </c>
      <c r="F820">
        <v>2</v>
      </c>
      <c r="G820">
        <v>0.15</v>
      </c>
      <c r="H820">
        <v>4</v>
      </c>
      <c r="I820">
        <v>30000</v>
      </c>
      <c r="J820">
        <v>5000</v>
      </c>
      <c r="K820" t="s">
        <v>95</v>
      </c>
      <c r="L820" t="s">
        <v>100</v>
      </c>
      <c r="M820" t="s">
        <v>40</v>
      </c>
      <c r="N820" t="b">
        <v>0</v>
      </c>
      <c r="O820" t="s">
        <v>97</v>
      </c>
    </row>
    <row r="821" spans="1:15" ht="15" customHeight="1">
      <c r="A821" t="s">
        <v>970</v>
      </c>
      <c r="B821" t="s">
        <v>1388</v>
      </c>
      <c r="C821" t="s">
        <v>129</v>
      </c>
      <c r="D821" t="s">
        <v>130</v>
      </c>
      <c r="E821">
        <v>8</v>
      </c>
      <c r="F821">
        <v>6.2</v>
      </c>
      <c r="G821">
        <v>0.78</v>
      </c>
      <c r="H821">
        <v>23</v>
      </c>
      <c r="I821">
        <v>5000</v>
      </c>
      <c r="J821">
        <v>1000</v>
      </c>
      <c r="K821" t="s">
        <v>97</v>
      </c>
      <c r="L821" t="s">
        <v>117</v>
      </c>
      <c r="M821" t="s">
        <v>46</v>
      </c>
      <c r="N821" t="b">
        <v>1</v>
      </c>
      <c r="O821" t="s">
        <v>220</v>
      </c>
    </row>
    <row r="822" spans="1:15" ht="15" customHeight="1">
      <c r="A822" t="s">
        <v>1389</v>
      </c>
      <c r="B822" t="s">
        <v>1390</v>
      </c>
      <c r="C822" t="s">
        <v>68</v>
      </c>
      <c r="D822" t="s">
        <v>69</v>
      </c>
      <c r="E822">
        <v>8</v>
      </c>
      <c r="F822">
        <v>2.2000000000000002</v>
      </c>
      <c r="G822">
        <v>0.28000000000000003</v>
      </c>
      <c r="H822">
        <v>4</v>
      </c>
      <c r="I822">
        <v>30000</v>
      </c>
      <c r="J822">
        <v>5000</v>
      </c>
      <c r="K822" t="s">
        <v>95</v>
      </c>
      <c r="L822" t="s">
        <v>91</v>
      </c>
      <c r="M822" t="s">
        <v>44</v>
      </c>
      <c r="N822" t="b">
        <v>1</v>
      </c>
      <c r="O822" t="s">
        <v>97</v>
      </c>
    </row>
    <row r="823" spans="1:15" ht="15" customHeight="1">
      <c r="A823" t="s">
        <v>875</v>
      </c>
      <c r="B823" t="s">
        <v>1391</v>
      </c>
      <c r="C823" t="s">
        <v>68</v>
      </c>
      <c r="D823" t="s">
        <v>69</v>
      </c>
      <c r="E823">
        <v>8</v>
      </c>
      <c r="F823">
        <v>2.2999999999999998</v>
      </c>
      <c r="G823">
        <v>0.28999999999999998</v>
      </c>
      <c r="H823">
        <v>5</v>
      </c>
      <c r="I823">
        <v>30000</v>
      </c>
      <c r="J823">
        <v>5000</v>
      </c>
      <c r="K823" t="s">
        <v>112</v>
      </c>
      <c r="L823" t="s">
        <v>96</v>
      </c>
      <c r="M823" t="s">
        <v>47</v>
      </c>
      <c r="N823" t="b">
        <v>0</v>
      </c>
      <c r="O823" t="s">
        <v>113</v>
      </c>
    </row>
    <row r="824" spans="1:15" ht="15" customHeight="1">
      <c r="A824" t="s">
        <v>347</v>
      </c>
      <c r="B824" t="s">
        <v>1392</v>
      </c>
      <c r="C824" t="s">
        <v>129</v>
      </c>
      <c r="D824" t="s">
        <v>130</v>
      </c>
      <c r="E824">
        <v>20</v>
      </c>
      <c r="F824">
        <v>4.2</v>
      </c>
      <c r="G824">
        <v>0.21</v>
      </c>
      <c r="H824">
        <v>21</v>
      </c>
      <c r="I824">
        <v>5000</v>
      </c>
      <c r="J824">
        <v>1000</v>
      </c>
      <c r="K824" t="s">
        <v>131</v>
      </c>
      <c r="L824" t="s">
        <v>104</v>
      </c>
      <c r="M824" t="s">
        <v>42</v>
      </c>
      <c r="N824" t="b">
        <v>0</v>
      </c>
      <c r="O824" t="s">
        <v>132</v>
      </c>
    </row>
    <row r="825" spans="1:15" ht="15" customHeight="1">
      <c r="A825" t="s">
        <v>292</v>
      </c>
      <c r="B825" t="s">
        <v>1393</v>
      </c>
      <c r="C825" t="s">
        <v>129</v>
      </c>
      <c r="D825" t="s">
        <v>130</v>
      </c>
      <c r="E825">
        <v>16</v>
      </c>
      <c r="F825">
        <v>10.9</v>
      </c>
      <c r="G825">
        <v>0.68</v>
      </c>
      <c r="H825">
        <v>24</v>
      </c>
      <c r="I825">
        <v>5000</v>
      </c>
      <c r="J825">
        <v>1000</v>
      </c>
      <c r="K825" t="s">
        <v>95</v>
      </c>
      <c r="L825" t="s">
        <v>117</v>
      </c>
      <c r="M825" t="s">
        <v>51</v>
      </c>
      <c r="N825" t="b">
        <v>1</v>
      </c>
      <c r="O825" t="s">
        <v>217</v>
      </c>
    </row>
    <row r="826" spans="1:15" ht="15" customHeight="1">
      <c r="A826" t="s">
        <v>676</v>
      </c>
      <c r="B826" t="s">
        <v>1394</v>
      </c>
      <c r="C826" t="s">
        <v>68</v>
      </c>
      <c r="D826" t="s">
        <v>69</v>
      </c>
      <c r="E826">
        <v>9</v>
      </c>
      <c r="F826">
        <v>1.9</v>
      </c>
      <c r="G826">
        <v>0.21</v>
      </c>
      <c r="H826">
        <v>3</v>
      </c>
      <c r="I826">
        <v>30000</v>
      </c>
      <c r="J826">
        <v>5000</v>
      </c>
      <c r="K826" t="s">
        <v>108</v>
      </c>
      <c r="L826" t="s">
        <v>71</v>
      </c>
      <c r="M826" t="s">
        <v>49</v>
      </c>
      <c r="N826" t="b">
        <v>0</v>
      </c>
      <c r="O826" t="s">
        <v>109</v>
      </c>
    </row>
    <row r="827" spans="1:15" ht="15" customHeight="1">
      <c r="A827" t="s">
        <v>588</v>
      </c>
      <c r="B827" t="s">
        <v>1395</v>
      </c>
      <c r="C827" t="s">
        <v>68</v>
      </c>
      <c r="D827" t="s">
        <v>69</v>
      </c>
      <c r="E827">
        <v>11</v>
      </c>
      <c r="F827">
        <v>3.1</v>
      </c>
      <c r="G827">
        <v>0.28000000000000003</v>
      </c>
      <c r="H827">
        <v>1</v>
      </c>
      <c r="I827">
        <v>30000</v>
      </c>
      <c r="J827">
        <v>5000</v>
      </c>
      <c r="K827" t="s">
        <v>70</v>
      </c>
      <c r="L827" t="s">
        <v>104</v>
      </c>
      <c r="M827" t="s">
        <v>42</v>
      </c>
      <c r="N827" t="b">
        <v>0</v>
      </c>
      <c r="O827" t="s">
        <v>72</v>
      </c>
    </row>
    <row r="828" spans="1:15" ht="15" customHeight="1">
      <c r="A828" t="s">
        <v>500</v>
      </c>
      <c r="B828" t="s">
        <v>1396</v>
      </c>
      <c r="C828" t="s">
        <v>129</v>
      </c>
      <c r="D828" t="s">
        <v>130</v>
      </c>
      <c r="E828">
        <v>9</v>
      </c>
      <c r="F828">
        <v>5.2</v>
      </c>
      <c r="G828">
        <v>0.57999999999999996</v>
      </c>
      <c r="H828">
        <v>16</v>
      </c>
      <c r="I828">
        <v>5000</v>
      </c>
      <c r="J828">
        <v>1000</v>
      </c>
      <c r="K828" t="s">
        <v>357</v>
      </c>
      <c r="L828" t="s">
        <v>77</v>
      </c>
      <c r="M828" t="s">
        <v>47</v>
      </c>
      <c r="N828" t="b">
        <v>0</v>
      </c>
      <c r="O828" t="s">
        <v>456</v>
      </c>
    </row>
    <row r="829" spans="1:15" ht="15" customHeight="1">
      <c r="A829" t="s">
        <v>1012</v>
      </c>
      <c r="B829" t="s">
        <v>1397</v>
      </c>
      <c r="C829" t="s">
        <v>75</v>
      </c>
      <c r="D829" t="s">
        <v>69</v>
      </c>
      <c r="E829">
        <v>17</v>
      </c>
      <c r="F829">
        <v>13</v>
      </c>
      <c r="G829">
        <v>0.76</v>
      </c>
      <c r="H829">
        <v>29</v>
      </c>
      <c r="I829">
        <v>2000</v>
      </c>
      <c r="J829">
        <v>1500</v>
      </c>
      <c r="K829" t="s">
        <v>519</v>
      </c>
      <c r="L829" t="s">
        <v>96</v>
      </c>
      <c r="M829" t="s">
        <v>41</v>
      </c>
      <c r="N829" t="b">
        <v>0</v>
      </c>
      <c r="O829" t="s">
        <v>520</v>
      </c>
    </row>
    <row r="830" spans="1:15" ht="15" customHeight="1">
      <c r="A830" t="s">
        <v>830</v>
      </c>
      <c r="B830" t="s">
        <v>1398</v>
      </c>
      <c r="C830" t="s">
        <v>149</v>
      </c>
      <c r="D830" t="s">
        <v>69</v>
      </c>
      <c r="E830">
        <v>10</v>
      </c>
      <c r="F830">
        <v>7.6</v>
      </c>
      <c r="G830">
        <v>0.76</v>
      </c>
      <c r="H830">
        <v>39</v>
      </c>
      <c r="I830">
        <v>3000</v>
      </c>
      <c r="J830">
        <v>1000</v>
      </c>
      <c r="K830" t="s">
        <v>257</v>
      </c>
      <c r="L830" t="s">
        <v>117</v>
      </c>
      <c r="M830" t="s">
        <v>51</v>
      </c>
      <c r="N830" t="b">
        <v>1</v>
      </c>
      <c r="O830" t="s">
        <v>258</v>
      </c>
    </row>
    <row r="831" spans="1:15" ht="15" customHeight="1">
      <c r="A831" t="s">
        <v>903</v>
      </c>
      <c r="B831" t="s">
        <v>1399</v>
      </c>
      <c r="C831" t="s">
        <v>129</v>
      </c>
      <c r="D831" t="s">
        <v>130</v>
      </c>
      <c r="E831">
        <v>8</v>
      </c>
      <c r="F831">
        <v>5.8</v>
      </c>
      <c r="G831">
        <v>0.72</v>
      </c>
      <c r="H831">
        <v>10</v>
      </c>
      <c r="I831">
        <v>5000</v>
      </c>
      <c r="J831">
        <v>1000</v>
      </c>
      <c r="K831" t="s">
        <v>158</v>
      </c>
      <c r="L831" t="s">
        <v>117</v>
      </c>
      <c r="M831" t="s">
        <v>49</v>
      </c>
      <c r="N831" t="b">
        <v>1</v>
      </c>
      <c r="O831" t="s">
        <v>159</v>
      </c>
    </row>
    <row r="832" spans="1:15" ht="15" customHeight="1">
      <c r="A832" t="s">
        <v>1054</v>
      </c>
      <c r="B832" t="s">
        <v>1400</v>
      </c>
      <c r="C832" t="s">
        <v>129</v>
      </c>
      <c r="D832" t="s">
        <v>130</v>
      </c>
      <c r="E832">
        <v>18</v>
      </c>
      <c r="F832">
        <v>3.7</v>
      </c>
      <c r="G832">
        <v>0.21</v>
      </c>
      <c r="H832">
        <v>11</v>
      </c>
      <c r="I832">
        <v>5000</v>
      </c>
      <c r="J832">
        <v>1000</v>
      </c>
      <c r="K832" t="s">
        <v>163</v>
      </c>
      <c r="L832" t="s">
        <v>77</v>
      </c>
      <c r="M832" t="s">
        <v>45</v>
      </c>
      <c r="N832" t="b">
        <v>0</v>
      </c>
      <c r="O832" t="s">
        <v>150</v>
      </c>
    </row>
    <row r="833" spans="1:15" ht="15" customHeight="1">
      <c r="A833" t="s">
        <v>814</v>
      </c>
      <c r="B833" t="s">
        <v>1401</v>
      </c>
      <c r="C833" t="s">
        <v>75</v>
      </c>
      <c r="D833" t="s">
        <v>69</v>
      </c>
      <c r="E833">
        <v>19</v>
      </c>
      <c r="F833">
        <v>5.5</v>
      </c>
      <c r="G833">
        <v>0.28999999999999998</v>
      </c>
      <c r="H833">
        <v>22</v>
      </c>
      <c r="I833">
        <v>2000</v>
      </c>
      <c r="J833">
        <v>1500</v>
      </c>
      <c r="K833" t="s">
        <v>90</v>
      </c>
      <c r="L833" t="s">
        <v>71</v>
      </c>
      <c r="M833" t="s">
        <v>45</v>
      </c>
      <c r="N833" t="b">
        <v>0</v>
      </c>
      <c r="O833" t="s">
        <v>92</v>
      </c>
    </row>
    <row r="834" spans="1:15" ht="15" customHeight="1">
      <c r="A834" t="s">
        <v>213</v>
      </c>
      <c r="B834" t="s">
        <v>1402</v>
      </c>
      <c r="C834" t="s">
        <v>75</v>
      </c>
      <c r="D834" t="s">
        <v>69</v>
      </c>
      <c r="E834">
        <v>15</v>
      </c>
      <c r="F834">
        <v>10.9</v>
      </c>
      <c r="G834">
        <v>0.73</v>
      </c>
      <c r="H834">
        <v>11</v>
      </c>
      <c r="I834">
        <v>2000</v>
      </c>
      <c r="J834">
        <v>1500</v>
      </c>
      <c r="K834" t="s">
        <v>689</v>
      </c>
      <c r="L834" t="s">
        <v>71</v>
      </c>
      <c r="M834" t="s">
        <v>47</v>
      </c>
      <c r="N834" t="b">
        <v>0</v>
      </c>
      <c r="O834" t="s">
        <v>690</v>
      </c>
    </row>
    <row r="835" spans="1:15" ht="15" customHeight="1">
      <c r="A835" t="s">
        <v>753</v>
      </c>
      <c r="B835" t="s">
        <v>1403</v>
      </c>
      <c r="C835" t="s">
        <v>68</v>
      </c>
      <c r="D835" t="s">
        <v>69</v>
      </c>
      <c r="E835">
        <v>15</v>
      </c>
      <c r="F835">
        <v>0.7</v>
      </c>
      <c r="G835">
        <v>0.05</v>
      </c>
      <c r="H835">
        <v>1</v>
      </c>
      <c r="I835">
        <v>30000</v>
      </c>
      <c r="J835">
        <v>5000</v>
      </c>
      <c r="K835" t="s">
        <v>70</v>
      </c>
      <c r="L835" t="s">
        <v>91</v>
      </c>
      <c r="M835" t="s">
        <v>42</v>
      </c>
      <c r="N835" t="b">
        <v>1</v>
      </c>
      <c r="O835" t="s">
        <v>72</v>
      </c>
    </row>
    <row r="836" spans="1:15" ht="15" customHeight="1">
      <c r="A836" t="s">
        <v>181</v>
      </c>
      <c r="B836" t="s">
        <v>1404</v>
      </c>
      <c r="C836" t="s">
        <v>81</v>
      </c>
      <c r="D836" t="s">
        <v>69</v>
      </c>
      <c r="E836">
        <v>17</v>
      </c>
      <c r="F836">
        <v>4</v>
      </c>
      <c r="G836">
        <v>0.24</v>
      </c>
      <c r="H836">
        <v>13</v>
      </c>
      <c r="I836">
        <v>10000</v>
      </c>
      <c r="J836">
        <v>3000</v>
      </c>
      <c r="K836" t="s">
        <v>203</v>
      </c>
      <c r="L836" t="s">
        <v>71</v>
      </c>
      <c r="M836" t="s">
        <v>42</v>
      </c>
      <c r="N836" t="b">
        <v>0</v>
      </c>
      <c r="O836" t="s">
        <v>204</v>
      </c>
    </row>
    <row r="837" spans="1:15" ht="15" customHeight="1">
      <c r="A837" t="s">
        <v>1405</v>
      </c>
      <c r="B837" t="s">
        <v>1406</v>
      </c>
      <c r="C837" t="s">
        <v>68</v>
      </c>
      <c r="D837" t="s">
        <v>69</v>
      </c>
      <c r="E837">
        <v>12</v>
      </c>
      <c r="F837">
        <v>1.9</v>
      </c>
      <c r="G837">
        <v>0.16</v>
      </c>
      <c r="H837">
        <v>4</v>
      </c>
      <c r="I837">
        <v>30000</v>
      </c>
      <c r="J837">
        <v>5000</v>
      </c>
      <c r="K837" t="s">
        <v>95</v>
      </c>
      <c r="L837" t="s">
        <v>100</v>
      </c>
      <c r="M837" t="s">
        <v>42</v>
      </c>
      <c r="N837" t="b">
        <v>0</v>
      </c>
      <c r="O837" t="s">
        <v>97</v>
      </c>
    </row>
    <row r="838" spans="1:15" ht="15" customHeight="1">
      <c r="A838" t="s">
        <v>223</v>
      </c>
      <c r="B838" t="s">
        <v>1407</v>
      </c>
      <c r="C838" t="s">
        <v>129</v>
      </c>
      <c r="D838" t="s">
        <v>130</v>
      </c>
      <c r="E838">
        <v>16</v>
      </c>
      <c r="F838">
        <v>5</v>
      </c>
      <c r="G838">
        <v>0.31</v>
      </c>
      <c r="H838">
        <v>14</v>
      </c>
      <c r="I838">
        <v>5000</v>
      </c>
      <c r="J838">
        <v>1000</v>
      </c>
      <c r="K838" t="s">
        <v>82</v>
      </c>
      <c r="L838" t="s">
        <v>96</v>
      </c>
      <c r="M838" t="s">
        <v>45</v>
      </c>
      <c r="N838" t="b">
        <v>0</v>
      </c>
      <c r="O838" t="s">
        <v>229</v>
      </c>
    </row>
    <row r="839" spans="1:15" ht="15" customHeight="1">
      <c r="A839" t="s">
        <v>315</v>
      </c>
      <c r="B839" t="s">
        <v>1408</v>
      </c>
      <c r="C839" t="s">
        <v>75</v>
      </c>
      <c r="D839" t="s">
        <v>69</v>
      </c>
      <c r="E839">
        <v>16</v>
      </c>
      <c r="F839">
        <v>4.0999999999999996</v>
      </c>
      <c r="G839">
        <v>0.26</v>
      </c>
      <c r="H839">
        <v>19</v>
      </c>
      <c r="I839">
        <v>2000</v>
      </c>
      <c r="J839">
        <v>1500</v>
      </c>
      <c r="K839" t="s">
        <v>408</v>
      </c>
      <c r="L839" t="s">
        <v>104</v>
      </c>
      <c r="M839" t="s">
        <v>50</v>
      </c>
      <c r="N839" t="b">
        <v>0</v>
      </c>
      <c r="O839" t="s">
        <v>409</v>
      </c>
    </row>
    <row r="840" spans="1:15" ht="15" customHeight="1">
      <c r="A840" t="s">
        <v>1188</v>
      </c>
      <c r="B840" t="s">
        <v>1409</v>
      </c>
      <c r="C840" t="s">
        <v>81</v>
      </c>
      <c r="D840" t="s">
        <v>69</v>
      </c>
      <c r="E840">
        <v>8</v>
      </c>
      <c r="F840">
        <v>6.6</v>
      </c>
      <c r="G840">
        <v>0.82</v>
      </c>
      <c r="H840">
        <v>13</v>
      </c>
      <c r="I840">
        <v>10000</v>
      </c>
      <c r="J840">
        <v>3000</v>
      </c>
      <c r="K840" t="s">
        <v>203</v>
      </c>
      <c r="L840" t="s">
        <v>117</v>
      </c>
      <c r="M840" t="s">
        <v>50</v>
      </c>
      <c r="N840" t="b">
        <v>1</v>
      </c>
      <c r="O840" t="s">
        <v>204</v>
      </c>
    </row>
    <row r="841" spans="1:15" ht="15" customHeight="1">
      <c r="A841" t="s">
        <v>1177</v>
      </c>
      <c r="B841" t="s">
        <v>1410</v>
      </c>
      <c r="C841" t="s">
        <v>75</v>
      </c>
      <c r="D841" t="s">
        <v>69</v>
      </c>
      <c r="E841">
        <v>12</v>
      </c>
      <c r="F841">
        <v>8.1999999999999993</v>
      </c>
      <c r="G841">
        <v>0.68</v>
      </c>
      <c r="H841">
        <v>20</v>
      </c>
      <c r="I841">
        <v>2000</v>
      </c>
      <c r="J841">
        <v>1500</v>
      </c>
      <c r="K841" t="s">
        <v>76</v>
      </c>
      <c r="L841" t="s">
        <v>117</v>
      </c>
      <c r="M841" t="s">
        <v>42</v>
      </c>
      <c r="N841" t="b">
        <v>1</v>
      </c>
      <c r="O841" t="s">
        <v>78</v>
      </c>
    </row>
    <row r="842" spans="1:15" ht="15" customHeight="1">
      <c r="A842" t="s">
        <v>1411</v>
      </c>
      <c r="B842" t="s">
        <v>1412</v>
      </c>
      <c r="C842" t="s">
        <v>149</v>
      </c>
      <c r="D842" t="s">
        <v>69</v>
      </c>
      <c r="E842">
        <v>11</v>
      </c>
      <c r="F842">
        <v>6.4</v>
      </c>
      <c r="G842">
        <v>0.57999999999999996</v>
      </c>
      <c r="H842">
        <v>16</v>
      </c>
      <c r="I842">
        <v>3000</v>
      </c>
      <c r="J842">
        <v>1000</v>
      </c>
      <c r="K842" t="s">
        <v>361</v>
      </c>
      <c r="L842" t="s">
        <v>77</v>
      </c>
      <c r="M842" t="s">
        <v>48</v>
      </c>
      <c r="N842" t="b">
        <v>0</v>
      </c>
      <c r="O842" t="s">
        <v>870</v>
      </c>
    </row>
    <row r="843" spans="1:15" ht="15" customHeight="1">
      <c r="A843" t="s">
        <v>875</v>
      </c>
      <c r="B843" t="s">
        <v>1413</v>
      </c>
      <c r="C843" t="s">
        <v>149</v>
      </c>
      <c r="D843" t="s">
        <v>69</v>
      </c>
      <c r="E843">
        <v>10</v>
      </c>
      <c r="F843">
        <v>8.1</v>
      </c>
      <c r="G843">
        <v>0.81</v>
      </c>
      <c r="H843">
        <v>24</v>
      </c>
      <c r="I843">
        <v>3000</v>
      </c>
      <c r="J843">
        <v>1000</v>
      </c>
      <c r="K843" t="s">
        <v>490</v>
      </c>
      <c r="L843" t="s">
        <v>96</v>
      </c>
      <c r="M843" t="s">
        <v>47</v>
      </c>
      <c r="N843" t="b">
        <v>0</v>
      </c>
      <c r="O843" t="s">
        <v>491</v>
      </c>
    </row>
    <row r="844" spans="1:15" ht="15" customHeight="1">
      <c r="A844" t="s">
        <v>668</v>
      </c>
      <c r="B844" t="s">
        <v>1414</v>
      </c>
      <c r="C844" t="s">
        <v>75</v>
      </c>
      <c r="D844" t="s">
        <v>69</v>
      </c>
      <c r="E844">
        <v>14</v>
      </c>
      <c r="F844">
        <v>6.2</v>
      </c>
      <c r="G844">
        <v>0.44</v>
      </c>
      <c r="H844">
        <v>20</v>
      </c>
      <c r="I844">
        <v>2000</v>
      </c>
      <c r="J844">
        <v>1500</v>
      </c>
      <c r="K844" t="s">
        <v>76</v>
      </c>
      <c r="L844" t="s">
        <v>104</v>
      </c>
      <c r="M844" t="s">
        <v>44</v>
      </c>
      <c r="N844" t="b">
        <v>0</v>
      </c>
      <c r="O844" t="s">
        <v>78</v>
      </c>
    </row>
    <row r="845" spans="1:15" ht="15" customHeight="1">
      <c r="A845" t="s">
        <v>699</v>
      </c>
      <c r="B845" t="s">
        <v>1415</v>
      </c>
      <c r="C845" t="s">
        <v>149</v>
      </c>
      <c r="D845" t="s">
        <v>69</v>
      </c>
      <c r="E845">
        <v>11</v>
      </c>
      <c r="F845">
        <v>10.199999999999999</v>
      </c>
      <c r="G845">
        <v>0.93</v>
      </c>
      <c r="H845">
        <v>30</v>
      </c>
      <c r="I845">
        <v>3000</v>
      </c>
      <c r="J845">
        <v>1000</v>
      </c>
      <c r="K845" t="s">
        <v>108</v>
      </c>
      <c r="L845" t="s">
        <v>77</v>
      </c>
      <c r="M845" t="s">
        <v>40</v>
      </c>
      <c r="N845" t="b">
        <v>0</v>
      </c>
      <c r="O845" t="s">
        <v>166</v>
      </c>
    </row>
    <row r="846" spans="1:15" ht="15" customHeight="1">
      <c r="A846" t="s">
        <v>744</v>
      </c>
      <c r="B846" t="s">
        <v>1416</v>
      </c>
      <c r="C846" t="s">
        <v>149</v>
      </c>
      <c r="D846" t="s">
        <v>69</v>
      </c>
      <c r="E846">
        <v>10</v>
      </c>
      <c r="F846">
        <v>9.4</v>
      </c>
      <c r="G846">
        <v>0.94</v>
      </c>
      <c r="H846">
        <v>28</v>
      </c>
      <c r="I846">
        <v>3000</v>
      </c>
      <c r="J846">
        <v>1000</v>
      </c>
      <c r="K846" t="s">
        <v>176</v>
      </c>
      <c r="L846" t="s">
        <v>117</v>
      </c>
      <c r="M846" t="s">
        <v>42</v>
      </c>
      <c r="N846" t="b">
        <v>1</v>
      </c>
      <c r="O846" t="s">
        <v>177</v>
      </c>
    </row>
    <row r="847" spans="1:15" ht="15" customHeight="1">
      <c r="A847" t="s">
        <v>1417</v>
      </c>
      <c r="B847" t="s">
        <v>1418</v>
      </c>
      <c r="C847" t="s">
        <v>129</v>
      </c>
      <c r="D847" t="s">
        <v>130</v>
      </c>
      <c r="E847">
        <v>12</v>
      </c>
      <c r="F847">
        <v>8.5</v>
      </c>
      <c r="G847">
        <v>0.71</v>
      </c>
      <c r="H847">
        <v>13</v>
      </c>
      <c r="I847">
        <v>5000</v>
      </c>
      <c r="J847">
        <v>1000</v>
      </c>
      <c r="K847" t="s">
        <v>313</v>
      </c>
      <c r="L847" t="s">
        <v>91</v>
      </c>
      <c r="M847" t="s">
        <v>50</v>
      </c>
      <c r="N847" t="b">
        <v>1</v>
      </c>
      <c r="O847" t="s">
        <v>314</v>
      </c>
    </row>
    <row r="848" spans="1:15" ht="15" customHeight="1">
      <c r="A848" t="s">
        <v>428</v>
      </c>
      <c r="B848" t="s">
        <v>1419</v>
      </c>
      <c r="C848" t="s">
        <v>68</v>
      </c>
      <c r="D848" t="s">
        <v>69</v>
      </c>
      <c r="E848">
        <v>8</v>
      </c>
      <c r="F848">
        <v>2.2999999999999998</v>
      </c>
      <c r="G848">
        <v>0.28999999999999998</v>
      </c>
      <c r="H848">
        <v>4</v>
      </c>
      <c r="I848">
        <v>30000</v>
      </c>
      <c r="J848">
        <v>5000</v>
      </c>
      <c r="K848" t="s">
        <v>95</v>
      </c>
      <c r="L848" t="s">
        <v>104</v>
      </c>
      <c r="M848" t="s">
        <v>46</v>
      </c>
      <c r="N848" t="b">
        <v>0</v>
      </c>
      <c r="O848" t="s">
        <v>97</v>
      </c>
    </row>
    <row r="849" spans="1:15" ht="15" customHeight="1">
      <c r="A849" t="s">
        <v>843</v>
      </c>
      <c r="B849" t="s">
        <v>1420</v>
      </c>
      <c r="C849" t="s">
        <v>68</v>
      </c>
      <c r="D849" t="s">
        <v>69</v>
      </c>
      <c r="E849">
        <v>9</v>
      </c>
      <c r="F849">
        <v>1.4</v>
      </c>
      <c r="G849">
        <v>0.16</v>
      </c>
      <c r="H849">
        <v>2</v>
      </c>
      <c r="I849">
        <v>30000</v>
      </c>
      <c r="J849">
        <v>5000</v>
      </c>
      <c r="K849" t="s">
        <v>162</v>
      </c>
      <c r="L849" t="s">
        <v>71</v>
      </c>
      <c r="M849" t="s">
        <v>44</v>
      </c>
      <c r="N849" t="b">
        <v>0</v>
      </c>
      <c r="O849" t="s">
        <v>163</v>
      </c>
    </row>
    <row r="850" spans="1:15" ht="15" customHeight="1">
      <c r="A850" t="s">
        <v>329</v>
      </c>
      <c r="B850" t="s">
        <v>1421</v>
      </c>
      <c r="C850" t="s">
        <v>149</v>
      </c>
      <c r="D850" t="s">
        <v>69</v>
      </c>
      <c r="E850">
        <v>11</v>
      </c>
      <c r="F850">
        <v>9.8000000000000007</v>
      </c>
      <c r="G850">
        <v>0.89</v>
      </c>
      <c r="H850">
        <v>20</v>
      </c>
      <c r="I850">
        <v>3000</v>
      </c>
      <c r="J850">
        <v>1000</v>
      </c>
      <c r="K850" t="s">
        <v>162</v>
      </c>
      <c r="L850" t="s">
        <v>96</v>
      </c>
      <c r="M850" t="s">
        <v>49</v>
      </c>
      <c r="N850" t="b">
        <v>0</v>
      </c>
      <c r="O850" t="s">
        <v>180</v>
      </c>
    </row>
    <row r="851" spans="1:15" ht="15" customHeight="1">
      <c r="A851" t="s">
        <v>644</v>
      </c>
      <c r="B851" t="s">
        <v>1422</v>
      </c>
      <c r="C851" t="s">
        <v>81</v>
      </c>
      <c r="D851" t="s">
        <v>69</v>
      </c>
      <c r="E851">
        <v>14</v>
      </c>
      <c r="F851">
        <v>6.8</v>
      </c>
      <c r="G851">
        <v>0.49</v>
      </c>
      <c r="H851">
        <v>28</v>
      </c>
      <c r="I851">
        <v>10000</v>
      </c>
      <c r="J851">
        <v>3000</v>
      </c>
      <c r="K851" t="s">
        <v>966</v>
      </c>
      <c r="L851" t="s">
        <v>117</v>
      </c>
      <c r="M851" t="s">
        <v>45</v>
      </c>
      <c r="N851" t="b">
        <v>1</v>
      </c>
      <c r="O851" t="s">
        <v>967</v>
      </c>
    </row>
    <row r="852" spans="1:15" ht="15" customHeight="1">
      <c r="A852" t="s">
        <v>834</v>
      </c>
      <c r="B852" t="s">
        <v>1423</v>
      </c>
      <c r="C852" t="s">
        <v>75</v>
      </c>
      <c r="D852" t="s">
        <v>69</v>
      </c>
      <c r="E852">
        <v>15</v>
      </c>
      <c r="F852">
        <v>14.8</v>
      </c>
      <c r="G852">
        <v>0.99</v>
      </c>
      <c r="H852">
        <v>12</v>
      </c>
      <c r="I852">
        <v>2000</v>
      </c>
      <c r="J852">
        <v>1500</v>
      </c>
      <c r="K852" t="s">
        <v>265</v>
      </c>
      <c r="L852" t="s">
        <v>117</v>
      </c>
      <c r="M852" t="s">
        <v>41</v>
      </c>
      <c r="N852" t="b">
        <v>1</v>
      </c>
      <c r="O852" t="s">
        <v>266</v>
      </c>
    </row>
    <row r="853" spans="1:15" ht="15" customHeight="1">
      <c r="A853" t="s">
        <v>223</v>
      </c>
      <c r="B853" t="s">
        <v>1424</v>
      </c>
      <c r="C853" t="s">
        <v>81</v>
      </c>
      <c r="D853" t="s">
        <v>69</v>
      </c>
      <c r="E853">
        <v>11</v>
      </c>
      <c r="F853">
        <v>3.1</v>
      </c>
      <c r="G853">
        <v>0.28000000000000003</v>
      </c>
      <c r="H853">
        <v>29</v>
      </c>
      <c r="I853">
        <v>10000</v>
      </c>
      <c r="J853">
        <v>3000</v>
      </c>
      <c r="K853" t="s">
        <v>603</v>
      </c>
      <c r="L853" t="s">
        <v>96</v>
      </c>
      <c r="M853" t="s">
        <v>45</v>
      </c>
      <c r="N853" t="b">
        <v>0</v>
      </c>
      <c r="O853" t="s">
        <v>604</v>
      </c>
    </row>
    <row r="854" spans="1:15" ht="15" customHeight="1">
      <c r="A854" t="s">
        <v>765</v>
      </c>
      <c r="B854" t="s">
        <v>1425</v>
      </c>
      <c r="C854" t="s">
        <v>81</v>
      </c>
      <c r="D854" t="s">
        <v>69</v>
      </c>
      <c r="E854">
        <v>19</v>
      </c>
      <c r="F854">
        <v>10.3</v>
      </c>
      <c r="G854">
        <v>0.54</v>
      </c>
      <c r="H854">
        <v>23</v>
      </c>
      <c r="I854">
        <v>10000</v>
      </c>
      <c r="J854">
        <v>3000</v>
      </c>
      <c r="K854" t="s">
        <v>626</v>
      </c>
      <c r="L854" t="s">
        <v>71</v>
      </c>
      <c r="M854" t="s">
        <v>42</v>
      </c>
      <c r="N854" t="b">
        <v>0</v>
      </c>
      <c r="O854" t="s">
        <v>627</v>
      </c>
    </row>
    <row r="855" spans="1:15" ht="15" customHeight="1">
      <c r="A855" t="s">
        <v>857</v>
      </c>
      <c r="B855" t="s">
        <v>1426</v>
      </c>
      <c r="C855" t="s">
        <v>68</v>
      </c>
      <c r="D855" t="s">
        <v>69</v>
      </c>
      <c r="E855">
        <v>11</v>
      </c>
      <c r="F855">
        <v>0.8</v>
      </c>
      <c r="G855">
        <v>7.0000000000000007E-2</v>
      </c>
      <c r="H855">
        <v>5</v>
      </c>
      <c r="I855">
        <v>30000</v>
      </c>
      <c r="J855">
        <v>5000</v>
      </c>
      <c r="K855" t="s">
        <v>112</v>
      </c>
      <c r="L855" t="s">
        <v>91</v>
      </c>
      <c r="M855" t="s">
        <v>48</v>
      </c>
      <c r="N855" t="b">
        <v>1</v>
      </c>
      <c r="O855" t="s">
        <v>113</v>
      </c>
    </row>
    <row r="856" spans="1:15" ht="15" customHeight="1">
      <c r="A856" t="s">
        <v>281</v>
      </c>
      <c r="B856" t="s">
        <v>1427</v>
      </c>
      <c r="C856" t="s">
        <v>75</v>
      </c>
      <c r="D856" t="s">
        <v>69</v>
      </c>
      <c r="E856">
        <v>10</v>
      </c>
      <c r="F856">
        <v>10</v>
      </c>
      <c r="G856">
        <v>1</v>
      </c>
      <c r="H856">
        <v>24</v>
      </c>
      <c r="I856">
        <v>2000</v>
      </c>
      <c r="J856">
        <v>1500</v>
      </c>
      <c r="K856" t="s">
        <v>361</v>
      </c>
      <c r="L856" t="s">
        <v>77</v>
      </c>
      <c r="M856" t="s">
        <v>51</v>
      </c>
      <c r="N856" t="b">
        <v>0</v>
      </c>
      <c r="O856" t="s">
        <v>362</v>
      </c>
    </row>
    <row r="857" spans="1:15" ht="15" customHeight="1">
      <c r="A857" t="s">
        <v>1106</v>
      </c>
      <c r="B857" t="s">
        <v>1428</v>
      </c>
      <c r="C857" t="s">
        <v>75</v>
      </c>
      <c r="D857" t="s">
        <v>69</v>
      </c>
      <c r="E857">
        <v>14</v>
      </c>
      <c r="F857">
        <v>11.4</v>
      </c>
      <c r="G857">
        <v>0.81</v>
      </c>
      <c r="H857">
        <v>10</v>
      </c>
      <c r="I857">
        <v>2000</v>
      </c>
      <c r="J857">
        <v>1500</v>
      </c>
      <c r="K857" t="s">
        <v>418</v>
      </c>
      <c r="L857" t="s">
        <v>71</v>
      </c>
      <c r="M857" t="s">
        <v>47</v>
      </c>
      <c r="N857" t="b">
        <v>0</v>
      </c>
      <c r="O857" t="s">
        <v>419</v>
      </c>
    </row>
    <row r="858" spans="1:15" ht="15" customHeight="1">
      <c r="A858" t="s">
        <v>748</v>
      </c>
      <c r="B858" t="s">
        <v>1429</v>
      </c>
      <c r="C858" t="s">
        <v>75</v>
      </c>
      <c r="D858" t="s">
        <v>69</v>
      </c>
      <c r="E858">
        <v>11</v>
      </c>
      <c r="F858">
        <v>4.3</v>
      </c>
      <c r="G858">
        <v>0.39</v>
      </c>
      <c r="H858">
        <v>29</v>
      </c>
      <c r="I858">
        <v>2000</v>
      </c>
      <c r="J858">
        <v>1500</v>
      </c>
      <c r="K858" t="s">
        <v>519</v>
      </c>
      <c r="L858" t="s">
        <v>117</v>
      </c>
      <c r="M858" t="s">
        <v>42</v>
      </c>
      <c r="N858" t="b">
        <v>1</v>
      </c>
      <c r="O858" t="s">
        <v>520</v>
      </c>
    </row>
    <row r="859" spans="1:15" ht="15" customHeight="1">
      <c r="A859" t="s">
        <v>193</v>
      </c>
      <c r="B859" t="s">
        <v>1430</v>
      </c>
      <c r="C859" t="s">
        <v>68</v>
      </c>
      <c r="D859" t="s">
        <v>69</v>
      </c>
      <c r="E859">
        <v>11</v>
      </c>
      <c r="F859">
        <v>1.2</v>
      </c>
      <c r="G859">
        <v>0.11</v>
      </c>
      <c r="H859">
        <v>1</v>
      </c>
      <c r="I859">
        <v>30000</v>
      </c>
      <c r="J859">
        <v>5000</v>
      </c>
      <c r="K859" t="s">
        <v>70</v>
      </c>
      <c r="L859" t="s">
        <v>117</v>
      </c>
      <c r="M859" t="s">
        <v>50</v>
      </c>
      <c r="N859" t="b">
        <v>1</v>
      </c>
      <c r="O859" t="s">
        <v>72</v>
      </c>
    </row>
    <row r="860" spans="1:15" ht="15" customHeight="1">
      <c r="A860" t="s">
        <v>801</v>
      </c>
      <c r="B860" t="s">
        <v>1431</v>
      </c>
      <c r="C860" t="s">
        <v>81</v>
      </c>
      <c r="D860" t="s">
        <v>69</v>
      </c>
      <c r="E860">
        <v>13</v>
      </c>
      <c r="F860">
        <v>9</v>
      </c>
      <c r="G860">
        <v>0.69</v>
      </c>
      <c r="H860">
        <v>15</v>
      </c>
      <c r="I860">
        <v>10000</v>
      </c>
      <c r="J860">
        <v>3000</v>
      </c>
      <c r="K860" t="s">
        <v>112</v>
      </c>
      <c r="L860" t="s">
        <v>91</v>
      </c>
      <c r="M860" t="s">
        <v>40</v>
      </c>
      <c r="N860" t="b">
        <v>1</v>
      </c>
      <c r="O860" t="s">
        <v>234</v>
      </c>
    </row>
    <row r="861" spans="1:15" ht="15" customHeight="1">
      <c r="A861" t="s">
        <v>783</v>
      </c>
      <c r="B861" t="s">
        <v>1432</v>
      </c>
      <c r="C861" t="s">
        <v>129</v>
      </c>
      <c r="D861" t="s">
        <v>130</v>
      </c>
      <c r="E861">
        <v>10</v>
      </c>
      <c r="F861">
        <v>8.4</v>
      </c>
      <c r="G861">
        <v>0.84</v>
      </c>
      <c r="H861">
        <v>6</v>
      </c>
      <c r="I861">
        <v>5000</v>
      </c>
      <c r="J861">
        <v>1000</v>
      </c>
      <c r="K861" t="s">
        <v>70</v>
      </c>
      <c r="L861" t="s">
        <v>71</v>
      </c>
      <c r="M861" t="s">
        <v>41</v>
      </c>
      <c r="N861" t="b">
        <v>0</v>
      </c>
      <c r="O861" t="s">
        <v>331</v>
      </c>
    </row>
    <row r="862" spans="1:15" ht="15" customHeight="1">
      <c r="A862" t="s">
        <v>123</v>
      </c>
      <c r="B862" t="s">
        <v>1433</v>
      </c>
      <c r="C862" t="s">
        <v>68</v>
      </c>
      <c r="D862" t="s">
        <v>69</v>
      </c>
      <c r="E862">
        <v>10</v>
      </c>
      <c r="F862">
        <v>0.5</v>
      </c>
      <c r="G862">
        <v>0.05</v>
      </c>
      <c r="H862">
        <v>4</v>
      </c>
      <c r="I862">
        <v>30000</v>
      </c>
      <c r="J862">
        <v>5000</v>
      </c>
      <c r="K862" t="s">
        <v>95</v>
      </c>
      <c r="L862" t="s">
        <v>91</v>
      </c>
      <c r="M862" t="s">
        <v>42</v>
      </c>
      <c r="N862" t="b">
        <v>1</v>
      </c>
      <c r="O862" t="s">
        <v>97</v>
      </c>
    </row>
    <row r="863" spans="1:15" ht="15" customHeight="1">
      <c r="A863" t="s">
        <v>1434</v>
      </c>
      <c r="B863" t="s">
        <v>1435</v>
      </c>
      <c r="C863" t="s">
        <v>149</v>
      </c>
      <c r="D863" t="s">
        <v>69</v>
      </c>
      <c r="E863">
        <v>10</v>
      </c>
      <c r="F863">
        <v>6.7</v>
      </c>
      <c r="G863">
        <v>0.67</v>
      </c>
      <c r="H863">
        <v>15</v>
      </c>
      <c r="I863">
        <v>3000</v>
      </c>
      <c r="J863">
        <v>1000</v>
      </c>
      <c r="K863" t="s">
        <v>438</v>
      </c>
      <c r="L863" t="s">
        <v>77</v>
      </c>
      <c r="M863" t="s">
        <v>42</v>
      </c>
      <c r="N863" t="b">
        <v>0</v>
      </c>
      <c r="O863" t="s">
        <v>90</v>
      </c>
    </row>
    <row r="864" spans="1:15" ht="15" customHeight="1">
      <c r="A864" t="s">
        <v>1436</v>
      </c>
      <c r="B864" t="s">
        <v>1437</v>
      </c>
      <c r="C864" t="s">
        <v>129</v>
      </c>
      <c r="D864" t="s">
        <v>130</v>
      </c>
      <c r="E864">
        <v>18</v>
      </c>
      <c r="F864">
        <v>16.3</v>
      </c>
      <c r="G864">
        <v>0.91</v>
      </c>
      <c r="H864">
        <v>27</v>
      </c>
      <c r="I864">
        <v>5000</v>
      </c>
      <c r="J864">
        <v>1000</v>
      </c>
      <c r="K864" t="s">
        <v>172</v>
      </c>
      <c r="L864" t="s">
        <v>91</v>
      </c>
      <c r="M864" t="s">
        <v>48</v>
      </c>
      <c r="N864" t="b">
        <v>1</v>
      </c>
      <c r="O864" t="s">
        <v>173</v>
      </c>
    </row>
    <row r="865" spans="1:15" ht="15" customHeight="1">
      <c r="A865" t="s">
        <v>425</v>
      </c>
      <c r="B865" t="s">
        <v>1438</v>
      </c>
      <c r="C865" t="s">
        <v>129</v>
      </c>
      <c r="D865" t="s">
        <v>130</v>
      </c>
      <c r="E865">
        <v>17</v>
      </c>
      <c r="F865">
        <v>10.6</v>
      </c>
      <c r="G865">
        <v>0.62</v>
      </c>
      <c r="H865">
        <v>13</v>
      </c>
      <c r="I865">
        <v>5000</v>
      </c>
      <c r="J865">
        <v>1000</v>
      </c>
      <c r="K865" t="s">
        <v>313</v>
      </c>
      <c r="L865" t="s">
        <v>96</v>
      </c>
      <c r="M865" t="s">
        <v>40</v>
      </c>
      <c r="N865" t="b">
        <v>0</v>
      </c>
      <c r="O865" t="s">
        <v>314</v>
      </c>
    </row>
    <row r="866" spans="1:15" ht="15" customHeight="1">
      <c r="A866" t="s">
        <v>588</v>
      </c>
      <c r="B866" t="s">
        <v>1439</v>
      </c>
      <c r="C866" t="s">
        <v>149</v>
      </c>
      <c r="D866" t="s">
        <v>69</v>
      </c>
      <c r="E866">
        <v>12</v>
      </c>
      <c r="F866">
        <v>6.9</v>
      </c>
      <c r="G866">
        <v>0.57999999999999996</v>
      </c>
      <c r="H866">
        <v>29</v>
      </c>
      <c r="I866">
        <v>3000</v>
      </c>
      <c r="J866">
        <v>1000</v>
      </c>
      <c r="K866" t="s">
        <v>303</v>
      </c>
      <c r="L866" t="s">
        <v>104</v>
      </c>
      <c r="M866" t="s">
        <v>42</v>
      </c>
      <c r="N866" t="b">
        <v>0</v>
      </c>
      <c r="O866" t="s">
        <v>323</v>
      </c>
    </row>
    <row r="867" spans="1:15" ht="15" customHeight="1">
      <c r="A867" t="s">
        <v>1248</v>
      </c>
      <c r="B867" t="s">
        <v>1440</v>
      </c>
      <c r="C867" t="s">
        <v>129</v>
      </c>
      <c r="D867" t="s">
        <v>130</v>
      </c>
      <c r="E867">
        <v>9</v>
      </c>
      <c r="F867">
        <v>6.7</v>
      </c>
      <c r="G867">
        <v>0.74</v>
      </c>
      <c r="H867">
        <v>15</v>
      </c>
      <c r="I867">
        <v>5000</v>
      </c>
      <c r="J867">
        <v>1000</v>
      </c>
      <c r="K867" t="s">
        <v>479</v>
      </c>
      <c r="L867" t="s">
        <v>96</v>
      </c>
      <c r="M867" t="s">
        <v>50</v>
      </c>
      <c r="N867" t="b">
        <v>0</v>
      </c>
      <c r="O867" t="s">
        <v>480</v>
      </c>
    </row>
    <row r="868" spans="1:15" ht="15" customHeight="1">
      <c r="A868" t="s">
        <v>954</v>
      </c>
      <c r="B868" t="s">
        <v>1441</v>
      </c>
      <c r="C868" t="s">
        <v>129</v>
      </c>
      <c r="D868" t="s">
        <v>130</v>
      </c>
      <c r="E868">
        <v>17</v>
      </c>
      <c r="F868">
        <v>13.8</v>
      </c>
      <c r="G868">
        <v>0.81</v>
      </c>
      <c r="H868">
        <v>6</v>
      </c>
      <c r="I868">
        <v>5000</v>
      </c>
      <c r="J868">
        <v>1000</v>
      </c>
      <c r="K868" t="s">
        <v>70</v>
      </c>
      <c r="L868" t="s">
        <v>104</v>
      </c>
      <c r="M868" t="s">
        <v>46</v>
      </c>
      <c r="N868" t="b">
        <v>0</v>
      </c>
      <c r="O868" t="s">
        <v>331</v>
      </c>
    </row>
    <row r="869" spans="1:15" ht="15" customHeight="1">
      <c r="A869" t="s">
        <v>1442</v>
      </c>
      <c r="B869" t="s">
        <v>1443</v>
      </c>
      <c r="C869" t="s">
        <v>68</v>
      </c>
      <c r="D869" t="s">
        <v>69</v>
      </c>
      <c r="E869">
        <v>8</v>
      </c>
      <c r="F869">
        <v>2.1</v>
      </c>
      <c r="G869">
        <v>0.26</v>
      </c>
      <c r="H869">
        <v>3</v>
      </c>
      <c r="I869">
        <v>30000</v>
      </c>
      <c r="J869">
        <v>5000</v>
      </c>
      <c r="K869" t="s">
        <v>108</v>
      </c>
      <c r="L869" t="s">
        <v>104</v>
      </c>
      <c r="M869" t="s">
        <v>47</v>
      </c>
      <c r="N869" t="b">
        <v>0</v>
      </c>
      <c r="O869" t="s">
        <v>109</v>
      </c>
    </row>
    <row r="870" spans="1:15" ht="15" customHeight="1">
      <c r="A870" t="s">
        <v>596</v>
      </c>
      <c r="B870" t="s">
        <v>1444</v>
      </c>
      <c r="C870" t="s">
        <v>129</v>
      </c>
      <c r="D870" t="s">
        <v>130</v>
      </c>
      <c r="E870">
        <v>18</v>
      </c>
      <c r="F870">
        <v>11.7</v>
      </c>
      <c r="G870">
        <v>0.65</v>
      </c>
      <c r="H870">
        <v>29</v>
      </c>
      <c r="I870">
        <v>5000</v>
      </c>
      <c r="J870">
        <v>1000</v>
      </c>
      <c r="K870" t="s">
        <v>113</v>
      </c>
      <c r="L870" t="s">
        <v>96</v>
      </c>
      <c r="M870" t="s">
        <v>46</v>
      </c>
      <c r="N870" t="b">
        <v>0</v>
      </c>
      <c r="O870" t="s">
        <v>146</v>
      </c>
    </row>
    <row r="871" spans="1:15" ht="15" customHeight="1">
      <c r="A871" t="s">
        <v>160</v>
      </c>
      <c r="B871" t="s">
        <v>1445</v>
      </c>
      <c r="C871" t="s">
        <v>81</v>
      </c>
      <c r="D871" t="s">
        <v>69</v>
      </c>
      <c r="E871">
        <v>14</v>
      </c>
      <c r="F871">
        <v>8.1</v>
      </c>
      <c r="G871">
        <v>0.57999999999999996</v>
      </c>
      <c r="H871">
        <v>12</v>
      </c>
      <c r="I871">
        <v>10000</v>
      </c>
      <c r="J871">
        <v>3000</v>
      </c>
      <c r="K871" t="s">
        <v>95</v>
      </c>
      <c r="L871" t="s">
        <v>71</v>
      </c>
      <c r="M871" t="s">
        <v>45</v>
      </c>
      <c r="N871" t="b">
        <v>0</v>
      </c>
      <c r="O871" t="s">
        <v>257</v>
      </c>
    </row>
    <row r="872" spans="1:15" ht="15" customHeight="1">
      <c r="A872" t="s">
        <v>517</v>
      </c>
      <c r="B872" t="s">
        <v>1446</v>
      </c>
      <c r="C872" t="s">
        <v>81</v>
      </c>
      <c r="D872" t="s">
        <v>69</v>
      </c>
      <c r="E872">
        <v>9</v>
      </c>
      <c r="F872">
        <v>5.9</v>
      </c>
      <c r="G872">
        <v>0.66</v>
      </c>
      <c r="H872">
        <v>18</v>
      </c>
      <c r="I872">
        <v>10000</v>
      </c>
      <c r="J872">
        <v>3000</v>
      </c>
      <c r="K872" t="s">
        <v>142</v>
      </c>
      <c r="L872" t="s">
        <v>100</v>
      </c>
      <c r="M872" t="s">
        <v>46</v>
      </c>
      <c r="N872" t="b">
        <v>0</v>
      </c>
      <c r="O872" t="s">
        <v>143</v>
      </c>
    </row>
    <row r="873" spans="1:15" ht="15" customHeight="1">
      <c r="A873" t="s">
        <v>762</v>
      </c>
      <c r="B873" t="s">
        <v>1447</v>
      </c>
      <c r="C873" t="s">
        <v>81</v>
      </c>
      <c r="D873" t="s">
        <v>69</v>
      </c>
      <c r="E873">
        <v>8</v>
      </c>
      <c r="F873">
        <v>5.6</v>
      </c>
      <c r="G873">
        <v>0.7</v>
      </c>
      <c r="H873">
        <v>30</v>
      </c>
      <c r="I873">
        <v>10000</v>
      </c>
      <c r="J873">
        <v>3000</v>
      </c>
      <c r="K873" t="s">
        <v>185</v>
      </c>
      <c r="L873" t="s">
        <v>100</v>
      </c>
      <c r="M873" t="s">
        <v>44</v>
      </c>
      <c r="N873" t="b">
        <v>0</v>
      </c>
      <c r="O873" t="s">
        <v>186</v>
      </c>
    </row>
    <row r="874" spans="1:15" ht="15" customHeight="1">
      <c r="A874" t="s">
        <v>592</v>
      </c>
      <c r="B874" t="s">
        <v>1448</v>
      </c>
      <c r="C874" t="s">
        <v>81</v>
      </c>
      <c r="D874" t="s">
        <v>69</v>
      </c>
      <c r="E874">
        <v>12</v>
      </c>
      <c r="F874">
        <v>8.5</v>
      </c>
      <c r="G874">
        <v>0.71</v>
      </c>
      <c r="H874">
        <v>18</v>
      </c>
      <c r="I874">
        <v>10000</v>
      </c>
      <c r="J874">
        <v>3000</v>
      </c>
      <c r="K874" t="s">
        <v>142</v>
      </c>
      <c r="L874" t="s">
        <v>91</v>
      </c>
      <c r="M874" t="s">
        <v>51</v>
      </c>
      <c r="N874" t="b">
        <v>1</v>
      </c>
      <c r="O874" t="s">
        <v>143</v>
      </c>
    </row>
    <row r="875" spans="1:15" ht="15" customHeight="1">
      <c r="A875" t="s">
        <v>371</v>
      </c>
      <c r="B875" t="s">
        <v>1449</v>
      </c>
      <c r="C875" t="s">
        <v>129</v>
      </c>
      <c r="D875" t="s">
        <v>130</v>
      </c>
      <c r="E875">
        <v>16</v>
      </c>
      <c r="F875">
        <v>5.0999999999999996</v>
      </c>
      <c r="G875">
        <v>0.32</v>
      </c>
      <c r="H875">
        <v>20</v>
      </c>
      <c r="I875">
        <v>5000</v>
      </c>
      <c r="J875">
        <v>1000</v>
      </c>
      <c r="K875" t="s">
        <v>103</v>
      </c>
      <c r="L875" t="s">
        <v>100</v>
      </c>
      <c r="M875" t="s">
        <v>47</v>
      </c>
      <c r="N875" t="b">
        <v>0</v>
      </c>
      <c r="O875" t="s">
        <v>169</v>
      </c>
    </row>
    <row r="876" spans="1:15" ht="15" customHeight="1">
      <c r="A876" t="s">
        <v>1405</v>
      </c>
      <c r="B876" t="s">
        <v>1450</v>
      </c>
      <c r="C876" t="s">
        <v>81</v>
      </c>
      <c r="D876" t="s">
        <v>69</v>
      </c>
      <c r="E876">
        <v>19</v>
      </c>
      <c r="F876">
        <v>3.4</v>
      </c>
      <c r="G876">
        <v>0.18</v>
      </c>
      <c r="H876">
        <v>21</v>
      </c>
      <c r="I876">
        <v>10000</v>
      </c>
      <c r="J876">
        <v>3000</v>
      </c>
      <c r="K876" t="s">
        <v>279</v>
      </c>
      <c r="L876" t="s">
        <v>100</v>
      </c>
      <c r="M876" t="s">
        <v>42</v>
      </c>
      <c r="N876" t="b">
        <v>0</v>
      </c>
      <c r="O876" t="s">
        <v>280</v>
      </c>
    </row>
    <row r="877" spans="1:15" ht="15" customHeight="1">
      <c r="A877" t="s">
        <v>140</v>
      </c>
      <c r="B877" t="s">
        <v>1451</v>
      </c>
      <c r="C877" t="s">
        <v>129</v>
      </c>
      <c r="D877" t="s">
        <v>130</v>
      </c>
      <c r="E877">
        <v>13</v>
      </c>
      <c r="F877">
        <v>9.4</v>
      </c>
      <c r="G877">
        <v>0.72</v>
      </c>
      <c r="H877">
        <v>19</v>
      </c>
      <c r="I877">
        <v>5000</v>
      </c>
      <c r="J877">
        <v>1000</v>
      </c>
      <c r="K877" t="s">
        <v>336</v>
      </c>
      <c r="L877" t="s">
        <v>96</v>
      </c>
      <c r="M877" t="s">
        <v>50</v>
      </c>
      <c r="N877" t="b">
        <v>0</v>
      </c>
      <c r="O877" t="s">
        <v>337</v>
      </c>
    </row>
    <row r="878" spans="1:15" ht="15" customHeight="1">
      <c r="A878" t="s">
        <v>609</v>
      </c>
      <c r="B878" t="s">
        <v>1452</v>
      </c>
      <c r="C878" t="s">
        <v>75</v>
      </c>
      <c r="D878" t="s">
        <v>69</v>
      </c>
      <c r="E878">
        <v>13</v>
      </c>
      <c r="F878">
        <v>6.6</v>
      </c>
      <c r="G878">
        <v>0.51</v>
      </c>
      <c r="H878">
        <v>28</v>
      </c>
      <c r="I878">
        <v>2000</v>
      </c>
      <c r="J878">
        <v>1500</v>
      </c>
      <c r="K878" t="s">
        <v>262</v>
      </c>
      <c r="L878" t="s">
        <v>91</v>
      </c>
      <c r="M878" t="s">
        <v>40</v>
      </c>
      <c r="N878" t="b">
        <v>1</v>
      </c>
      <c r="O878" t="s">
        <v>289</v>
      </c>
    </row>
    <row r="879" spans="1:15" ht="15" customHeight="1">
      <c r="A879" t="s">
        <v>505</v>
      </c>
      <c r="B879" t="s">
        <v>1453</v>
      </c>
      <c r="C879" t="s">
        <v>75</v>
      </c>
      <c r="D879" t="s">
        <v>69</v>
      </c>
      <c r="E879">
        <v>15</v>
      </c>
      <c r="F879">
        <v>11</v>
      </c>
      <c r="G879">
        <v>0.73</v>
      </c>
      <c r="H879">
        <v>28</v>
      </c>
      <c r="I879">
        <v>2000</v>
      </c>
      <c r="J879">
        <v>1500</v>
      </c>
      <c r="K879" t="s">
        <v>262</v>
      </c>
      <c r="L879" t="s">
        <v>100</v>
      </c>
      <c r="M879" t="s">
        <v>51</v>
      </c>
      <c r="N879" t="b">
        <v>0</v>
      </c>
      <c r="O879" t="s">
        <v>289</v>
      </c>
    </row>
    <row r="880" spans="1:15" ht="15" customHeight="1">
      <c r="A880" t="s">
        <v>1080</v>
      </c>
      <c r="B880" t="s">
        <v>1454</v>
      </c>
      <c r="C880" t="s">
        <v>129</v>
      </c>
      <c r="D880" t="s">
        <v>130</v>
      </c>
      <c r="E880">
        <v>15</v>
      </c>
      <c r="F880">
        <v>10.199999999999999</v>
      </c>
      <c r="G880">
        <v>0.68</v>
      </c>
      <c r="H880">
        <v>7</v>
      </c>
      <c r="I880">
        <v>5000</v>
      </c>
      <c r="J880">
        <v>1000</v>
      </c>
      <c r="K880" t="s">
        <v>1135</v>
      </c>
      <c r="L880" t="s">
        <v>117</v>
      </c>
      <c r="M880" t="s">
        <v>49</v>
      </c>
      <c r="N880" t="b">
        <v>1</v>
      </c>
      <c r="O880" t="s">
        <v>862</v>
      </c>
    </row>
    <row r="881" spans="1:15" ht="15" customHeight="1">
      <c r="A881" t="s">
        <v>1455</v>
      </c>
      <c r="B881" t="s">
        <v>1456</v>
      </c>
      <c r="C881" t="s">
        <v>75</v>
      </c>
      <c r="D881" t="s">
        <v>69</v>
      </c>
      <c r="E881">
        <v>11</v>
      </c>
      <c r="F881">
        <v>10.6</v>
      </c>
      <c r="G881">
        <v>0.96</v>
      </c>
      <c r="H881">
        <v>6</v>
      </c>
      <c r="I881">
        <v>2000</v>
      </c>
      <c r="J881">
        <v>1500</v>
      </c>
      <c r="K881" t="s">
        <v>269</v>
      </c>
      <c r="L881" t="s">
        <v>117</v>
      </c>
      <c r="M881" t="s">
        <v>46</v>
      </c>
      <c r="N881" t="b">
        <v>1</v>
      </c>
      <c r="O881" t="s">
        <v>270</v>
      </c>
    </row>
    <row r="882" spans="1:15" ht="15" customHeight="1">
      <c r="A882" t="s">
        <v>828</v>
      </c>
      <c r="B882" t="s">
        <v>1457</v>
      </c>
      <c r="C882" t="s">
        <v>81</v>
      </c>
      <c r="D882" t="s">
        <v>69</v>
      </c>
      <c r="E882">
        <v>14</v>
      </c>
      <c r="F882">
        <v>13</v>
      </c>
      <c r="G882">
        <v>0.93</v>
      </c>
      <c r="H882">
        <v>15</v>
      </c>
      <c r="I882">
        <v>10000</v>
      </c>
      <c r="J882">
        <v>3000</v>
      </c>
      <c r="K882" t="s">
        <v>112</v>
      </c>
      <c r="L882" t="s">
        <v>117</v>
      </c>
      <c r="M882" t="s">
        <v>43</v>
      </c>
      <c r="N882" t="b">
        <v>1</v>
      </c>
      <c r="O882" t="s">
        <v>234</v>
      </c>
    </row>
    <row r="883" spans="1:15" ht="15" customHeight="1">
      <c r="A883" t="s">
        <v>616</v>
      </c>
      <c r="B883" t="s">
        <v>1458</v>
      </c>
      <c r="C883" t="s">
        <v>149</v>
      </c>
      <c r="D883" t="s">
        <v>69</v>
      </c>
      <c r="E883">
        <v>12</v>
      </c>
      <c r="F883">
        <v>10.9</v>
      </c>
      <c r="G883">
        <v>0.91</v>
      </c>
      <c r="H883">
        <v>39</v>
      </c>
      <c r="I883">
        <v>3000</v>
      </c>
      <c r="J883">
        <v>1000</v>
      </c>
      <c r="K883" t="s">
        <v>257</v>
      </c>
      <c r="L883" t="s">
        <v>96</v>
      </c>
      <c r="M883" t="s">
        <v>42</v>
      </c>
      <c r="N883" t="b">
        <v>0</v>
      </c>
      <c r="O883" t="s">
        <v>258</v>
      </c>
    </row>
    <row r="884" spans="1:15" ht="15" customHeight="1">
      <c r="A884" t="s">
        <v>860</v>
      </c>
      <c r="B884" t="s">
        <v>1459</v>
      </c>
      <c r="C884" t="s">
        <v>68</v>
      </c>
      <c r="D884" t="s">
        <v>69</v>
      </c>
      <c r="E884">
        <v>13</v>
      </c>
      <c r="F884">
        <v>3.9</v>
      </c>
      <c r="G884">
        <v>0.3</v>
      </c>
      <c r="H884">
        <v>3</v>
      </c>
      <c r="I884">
        <v>30000</v>
      </c>
      <c r="J884">
        <v>5000</v>
      </c>
      <c r="K884" t="s">
        <v>108</v>
      </c>
      <c r="L884" t="s">
        <v>96</v>
      </c>
      <c r="M884" t="s">
        <v>42</v>
      </c>
      <c r="N884" t="b">
        <v>0</v>
      </c>
      <c r="O884" t="s">
        <v>109</v>
      </c>
    </row>
    <row r="885" spans="1:15" ht="15" customHeight="1">
      <c r="A885" t="s">
        <v>663</v>
      </c>
      <c r="B885" t="s">
        <v>1460</v>
      </c>
      <c r="C885" t="s">
        <v>149</v>
      </c>
      <c r="D885" t="s">
        <v>69</v>
      </c>
      <c r="E885">
        <v>10</v>
      </c>
      <c r="F885">
        <v>7</v>
      </c>
      <c r="G885">
        <v>0.7</v>
      </c>
      <c r="H885">
        <v>34</v>
      </c>
      <c r="I885">
        <v>3000</v>
      </c>
      <c r="J885">
        <v>1000</v>
      </c>
      <c r="K885" t="s">
        <v>433</v>
      </c>
      <c r="L885" t="s">
        <v>104</v>
      </c>
      <c r="M885" t="s">
        <v>43</v>
      </c>
      <c r="N885" t="b">
        <v>0</v>
      </c>
      <c r="O885" t="s">
        <v>434</v>
      </c>
    </row>
    <row r="886" spans="1:15" ht="15" customHeight="1">
      <c r="A886" t="s">
        <v>101</v>
      </c>
      <c r="B886" t="s">
        <v>1461</v>
      </c>
      <c r="C886" t="s">
        <v>68</v>
      </c>
      <c r="D886" t="s">
        <v>69</v>
      </c>
      <c r="E886">
        <v>12</v>
      </c>
      <c r="F886">
        <v>3.1</v>
      </c>
      <c r="G886">
        <v>0.26</v>
      </c>
      <c r="H886">
        <v>5</v>
      </c>
      <c r="I886">
        <v>30000</v>
      </c>
      <c r="J886">
        <v>5000</v>
      </c>
      <c r="K886" t="s">
        <v>112</v>
      </c>
      <c r="L886" t="s">
        <v>104</v>
      </c>
      <c r="M886" t="s">
        <v>41</v>
      </c>
      <c r="N886" t="b">
        <v>0</v>
      </c>
      <c r="O886" t="s">
        <v>113</v>
      </c>
    </row>
    <row r="887" spans="1:15" ht="15" customHeight="1">
      <c r="A887" t="s">
        <v>594</v>
      </c>
      <c r="B887" t="s">
        <v>1462</v>
      </c>
      <c r="C887" t="s">
        <v>68</v>
      </c>
      <c r="D887" t="s">
        <v>69</v>
      </c>
      <c r="E887">
        <v>13</v>
      </c>
      <c r="F887">
        <v>0.6</v>
      </c>
      <c r="G887">
        <v>0.05</v>
      </c>
      <c r="H887">
        <v>5</v>
      </c>
      <c r="I887">
        <v>30000</v>
      </c>
      <c r="J887">
        <v>5000</v>
      </c>
      <c r="K887" t="s">
        <v>112</v>
      </c>
      <c r="L887" t="s">
        <v>91</v>
      </c>
      <c r="M887" t="s">
        <v>43</v>
      </c>
      <c r="N887" t="b">
        <v>1</v>
      </c>
      <c r="O887" t="s">
        <v>113</v>
      </c>
    </row>
    <row r="888" spans="1:15" ht="15" customHeight="1">
      <c r="A888" t="s">
        <v>425</v>
      </c>
      <c r="B888" t="s">
        <v>1463</v>
      </c>
      <c r="C888" t="s">
        <v>149</v>
      </c>
      <c r="D888" t="s">
        <v>69</v>
      </c>
      <c r="E888">
        <v>10</v>
      </c>
      <c r="F888">
        <v>6</v>
      </c>
      <c r="G888">
        <v>0.6</v>
      </c>
      <c r="H888">
        <v>28</v>
      </c>
      <c r="I888">
        <v>3000</v>
      </c>
      <c r="J888">
        <v>1000</v>
      </c>
      <c r="K888" t="s">
        <v>176</v>
      </c>
      <c r="L888" t="s">
        <v>96</v>
      </c>
      <c r="M888" t="s">
        <v>40</v>
      </c>
      <c r="N888" t="b">
        <v>0</v>
      </c>
      <c r="O888" t="s">
        <v>177</v>
      </c>
    </row>
    <row r="889" spans="1:15" ht="15" customHeight="1">
      <c r="A889" t="s">
        <v>84</v>
      </c>
      <c r="B889" t="s">
        <v>1464</v>
      </c>
      <c r="C889" t="s">
        <v>129</v>
      </c>
      <c r="D889" t="s">
        <v>130</v>
      </c>
      <c r="E889">
        <v>11</v>
      </c>
      <c r="F889">
        <v>4.4000000000000004</v>
      </c>
      <c r="G889">
        <v>0.4</v>
      </c>
      <c r="H889">
        <v>27</v>
      </c>
      <c r="I889">
        <v>5000</v>
      </c>
      <c r="J889">
        <v>1000</v>
      </c>
      <c r="K889" t="s">
        <v>172</v>
      </c>
      <c r="L889" t="s">
        <v>77</v>
      </c>
      <c r="M889" t="s">
        <v>51</v>
      </c>
      <c r="N889" t="b">
        <v>0</v>
      </c>
      <c r="O889" t="s">
        <v>173</v>
      </c>
    </row>
    <row r="890" spans="1:15" ht="15" customHeight="1">
      <c r="A890" t="s">
        <v>650</v>
      </c>
      <c r="B890" t="s">
        <v>1465</v>
      </c>
      <c r="C890" t="s">
        <v>149</v>
      </c>
      <c r="D890" t="s">
        <v>69</v>
      </c>
      <c r="E890">
        <v>10</v>
      </c>
      <c r="F890">
        <v>7.8</v>
      </c>
      <c r="G890">
        <v>0.78</v>
      </c>
      <c r="H890">
        <v>34</v>
      </c>
      <c r="I890">
        <v>3000</v>
      </c>
      <c r="J890">
        <v>1000</v>
      </c>
      <c r="K890" t="s">
        <v>433</v>
      </c>
      <c r="L890" t="s">
        <v>100</v>
      </c>
      <c r="M890" t="s">
        <v>46</v>
      </c>
      <c r="N890" t="b">
        <v>0</v>
      </c>
      <c r="O890" t="s">
        <v>434</v>
      </c>
    </row>
    <row r="891" spans="1:15" ht="15" customHeight="1">
      <c r="A891" t="s">
        <v>748</v>
      </c>
      <c r="B891" t="s">
        <v>1466</v>
      </c>
      <c r="C891" t="s">
        <v>129</v>
      </c>
      <c r="D891" t="s">
        <v>130</v>
      </c>
      <c r="E891">
        <v>15</v>
      </c>
      <c r="F891">
        <v>13.7</v>
      </c>
      <c r="G891">
        <v>0.91</v>
      </c>
      <c r="H891">
        <v>17</v>
      </c>
      <c r="I891">
        <v>5000</v>
      </c>
      <c r="J891">
        <v>1000</v>
      </c>
      <c r="K891" t="s">
        <v>109</v>
      </c>
      <c r="L891" t="s">
        <v>117</v>
      </c>
      <c r="M891" t="s">
        <v>42</v>
      </c>
      <c r="N891" t="b">
        <v>1</v>
      </c>
      <c r="O891" t="s">
        <v>176</v>
      </c>
    </row>
    <row r="892" spans="1:15" ht="15" customHeight="1">
      <c r="A892" t="s">
        <v>599</v>
      </c>
      <c r="B892" t="s">
        <v>1467</v>
      </c>
      <c r="C892" t="s">
        <v>75</v>
      </c>
      <c r="D892" t="s">
        <v>69</v>
      </c>
      <c r="E892">
        <v>11</v>
      </c>
      <c r="F892">
        <v>6.5</v>
      </c>
      <c r="G892">
        <v>0.59</v>
      </c>
      <c r="H892">
        <v>12</v>
      </c>
      <c r="I892">
        <v>2000</v>
      </c>
      <c r="J892">
        <v>1500</v>
      </c>
      <c r="K892" t="s">
        <v>265</v>
      </c>
      <c r="L892" t="s">
        <v>117</v>
      </c>
      <c r="M892" t="s">
        <v>44</v>
      </c>
      <c r="N892" t="b">
        <v>1</v>
      </c>
      <c r="O892" t="s">
        <v>266</v>
      </c>
    </row>
    <row r="893" spans="1:15" ht="15" customHeight="1">
      <c r="A893" t="s">
        <v>552</v>
      </c>
      <c r="B893" t="s">
        <v>1468</v>
      </c>
      <c r="C893" t="s">
        <v>149</v>
      </c>
      <c r="D893" t="s">
        <v>69</v>
      </c>
      <c r="E893">
        <v>8</v>
      </c>
      <c r="F893">
        <v>7.6</v>
      </c>
      <c r="G893">
        <v>0.95</v>
      </c>
      <c r="H893">
        <v>35</v>
      </c>
      <c r="I893">
        <v>3000</v>
      </c>
      <c r="J893">
        <v>1000</v>
      </c>
      <c r="K893" t="s">
        <v>131</v>
      </c>
      <c r="L893" t="s">
        <v>71</v>
      </c>
      <c r="M893" t="s">
        <v>45</v>
      </c>
      <c r="N893" t="b">
        <v>0</v>
      </c>
      <c r="O893" t="s">
        <v>132</v>
      </c>
    </row>
    <row r="894" spans="1:15" ht="15" customHeight="1">
      <c r="A894" t="s">
        <v>1153</v>
      </c>
      <c r="B894" t="s">
        <v>1469</v>
      </c>
      <c r="C894" t="s">
        <v>129</v>
      </c>
      <c r="D894" t="s">
        <v>130</v>
      </c>
      <c r="E894">
        <v>9</v>
      </c>
      <c r="F894">
        <v>3.4</v>
      </c>
      <c r="G894">
        <v>0.38</v>
      </c>
      <c r="H894">
        <v>14</v>
      </c>
      <c r="I894">
        <v>5000</v>
      </c>
      <c r="J894">
        <v>1000</v>
      </c>
      <c r="K894" t="s">
        <v>82</v>
      </c>
      <c r="L894" t="s">
        <v>104</v>
      </c>
      <c r="M894" t="s">
        <v>40</v>
      </c>
      <c r="N894" t="b">
        <v>0</v>
      </c>
      <c r="O894" t="s">
        <v>229</v>
      </c>
    </row>
    <row r="895" spans="1:15" ht="15" customHeight="1">
      <c r="A895" t="s">
        <v>1213</v>
      </c>
      <c r="B895" t="s">
        <v>1470</v>
      </c>
      <c r="C895" t="s">
        <v>149</v>
      </c>
      <c r="D895" t="s">
        <v>69</v>
      </c>
      <c r="E895">
        <v>12</v>
      </c>
      <c r="F895">
        <v>6.6</v>
      </c>
      <c r="G895">
        <v>0.55000000000000004</v>
      </c>
      <c r="H895">
        <v>15</v>
      </c>
      <c r="I895">
        <v>3000</v>
      </c>
      <c r="J895">
        <v>1000</v>
      </c>
      <c r="K895" t="s">
        <v>438</v>
      </c>
      <c r="L895" t="s">
        <v>100</v>
      </c>
      <c r="M895" t="s">
        <v>41</v>
      </c>
      <c r="N895" t="b">
        <v>0</v>
      </c>
      <c r="O895" t="s">
        <v>90</v>
      </c>
    </row>
    <row r="896" spans="1:15" ht="15" customHeight="1">
      <c r="A896" t="s">
        <v>164</v>
      </c>
      <c r="B896" t="s">
        <v>1471</v>
      </c>
      <c r="C896" t="s">
        <v>81</v>
      </c>
      <c r="D896" t="s">
        <v>69</v>
      </c>
      <c r="E896">
        <v>10</v>
      </c>
      <c r="F896">
        <v>6.1</v>
      </c>
      <c r="G896">
        <v>0.61</v>
      </c>
      <c r="H896">
        <v>18</v>
      </c>
      <c r="I896">
        <v>10000</v>
      </c>
      <c r="J896">
        <v>3000</v>
      </c>
      <c r="K896" t="s">
        <v>142</v>
      </c>
      <c r="L896" t="s">
        <v>71</v>
      </c>
      <c r="M896" t="s">
        <v>51</v>
      </c>
      <c r="N896" t="b">
        <v>0</v>
      </c>
      <c r="O896" t="s">
        <v>143</v>
      </c>
    </row>
    <row r="897" spans="1:15" ht="15" customHeight="1">
      <c r="A897" t="s">
        <v>110</v>
      </c>
      <c r="B897" t="s">
        <v>1472</v>
      </c>
      <c r="C897" t="s">
        <v>81</v>
      </c>
      <c r="D897" t="s">
        <v>69</v>
      </c>
      <c r="E897">
        <v>9</v>
      </c>
      <c r="F897">
        <v>7.4</v>
      </c>
      <c r="G897">
        <v>0.82</v>
      </c>
      <c r="H897">
        <v>19</v>
      </c>
      <c r="I897">
        <v>10000</v>
      </c>
      <c r="J897">
        <v>3000</v>
      </c>
      <c r="K897" t="s">
        <v>309</v>
      </c>
      <c r="L897" t="s">
        <v>100</v>
      </c>
      <c r="M897" t="s">
        <v>43</v>
      </c>
      <c r="N897" t="b">
        <v>0</v>
      </c>
      <c r="O897" t="s">
        <v>310</v>
      </c>
    </row>
    <row r="898" spans="1:15" ht="15" customHeight="1">
      <c r="A898" t="s">
        <v>344</v>
      </c>
      <c r="B898" t="s">
        <v>1473</v>
      </c>
      <c r="C898" t="s">
        <v>129</v>
      </c>
      <c r="D898" t="s">
        <v>130</v>
      </c>
      <c r="E898">
        <v>11</v>
      </c>
      <c r="F898">
        <v>7</v>
      </c>
      <c r="G898">
        <v>0.64</v>
      </c>
      <c r="H898">
        <v>20</v>
      </c>
      <c r="I898">
        <v>5000</v>
      </c>
      <c r="J898">
        <v>1000</v>
      </c>
      <c r="K898" t="s">
        <v>103</v>
      </c>
      <c r="L898" t="s">
        <v>100</v>
      </c>
      <c r="M898" t="s">
        <v>50</v>
      </c>
      <c r="N898" t="b">
        <v>0</v>
      </c>
      <c r="O898" t="s">
        <v>169</v>
      </c>
    </row>
    <row r="899" spans="1:15" ht="15" customHeight="1">
      <c r="A899" t="s">
        <v>753</v>
      </c>
      <c r="B899" t="s">
        <v>1474</v>
      </c>
      <c r="C899" t="s">
        <v>75</v>
      </c>
      <c r="D899" t="s">
        <v>69</v>
      </c>
      <c r="E899">
        <v>12</v>
      </c>
      <c r="F899">
        <v>3.1</v>
      </c>
      <c r="G899">
        <v>0.26</v>
      </c>
      <c r="H899">
        <v>22</v>
      </c>
      <c r="I899">
        <v>2000</v>
      </c>
      <c r="J899">
        <v>1500</v>
      </c>
      <c r="K899" t="s">
        <v>90</v>
      </c>
      <c r="L899" t="s">
        <v>91</v>
      </c>
      <c r="M899" t="s">
        <v>42</v>
      </c>
      <c r="N899" t="b">
        <v>1</v>
      </c>
      <c r="O899" t="s">
        <v>92</v>
      </c>
    </row>
    <row r="900" spans="1:15" ht="15" customHeight="1">
      <c r="A900" t="s">
        <v>156</v>
      </c>
      <c r="B900" t="s">
        <v>1475</v>
      </c>
      <c r="C900" t="s">
        <v>68</v>
      </c>
      <c r="D900" t="s">
        <v>69</v>
      </c>
      <c r="E900">
        <v>13</v>
      </c>
      <c r="F900">
        <v>1.7</v>
      </c>
      <c r="G900">
        <v>0.13</v>
      </c>
      <c r="H900">
        <v>3</v>
      </c>
      <c r="I900">
        <v>30000</v>
      </c>
      <c r="J900">
        <v>5000</v>
      </c>
      <c r="K900" t="s">
        <v>108</v>
      </c>
      <c r="L900" t="s">
        <v>77</v>
      </c>
      <c r="M900" t="s">
        <v>47</v>
      </c>
      <c r="N900" t="b">
        <v>0</v>
      </c>
      <c r="O900" t="s">
        <v>109</v>
      </c>
    </row>
    <row r="901" spans="1:15" ht="15" customHeight="1">
      <c r="A901" t="s">
        <v>263</v>
      </c>
      <c r="B901" t="s">
        <v>1476</v>
      </c>
      <c r="C901" t="s">
        <v>68</v>
      </c>
      <c r="D901" t="s">
        <v>69</v>
      </c>
      <c r="E901">
        <v>13</v>
      </c>
      <c r="F901">
        <v>2.4</v>
      </c>
      <c r="G901">
        <v>0.18</v>
      </c>
      <c r="H901">
        <v>1</v>
      </c>
      <c r="I901">
        <v>30000</v>
      </c>
      <c r="J901">
        <v>5000</v>
      </c>
      <c r="K901" t="s">
        <v>70</v>
      </c>
      <c r="L901" t="s">
        <v>96</v>
      </c>
      <c r="M901" t="s">
        <v>44</v>
      </c>
      <c r="N901" t="b">
        <v>0</v>
      </c>
      <c r="O901" t="s">
        <v>72</v>
      </c>
    </row>
    <row r="902" spans="1:15" ht="15" customHeight="1">
      <c r="A902" t="s">
        <v>1477</v>
      </c>
      <c r="B902" t="s">
        <v>1478</v>
      </c>
      <c r="C902" t="s">
        <v>129</v>
      </c>
      <c r="D902" t="s">
        <v>130</v>
      </c>
      <c r="E902">
        <v>10</v>
      </c>
      <c r="F902">
        <v>7.9</v>
      </c>
      <c r="G902">
        <v>0.79</v>
      </c>
      <c r="H902">
        <v>10</v>
      </c>
      <c r="I902">
        <v>5000</v>
      </c>
      <c r="J902">
        <v>1000</v>
      </c>
      <c r="K902" t="s">
        <v>158</v>
      </c>
      <c r="L902" t="s">
        <v>91</v>
      </c>
      <c r="M902" t="s">
        <v>43</v>
      </c>
      <c r="N902" t="b">
        <v>1</v>
      </c>
      <c r="O902" t="s">
        <v>159</v>
      </c>
    </row>
    <row r="903" spans="1:15" ht="15" customHeight="1">
      <c r="A903" t="s">
        <v>976</v>
      </c>
      <c r="B903" t="s">
        <v>1479</v>
      </c>
      <c r="C903" t="s">
        <v>81</v>
      </c>
      <c r="D903" t="s">
        <v>69</v>
      </c>
      <c r="E903">
        <v>8</v>
      </c>
      <c r="F903">
        <v>4.2</v>
      </c>
      <c r="G903">
        <v>0.53</v>
      </c>
      <c r="H903">
        <v>12</v>
      </c>
      <c r="I903">
        <v>10000</v>
      </c>
      <c r="J903">
        <v>3000</v>
      </c>
      <c r="K903" t="s">
        <v>95</v>
      </c>
      <c r="L903" t="s">
        <v>71</v>
      </c>
      <c r="M903" t="s">
        <v>48</v>
      </c>
      <c r="N903" t="b">
        <v>0</v>
      </c>
      <c r="O903" t="s">
        <v>257</v>
      </c>
    </row>
    <row r="904" spans="1:15" ht="15" customHeight="1">
      <c r="A904" t="s">
        <v>1480</v>
      </c>
      <c r="B904" t="s">
        <v>1481</v>
      </c>
      <c r="C904" t="s">
        <v>149</v>
      </c>
      <c r="D904" t="s">
        <v>69</v>
      </c>
      <c r="E904">
        <v>9</v>
      </c>
      <c r="F904">
        <v>8.9</v>
      </c>
      <c r="G904">
        <v>0.99</v>
      </c>
      <c r="H904">
        <v>16</v>
      </c>
      <c r="I904">
        <v>3000</v>
      </c>
      <c r="J904">
        <v>1000</v>
      </c>
      <c r="K904" t="s">
        <v>361</v>
      </c>
      <c r="L904" t="s">
        <v>96</v>
      </c>
      <c r="M904" t="s">
        <v>43</v>
      </c>
      <c r="N904" t="b">
        <v>0</v>
      </c>
      <c r="O904" t="s">
        <v>870</v>
      </c>
    </row>
    <row r="905" spans="1:15" ht="15" customHeight="1">
      <c r="A905" t="s">
        <v>614</v>
      </c>
      <c r="B905" t="s">
        <v>1482</v>
      </c>
      <c r="C905" t="s">
        <v>68</v>
      </c>
      <c r="D905" t="s">
        <v>69</v>
      </c>
      <c r="E905">
        <v>14</v>
      </c>
      <c r="F905">
        <v>0.6</v>
      </c>
      <c r="G905">
        <v>0.04</v>
      </c>
      <c r="H905">
        <v>5</v>
      </c>
      <c r="I905">
        <v>30000</v>
      </c>
      <c r="J905">
        <v>5000</v>
      </c>
      <c r="K905" t="s">
        <v>112</v>
      </c>
      <c r="L905" t="s">
        <v>77</v>
      </c>
      <c r="M905" t="s">
        <v>46</v>
      </c>
      <c r="N905" t="b">
        <v>0</v>
      </c>
      <c r="O905" t="s">
        <v>113</v>
      </c>
    </row>
    <row r="906" spans="1:15" ht="15" customHeight="1">
      <c r="A906" t="s">
        <v>952</v>
      </c>
      <c r="B906" t="s">
        <v>1483</v>
      </c>
      <c r="C906" t="s">
        <v>68</v>
      </c>
      <c r="D906" t="s">
        <v>69</v>
      </c>
      <c r="E906">
        <v>15</v>
      </c>
      <c r="F906">
        <v>3.8</v>
      </c>
      <c r="G906">
        <v>0.25</v>
      </c>
      <c r="H906">
        <v>2</v>
      </c>
      <c r="I906">
        <v>30000</v>
      </c>
      <c r="J906">
        <v>5000</v>
      </c>
      <c r="K906" t="s">
        <v>162</v>
      </c>
      <c r="L906" t="s">
        <v>100</v>
      </c>
      <c r="M906" t="s">
        <v>45</v>
      </c>
      <c r="N906" t="b">
        <v>0</v>
      </c>
      <c r="O906" t="s">
        <v>163</v>
      </c>
    </row>
    <row r="907" spans="1:15" ht="15" customHeight="1">
      <c r="A907" t="s">
        <v>1194</v>
      </c>
      <c r="B907" t="s">
        <v>1484</v>
      </c>
      <c r="C907" t="s">
        <v>75</v>
      </c>
      <c r="D907" t="s">
        <v>69</v>
      </c>
      <c r="E907">
        <v>9</v>
      </c>
      <c r="F907">
        <v>5.9</v>
      </c>
      <c r="G907">
        <v>0.66</v>
      </c>
      <c r="H907">
        <v>15</v>
      </c>
      <c r="I907">
        <v>2000</v>
      </c>
      <c r="J907">
        <v>1500</v>
      </c>
      <c r="K907" t="s">
        <v>70</v>
      </c>
      <c r="L907" t="s">
        <v>104</v>
      </c>
      <c r="M907" t="s">
        <v>50</v>
      </c>
      <c r="N907" t="b">
        <v>0</v>
      </c>
      <c r="O907" t="s">
        <v>598</v>
      </c>
    </row>
    <row r="908" spans="1:15" ht="15" customHeight="1">
      <c r="A908" t="s">
        <v>147</v>
      </c>
      <c r="B908" t="s">
        <v>1485</v>
      </c>
      <c r="C908" t="s">
        <v>68</v>
      </c>
      <c r="D908" t="s">
        <v>69</v>
      </c>
      <c r="E908">
        <v>8</v>
      </c>
      <c r="F908">
        <v>4</v>
      </c>
      <c r="G908">
        <v>0.5</v>
      </c>
      <c r="H908">
        <v>5</v>
      </c>
      <c r="I908">
        <v>30000</v>
      </c>
      <c r="J908">
        <v>5000</v>
      </c>
      <c r="K908" t="s">
        <v>112</v>
      </c>
      <c r="L908" t="s">
        <v>100</v>
      </c>
      <c r="M908" t="s">
        <v>43</v>
      </c>
      <c r="N908" t="b">
        <v>0</v>
      </c>
      <c r="O908" t="s">
        <v>113</v>
      </c>
    </row>
    <row r="909" spans="1:15" ht="15" customHeight="1">
      <c r="A909" t="s">
        <v>167</v>
      </c>
      <c r="B909" t="s">
        <v>1486</v>
      </c>
      <c r="C909" t="s">
        <v>149</v>
      </c>
      <c r="D909" t="s">
        <v>69</v>
      </c>
      <c r="E909">
        <v>9</v>
      </c>
      <c r="F909">
        <v>6.1</v>
      </c>
      <c r="G909">
        <v>0.68</v>
      </c>
      <c r="H909">
        <v>17</v>
      </c>
      <c r="I909">
        <v>3000</v>
      </c>
      <c r="J909">
        <v>1000</v>
      </c>
      <c r="K909" t="s">
        <v>634</v>
      </c>
      <c r="L909" t="s">
        <v>104</v>
      </c>
      <c r="M909" t="s">
        <v>49</v>
      </c>
      <c r="N909" t="b">
        <v>0</v>
      </c>
      <c r="O909" t="s">
        <v>158</v>
      </c>
    </row>
    <row r="910" spans="1:15" ht="15" customHeight="1">
      <c r="A910" t="s">
        <v>682</v>
      </c>
      <c r="B910" t="s">
        <v>1487</v>
      </c>
      <c r="C910" t="s">
        <v>68</v>
      </c>
      <c r="D910" t="s">
        <v>69</v>
      </c>
      <c r="E910">
        <v>15</v>
      </c>
      <c r="F910">
        <v>0.5</v>
      </c>
      <c r="G910">
        <v>0.03</v>
      </c>
      <c r="H910">
        <v>1</v>
      </c>
      <c r="I910">
        <v>30000</v>
      </c>
      <c r="J910">
        <v>5000</v>
      </c>
      <c r="K910" t="s">
        <v>70</v>
      </c>
      <c r="L910" t="s">
        <v>91</v>
      </c>
      <c r="M910" t="s">
        <v>46</v>
      </c>
      <c r="N910" t="b">
        <v>1</v>
      </c>
      <c r="O910" t="s">
        <v>72</v>
      </c>
    </row>
    <row r="911" spans="1:15" ht="15" customHeight="1">
      <c r="A911" t="s">
        <v>588</v>
      </c>
      <c r="B911" t="s">
        <v>1488</v>
      </c>
      <c r="C911" t="s">
        <v>149</v>
      </c>
      <c r="D911" t="s">
        <v>69</v>
      </c>
      <c r="E911">
        <v>8</v>
      </c>
      <c r="F911">
        <v>6.5</v>
      </c>
      <c r="G911">
        <v>0.81</v>
      </c>
      <c r="H911">
        <v>18</v>
      </c>
      <c r="I911">
        <v>3000</v>
      </c>
      <c r="J911">
        <v>1000</v>
      </c>
      <c r="K911" t="s">
        <v>150</v>
      </c>
      <c r="L911" t="s">
        <v>104</v>
      </c>
      <c r="M911" t="s">
        <v>42</v>
      </c>
      <c r="N911" t="b">
        <v>0</v>
      </c>
      <c r="O911" t="s">
        <v>151</v>
      </c>
    </row>
    <row r="912" spans="1:15" ht="15" customHeight="1">
      <c r="A912" t="s">
        <v>164</v>
      </c>
      <c r="B912" t="s">
        <v>1489</v>
      </c>
      <c r="C912" t="s">
        <v>81</v>
      </c>
      <c r="D912" t="s">
        <v>69</v>
      </c>
      <c r="E912">
        <v>15</v>
      </c>
      <c r="F912">
        <v>6.8</v>
      </c>
      <c r="G912">
        <v>0.45</v>
      </c>
      <c r="H912">
        <v>11</v>
      </c>
      <c r="I912">
        <v>10000</v>
      </c>
      <c r="J912">
        <v>3000</v>
      </c>
      <c r="K912" t="s">
        <v>134</v>
      </c>
      <c r="L912" t="s">
        <v>71</v>
      </c>
      <c r="M912" t="s">
        <v>51</v>
      </c>
      <c r="N912" t="b">
        <v>0</v>
      </c>
      <c r="O912" t="s">
        <v>155</v>
      </c>
    </row>
    <row r="913" spans="1:15" ht="15" customHeight="1">
      <c r="A913" t="s">
        <v>1039</v>
      </c>
      <c r="B913" t="s">
        <v>1490</v>
      </c>
      <c r="C913" t="s">
        <v>149</v>
      </c>
      <c r="D913" t="s">
        <v>69</v>
      </c>
      <c r="E913">
        <v>8</v>
      </c>
      <c r="F913">
        <v>7.3</v>
      </c>
      <c r="G913">
        <v>0.91</v>
      </c>
      <c r="H913">
        <v>21</v>
      </c>
      <c r="I913">
        <v>3000</v>
      </c>
      <c r="J913">
        <v>1000</v>
      </c>
      <c r="K913" t="s">
        <v>380</v>
      </c>
      <c r="L913" t="s">
        <v>104</v>
      </c>
      <c r="M913" t="s">
        <v>49</v>
      </c>
      <c r="N913" t="b">
        <v>0</v>
      </c>
      <c r="O913" t="s">
        <v>381</v>
      </c>
    </row>
    <row r="914" spans="1:15" ht="15" customHeight="1">
      <c r="A914" t="s">
        <v>828</v>
      </c>
      <c r="B914" t="s">
        <v>1491</v>
      </c>
      <c r="C914" t="s">
        <v>129</v>
      </c>
      <c r="D914" t="s">
        <v>130</v>
      </c>
      <c r="E914">
        <v>9</v>
      </c>
      <c r="F914">
        <v>3.7</v>
      </c>
      <c r="G914">
        <v>0.41</v>
      </c>
      <c r="H914">
        <v>30</v>
      </c>
      <c r="I914">
        <v>5000</v>
      </c>
      <c r="J914">
        <v>1000</v>
      </c>
      <c r="K914" t="s">
        <v>112</v>
      </c>
      <c r="L914" t="s">
        <v>117</v>
      </c>
      <c r="M914" t="s">
        <v>43</v>
      </c>
      <c r="N914" t="b">
        <v>1</v>
      </c>
      <c r="O914" t="s">
        <v>195</v>
      </c>
    </row>
    <row r="915" spans="1:15" ht="15" customHeight="1">
      <c r="A915" t="s">
        <v>363</v>
      </c>
      <c r="B915" t="s">
        <v>1492</v>
      </c>
      <c r="C915" t="s">
        <v>75</v>
      </c>
      <c r="D915" t="s">
        <v>69</v>
      </c>
      <c r="E915">
        <v>11</v>
      </c>
      <c r="F915">
        <v>8.6999999999999993</v>
      </c>
      <c r="G915">
        <v>0.79</v>
      </c>
      <c r="H915">
        <v>27</v>
      </c>
      <c r="I915">
        <v>2000</v>
      </c>
      <c r="J915">
        <v>1500</v>
      </c>
      <c r="K915" t="s">
        <v>150</v>
      </c>
      <c r="L915" t="s">
        <v>71</v>
      </c>
      <c r="M915" t="s">
        <v>43</v>
      </c>
      <c r="N915" t="b">
        <v>0</v>
      </c>
      <c r="O915" t="s">
        <v>528</v>
      </c>
    </row>
    <row r="916" spans="1:15" ht="15" customHeight="1">
      <c r="A916" t="s">
        <v>247</v>
      </c>
      <c r="B916" t="s">
        <v>1493</v>
      </c>
      <c r="C916" t="s">
        <v>149</v>
      </c>
      <c r="D916" t="s">
        <v>69</v>
      </c>
      <c r="E916">
        <v>10</v>
      </c>
      <c r="F916">
        <v>8.3000000000000007</v>
      </c>
      <c r="G916">
        <v>0.83</v>
      </c>
      <c r="H916">
        <v>19</v>
      </c>
      <c r="I916">
        <v>3000</v>
      </c>
      <c r="J916">
        <v>1000</v>
      </c>
      <c r="K916" t="s">
        <v>198</v>
      </c>
      <c r="L916" t="s">
        <v>100</v>
      </c>
      <c r="M916" t="s">
        <v>45</v>
      </c>
      <c r="N916" t="b">
        <v>0</v>
      </c>
      <c r="O916" t="s">
        <v>262</v>
      </c>
    </row>
    <row r="917" spans="1:15" ht="15" customHeight="1">
      <c r="A917" t="s">
        <v>1258</v>
      </c>
      <c r="B917" t="s">
        <v>1494</v>
      </c>
      <c r="C917" t="s">
        <v>149</v>
      </c>
      <c r="D917" t="s">
        <v>69</v>
      </c>
      <c r="E917">
        <v>9</v>
      </c>
      <c r="F917">
        <v>9</v>
      </c>
      <c r="G917">
        <v>1</v>
      </c>
      <c r="H917">
        <v>30</v>
      </c>
      <c r="I917">
        <v>3000</v>
      </c>
      <c r="J917">
        <v>1000</v>
      </c>
      <c r="K917" t="s">
        <v>108</v>
      </c>
      <c r="L917" t="s">
        <v>91</v>
      </c>
      <c r="M917" t="s">
        <v>48</v>
      </c>
      <c r="N917" t="b">
        <v>1</v>
      </c>
      <c r="O917" t="s">
        <v>166</v>
      </c>
    </row>
    <row r="918" spans="1:15" ht="15" customHeight="1">
      <c r="A918" t="s">
        <v>423</v>
      </c>
      <c r="B918" t="s">
        <v>1495</v>
      </c>
      <c r="C918" t="s">
        <v>129</v>
      </c>
      <c r="D918" t="s">
        <v>130</v>
      </c>
      <c r="E918">
        <v>17</v>
      </c>
      <c r="F918">
        <v>11.7</v>
      </c>
      <c r="G918">
        <v>0.69</v>
      </c>
      <c r="H918">
        <v>18</v>
      </c>
      <c r="I918">
        <v>5000</v>
      </c>
      <c r="J918">
        <v>1000</v>
      </c>
      <c r="K918" t="s">
        <v>108</v>
      </c>
      <c r="L918" t="s">
        <v>117</v>
      </c>
      <c r="M918" t="s">
        <v>40</v>
      </c>
      <c r="N918" t="b">
        <v>1</v>
      </c>
      <c r="O918" t="s">
        <v>166</v>
      </c>
    </row>
    <row r="919" spans="1:15" ht="15" customHeight="1">
      <c r="A919" t="s">
        <v>1202</v>
      </c>
      <c r="B919" t="s">
        <v>1496</v>
      </c>
      <c r="C919" t="s">
        <v>68</v>
      </c>
      <c r="D919" t="s">
        <v>69</v>
      </c>
      <c r="E919">
        <v>8</v>
      </c>
      <c r="F919">
        <v>2.9</v>
      </c>
      <c r="G919">
        <v>0.36</v>
      </c>
      <c r="H919">
        <v>5</v>
      </c>
      <c r="I919">
        <v>30000</v>
      </c>
      <c r="J919">
        <v>5000</v>
      </c>
      <c r="K919" t="s">
        <v>112</v>
      </c>
      <c r="L919" t="s">
        <v>100</v>
      </c>
      <c r="M919" t="s">
        <v>45</v>
      </c>
      <c r="N919" t="b">
        <v>0</v>
      </c>
      <c r="O919" t="s">
        <v>113</v>
      </c>
    </row>
    <row r="920" spans="1:15" ht="15" customHeight="1">
      <c r="A920" t="s">
        <v>1229</v>
      </c>
      <c r="B920" t="s">
        <v>1497</v>
      </c>
      <c r="C920" t="s">
        <v>68</v>
      </c>
      <c r="D920" t="s">
        <v>69</v>
      </c>
      <c r="E920">
        <v>9</v>
      </c>
      <c r="F920">
        <v>2.2999999999999998</v>
      </c>
      <c r="G920">
        <v>0.26</v>
      </c>
      <c r="H920">
        <v>1</v>
      </c>
      <c r="I920">
        <v>30000</v>
      </c>
      <c r="J920">
        <v>5000</v>
      </c>
      <c r="K920" t="s">
        <v>70</v>
      </c>
      <c r="L920" t="s">
        <v>104</v>
      </c>
      <c r="M920" t="s">
        <v>44</v>
      </c>
      <c r="N920" t="b">
        <v>0</v>
      </c>
      <c r="O920" t="s">
        <v>72</v>
      </c>
    </row>
    <row r="921" spans="1:15" ht="15" customHeight="1">
      <c r="A921" t="s">
        <v>1480</v>
      </c>
      <c r="B921" t="s">
        <v>1498</v>
      </c>
      <c r="C921" t="s">
        <v>75</v>
      </c>
      <c r="D921" t="s">
        <v>69</v>
      </c>
      <c r="E921">
        <v>17</v>
      </c>
      <c r="F921">
        <v>10.4</v>
      </c>
      <c r="G921">
        <v>0.61</v>
      </c>
      <c r="H921">
        <v>14</v>
      </c>
      <c r="I921">
        <v>2000</v>
      </c>
      <c r="J921">
        <v>1500</v>
      </c>
      <c r="K921" t="s">
        <v>396</v>
      </c>
      <c r="L921" t="s">
        <v>96</v>
      </c>
      <c r="M921" t="s">
        <v>43</v>
      </c>
      <c r="N921" t="b">
        <v>0</v>
      </c>
      <c r="O921" t="s">
        <v>397</v>
      </c>
    </row>
    <row r="922" spans="1:15" ht="15" customHeight="1">
      <c r="A922" t="s">
        <v>1213</v>
      </c>
      <c r="B922" t="s">
        <v>1499</v>
      </c>
      <c r="C922" t="s">
        <v>129</v>
      </c>
      <c r="D922" t="s">
        <v>130</v>
      </c>
      <c r="E922">
        <v>18</v>
      </c>
      <c r="F922">
        <v>16.600000000000001</v>
      </c>
      <c r="G922">
        <v>0.92</v>
      </c>
      <c r="H922">
        <v>22</v>
      </c>
      <c r="I922">
        <v>5000</v>
      </c>
      <c r="J922">
        <v>1000</v>
      </c>
      <c r="K922" t="s">
        <v>134</v>
      </c>
      <c r="L922" t="s">
        <v>100</v>
      </c>
      <c r="M922" t="s">
        <v>41</v>
      </c>
      <c r="N922" t="b">
        <v>0</v>
      </c>
      <c r="O922" t="s">
        <v>135</v>
      </c>
    </row>
    <row r="923" spans="1:15" ht="15" customHeight="1">
      <c r="A923" t="s">
        <v>1500</v>
      </c>
      <c r="B923" t="s">
        <v>1501</v>
      </c>
      <c r="C923" t="s">
        <v>75</v>
      </c>
      <c r="D923" t="s">
        <v>69</v>
      </c>
      <c r="E923">
        <v>20</v>
      </c>
      <c r="F923">
        <v>15.5</v>
      </c>
      <c r="G923">
        <v>0.78</v>
      </c>
      <c r="H923">
        <v>7</v>
      </c>
      <c r="I923">
        <v>2000</v>
      </c>
      <c r="J923">
        <v>1500</v>
      </c>
      <c r="K923" t="s">
        <v>241</v>
      </c>
      <c r="L923" t="s">
        <v>117</v>
      </c>
      <c r="M923" t="s">
        <v>51</v>
      </c>
      <c r="N923" t="b">
        <v>1</v>
      </c>
      <c r="O923" t="s">
        <v>242</v>
      </c>
    </row>
    <row r="924" spans="1:15" ht="15" customHeight="1">
      <c r="A924" t="s">
        <v>1250</v>
      </c>
      <c r="B924" t="s">
        <v>1502</v>
      </c>
      <c r="C924" t="s">
        <v>75</v>
      </c>
      <c r="D924" t="s">
        <v>69</v>
      </c>
      <c r="E924">
        <v>14</v>
      </c>
      <c r="F924">
        <v>8.1999999999999993</v>
      </c>
      <c r="G924">
        <v>0.59</v>
      </c>
      <c r="H924">
        <v>19</v>
      </c>
      <c r="I924">
        <v>2000</v>
      </c>
      <c r="J924">
        <v>1500</v>
      </c>
      <c r="K924" t="s">
        <v>408</v>
      </c>
      <c r="L924" t="s">
        <v>96</v>
      </c>
      <c r="M924" t="s">
        <v>41</v>
      </c>
      <c r="N924" t="b">
        <v>0</v>
      </c>
      <c r="O924" t="s">
        <v>409</v>
      </c>
    </row>
    <row r="925" spans="1:15" ht="15" customHeight="1">
      <c r="A925" t="s">
        <v>1389</v>
      </c>
      <c r="B925" t="s">
        <v>1503</v>
      </c>
      <c r="C925" t="s">
        <v>81</v>
      </c>
      <c r="D925" t="s">
        <v>69</v>
      </c>
      <c r="E925">
        <v>8</v>
      </c>
      <c r="F925">
        <v>6.3</v>
      </c>
      <c r="G925">
        <v>0.79</v>
      </c>
      <c r="H925">
        <v>21</v>
      </c>
      <c r="I925">
        <v>10000</v>
      </c>
      <c r="J925">
        <v>3000</v>
      </c>
      <c r="K925" t="s">
        <v>279</v>
      </c>
      <c r="L925" t="s">
        <v>91</v>
      </c>
      <c r="M925" t="s">
        <v>44</v>
      </c>
      <c r="N925" t="b">
        <v>1</v>
      </c>
      <c r="O925" t="s">
        <v>280</v>
      </c>
    </row>
    <row r="926" spans="1:15" ht="15" customHeight="1">
      <c r="A926" t="s">
        <v>1504</v>
      </c>
      <c r="B926" t="s">
        <v>1505</v>
      </c>
      <c r="C926" t="s">
        <v>81</v>
      </c>
      <c r="D926" t="s">
        <v>69</v>
      </c>
      <c r="E926">
        <v>16</v>
      </c>
      <c r="F926">
        <v>4.3</v>
      </c>
      <c r="G926">
        <v>0.27</v>
      </c>
      <c r="H926">
        <v>12</v>
      </c>
      <c r="I926">
        <v>10000</v>
      </c>
      <c r="J926">
        <v>3000</v>
      </c>
      <c r="K926" t="s">
        <v>95</v>
      </c>
      <c r="L926" t="s">
        <v>104</v>
      </c>
      <c r="M926" t="s">
        <v>46</v>
      </c>
      <c r="N926" t="b">
        <v>0</v>
      </c>
      <c r="O926" t="s">
        <v>257</v>
      </c>
    </row>
    <row r="927" spans="1:15" ht="15" customHeight="1">
      <c r="A927" t="s">
        <v>1417</v>
      </c>
      <c r="B927" t="s">
        <v>1506</v>
      </c>
      <c r="C927" t="s">
        <v>68</v>
      </c>
      <c r="D927" t="s">
        <v>69</v>
      </c>
      <c r="E927">
        <v>8</v>
      </c>
      <c r="F927">
        <v>0.8</v>
      </c>
      <c r="G927">
        <v>0.1</v>
      </c>
      <c r="H927">
        <v>4</v>
      </c>
      <c r="I927">
        <v>30000</v>
      </c>
      <c r="J927">
        <v>5000</v>
      </c>
      <c r="K927" t="s">
        <v>95</v>
      </c>
      <c r="L927" t="s">
        <v>91</v>
      </c>
      <c r="M927" t="s">
        <v>50</v>
      </c>
      <c r="N927" t="b">
        <v>1</v>
      </c>
      <c r="O927" t="s">
        <v>97</v>
      </c>
    </row>
    <row r="928" spans="1:15" ht="15" customHeight="1">
      <c r="A928" t="s">
        <v>705</v>
      </c>
      <c r="B928" t="s">
        <v>1507</v>
      </c>
      <c r="C928" t="s">
        <v>149</v>
      </c>
      <c r="D928" t="s">
        <v>69</v>
      </c>
      <c r="E928">
        <v>8</v>
      </c>
      <c r="F928">
        <v>7.6</v>
      </c>
      <c r="G928">
        <v>0.95</v>
      </c>
      <c r="H928">
        <v>27</v>
      </c>
      <c r="I928">
        <v>3000</v>
      </c>
      <c r="J928">
        <v>1000</v>
      </c>
      <c r="K928" t="s">
        <v>845</v>
      </c>
      <c r="L928" t="s">
        <v>71</v>
      </c>
      <c r="M928" t="s">
        <v>41</v>
      </c>
      <c r="N928" t="b">
        <v>0</v>
      </c>
      <c r="O928" t="s">
        <v>357</v>
      </c>
    </row>
    <row r="929" spans="1:15" ht="15" customHeight="1">
      <c r="A929" t="s">
        <v>110</v>
      </c>
      <c r="B929" t="s">
        <v>1508</v>
      </c>
      <c r="C929" t="s">
        <v>81</v>
      </c>
      <c r="D929" t="s">
        <v>69</v>
      </c>
      <c r="E929">
        <v>18</v>
      </c>
      <c r="F929">
        <v>12.1</v>
      </c>
      <c r="G929">
        <v>0.67</v>
      </c>
      <c r="H929">
        <v>10</v>
      </c>
      <c r="I929">
        <v>10000</v>
      </c>
      <c r="J929">
        <v>3000</v>
      </c>
      <c r="K929" t="s">
        <v>103</v>
      </c>
      <c r="L929" t="s">
        <v>100</v>
      </c>
      <c r="M929" t="s">
        <v>43</v>
      </c>
      <c r="N929" t="b">
        <v>0</v>
      </c>
      <c r="O929" t="s">
        <v>105</v>
      </c>
    </row>
    <row r="930" spans="1:15" ht="15" customHeight="1">
      <c r="A930" t="s">
        <v>167</v>
      </c>
      <c r="B930" t="s">
        <v>1509</v>
      </c>
      <c r="C930" t="s">
        <v>129</v>
      </c>
      <c r="D930" t="s">
        <v>130</v>
      </c>
      <c r="E930">
        <v>10</v>
      </c>
      <c r="F930">
        <v>3</v>
      </c>
      <c r="G930">
        <v>0.3</v>
      </c>
      <c r="H930">
        <v>15</v>
      </c>
      <c r="I930">
        <v>5000</v>
      </c>
      <c r="J930">
        <v>1000</v>
      </c>
      <c r="K930" t="s">
        <v>479</v>
      </c>
      <c r="L930" t="s">
        <v>104</v>
      </c>
      <c r="M930" t="s">
        <v>49</v>
      </c>
      <c r="N930" t="b">
        <v>0</v>
      </c>
      <c r="O930" t="s">
        <v>480</v>
      </c>
    </row>
    <row r="931" spans="1:15" ht="15" customHeight="1">
      <c r="A931" t="s">
        <v>404</v>
      </c>
      <c r="B931" t="s">
        <v>1510</v>
      </c>
      <c r="C931" t="s">
        <v>81</v>
      </c>
      <c r="D931" t="s">
        <v>69</v>
      </c>
      <c r="E931">
        <v>13</v>
      </c>
      <c r="F931">
        <v>11.5</v>
      </c>
      <c r="G931">
        <v>0.88</v>
      </c>
      <c r="H931">
        <v>30</v>
      </c>
      <c r="I931">
        <v>10000</v>
      </c>
      <c r="J931">
        <v>3000</v>
      </c>
      <c r="K931" t="s">
        <v>185</v>
      </c>
      <c r="L931" t="s">
        <v>77</v>
      </c>
      <c r="M931" t="s">
        <v>44</v>
      </c>
      <c r="N931" t="b">
        <v>0</v>
      </c>
      <c r="O931" t="s">
        <v>186</v>
      </c>
    </row>
    <row r="932" spans="1:15" ht="15" customHeight="1">
      <c r="A932" t="s">
        <v>787</v>
      </c>
      <c r="B932" t="s">
        <v>1511</v>
      </c>
      <c r="C932" t="s">
        <v>149</v>
      </c>
      <c r="D932" t="s">
        <v>69</v>
      </c>
      <c r="E932">
        <v>12</v>
      </c>
      <c r="F932">
        <v>12</v>
      </c>
      <c r="G932">
        <v>1</v>
      </c>
      <c r="H932">
        <v>17</v>
      </c>
      <c r="I932">
        <v>3000</v>
      </c>
      <c r="J932">
        <v>1000</v>
      </c>
      <c r="K932" t="s">
        <v>634</v>
      </c>
      <c r="L932" t="s">
        <v>96</v>
      </c>
      <c r="M932" t="s">
        <v>43</v>
      </c>
      <c r="N932" t="b">
        <v>0</v>
      </c>
      <c r="O932" t="s">
        <v>158</v>
      </c>
    </row>
    <row r="933" spans="1:15" ht="15" customHeight="1">
      <c r="A933" t="s">
        <v>561</v>
      </c>
      <c r="B933" t="s">
        <v>1512</v>
      </c>
      <c r="C933" t="s">
        <v>68</v>
      </c>
      <c r="D933" t="s">
        <v>69</v>
      </c>
      <c r="E933">
        <v>11</v>
      </c>
      <c r="F933">
        <v>0.8</v>
      </c>
      <c r="G933">
        <v>7.0000000000000007E-2</v>
      </c>
      <c r="H933">
        <v>1</v>
      </c>
      <c r="I933">
        <v>30000</v>
      </c>
      <c r="J933">
        <v>5000</v>
      </c>
      <c r="K933" t="s">
        <v>70</v>
      </c>
      <c r="L933" t="s">
        <v>71</v>
      </c>
      <c r="M933" t="s">
        <v>50</v>
      </c>
      <c r="N933" t="b">
        <v>0</v>
      </c>
      <c r="O933" t="s">
        <v>72</v>
      </c>
    </row>
    <row r="934" spans="1:15" ht="15" customHeight="1">
      <c r="A934" t="s">
        <v>296</v>
      </c>
      <c r="B934" t="s">
        <v>1513</v>
      </c>
      <c r="C934" t="s">
        <v>81</v>
      </c>
      <c r="D934" t="s">
        <v>69</v>
      </c>
      <c r="E934">
        <v>8</v>
      </c>
      <c r="F934">
        <v>4.7</v>
      </c>
      <c r="G934">
        <v>0.59</v>
      </c>
      <c r="H934">
        <v>9</v>
      </c>
      <c r="I934">
        <v>10000</v>
      </c>
      <c r="J934">
        <v>3000</v>
      </c>
      <c r="K934" t="s">
        <v>108</v>
      </c>
      <c r="L934" t="s">
        <v>100</v>
      </c>
      <c r="M934" t="s">
        <v>50</v>
      </c>
      <c r="N934" t="b">
        <v>0</v>
      </c>
      <c r="O934" t="s">
        <v>303</v>
      </c>
    </row>
    <row r="935" spans="1:15" ht="15" customHeight="1">
      <c r="A935" t="s">
        <v>255</v>
      </c>
      <c r="B935" t="s">
        <v>1514</v>
      </c>
      <c r="C935" t="s">
        <v>81</v>
      </c>
      <c r="D935" t="s">
        <v>69</v>
      </c>
      <c r="E935">
        <v>11</v>
      </c>
      <c r="F935">
        <v>4.5</v>
      </c>
      <c r="G935">
        <v>0.41</v>
      </c>
      <c r="H935">
        <v>17</v>
      </c>
      <c r="I935">
        <v>10000</v>
      </c>
      <c r="J935">
        <v>3000</v>
      </c>
      <c r="K935" t="s">
        <v>389</v>
      </c>
      <c r="L935" t="s">
        <v>96</v>
      </c>
      <c r="M935" t="s">
        <v>47</v>
      </c>
      <c r="N935" t="b">
        <v>0</v>
      </c>
      <c r="O935" t="s">
        <v>390</v>
      </c>
    </row>
    <row r="936" spans="1:15" ht="15" customHeight="1">
      <c r="A936" t="s">
        <v>1515</v>
      </c>
      <c r="B936" t="s">
        <v>1516</v>
      </c>
      <c r="C936" t="s">
        <v>75</v>
      </c>
      <c r="D936" t="s">
        <v>69</v>
      </c>
      <c r="E936">
        <v>14</v>
      </c>
      <c r="F936">
        <v>11.3</v>
      </c>
      <c r="G936">
        <v>0.81</v>
      </c>
      <c r="H936">
        <v>6</v>
      </c>
      <c r="I936">
        <v>2000</v>
      </c>
      <c r="J936">
        <v>1500</v>
      </c>
      <c r="K936" t="s">
        <v>269</v>
      </c>
      <c r="L936" t="s">
        <v>104</v>
      </c>
      <c r="M936" t="s">
        <v>51</v>
      </c>
      <c r="N936" t="b">
        <v>0</v>
      </c>
      <c r="O936" t="s">
        <v>270</v>
      </c>
    </row>
    <row r="937" spans="1:15" ht="15" customHeight="1">
      <c r="A937" t="s">
        <v>378</v>
      </c>
      <c r="B937" t="s">
        <v>1517</v>
      </c>
      <c r="C937" t="s">
        <v>75</v>
      </c>
      <c r="D937" t="s">
        <v>69</v>
      </c>
      <c r="E937">
        <v>20</v>
      </c>
      <c r="F937">
        <v>13.4</v>
      </c>
      <c r="G937">
        <v>0.67</v>
      </c>
      <c r="H937">
        <v>27</v>
      </c>
      <c r="I937">
        <v>2000</v>
      </c>
      <c r="J937">
        <v>1500</v>
      </c>
      <c r="K937" t="s">
        <v>150</v>
      </c>
      <c r="L937" t="s">
        <v>71</v>
      </c>
      <c r="M937" t="s">
        <v>42</v>
      </c>
      <c r="N937" t="b">
        <v>0</v>
      </c>
      <c r="O937" t="s">
        <v>528</v>
      </c>
    </row>
    <row r="938" spans="1:15" ht="15" customHeight="1">
      <c r="A938" t="s">
        <v>1518</v>
      </c>
      <c r="B938" t="s">
        <v>1519</v>
      </c>
      <c r="C938" t="s">
        <v>81</v>
      </c>
      <c r="D938" t="s">
        <v>69</v>
      </c>
      <c r="E938">
        <v>18</v>
      </c>
      <c r="F938">
        <v>7</v>
      </c>
      <c r="G938">
        <v>0.39</v>
      </c>
      <c r="H938">
        <v>13</v>
      </c>
      <c r="I938">
        <v>10000</v>
      </c>
      <c r="J938">
        <v>3000</v>
      </c>
      <c r="K938" t="s">
        <v>203</v>
      </c>
      <c r="L938" t="s">
        <v>117</v>
      </c>
      <c r="M938" t="s">
        <v>51</v>
      </c>
      <c r="N938" t="b">
        <v>1</v>
      </c>
      <c r="O938" t="s">
        <v>204</v>
      </c>
    </row>
    <row r="939" spans="1:15" ht="15" customHeight="1">
      <c r="A939" t="s">
        <v>580</v>
      </c>
      <c r="B939" t="s">
        <v>1520</v>
      </c>
      <c r="C939" t="s">
        <v>75</v>
      </c>
      <c r="D939" t="s">
        <v>69</v>
      </c>
      <c r="E939">
        <v>15</v>
      </c>
      <c r="F939">
        <v>11.9</v>
      </c>
      <c r="G939">
        <v>0.79</v>
      </c>
      <c r="H939">
        <v>18</v>
      </c>
      <c r="I939">
        <v>2000</v>
      </c>
      <c r="J939">
        <v>1500</v>
      </c>
      <c r="K939" t="s">
        <v>225</v>
      </c>
      <c r="L939" t="s">
        <v>96</v>
      </c>
      <c r="M939" t="s">
        <v>43</v>
      </c>
      <c r="N939" t="b">
        <v>0</v>
      </c>
      <c r="O939" t="s">
        <v>226</v>
      </c>
    </row>
    <row r="940" spans="1:15" ht="15" customHeight="1">
      <c r="A940" t="s">
        <v>825</v>
      </c>
      <c r="B940" t="s">
        <v>1521</v>
      </c>
      <c r="C940" t="s">
        <v>149</v>
      </c>
      <c r="D940" t="s">
        <v>69</v>
      </c>
      <c r="E940">
        <v>8</v>
      </c>
      <c r="F940">
        <v>6.9</v>
      </c>
      <c r="G940">
        <v>0.86</v>
      </c>
      <c r="H940">
        <v>26</v>
      </c>
      <c r="I940">
        <v>3000</v>
      </c>
      <c r="J940">
        <v>1000</v>
      </c>
      <c r="K940" t="s">
        <v>294</v>
      </c>
      <c r="L940" t="s">
        <v>104</v>
      </c>
      <c r="M940" t="s">
        <v>40</v>
      </c>
      <c r="N940" t="b">
        <v>0</v>
      </c>
      <c r="O940" t="s">
        <v>295</v>
      </c>
    </row>
    <row r="941" spans="1:15" ht="15" customHeight="1">
      <c r="A941" t="s">
        <v>734</v>
      </c>
      <c r="B941" t="s">
        <v>1522</v>
      </c>
      <c r="C941" t="s">
        <v>75</v>
      </c>
      <c r="D941" t="s">
        <v>69</v>
      </c>
      <c r="E941">
        <v>17</v>
      </c>
      <c r="F941">
        <v>5.2</v>
      </c>
      <c r="G941">
        <v>0.31</v>
      </c>
      <c r="H941">
        <v>25</v>
      </c>
      <c r="I941">
        <v>2000</v>
      </c>
      <c r="J941">
        <v>1500</v>
      </c>
      <c r="K941" t="s">
        <v>158</v>
      </c>
      <c r="L941" t="s">
        <v>100</v>
      </c>
      <c r="M941" t="s">
        <v>48</v>
      </c>
      <c r="N941" t="b">
        <v>0</v>
      </c>
      <c r="O941" t="s">
        <v>400</v>
      </c>
    </row>
    <row r="942" spans="1:15" ht="15" customHeight="1">
      <c r="A942" t="s">
        <v>565</v>
      </c>
      <c r="B942" t="s">
        <v>1523</v>
      </c>
      <c r="C942" t="s">
        <v>81</v>
      </c>
      <c r="D942" t="s">
        <v>69</v>
      </c>
      <c r="E942">
        <v>11</v>
      </c>
      <c r="F942">
        <v>10.3</v>
      </c>
      <c r="G942">
        <v>0.94</v>
      </c>
      <c r="H942">
        <v>7</v>
      </c>
      <c r="I942">
        <v>10000</v>
      </c>
      <c r="J942">
        <v>3000</v>
      </c>
      <c r="K942" t="s">
        <v>82</v>
      </c>
      <c r="L942" t="s">
        <v>96</v>
      </c>
      <c r="M942" t="s">
        <v>42</v>
      </c>
      <c r="N942" t="b">
        <v>0</v>
      </c>
      <c r="O942" t="s">
        <v>83</v>
      </c>
    </row>
    <row r="943" spans="1:15" ht="15" customHeight="1">
      <c r="A943" t="s">
        <v>1188</v>
      </c>
      <c r="B943" t="s">
        <v>1524</v>
      </c>
      <c r="C943" t="s">
        <v>81</v>
      </c>
      <c r="D943" t="s">
        <v>69</v>
      </c>
      <c r="E943">
        <v>15</v>
      </c>
      <c r="F943">
        <v>4.5</v>
      </c>
      <c r="G943">
        <v>0.3</v>
      </c>
      <c r="H943">
        <v>13</v>
      </c>
      <c r="I943">
        <v>10000</v>
      </c>
      <c r="J943">
        <v>3000</v>
      </c>
      <c r="K943" t="s">
        <v>203</v>
      </c>
      <c r="L943" t="s">
        <v>117</v>
      </c>
      <c r="M943" t="s">
        <v>50</v>
      </c>
      <c r="N943" t="b">
        <v>1</v>
      </c>
      <c r="O943" t="s">
        <v>204</v>
      </c>
    </row>
    <row r="944" spans="1:15" ht="15" customHeight="1">
      <c r="A944" t="s">
        <v>1480</v>
      </c>
      <c r="B944" t="s">
        <v>1525</v>
      </c>
      <c r="C944" t="s">
        <v>81</v>
      </c>
      <c r="D944" t="s">
        <v>69</v>
      </c>
      <c r="E944">
        <v>12</v>
      </c>
      <c r="F944">
        <v>6.9</v>
      </c>
      <c r="G944">
        <v>0.57999999999999996</v>
      </c>
      <c r="H944">
        <v>28</v>
      </c>
      <c r="I944">
        <v>10000</v>
      </c>
      <c r="J944">
        <v>3000</v>
      </c>
      <c r="K944" t="s">
        <v>966</v>
      </c>
      <c r="L944" t="s">
        <v>96</v>
      </c>
      <c r="M944" t="s">
        <v>43</v>
      </c>
      <c r="N944" t="b">
        <v>0</v>
      </c>
      <c r="O944" t="s">
        <v>967</v>
      </c>
    </row>
    <row r="945" spans="1:15" ht="15" customHeight="1">
      <c r="A945" t="s">
        <v>1194</v>
      </c>
      <c r="B945" t="s">
        <v>1526</v>
      </c>
      <c r="C945" t="s">
        <v>129</v>
      </c>
      <c r="D945" t="s">
        <v>130</v>
      </c>
      <c r="E945">
        <v>13</v>
      </c>
      <c r="F945">
        <v>12.4</v>
      </c>
      <c r="G945">
        <v>0.95</v>
      </c>
      <c r="H945">
        <v>9</v>
      </c>
      <c r="I945">
        <v>5000</v>
      </c>
      <c r="J945">
        <v>1000</v>
      </c>
      <c r="K945" t="s">
        <v>438</v>
      </c>
      <c r="L945" t="s">
        <v>104</v>
      </c>
      <c r="M945" t="s">
        <v>50</v>
      </c>
      <c r="N945" t="b">
        <v>0</v>
      </c>
      <c r="O945" t="s">
        <v>90</v>
      </c>
    </row>
    <row r="946" spans="1:15" ht="15" customHeight="1">
      <c r="A946" t="s">
        <v>799</v>
      </c>
      <c r="B946" t="s">
        <v>1527</v>
      </c>
      <c r="C946" t="s">
        <v>149</v>
      </c>
      <c r="D946" t="s">
        <v>69</v>
      </c>
      <c r="E946">
        <v>8</v>
      </c>
      <c r="F946">
        <v>7.5</v>
      </c>
      <c r="G946">
        <v>0.94</v>
      </c>
      <c r="H946">
        <v>34</v>
      </c>
      <c r="I946">
        <v>3000</v>
      </c>
      <c r="J946">
        <v>1000</v>
      </c>
      <c r="K946" t="s">
        <v>433</v>
      </c>
      <c r="L946" t="s">
        <v>77</v>
      </c>
      <c r="M946" t="s">
        <v>46</v>
      </c>
      <c r="N946" t="b">
        <v>0</v>
      </c>
      <c r="O946" t="s">
        <v>434</v>
      </c>
    </row>
    <row r="947" spans="1:15" ht="15" customHeight="1">
      <c r="A947" t="s">
        <v>1405</v>
      </c>
      <c r="B947" t="s">
        <v>1528</v>
      </c>
      <c r="C947" t="s">
        <v>75</v>
      </c>
      <c r="D947" t="s">
        <v>69</v>
      </c>
      <c r="E947">
        <v>8</v>
      </c>
      <c r="F947">
        <v>6</v>
      </c>
      <c r="G947">
        <v>0.75</v>
      </c>
      <c r="H947">
        <v>10</v>
      </c>
      <c r="I947">
        <v>2000</v>
      </c>
      <c r="J947">
        <v>1500</v>
      </c>
      <c r="K947" t="s">
        <v>418</v>
      </c>
      <c r="L947" t="s">
        <v>100</v>
      </c>
      <c r="M947" t="s">
        <v>42</v>
      </c>
      <c r="N947" t="b">
        <v>0</v>
      </c>
      <c r="O947" t="s">
        <v>419</v>
      </c>
    </row>
    <row r="948" spans="1:15" ht="15" customHeight="1">
      <c r="A948" t="s">
        <v>127</v>
      </c>
      <c r="B948" t="s">
        <v>1529</v>
      </c>
      <c r="C948" t="s">
        <v>129</v>
      </c>
      <c r="D948" t="s">
        <v>130</v>
      </c>
      <c r="E948">
        <v>15</v>
      </c>
      <c r="F948">
        <v>6</v>
      </c>
      <c r="G948">
        <v>0.4</v>
      </c>
      <c r="H948">
        <v>21</v>
      </c>
      <c r="I948">
        <v>5000</v>
      </c>
      <c r="J948">
        <v>1000</v>
      </c>
      <c r="K948" t="s">
        <v>131</v>
      </c>
      <c r="L948" t="s">
        <v>117</v>
      </c>
      <c r="M948" t="s">
        <v>44</v>
      </c>
      <c r="N948" t="b">
        <v>1</v>
      </c>
      <c r="O948" t="s">
        <v>132</v>
      </c>
    </row>
    <row r="949" spans="1:15" ht="15" customHeight="1">
      <c r="A949" t="s">
        <v>1248</v>
      </c>
      <c r="B949" t="s">
        <v>1530</v>
      </c>
      <c r="C949" t="s">
        <v>81</v>
      </c>
      <c r="D949" t="s">
        <v>69</v>
      </c>
      <c r="E949">
        <v>8</v>
      </c>
      <c r="F949">
        <v>3.9</v>
      </c>
      <c r="G949">
        <v>0.49</v>
      </c>
      <c r="H949">
        <v>29</v>
      </c>
      <c r="I949">
        <v>10000</v>
      </c>
      <c r="J949">
        <v>3000</v>
      </c>
      <c r="K949" t="s">
        <v>603</v>
      </c>
      <c r="L949" t="s">
        <v>96</v>
      </c>
      <c r="M949" t="s">
        <v>50</v>
      </c>
      <c r="N949" t="b">
        <v>0</v>
      </c>
      <c r="O949" t="s">
        <v>604</v>
      </c>
    </row>
    <row r="950" spans="1:15" ht="15" customHeight="1">
      <c r="A950" t="s">
        <v>781</v>
      </c>
      <c r="B950" t="s">
        <v>1531</v>
      </c>
      <c r="C950" t="s">
        <v>129</v>
      </c>
      <c r="D950" t="s">
        <v>130</v>
      </c>
      <c r="E950">
        <v>14</v>
      </c>
      <c r="F950">
        <v>3.7</v>
      </c>
      <c r="G950">
        <v>0.26</v>
      </c>
      <c r="H950">
        <v>12</v>
      </c>
      <c r="I950">
        <v>5000</v>
      </c>
      <c r="J950">
        <v>1000</v>
      </c>
      <c r="K950" t="s">
        <v>162</v>
      </c>
      <c r="L950" t="s">
        <v>96</v>
      </c>
      <c r="M950" t="s">
        <v>45</v>
      </c>
      <c r="N950" t="b">
        <v>0</v>
      </c>
      <c r="O950" t="s">
        <v>180</v>
      </c>
    </row>
    <row r="951" spans="1:15" ht="15" customHeight="1">
      <c r="A951" t="s">
        <v>1532</v>
      </c>
      <c r="B951" t="s">
        <v>1533</v>
      </c>
      <c r="C951" t="s">
        <v>75</v>
      </c>
      <c r="D951" t="s">
        <v>69</v>
      </c>
      <c r="E951">
        <v>9</v>
      </c>
      <c r="F951">
        <v>8.9</v>
      </c>
      <c r="G951">
        <v>0.99</v>
      </c>
      <c r="H951">
        <v>22</v>
      </c>
      <c r="I951">
        <v>2000</v>
      </c>
      <c r="J951">
        <v>1500</v>
      </c>
      <c r="K951" t="s">
        <v>90</v>
      </c>
      <c r="L951" t="s">
        <v>71</v>
      </c>
      <c r="M951" t="s">
        <v>40</v>
      </c>
      <c r="N951" t="b">
        <v>0</v>
      </c>
      <c r="O951" t="s">
        <v>92</v>
      </c>
    </row>
    <row r="952" spans="1:15" ht="15" customHeight="1">
      <c r="A952" t="s">
        <v>1074</v>
      </c>
      <c r="B952" t="s">
        <v>1534</v>
      </c>
      <c r="C952" t="s">
        <v>81</v>
      </c>
      <c r="D952" t="s">
        <v>69</v>
      </c>
      <c r="E952">
        <v>20</v>
      </c>
      <c r="F952">
        <v>10.199999999999999</v>
      </c>
      <c r="G952">
        <v>0.51</v>
      </c>
      <c r="H952">
        <v>30</v>
      </c>
      <c r="I952">
        <v>10000</v>
      </c>
      <c r="J952">
        <v>3000</v>
      </c>
      <c r="K952" t="s">
        <v>185</v>
      </c>
      <c r="L952" t="s">
        <v>71</v>
      </c>
      <c r="M952" t="s">
        <v>42</v>
      </c>
      <c r="N952" t="b">
        <v>0</v>
      </c>
      <c r="O952" t="s">
        <v>186</v>
      </c>
    </row>
    <row r="953" spans="1:15" ht="15" customHeight="1">
      <c r="A953" t="s">
        <v>140</v>
      </c>
      <c r="B953" t="s">
        <v>1535</v>
      </c>
      <c r="C953" t="s">
        <v>81</v>
      </c>
      <c r="D953" t="s">
        <v>69</v>
      </c>
      <c r="E953">
        <v>8</v>
      </c>
      <c r="F953">
        <v>6.6</v>
      </c>
      <c r="G953">
        <v>0.82</v>
      </c>
      <c r="H953">
        <v>24</v>
      </c>
      <c r="I953">
        <v>10000</v>
      </c>
      <c r="J953">
        <v>3000</v>
      </c>
      <c r="K953" t="s">
        <v>306</v>
      </c>
      <c r="L953" t="s">
        <v>96</v>
      </c>
      <c r="M953" t="s">
        <v>50</v>
      </c>
      <c r="N953" t="b">
        <v>0</v>
      </c>
      <c r="O953" t="s">
        <v>307</v>
      </c>
    </row>
    <row r="954" spans="1:15" ht="15" customHeight="1">
      <c r="A954" t="s">
        <v>1258</v>
      </c>
      <c r="B954" t="s">
        <v>1536</v>
      </c>
      <c r="C954" t="s">
        <v>149</v>
      </c>
      <c r="D954" t="s">
        <v>69</v>
      </c>
      <c r="E954">
        <v>8</v>
      </c>
      <c r="F954">
        <v>6.2</v>
      </c>
      <c r="G954">
        <v>0.78</v>
      </c>
      <c r="H954">
        <v>31</v>
      </c>
      <c r="I954">
        <v>3000</v>
      </c>
      <c r="J954">
        <v>1000</v>
      </c>
      <c r="K954" t="s">
        <v>530</v>
      </c>
      <c r="L954" t="s">
        <v>91</v>
      </c>
      <c r="M954" t="s">
        <v>48</v>
      </c>
      <c r="N954" t="b">
        <v>1</v>
      </c>
      <c r="O954" t="s">
        <v>531</v>
      </c>
    </row>
    <row r="955" spans="1:15" ht="15" customHeight="1">
      <c r="A955" t="s">
        <v>801</v>
      </c>
      <c r="B955" t="s">
        <v>1537</v>
      </c>
      <c r="C955" t="s">
        <v>75</v>
      </c>
      <c r="D955" t="s">
        <v>69</v>
      </c>
      <c r="E955">
        <v>15</v>
      </c>
      <c r="F955">
        <v>13</v>
      </c>
      <c r="G955">
        <v>0.87</v>
      </c>
      <c r="H955">
        <v>26</v>
      </c>
      <c r="I955">
        <v>2000</v>
      </c>
      <c r="J955">
        <v>1500</v>
      </c>
      <c r="K955" t="s">
        <v>298</v>
      </c>
      <c r="L955" t="s">
        <v>91</v>
      </c>
      <c r="M955" t="s">
        <v>40</v>
      </c>
      <c r="N955" t="b">
        <v>1</v>
      </c>
      <c r="O955" t="s">
        <v>299</v>
      </c>
    </row>
    <row r="956" spans="1:15" ht="15" customHeight="1">
      <c r="A956" t="s">
        <v>174</v>
      </c>
      <c r="B956" t="s">
        <v>1538</v>
      </c>
      <c r="C956" t="s">
        <v>81</v>
      </c>
      <c r="D956" t="s">
        <v>69</v>
      </c>
      <c r="E956">
        <v>17</v>
      </c>
      <c r="F956">
        <v>7.2</v>
      </c>
      <c r="G956">
        <v>0.42</v>
      </c>
      <c r="H956">
        <v>6</v>
      </c>
      <c r="I956">
        <v>10000</v>
      </c>
      <c r="J956">
        <v>3000</v>
      </c>
      <c r="K956" t="s">
        <v>162</v>
      </c>
      <c r="L956" t="s">
        <v>77</v>
      </c>
      <c r="M956" t="s">
        <v>47</v>
      </c>
      <c r="N956" t="b">
        <v>0</v>
      </c>
      <c r="O956" t="s">
        <v>198</v>
      </c>
    </row>
    <row r="957" spans="1:15" ht="15" customHeight="1">
      <c r="A957" t="s">
        <v>522</v>
      </c>
      <c r="B957" t="s">
        <v>1539</v>
      </c>
      <c r="C957" t="s">
        <v>75</v>
      </c>
      <c r="D957" t="s">
        <v>69</v>
      </c>
      <c r="E957">
        <v>8</v>
      </c>
      <c r="F957">
        <v>4.3</v>
      </c>
      <c r="G957">
        <v>0.54</v>
      </c>
      <c r="H957">
        <v>12</v>
      </c>
      <c r="I957">
        <v>2000</v>
      </c>
      <c r="J957">
        <v>1500</v>
      </c>
      <c r="K957" t="s">
        <v>265</v>
      </c>
      <c r="L957" t="s">
        <v>96</v>
      </c>
      <c r="M957" t="s">
        <v>48</v>
      </c>
      <c r="N957" t="b">
        <v>0</v>
      </c>
      <c r="O957" t="s">
        <v>266</v>
      </c>
    </row>
    <row r="958" spans="1:15" ht="15" customHeight="1">
      <c r="A958" t="s">
        <v>946</v>
      </c>
      <c r="B958" t="s">
        <v>1540</v>
      </c>
      <c r="C958" t="s">
        <v>149</v>
      </c>
      <c r="D958" t="s">
        <v>69</v>
      </c>
      <c r="E958">
        <v>11</v>
      </c>
      <c r="F958">
        <v>9.1999999999999993</v>
      </c>
      <c r="G958">
        <v>0.84</v>
      </c>
      <c r="H958">
        <v>36</v>
      </c>
      <c r="I958">
        <v>3000</v>
      </c>
      <c r="J958">
        <v>1000</v>
      </c>
      <c r="K958" t="s">
        <v>154</v>
      </c>
      <c r="L958" t="s">
        <v>100</v>
      </c>
      <c r="M958" t="s">
        <v>51</v>
      </c>
      <c r="N958" t="b">
        <v>0</v>
      </c>
      <c r="O958" t="s">
        <v>155</v>
      </c>
    </row>
    <row r="959" spans="1:15" ht="15" customHeight="1">
      <c r="A959" t="s">
        <v>1541</v>
      </c>
      <c r="B959" t="s">
        <v>1542</v>
      </c>
      <c r="C959" t="s">
        <v>129</v>
      </c>
      <c r="D959" t="s">
        <v>130</v>
      </c>
      <c r="E959">
        <v>13</v>
      </c>
      <c r="F959">
        <v>11.9</v>
      </c>
      <c r="G959">
        <v>0.92</v>
      </c>
      <c r="H959">
        <v>18</v>
      </c>
      <c r="I959">
        <v>5000</v>
      </c>
      <c r="J959">
        <v>1000</v>
      </c>
      <c r="K959" t="s">
        <v>108</v>
      </c>
      <c r="L959" t="s">
        <v>91</v>
      </c>
      <c r="M959" t="s">
        <v>49</v>
      </c>
      <c r="N959" t="b">
        <v>1</v>
      </c>
      <c r="O959" t="s">
        <v>166</v>
      </c>
    </row>
    <row r="960" spans="1:15" ht="15" customHeight="1">
      <c r="A960" t="s">
        <v>1009</v>
      </c>
      <c r="B960" t="s">
        <v>1543</v>
      </c>
      <c r="C960" t="s">
        <v>149</v>
      </c>
      <c r="D960" t="s">
        <v>69</v>
      </c>
      <c r="E960">
        <v>10</v>
      </c>
      <c r="F960">
        <v>7.9</v>
      </c>
      <c r="G960">
        <v>0.79</v>
      </c>
      <c r="H960">
        <v>34</v>
      </c>
      <c r="I960">
        <v>3000</v>
      </c>
      <c r="J960">
        <v>1000</v>
      </c>
      <c r="K960" t="s">
        <v>433</v>
      </c>
      <c r="L960" t="s">
        <v>117</v>
      </c>
      <c r="M960" t="s">
        <v>42</v>
      </c>
      <c r="N960" t="b">
        <v>1</v>
      </c>
      <c r="O960" t="s">
        <v>434</v>
      </c>
    </row>
    <row r="961" spans="1:15" ht="15" customHeight="1">
      <c r="A961" t="s">
        <v>1544</v>
      </c>
      <c r="B961" t="s">
        <v>1545</v>
      </c>
      <c r="C961" t="s">
        <v>75</v>
      </c>
      <c r="D961" t="s">
        <v>69</v>
      </c>
      <c r="E961">
        <v>16</v>
      </c>
      <c r="F961">
        <v>5.2</v>
      </c>
      <c r="G961">
        <v>0.33</v>
      </c>
      <c r="H961">
        <v>19</v>
      </c>
      <c r="I961">
        <v>2000</v>
      </c>
      <c r="J961">
        <v>1500</v>
      </c>
      <c r="K961" t="s">
        <v>408</v>
      </c>
      <c r="L961" t="s">
        <v>100</v>
      </c>
      <c r="M961" t="s">
        <v>42</v>
      </c>
      <c r="N961" t="b">
        <v>0</v>
      </c>
      <c r="O961" t="s">
        <v>409</v>
      </c>
    </row>
    <row r="962" spans="1:15" ht="15" customHeight="1">
      <c r="A962" t="s">
        <v>110</v>
      </c>
      <c r="B962" t="s">
        <v>1546</v>
      </c>
      <c r="C962" t="s">
        <v>81</v>
      </c>
      <c r="D962" t="s">
        <v>69</v>
      </c>
      <c r="E962">
        <v>11</v>
      </c>
      <c r="F962">
        <v>7.3</v>
      </c>
      <c r="G962">
        <v>0.66</v>
      </c>
      <c r="H962">
        <v>27</v>
      </c>
      <c r="I962">
        <v>10000</v>
      </c>
      <c r="J962">
        <v>3000</v>
      </c>
      <c r="K962" t="s">
        <v>125</v>
      </c>
      <c r="L962" t="s">
        <v>100</v>
      </c>
      <c r="M962" t="s">
        <v>43</v>
      </c>
      <c r="N962" t="b">
        <v>0</v>
      </c>
      <c r="O962" t="s">
        <v>126</v>
      </c>
    </row>
    <row r="963" spans="1:15" ht="15" customHeight="1">
      <c r="A963" t="s">
        <v>644</v>
      </c>
      <c r="B963" t="s">
        <v>1547</v>
      </c>
      <c r="C963" t="s">
        <v>75</v>
      </c>
      <c r="D963" t="s">
        <v>69</v>
      </c>
      <c r="E963">
        <v>20</v>
      </c>
      <c r="F963">
        <v>10.199999999999999</v>
      </c>
      <c r="G963">
        <v>0.51</v>
      </c>
      <c r="H963">
        <v>26</v>
      </c>
      <c r="I963">
        <v>2000</v>
      </c>
      <c r="J963">
        <v>1500</v>
      </c>
      <c r="K963" t="s">
        <v>298</v>
      </c>
      <c r="L963" t="s">
        <v>117</v>
      </c>
      <c r="M963" t="s">
        <v>45</v>
      </c>
      <c r="N963" t="b">
        <v>1</v>
      </c>
      <c r="O963" t="s">
        <v>299</v>
      </c>
    </row>
    <row r="964" spans="1:15" ht="15" customHeight="1">
      <c r="A964" t="s">
        <v>585</v>
      </c>
      <c r="B964" t="s">
        <v>1548</v>
      </c>
      <c r="C964" t="s">
        <v>75</v>
      </c>
      <c r="D964" t="s">
        <v>69</v>
      </c>
      <c r="E964">
        <v>12</v>
      </c>
      <c r="F964">
        <v>7.4</v>
      </c>
      <c r="G964">
        <v>0.62</v>
      </c>
      <c r="H964">
        <v>8</v>
      </c>
      <c r="I964">
        <v>2000</v>
      </c>
      <c r="J964">
        <v>1500</v>
      </c>
      <c r="K964" t="s">
        <v>275</v>
      </c>
      <c r="L964" t="s">
        <v>100</v>
      </c>
      <c r="M964" t="s">
        <v>44</v>
      </c>
      <c r="N964" t="b">
        <v>0</v>
      </c>
      <c r="O964" t="s">
        <v>276</v>
      </c>
    </row>
    <row r="965" spans="1:15" ht="15" customHeight="1">
      <c r="A965" t="s">
        <v>1260</v>
      </c>
      <c r="B965" t="s">
        <v>1549</v>
      </c>
      <c r="C965" t="s">
        <v>129</v>
      </c>
      <c r="D965" t="s">
        <v>130</v>
      </c>
      <c r="E965">
        <v>19</v>
      </c>
      <c r="F965">
        <v>3.6</v>
      </c>
      <c r="G965">
        <v>0.19</v>
      </c>
      <c r="H965">
        <v>10</v>
      </c>
      <c r="I965">
        <v>5000</v>
      </c>
      <c r="J965">
        <v>1000</v>
      </c>
      <c r="K965" t="s">
        <v>158</v>
      </c>
      <c r="L965" t="s">
        <v>117</v>
      </c>
      <c r="M965" t="s">
        <v>51</v>
      </c>
      <c r="N965" t="b">
        <v>1</v>
      </c>
      <c r="O965" t="s">
        <v>159</v>
      </c>
    </row>
    <row r="966" spans="1:15" ht="15" customHeight="1">
      <c r="A966" t="s">
        <v>487</v>
      </c>
      <c r="B966" t="s">
        <v>1550</v>
      </c>
      <c r="C966" t="s">
        <v>68</v>
      </c>
      <c r="D966" t="s">
        <v>69</v>
      </c>
      <c r="E966">
        <v>14</v>
      </c>
      <c r="F966">
        <v>3</v>
      </c>
      <c r="G966">
        <v>0.21</v>
      </c>
      <c r="H966">
        <v>4</v>
      </c>
      <c r="I966">
        <v>30000</v>
      </c>
      <c r="J966">
        <v>5000</v>
      </c>
      <c r="K966" t="s">
        <v>95</v>
      </c>
      <c r="L966" t="s">
        <v>96</v>
      </c>
      <c r="M966" t="s">
        <v>43</v>
      </c>
      <c r="N966" t="b">
        <v>0</v>
      </c>
      <c r="O966" t="s">
        <v>97</v>
      </c>
    </row>
    <row r="967" spans="1:15" ht="15" customHeight="1">
      <c r="A967" t="s">
        <v>946</v>
      </c>
      <c r="B967" t="s">
        <v>1551</v>
      </c>
      <c r="C967" t="s">
        <v>75</v>
      </c>
      <c r="D967" t="s">
        <v>69</v>
      </c>
      <c r="E967">
        <v>11</v>
      </c>
      <c r="F967">
        <v>10.9</v>
      </c>
      <c r="G967">
        <v>0.99</v>
      </c>
      <c r="H967">
        <v>6</v>
      </c>
      <c r="I967">
        <v>2000</v>
      </c>
      <c r="J967">
        <v>1500</v>
      </c>
      <c r="K967" t="s">
        <v>269</v>
      </c>
      <c r="L967" t="s">
        <v>100</v>
      </c>
      <c r="M967" t="s">
        <v>51</v>
      </c>
      <c r="N967" t="b">
        <v>0</v>
      </c>
      <c r="O967" t="s">
        <v>270</v>
      </c>
    </row>
    <row r="968" spans="1:15" ht="15" customHeight="1">
      <c r="A968" t="s">
        <v>445</v>
      </c>
      <c r="B968" t="s">
        <v>1552</v>
      </c>
      <c r="C968" t="s">
        <v>81</v>
      </c>
      <c r="D968" t="s">
        <v>69</v>
      </c>
      <c r="E968">
        <v>20</v>
      </c>
      <c r="F968">
        <v>6.9</v>
      </c>
      <c r="G968">
        <v>0.35</v>
      </c>
      <c r="H968">
        <v>9</v>
      </c>
      <c r="I968">
        <v>10000</v>
      </c>
      <c r="J968">
        <v>3000</v>
      </c>
      <c r="K968" t="s">
        <v>108</v>
      </c>
      <c r="L968" t="s">
        <v>117</v>
      </c>
      <c r="M968" t="s">
        <v>45</v>
      </c>
      <c r="N968" t="b">
        <v>1</v>
      </c>
      <c r="O968" t="s">
        <v>303</v>
      </c>
    </row>
    <row r="969" spans="1:15" ht="15" customHeight="1">
      <c r="A969" t="s">
        <v>1553</v>
      </c>
      <c r="B969" t="s">
        <v>1554</v>
      </c>
      <c r="C969" t="s">
        <v>129</v>
      </c>
      <c r="D969" t="s">
        <v>130</v>
      </c>
      <c r="E969">
        <v>14</v>
      </c>
      <c r="F969">
        <v>12.7</v>
      </c>
      <c r="G969">
        <v>0.91</v>
      </c>
      <c r="H969">
        <v>8</v>
      </c>
      <c r="I969">
        <v>5000</v>
      </c>
      <c r="J969">
        <v>1000</v>
      </c>
      <c r="K969" t="s">
        <v>76</v>
      </c>
      <c r="L969" t="s">
        <v>71</v>
      </c>
      <c r="M969" t="s">
        <v>44</v>
      </c>
      <c r="N969" t="b">
        <v>0</v>
      </c>
      <c r="O969" t="s">
        <v>317</v>
      </c>
    </row>
    <row r="970" spans="1:15" ht="15" customHeight="1">
      <c r="A970" t="s">
        <v>414</v>
      </c>
      <c r="B970" t="s">
        <v>1555</v>
      </c>
      <c r="C970" t="s">
        <v>81</v>
      </c>
      <c r="D970" t="s">
        <v>69</v>
      </c>
      <c r="E970">
        <v>19</v>
      </c>
      <c r="F970">
        <v>12.4</v>
      </c>
      <c r="G970">
        <v>0.65</v>
      </c>
      <c r="H970">
        <v>14</v>
      </c>
      <c r="I970">
        <v>10000</v>
      </c>
      <c r="J970">
        <v>3000</v>
      </c>
      <c r="K970" t="s">
        <v>116</v>
      </c>
      <c r="L970" t="s">
        <v>117</v>
      </c>
      <c r="M970" t="s">
        <v>46</v>
      </c>
      <c r="N970" t="b">
        <v>1</v>
      </c>
      <c r="O970" t="s">
        <v>118</v>
      </c>
    </row>
    <row r="971" spans="1:15" ht="15" customHeight="1">
      <c r="A971" t="s">
        <v>495</v>
      </c>
      <c r="B971" t="s">
        <v>1556</v>
      </c>
      <c r="C971" t="s">
        <v>68</v>
      </c>
      <c r="D971" t="s">
        <v>69</v>
      </c>
      <c r="E971">
        <v>8</v>
      </c>
      <c r="F971">
        <v>1.9</v>
      </c>
      <c r="G971">
        <v>0.24</v>
      </c>
      <c r="H971">
        <v>2</v>
      </c>
      <c r="I971">
        <v>30000</v>
      </c>
      <c r="J971">
        <v>5000</v>
      </c>
      <c r="K971" t="s">
        <v>162</v>
      </c>
      <c r="L971" t="s">
        <v>100</v>
      </c>
      <c r="M971" t="s">
        <v>44</v>
      </c>
      <c r="N971" t="b">
        <v>0</v>
      </c>
      <c r="O971" t="s">
        <v>163</v>
      </c>
    </row>
    <row r="972" spans="1:15" ht="15" customHeight="1">
      <c r="A972" t="s">
        <v>327</v>
      </c>
      <c r="B972" t="s">
        <v>1557</v>
      </c>
      <c r="C972" t="s">
        <v>81</v>
      </c>
      <c r="D972" t="s">
        <v>69</v>
      </c>
      <c r="E972">
        <v>9</v>
      </c>
      <c r="F972">
        <v>5.6</v>
      </c>
      <c r="G972">
        <v>0.62</v>
      </c>
      <c r="H972">
        <v>28</v>
      </c>
      <c r="I972">
        <v>10000</v>
      </c>
      <c r="J972">
        <v>3000</v>
      </c>
      <c r="K972" t="s">
        <v>966</v>
      </c>
      <c r="L972" t="s">
        <v>77</v>
      </c>
      <c r="M972" t="s">
        <v>49</v>
      </c>
      <c r="N972" t="b">
        <v>0</v>
      </c>
      <c r="O972" t="s">
        <v>967</v>
      </c>
    </row>
    <row r="973" spans="1:15" ht="15" customHeight="1">
      <c r="A973" t="s">
        <v>237</v>
      </c>
      <c r="B973" t="s">
        <v>1558</v>
      </c>
      <c r="C973" t="s">
        <v>81</v>
      </c>
      <c r="D973" t="s">
        <v>69</v>
      </c>
      <c r="E973">
        <v>18</v>
      </c>
      <c r="F973">
        <v>5.4</v>
      </c>
      <c r="G973">
        <v>0.3</v>
      </c>
      <c r="H973">
        <v>29</v>
      </c>
      <c r="I973">
        <v>10000</v>
      </c>
      <c r="J973">
        <v>3000</v>
      </c>
      <c r="K973" t="s">
        <v>603</v>
      </c>
      <c r="L973" t="s">
        <v>77</v>
      </c>
      <c r="M973" t="s">
        <v>49</v>
      </c>
      <c r="N973" t="b">
        <v>0</v>
      </c>
      <c r="O973" t="s">
        <v>604</v>
      </c>
    </row>
    <row r="974" spans="1:15" ht="15" customHeight="1">
      <c r="A974" t="s">
        <v>538</v>
      </c>
      <c r="B974" t="s">
        <v>1559</v>
      </c>
      <c r="C974" t="s">
        <v>129</v>
      </c>
      <c r="D974" t="s">
        <v>130</v>
      </c>
      <c r="E974">
        <v>20</v>
      </c>
      <c r="F974">
        <v>7.1</v>
      </c>
      <c r="G974">
        <v>0.35</v>
      </c>
      <c r="H974">
        <v>26</v>
      </c>
      <c r="I974">
        <v>5000</v>
      </c>
      <c r="J974">
        <v>1000</v>
      </c>
      <c r="K974" t="s">
        <v>203</v>
      </c>
      <c r="L974" t="s">
        <v>96</v>
      </c>
      <c r="M974" t="s">
        <v>50</v>
      </c>
      <c r="N974" t="b">
        <v>0</v>
      </c>
      <c r="O974" t="s">
        <v>623</v>
      </c>
    </row>
    <row r="975" spans="1:15" ht="15" customHeight="1">
      <c r="A975" t="s">
        <v>277</v>
      </c>
      <c r="B975" t="s">
        <v>1560</v>
      </c>
      <c r="C975" t="s">
        <v>129</v>
      </c>
      <c r="D975" t="s">
        <v>130</v>
      </c>
      <c r="E975">
        <v>20</v>
      </c>
      <c r="F975">
        <v>19.899999999999999</v>
      </c>
      <c r="G975">
        <v>0.99</v>
      </c>
      <c r="H975">
        <v>13</v>
      </c>
      <c r="I975">
        <v>5000</v>
      </c>
      <c r="J975">
        <v>1000</v>
      </c>
      <c r="K975" t="s">
        <v>313</v>
      </c>
      <c r="L975" t="s">
        <v>104</v>
      </c>
      <c r="M975" t="s">
        <v>43</v>
      </c>
      <c r="N975" t="b">
        <v>0</v>
      </c>
      <c r="O975" t="s">
        <v>314</v>
      </c>
    </row>
    <row r="976" spans="1:15" ht="15" customHeight="1">
      <c r="A976" t="s">
        <v>920</v>
      </c>
      <c r="B976" t="s">
        <v>1561</v>
      </c>
      <c r="C976" t="s">
        <v>149</v>
      </c>
      <c r="D976" t="s">
        <v>69</v>
      </c>
      <c r="E976">
        <v>11</v>
      </c>
      <c r="F976">
        <v>9.3000000000000007</v>
      </c>
      <c r="G976">
        <v>0.85</v>
      </c>
      <c r="H976">
        <v>39</v>
      </c>
      <c r="I976">
        <v>3000</v>
      </c>
      <c r="J976">
        <v>1000</v>
      </c>
      <c r="K976" t="s">
        <v>257</v>
      </c>
      <c r="L976" t="s">
        <v>96</v>
      </c>
      <c r="M976" t="s">
        <v>51</v>
      </c>
      <c r="N976" t="b">
        <v>0</v>
      </c>
      <c r="O976" t="s">
        <v>258</v>
      </c>
    </row>
    <row r="977" spans="1:15" ht="15" customHeight="1">
      <c r="A977" t="s">
        <v>263</v>
      </c>
      <c r="B977" t="s">
        <v>1562</v>
      </c>
      <c r="C977" t="s">
        <v>81</v>
      </c>
      <c r="D977" t="s">
        <v>69</v>
      </c>
      <c r="E977">
        <v>17</v>
      </c>
      <c r="F977">
        <v>9.4</v>
      </c>
      <c r="G977">
        <v>0.55000000000000004</v>
      </c>
      <c r="H977">
        <v>21</v>
      </c>
      <c r="I977">
        <v>10000</v>
      </c>
      <c r="J977">
        <v>3000</v>
      </c>
      <c r="K977" t="s">
        <v>279</v>
      </c>
      <c r="L977" t="s">
        <v>96</v>
      </c>
      <c r="M977" t="s">
        <v>44</v>
      </c>
      <c r="N977" t="b">
        <v>0</v>
      </c>
      <c r="O977" t="s">
        <v>280</v>
      </c>
    </row>
    <row r="978" spans="1:15" ht="15" customHeight="1">
      <c r="A978" t="s">
        <v>1177</v>
      </c>
      <c r="B978" t="s">
        <v>1563</v>
      </c>
      <c r="C978" t="s">
        <v>75</v>
      </c>
      <c r="D978" t="s">
        <v>69</v>
      </c>
      <c r="E978">
        <v>19</v>
      </c>
      <c r="F978">
        <v>7.2</v>
      </c>
      <c r="G978">
        <v>0.38</v>
      </c>
      <c r="H978">
        <v>21</v>
      </c>
      <c r="I978">
        <v>2000</v>
      </c>
      <c r="J978">
        <v>1500</v>
      </c>
      <c r="K978" t="s">
        <v>365</v>
      </c>
      <c r="L978" t="s">
        <v>117</v>
      </c>
      <c r="M978" t="s">
        <v>42</v>
      </c>
      <c r="N978" t="b">
        <v>1</v>
      </c>
      <c r="O978" t="s">
        <v>366</v>
      </c>
    </row>
    <row r="979" spans="1:15" ht="15" customHeight="1">
      <c r="A979" t="s">
        <v>1022</v>
      </c>
      <c r="B979" t="s">
        <v>1564</v>
      </c>
      <c r="C979" t="s">
        <v>149</v>
      </c>
      <c r="D979" t="s">
        <v>69</v>
      </c>
      <c r="E979">
        <v>11</v>
      </c>
      <c r="F979">
        <v>8.3000000000000007</v>
      </c>
      <c r="G979">
        <v>0.75</v>
      </c>
      <c r="H979">
        <v>35</v>
      </c>
      <c r="I979">
        <v>3000</v>
      </c>
      <c r="J979">
        <v>1000</v>
      </c>
      <c r="K979" t="s">
        <v>131</v>
      </c>
      <c r="L979" t="s">
        <v>104</v>
      </c>
      <c r="M979" t="s">
        <v>41</v>
      </c>
      <c r="N979" t="b">
        <v>0</v>
      </c>
      <c r="O979" t="s">
        <v>132</v>
      </c>
    </row>
    <row r="980" spans="1:15" ht="15" customHeight="1">
      <c r="A980" t="s">
        <v>691</v>
      </c>
      <c r="B980" t="s">
        <v>1565</v>
      </c>
      <c r="C980" t="s">
        <v>75</v>
      </c>
      <c r="D980" t="s">
        <v>69</v>
      </c>
      <c r="E980">
        <v>20</v>
      </c>
      <c r="F980">
        <v>17.3</v>
      </c>
      <c r="G980">
        <v>0.86</v>
      </c>
      <c r="H980">
        <v>12</v>
      </c>
      <c r="I980">
        <v>2000</v>
      </c>
      <c r="J980">
        <v>1500</v>
      </c>
      <c r="K980" t="s">
        <v>265</v>
      </c>
      <c r="L980" t="s">
        <v>100</v>
      </c>
      <c r="M980" t="s">
        <v>47</v>
      </c>
      <c r="N980" t="b">
        <v>0</v>
      </c>
      <c r="O980" t="s">
        <v>266</v>
      </c>
    </row>
    <row r="981" spans="1:15" ht="15" customHeight="1">
      <c r="A981" t="s">
        <v>1213</v>
      </c>
      <c r="B981" t="s">
        <v>1566</v>
      </c>
      <c r="C981" t="s">
        <v>149</v>
      </c>
      <c r="D981" t="s">
        <v>69</v>
      </c>
      <c r="E981">
        <v>9</v>
      </c>
      <c r="F981">
        <v>7.7</v>
      </c>
      <c r="G981">
        <v>0.86</v>
      </c>
      <c r="H981">
        <v>32</v>
      </c>
      <c r="I981">
        <v>3000</v>
      </c>
      <c r="J981">
        <v>1000</v>
      </c>
      <c r="K981" t="s">
        <v>576</v>
      </c>
      <c r="L981" t="s">
        <v>100</v>
      </c>
      <c r="M981" t="s">
        <v>41</v>
      </c>
      <c r="N981" t="b">
        <v>0</v>
      </c>
      <c r="O981" t="s">
        <v>336</v>
      </c>
    </row>
    <row r="982" spans="1:15" ht="15" customHeight="1">
      <c r="A982" t="s">
        <v>744</v>
      </c>
      <c r="B982" t="s">
        <v>1567</v>
      </c>
      <c r="C982" t="s">
        <v>68</v>
      </c>
      <c r="D982" t="s">
        <v>69</v>
      </c>
      <c r="E982">
        <v>12</v>
      </c>
      <c r="F982">
        <v>3.1</v>
      </c>
      <c r="G982">
        <v>0.26</v>
      </c>
      <c r="H982">
        <v>5</v>
      </c>
      <c r="I982">
        <v>30000</v>
      </c>
      <c r="J982">
        <v>5000</v>
      </c>
      <c r="K982" t="s">
        <v>112</v>
      </c>
      <c r="L982" t="s">
        <v>117</v>
      </c>
      <c r="M982" t="s">
        <v>42</v>
      </c>
      <c r="N982" t="b">
        <v>1</v>
      </c>
      <c r="O982" t="s">
        <v>113</v>
      </c>
    </row>
    <row r="983" spans="1:15" ht="15" customHeight="1">
      <c r="A983" t="s">
        <v>369</v>
      </c>
      <c r="B983" t="s">
        <v>1568</v>
      </c>
      <c r="C983" t="s">
        <v>68</v>
      </c>
      <c r="D983" t="s">
        <v>69</v>
      </c>
      <c r="E983">
        <v>15</v>
      </c>
      <c r="F983">
        <v>3.2</v>
      </c>
      <c r="G983">
        <v>0.21</v>
      </c>
      <c r="H983">
        <v>4</v>
      </c>
      <c r="I983">
        <v>30000</v>
      </c>
      <c r="J983">
        <v>5000</v>
      </c>
      <c r="K983" t="s">
        <v>95</v>
      </c>
      <c r="L983" t="s">
        <v>77</v>
      </c>
      <c r="M983" t="s">
        <v>46</v>
      </c>
      <c r="N983" t="b">
        <v>0</v>
      </c>
      <c r="O983" t="s">
        <v>97</v>
      </c>
    </row>
    <row r="984" spans="1:15" ht="15" customHeight="1">
      <c r="A984" t="s">
        <v>834</v>
      </c>
      <c r="B984" t="s">
        <v>1569</v>
      </c>
      <c r="C984" t="s">
        <v>68</v>
      </c>
      <c r="D984" t="s">
        <v>69</v>
      </c>
      <c r="E984">
        <v>16</v>
      </c>
      <c r="F984">
        <v>1.2</v>
      </c>
      <c r="G984">
        <v>7.0000000000000007E-2</v>
      </c>
      <c r="H984">
        <v>4</v>
      </c>
      <c r="I984">
        <v>30000</v>
      </c>
      <c r="J984">
        <v>5000</v>
      </c>
      <c r="K984" t="s">
        <v>95</v>
      </c>
      <c r="L984" t="s">
        <v>117</v>
      </c>
      <c r="M984" t="s">
        <v>41</v>
      </c>
      <c r="N984" t="b">
        <v>1</v>
      </c>
      <c r="O984" t="s">
        <v>97</v>
      </c>
    </row>
    <row r="985" spans="1:15" ht="15" customHeight="1">
      <c r="A985" t="s">
        <v>237</v>
      </c>
      <c r="B985" t="s">
        <v>1570</v>
      </c>
      <c r="C985" t="s">
        <v>68</v>
      </c>
      <c r="D985" t="s">
        <v>69</v>
      </c>
      <c r="E985">
        <v>9</v>
      </c>
      <c r="F985">
        <v>2.7</v>
      </c>
      <c r="G985">
        <v>0.3</v>
      </c>
      <c r="H985">
        <v>2</v>
      </c>
      <c r="I985">
        <v>30000</v>
      </c>
      <c r="J985">
        <v>5000</v>
      </c>
      <c r="K985" t="s">
        <v>162</v>
      </c>
      <c r="L985" t="s">
        <v>77</v>
      </c>
      <c r="M985" t="s">
        <v>49</v>
      </c>
      <c r="N985" t="b">
        <v>0</v>
      </c>
      <c r="O985" t="s">
        <v>163</v>
      </c>
    </row>
    <row r="986" spans="1:15" ht="15" customHeight="1">
      <c r="A986" t="s">
        <v>574</v>
      </c>
      <c r="B986" t="s">
        <v>1571</v>
      </c>
      <c r="C986" t="s">
        <v>81</v>
      </c>
      <c r="D986" t="s">
        <v>69</v>
      </c>
      <c r="E986">
        <v>9</v>
      </c>
      <c r="F986">
        <v>8.6</v>
      </c>
      <c r="G986">
        <v>0.96</v>
      </c>
      <c r="H986">
        <v>21</v>
      </c>
      <c r="I986">
        <v>10000</v>
      </c>
      <c r="J986">
        <v>3000</v>
      </c>
      <c r="K986" t="s">
        <v>279</v>
      </c>
      <c r="L986" t="s">
        <v>77</v>
      </c>
      <c r="M986" t="s">
        <v>51</v>
      </c>
      <c r="N986" t="b">
        <v>0</v>
      </c>
      <c r="O986" t="s">
        <v>280</v>
      </c>
    </row>
    <row r="987" spans="1:15" ht="15" customHeight="1">
      <c r="A987" t="s">
        <v>920</v>
      </c>
      <c r="B987" t="s">
        <v>1572</v>
      </c>
      <c r="C987" t="s">
        <v>149</v>
      </c>
      <c r="D987" t="s">
        <v>69</v>
      </c>
      <c r="E987">
        <v>12</v>
      </c>
      <c r="F987">
        <v>6.8</v>
      </c>
      <c r="G987">
        <v>0.56999999999999995</v>
      </c>
      <c r="H987">
        <v>37</v>
      </c>
      <c r="I987">
        <v>3000</v>
      </c>
      <c r="J987">
        <v>1000</v>
      </c>
      <c r="K987" t="s">
        <v>672</v>
      </c>
      <c r="L987" t="s">
        <v>96</v>
      </c>
      <c r="M987" t="s">
        <v>51</v>
      </c>
      <c r="N987" t="b">
        <v>0</v>
      </c>
      <c r="O987" t="s">
        <v>134</v>
      </c>
    </row>
    <row r="988" spans="1:15" ht="15" customHeight="1">
      <c r="A988" t="s">
        <v>783</v>
      </c>
      <c r="B988" t="s">
        <v>1573</v>
      </c>
      <c r="C988" t="s">
        <v>149</v>
      </c>
      <c r="D988" t="s">
        <v>69</v>
      </c>
      <c r="E988">
        <v>12</v>
      </c>
      <c r="F988">
        <v>10.199999999999999</v>
      </c>
      <c r="G988">
        <v>0.85</v>
      </c>
      <c r="H988">
        <v>36</v>
      </c>
      <c r="I988">
        <v>3000</v>
      </c>
      <c r="J988">
        <v>1000</v>
      </c>
      <c r="K988" t="s">
        <v>154</v>
      </c>
      <c r="L988" t="s">
        <v>71</v>
      </c>
      <c r="M988" t="s">
        <v>41</v>
      </c>
      <c r="N988" t="b">
        <v>0</v>
      </c>
      <c r="O988" t="s">
        <v>155</v>
      </c>
    </row>
    <row r="989" spans="1:15" ht="15" customHeight="1">
      <c r="A989" t="s">
        <v>215</v>
      </c>
      <c r="B989" t="s">
        <v>1574</v>
      </c>
      <c r="C989" t="s">
        <v>68</v>
      </c>
      <c r="D989" t="s">
        <v>69</v>
      </c>
      <c r="E989">
        <v>13</v>
      </c>
      <c r="F989">
        <v>1</v>
      </c>
      <c r="G989">
        <v>0.08</v>
      </c>
      <c r="H989">
        <v>2</v>
      </c>
      <c r="I989">
        <v>30000</v>
      </c>
      <c r="J989">
        <v>5000</v>
      </c>
      <c r="K989" t="s">
        <v>162</v>
      </c>
      <c r="L989" t="s">
        <v>117</v>
      </c>
      <c r="M989" t="s">
        <v>48</v>
      </c>
      <c r="N989" t="b">
        <v>1</v>
      </c>
      <c r="O989" t="s">
        <v>163</v>
      </c>
    </row>
    <row r="990" spans="1:15" ht="15" customHeight="1">
      <c r="A990" t="s">
        <v>147</v>
      </c>
      <c r="B990" t="s">
        <v>1575</v>
      </c>
      <c r="C990" t="s">
        <v>68</v>
      </c>
      <c r="D990" t="s">
        <v>69</v>
      </c>
      <c r="E990">
        <v>15</v>
      </c>
      <c r="F990">
        <v>1.6</v>
      </c>
      <c r="G990">
        <v>0.11</v>
      </c>
      <c r="H990">
        <v>4</v>
      </c>
      <c r="I990">
        <v>30000</v>
      </c>
      <c r="J990">
        <v>5000</v>
      </c>
      <c r="K990" t="s">
        <v>95</v>
      </c>
      <c r="L990" t="s">
        <v>100</v>
      </c>
      <c r="M990" t="s">
        <v>43</v>
      </c>
      <c r="N990" t="b">
        <v>0</v>
      </c>
      <c r="O990" t="s">
        <v>97</v>
      </c>
    </row>
    <row r="991" spans="1:15" ht="15" customHeight="1">
      <c r="A991" t="s">
        <v>875</v>
      </c>
      <c r="B991" t="s">
        <v>1576</v>
      </c>
      <c r="C991" t="s">
        <v>149</v>
      </c>
      <c r="D991" t="s">
        <v>69</v>
      </c>
      <c r="E991">
        <v>12</v>
      </c>
      <c r="F991">
        <v>7.6</v>
      </c>
      <c r="G991">
        <v>0.63</v>
      </c>
      <c r="H991">
        <v>27</v>
      </c>
      <c r="I991">
        <v>3000</v>
      </c>
      <c r="J991">
        <v>1000</v>
      </c>
      <c r="K991" t="s">
        <v>845</v>
      </c>
      <c r="L991" t="s">
        <v>96</v>
      </c>
      <c r="M991" t="s">
        <v>47</v>
      </c>
      <c r="N991" t="b">
        <v>0</v>
      </c>
      <c r="O991" t="s">
        <v>357</v>
      </c>
    </row>
    <row r="992" spans="1:15" ht="15" customHeight="1">
      <c r="A992" t="s">
        <v>1044</v>
      </c>
      <c r="B992" t="s">
        <v>1577</v>
      </c>
      <c r="C992" t="s">
        <v>75</v>
      </c>
      <c r="D992" t="s">
        <v>69</v>
      </c>
      <c r="E992">
        <v>11</v>
      </c>
      <c r="F992">
        <v>5.9</v>
      </c>
      <c r="G992">
        <v>0.54</v>
      </c>
      <c r="H992">
        <v>24</v>
      </c>
      <c r="I992">
        <v>2000</v>
      </c>
      <c r="J992">
        <v>1500</v>
      </c>
      <c r="K992" t="s">
        <v>361</v>
      </c>
      <c r="L992" t="s">
        <v>71</v>
      </c>
      <c r="M992" t="s">
        <v>48</v>
      </c>
      <c r="N992" t="b">
        <v>0</v>
      </c>
      <c r="O992" t="s">
        <v>362</v>
      </c>
    </row>
    <row r="993" spans="1:15" ht="15" customHeight="1">
      <c r="A993" t="s">
        <v>554</v>
      </c>
      <c r="B993" t="s">
        <v>1578</v>
      </c>
      <c r="C993" t="s">
        <v>75</v>
      </c>
      <c r="D993" t="s">
        <v>69</v>
      </c>
      <c r="E993">
        <v>15</v>
      </c>
      <c r="F993">
        <v>5.5</v>
      </c>
      <c r="G993">
        <v>0.37</v>
      </c>
      <c r="H993">
        <v>8</v>
      </c>
      <c r="I993">
        <v>2000</v>
      </c>
      <c r="J993">
        <v>1500</v>
      </c>
      <c r="K993" t="s">
        <v>275</v>
      </c>
      <c r="L993" t="s">
        <v>71</v>
      </c>
      <c r="M993" t="s">
        <v>40</v>
      </c>
      <c r="N993" t="b">
        <v>0</v>
      </c>
      <c r="O993" t="s">
        <v>276</v>
      </c>
    </row>
    <row r="994" spans="1:15" ht="15" customHeight="1">
      <c r="A994" t="s">
        <v>243</v>
      </c>
      <c r="B994" t="s">
        <v>1579</v>
      </c>
      <c r="C994" t="s">
        <v>129</v>
      </c>
      <c r="D994" t="s">
        <v>130</v>
      </c>
      <c r="E994">
        <v>17</v>
      </c>
      <c r="F994">
        <v>4.9000000000000004</v>
      </c>
      <c r="G994">
        <v>0.28999999999999998</v>
      </c>
      <c r="H994">
        <v>9</v>
      </c>
      <c r="I994">
        <v>5000</v>
      </c>
      <c r="J994">
        <v>1000</v>
      </c>
      <c r="K994" t="s">
        <v>438</v>
      </c>
      <c r="L994" t="s">
        <v>117</v>
      </c>
      <c r="M994" t="s">
        <v>40</v>
      </c>
      <c r="N994" t="b">
        <v>1</v>
      </c>
      <c r="O994" t="s">
        <v>90</v>
      </c>
    </row>
    <row r="995" spans="1:15" ht="15" customHeight="1">
      <c r="A995" t="s">
        <v>428</v>
      </c>
      <c r="B995" t="s">
        <v>1580</v>
      </c>
      <c r="C995" t="s">
        <v>149</v>
      </c>
      <c r="D995" t="s">
        <v>69</v>
      </c>
      <c r="E995">
        <v>12</v>
      </c>
      <c r="F995">
        <v>11.7</v>
      </c>
      <c r="G995">
        <v>0.97</v>
      </c>
      <c r="H995">
        <v>40</v>
      </c>
      <c r="I995">
        <v>3000</v>
      </c>
      <c r="J995">
        <v>1000</v>
      </c>
      <c r="K995" t="s">
        <v>95</v>
      </c>
      <c r="L995" t="s">
        <v>104</v>
      </c>
      <c r="M995" t="s">
        <v>46</v>
      </c>
      <c r="N995" t="b">
        <v>0</v>
      </c>
      <c r="O995" t="s">
        <v>217</v>
      </c>
    </row>
    <row r="996" spans="1:15" ht="15" customHeight="1">
      <c r="A996" t="s">
        <v>834</v>
      </c>
      <c r="B996" t="s">
        <v>1581</v>
      </c>
      <c r="C996" t="s">
        <v>75</v>
      </c>
      <c r="D996" t="s">
        <v>69</v>
      </c>
      <c r="E996">
        <v>19</v>
      </c>
      <c r="F996">
        <v>18.600000000000001</v>
      </c>
      <c r="G996">
        <v>0.98</v>
      </c>
      <c r="H996">
        <v>20</v>
      </c>
      <c r="I996">
        <v>2000</v>
      </c>
      <c r="J996">
        <v>1500</v>
      </c>
      <c r="K996" t="s">
        <v>76</v>
      </c>
      <c r="L996" t="s">
        <v>117</v>
      </c>
      <c r="M996" t="s">
        <v>41</v>
      </c>
      <c r="N996" t="b">
        <v>1</v>
      </c>
      <c r="O996" t="s">
        <v>78</v>
      </c>
    </row>
    <row r="997" spans="1:15" ht="15" customHeight="1">
      <c r="A997" t="s">
        <v>1504</v>
      </c>
      <c r="B997" t="s">
        <v>1582</v>
      </c>
      <c r="C997" t="s">
        <v>81</v>
      </c>
      <c r="D997" t="s">
        <v>69</v>
      </c>
      <c r="E997">
        <v>14</v>
      </c>
      <c r="F997">
        <v>4.3</v>
      </c>
      <c r="G997">
        <v>0.31</v>
      </c>
      <c r="H997">
        <v>6</v>
      </c>
      <c r="I997">
        <v>10000</v>
      </c>
      <c r="J997">
        <v>3000</v>
      </c>
      <c r="K997" t="s">
        <v>162</v>
      </c>
      <c r="L997" t="s">
        <v>104</v>
      </c>
      <c r="M997" t="s">
        <v>46</v>
      </c>
      <c r="N997" t="b">
        <v>0</v>
      </c>
      <c r="O997" t="s">
        <v>198</v>
      </c>
    </row>
    <row r="998" spans="1:15" ht="15" customHeight="1">
      <c r="A998" t="s">
        <v>650</v>
      </c>
      <c r="B998" t="s">
        <v>1583</v>
      </c>
      <c r="C998" t="s">
        <v>149</v>
      </c>
      <c r="D998" t="s">
        <v>69</v>
      </c>
      <c r="E998">
        <v>12</v>
      </c>
      <c r="F998">
        <v>9.4</v>
      </c>
      <c r="G998">
        <v>0.78</v>
      </c>
      <c r="H998">
        <v>19</v>
      </c>
      <c r="I998">
        <v>3000</v>
      </c>
      <c r="J998">
        <v>1000</v>
      </c>
      <c r="K998" t="s">
        <v>198</v>
      </c>
      <c r="L998" t="s">
        <v>100</v>
      </c>
      <c r="M998" t="s">
        <v>46</v>
      </c>
      <c r="N998" t="b">
        <v>0</v>
      </c>
      <c r="O998" t="s">
        <v>262</v>
      </c>
    </row>
    <row r="999" spans="1:15" ht="15" customHeight="1">
      <c r="A999" t="s">
        <v>136</v>
      </c>
      <c r="B999" t="s">
        <v>1584</v>
      </c>
      <c r="C999" t="s">
        <v>75</v>
      </c>
      <c r="D999" t="s">
        <v>69</v>
      </c>
      <c r="E999">
        <v>11</v>
      </c>
      <c r="F999">
        <v>10.8</v>
      </c>
      <c r="G999">
        <v>0.98</v>
      </c>
      <c r="H999">
        <v>7</v>
      </c>
      <c r="I999">
        <v>2000</v>
      </c>
      <c r="J999">
        <v>1500</v>
      </c>
      <c r="K999" t="s">
        <v>241</v>
      </c>
      <c r="L999" t="s">
        <v>96</v>
      </c>
      <c r="M999" t="s">
        <v>41</v>
      </c>
      <c r="N999" t="b">
        <v>0</v>
      </c>
      <c r="O999" t="s">
        <v>242</v>
      </c>
    </row>
    <row r="1000" spans="1:15" ht="15" customHeight="1">
      <c r="A1000" t="s">
        <v>650</v>
      </c>
      <c r="B1000" t="s">
        <v>1585</v>
      </c>
      <c r="C1000" t="s">
        <v>129</v>
      </c>
      <c r="D1000" t="s">
        <v>130</v>
      </c>
      <c r="E1000">
        <v>15</v>
      </c>
      <c r="F1000">
        <v>10.8</v>
      </c>
      <c r="G1000">
        <v>0.72</v>
      </c>
      <c r="H1000">
        <v>20</v>
      </c>
      <c r="I1000">
        <v>5000</v>
      </c>
      <c r="J1000">
        <v>1000</v>
      </c>
      <c r="K1000" t="s">
        <v>103</v>
      </c>
      <c r="L1000" t="s">
        <v>100</v>
      </c>
      <c r="M1000" t="s">
        <v>46</v>
      </c>
      <c r="N1000" t="b">
        <v>0</v>
      </c>
      <c r="O1000" t="s">
        <v>169</v>
      </c>
    </row>
    <row r="1001" spans="1:15" ht="15" customHeight="1">
      <c r="A1001" t="s">
        <v>209</v>
      </c>
      <c r="B1001" t="s">
        <v>1586</v>
      </c>
      <c r="C1001" t="s">
        <v>81</v>
      </c>
      <c r="D1001" t="s">
        <v>69</v>
      </c>
      <c r="E1001">
        <v>9</v>
      </c>
      <c r="F1001">
        <v>7.6</v>
      </c>
      <c r="G1001">
        <v>0.84</v>
      </c>
      <c r="H1001">
        <v>11</v>
      </c>
      <c r="I1001">
        <v>10000</v>
      </c>
      <c r="J1001">
        <v>3000</v>
      </c>
      <c r="K1001" t="s">
        <v>134</v>
      </c>
      <c r="L1001" t="s">
        <v>104</v>
      </c>
      <c r="M1001" t="s">
        <v>49</v>
      </c>
      <c r="N1001" t="b">
        <v>0</v>
      </c>
      <c r="O1001" t="s">
        <v>155</v>
      </c>
    </row>
    <row r="1002" spans="1:15" ht="15" customHeight="1">
      <c r="A1002" t="s">
        <v>260</v>
      </c>
      <c r="B1002" t="s">
        <v>1587</v>
      </c>
      <c r="C1002" t="s">
        <v>81</v>
      </c>
      <c r="D1002" t="s">
        <v>69</v>
      </c>
      <c r="E1002">
        <v>17</v>
      </c>
      <c r="F1002">
        <v>3.9</v>
      </c>
      <c r="G1002">
        <v>0.23</v>
      </c>
      <c r="H1002">
        <v>27</v>
      </c>
      <c r="I1002">
        <v>10000</v>
      </c>
      <c r="J1002">
        <v>3000</v>
      </c>
      <c r="K1002" t="s">
        <v>125</v>
      </c>
      <c r="L1002" t="s">
        <v>96</v>
      </c>
      <c r="M1002" t="s">
        <v>49</v>
      </c>
      <c r="N1002" t="b">
        <v>0</v>
      </c>
      <c r="O1002" t="s">
        <v>126</v>
      </c>
    </row>
    <row r="1003" spans="1:15" ht="15" customHeight="1">
      <c r="A1003" t="s">
        <v>811</v>
      </c>
      <c r="B1003" t="s">
        <v>1588</v>
      </c>
      <c r="C1003" t="s">
        <v>81</v>
      </c>
      <c r="D1003" t="s">
        <v>69</v>
      </c>
      <c r="E1003">
        <v>15</v>
      </c>
      <c r="F1003">
        <v>11.5</v>
      </c>
      <c r="G1003">
        <v>0.77</v>
      </c>
      <c r="H1003">
        <v>10</v>
      </c>
      <c r="I1003">
        <v>10000</v>
      </c>
      <c r="J1003">
        <v>3000</v>
      </c>
      <c r="K1003" t="s">
        <v>103</v>
      </c>
      <c r="L1003" t="s">
        <v>91</v>
      </c>
      <c r="M1003" t="s">
        <v>46</v>
      </c>
      <c r="N1003" t="b">
        <v>1</v>
      </c>
      <c r="O1003" t="s">
        <v>105</v>
      </c>
    </row>
    <row r="1004" spans="1:15" ht="15" customHeight="1">
      <c r="A1004" t="s">
        <v>565</v>
      </c>
      <c r="B1004" t="s">
        <v>1589</v>
      </c>
      <c r="C1004" t="s">
        <v>149</v>
      </c>
      <c r="D1004" t="s">
        <v>69</v>
      </c>
      <c r="E1004">
        <v>11</v>
      </c>
      <c r="F1004">
        <v>10.7</v>
      </c>
      <c r="G1004">
        <v>0.97</v>
      </c>
      <c r="H1004">
        <v>32</v>
      </c>
      <c r="I1004">
        <v>3000</v>
      </c>
      <c r="J1004">
        <v>1000</v>
      </c>
      <c r="K1004" t="s">
        <v>576</v>
      </c>
      <c r="L1004" t="s">
        <v>96</v>
      </c>
      <c r="M1004" t="s">
        <v>42</v>
      </c>
      <c r="N1004" t="b">
        <v>0</v>
      </c>
      <c r="O1004" t="s">
        <v>336</v>
      </c>
    </row>
    <row r="1005" spans="1:15" ht="15" customHeight="1">
      <c r="A1005" t="s">
        <v>193</v>
      </c>
      <c r="B1005" t="s">
        <v>1590</v>
      </c>
      <c r="C1005" t="s">
        <v>68</v>
      </c>
      <c r="D1005" t="s">
        <v>69</v>
      </c>
      <c r="E1005">
        <v>15</v>
      </c>
      <c r="F1005">
        <v>1.1000000000000001</v>
      </c>
      <c r="G1005">
        <v>7.0000000000000007E-2</v>
      </c>
      <c r="H1005">
        <v>3</v>
      </c>
      <c r="I1005">
        <v>30000</v>
      </c>
      <c r="J1005">
        <v>5000</v>
      </c>
      <c r="K1005" t="s">
        <v>108</v>
      </c>
      <c r="L1005" t="s">
        <v>117</v>
      </c>
      <c r="M1005" t="s">
        <v>50</v>
      </c>
      <c r="N1005" t="b">
        <v>1</v>
      </c>
      <c r="O1005" t="s">
        <v>109</v>
      </c>
    </row>
    <row r="1006" spans="1:15" ht="15" customHeight="1">
      <c r="A1006" t="s">
        <v>843</v>
      </c>
      <c r="B1006" t="s">
        <v>1591</v>
      </c>
      <c r="C1006" t="s">
        <v>81</v>
      </c>
      <c r="D1006" t="s">
        <v>69</v>
      </c>
      <c r="E1006">
        <v>11</v>
      </c>
      <c r="F1006">
        <v>8.4</v>
      </c>
      <c r="G1006">
        <v>0.76</v>
      </c>
      <c r="H1006">
        <v>28</v>
      </c>
      <c r="I1006">
        <v>10000</v>
      </c>
      <c r="J1006">
        <v>3000</v>
      </c>
      <c r="K1006" t="s">
        <v>966</v>
      </c>
      <c r="L1006" t="s">
        <v>71</v>
      </c>
      <c r="M1006" t="s">
        <v>44</v>
      </c>
      <c r="N1006" t="b">
        <v>0</v>
      </c>
      <c r="O1006" t="s">
        <v>967</v>
      </c>
    </row>
    <row r="1007" spans="1:15" ht="15" customHeight="1">
      <c r="A1007" t="s">
        <v>920</v>
      </c>
      <c r="B1007" t="s">
        <v>1592</v>
      </c>
      <c r="C1007" t="s">
        <v>68</v>
      </c>
      <c r="D1007" t="s">
        <v>69</v>
      </c>
      <c r="E1007">
        <v>9</v>
      </c>
      <c r="F1007">
        <v>3.9</v>
      </c>
      <c r="G1007">
        <v>0.43</v>
      </c>
      <c r="H1007">
        <v>2</v>
      </c>
      <c r="I1007">
        <v>30000</v>
      </c>
      <c r="J1007">
        <v>5000</v>
      </c>
      <c r="K1007" t="s">
        <v>162</v>
      </c>
      <c r="L1007" t="s">
        <v>96</v>
      </c>
      <c r="M1007" t="s">
        <v>51</v>
      </c>
      <c r="N1007" t="b">
        <v>0</v>
      </c>
      <c r="O1007" t="s">
        <v>163</v>
      </c>
    </row>
    <row r="1008" spans="1:15" ht="15" customHeight="1">
      <c r="A1008" t="s">
        <v>1044</v>
      </c>
      <c r="B1008" t="s">
        <v>1593</v>
      </c>
      <c r="C1008" t="s">
        <v>68</v>
      </c>
      <c r="D1008" t="s">
        <v>69</v>
      </c>
      <c r="E1008">
        <v>15</v>
      </c>
      <c r="F1008">
        <v>2.8</v>
      </c>
      <c r="G1008">
        <v>0.19</v>
      </c>
      <c r="H1008">
        <v>5</v>
      </c>
      <c r="I1008">
        <v>30000</v>
      </c>
      <c r="J1008">
        <v>5000</v>
      </c>
      <c r="K1008" t="s">
        <v>112</v>
      </c>
      <c r="L1008" t="s">
        <v>71</v>
      </c>
      <c r="M1008" t="s">
        <v>48</v>
      </c>
      <c r="N1008" t="b">
        <v>0</v>
      </c>
      <c r="O1008" t="s">
        <v>113</v>
      </c>
    </row>
    <row r="1009" spans="1:15" ht="15" customHeight="1">
      <c r="A1009" t="s">
        <v>327</v>
      </c>
      <c r="B1009" t="s">
        <v>1594</v>
      </c>
      <c r="C1009" t="s">
        <v>129</v>
      </c>
      <c r="D1009" t="s">
        <v>130</v>
      </c>
      <c r="E1009">
        <v>15</v>
      </c>
      <c r="F1009">
        <v>4.7</v>
      </c>
      <c r="G1009">
        <v>0.31</v>
      </c>
      <c r="H1009">
        <v>17</v>
      </c>
      <c r="I1009">
        <v>5000</v>
      </c>
      <c r="J1009">
        <v>1000</v>
      </c>
      <c r="K1009" t="s">
        <v>109</v>
      </c>
      <c r="L1009" t="s">
        <v>77</v>
      </c>
      <c r="M1009" t="s">
        <v>49</v>
      </c>
      <c r="N1009" t="b">
        <v>0</v>
      </c>
      <c r="O1009" t="s">
        <v>176</v>
      </c>
    </row>
    <row r="1010" spans="1:15" ht="15" customHeight="1">
      <c r="A1010" t="s">
        <v>804</v>
      </c>
      <c r="B1010" t="s">
        <v>1595</v>
      </c>
      <c r="C1010" t="s">
        <v>81</v>
      </c>
      <c r="D1010" t="s">
        <v>69</v>
      </c>
      <c r="E1010">
        <v>11</v>
      </c>
      <c r="F1010">
        <v>3.9</v>
      </c>
      <c r="G1010">
        <v>0.35</v>
      </c>
      <c r="H1010">
        <v>10</v>
      </c>
      <c r="I1010">
        <v>10000</v>
      </c>
      <c r="J1010">
        <v>3000</v>
      </c>
      <c r="K1010" t="s">
        <v>103</v>
      </c>
      <c r="L1010" t="s">
        <v>104</v>
      </c>
      <c r="M1010" t="s">
        <v>40</v>
      </c>
      <c r="N1010" t="b">
        <v>0</v>
      </c>
      <c r="O1010" t="s">
        <v>105</v>
      </c>
    </row>
    <row r="1011" spans="1:15" ht="15" customHeight="1">
      <c r="A1011" t="s">
        <v>592</v>
      </c>
      <c r="B1011" t="s">
        <v>1596</v>
      </c>
      <c r="C1011" t="s">
        <v>75</v>
      </c>
      <c r="D1011" t="s">
        <v>69</v>
      </c>
      <c r="E1011">
        <v>11</v>
      </c>
      <c r="F1011">
        <v>5.2</v>
      </c>
      <c r="G1011">
        <v>0.47</v>
      </c>
      <c r="H1011">
        <v>18</v>
      </c>
      <c r="I1011">
        <v>2000</v>
      </c>
      <c r="J1011">
        <v>1500</v>
      </c>
      <c r="K1011" t="s">
        <v>225</v>
      </c>
      <c r="L1011" t="s">
        <v>91</v>
      </c>
      <c r="M1011" t="s">
        <v>51</v>
      </c>
      <c r="N1011" t="b">
        <v>1</v>
      </c>
      <c r="O1011" t="s">
        <v>226</v>
      </c>
    </row>
    <row r="1012" spans="1:15" ht="15" customHeight="1">
      <c r="A1012" t="s">
        <v>391</v>
      </c>
      <c r="B1012" t="s">
        <v>1597</v>
      </c>
      <c r="C1012" t="s">
        <v>68</v>
      </c>
      <c r="D1012" t="s">
        <v>69</v>
      </c>
      <c r="E1012">
        <v>15</v>
      </c>
      <c r="F1012">
        <v>2</v>
      </c>
      <c r="G1012">
        <v>0.13</v>
      </c>
      <c r="H1012">
        <v>1</v>
      </c>
      <c r="I1012">
        <v>30000</v>
      </c>
      <c r="J1012">
        <v>5000</v>
      </c>
      <c r="K1012" t="s">
        <v>70</v>
      </c>
      <c r="L1012" t="s">
        <v>71</v>
      </c>
      <c r="M1012" t="s">
        <v>46</v>
      </c>
      <c r="N1012" t="b">
        <v>0</v>
      </c>
      <c r="O1012" t="s">
        <v>72</v>
      </c>
    </row>
    <row r="1013" spans="1:15" ht="15" customHeight="1">
      <c r="A1013" t="s">
        <v>682</v>
      </c>
      <c r="B1013" t="s">
        <v>1598</v>
      </c>
      <c r="C1013" t="s">
        <v>129</v>
      </c>
      <c r="D1013" t="s">
        <v>130</v>
      </c>
      <c r="E1013">
        <v>17</v>
      </c>
      <c r="F1013">
        <v>9.1999999999999993</v>
      </c>
      <c r="G1013">
        <v>0.54</v>
      </c>
      <c r="H1013">
        <v>8</v>
      </c>
      <c r="I1013">
        <v>5000</v>
      </c>
      <c r="J1013">
        <v>1000</v>
      </c>
      <c r="K1013" t="s">
        <v>76</v>
      </c>
      <c r="L1013" t="s">
        <v>91</v>
      </c>
      <c r="M1013" t="s">
        <v>46</v>
      </c>
      <c r="N1013" t="b">
        <v>1</v>
      </c>
      <c r="O1013" t="s">
        <v>317</v>
      </c>
    </row>
    <row r="1014" spans="1:15" ht="15" customHeight="1">
      <c r="A1014" t="s">
        <v>1194</v>
      </c>
      <c r="B1014" t="s">
        <v>1599</v>
      </c>
      <c r="C1014" t="s">
        <v>81</v>
      </c>
      <c r="D1014" t="s">
        <v>69</v>
      </c>
      <c r="E1014">
        <v>8</v>
      </c>
      <c r="F1014">
        <v>7.3</v>
      </c>
      <c r="G1014">
        <v>0.91</v>
      </c>
      <c r="H1014">
        <v>20</v>
      </c>
      <c r="I1014">
        <v>10000</v>
      </c>
      <c r="J1014">
        <v>3000</v>
      </c>
      <c r="K1014" t="s">
        <v>86</v>
      </c>
      <c r="L1014" t="s">
        <v>104</v>
      </c>
      <c r="M1014" t="s">
        <v>50</v>
      </c>
      <c r="N1014" t="b">
        <v>0</v>
      </c>
      <c r="O1014" t="s">
        <v>87</v>
      </c>
    </row>
    <row r="1015" spans="1:15" ht="15" customHeight="1">
      <c r="A1015" t="s">
        <v>964</v>
      </c>
      <c r="B1015" t="s">
        <v>1600</v>
      </c>
      <c r="C1015" t="s">
        <v>81</v>
      </c>
      <c r="D1015" t="s">
        <v>69</v>
      </c>
      <c r="E1015">
        <v>17</v>
      </c>
      <c r="F1015">
        <v>16.399999999999999</v>
      </c>
      <c r="G1015">
        <v>0.96</v>
      </c>
      <c r="H1015">
        <v>26</v>
      </c>
      <c r="I1015">
        <v>10000</v>
      </c>
      <c r="J1015">
        <v>3000</v>
      </c>
      <c r="K1015" t="s">
        <v>525</v>
      </c>
      <c r="L1015" t="s">
        <v>96</v>
      </c>
      <c r="M1015" t="s">
        <v>48</v>
      </c>
      <c r="N1015" t="b">
        <v>0</v>
      </c>
      <c r="O1015" t="s">
        <v>526</v>
      </c>
    </row>
    <row r="1016" spans="1:15" ht="15" customHeight="1">
      <c r="A1016" t="s">
        <v>1258</v>
      </c>
      <c r="B1016" t="s">
        <v>1601</v>
      </c>
      <c r="C1016" t="s">
        <v>81</v>
      </c>
      <c r="D1016" t="s">
        <v>69</v>
      </c>
      <c r="E1016">
        <v>17</v>
      </c>
      <c r="F1016">
        <v>5.2</v>
      </c>
      <c r="G1016">
        <v>0.31</v>
      </c>
      <c r="H1016">
        <v>17</v>
      </c>
      <c r="I1016">
        <v>10000</v>
      </c>
      <c r="J1016">
        <v>3000</v>
      </c>
      <c r="K1016" t="s">
        <v>389</v>
      </c>
      <c r="L1016" t="s">
        <v>91</v>
      </c>
      <c r="M1016" t="s">
        <v>48</v>
      </c>
      <c r="N1016" t="b">
        <v>1</v>
      </c>
      <c r="O1016" t="s">
        <v>390</v>
      </c>
    </row>
    <row r="1017" spans="1:15" ht="15" customHeight="1">
      <c r="A1017" t="s">
        <v>430</v>
      </c>
      <c r="B1017" t="s">
        <v>1602</v>
      </c>
      <c r="C1017" t="s">
        <v>68</v>
      </c>
      <c r="D1017" t="s">
        <v>69</v>
      </c>
      <c r="E1017">
        <v>8</v>
      </c>
      <c r="F1017">
        <v>2.7</v>
      </c>
      <c r="G1017">
        <v>0.34</v>
      </c>
      <c r="H1017">
        <v>4</v>
      </c>
      <c r="I1017">
        <v>30000</v>
      </c>
      <c r="J1017">
        <v>5000</v>
      </c>
      <c r="K1017" t="s">
        <v>95</v>
      </c>
      <c r="L1017" t="s">
        <v>104</v>
      </c>
      <c r="M1017" t="s">
        <v>42</v>
      </c>
      <c r="N1017" t="b">
        <v>0</v>
      </c>
      <c r="O1017" t="s">
        <v>97</v>
      </c>
    </row>
    <row r="1018" spans="1:15" ht="15" customHeight="1">
      <c r="A1018" t="s">
        <v>1310</v>
      </c>
      <c r="B1018" t="s">
        <v>1603</v>
      </c>
      <c r="C1018" t="s">
        <v>129</v>
      </c>
      <c r="D1018" t="s">
        <v>130</v>
      </c>
      <c r="E1018">
        <v>13</v>
      </c>
      <c r="F1018">
        <v>5.4</v>
      </c>
      <c r="G1018">
        <v>0.42</v>
      </c>
      <c r="H1018">
        <v>11</v>
      </c>
      <c r="I1018">
        <v>5000</v>
      </c>
      <c r="J1018">
        <v>1000</v>
      </c>
      <c r="K1018" t="s">
        <v>163</v>
      </c>
      <c r="L1018" t="s">
        <v>117</v>
      </c>
      <c r="M1018" t="s">
        <v>47</v>
      </c>
      <c r="N1018" t="b">
        <v>1</v>
      </c>
      <c r="O1018" t="s">
        <v>150</v>
      </c>
    </row>
    <row r="1019" spans="1:15" ht="15" customHeight="1">
      <c r="A1019" t="s">
        <v>334</v>
      </c>
      <c r="B1019" t="s">
        <v>1604</v>
      </c>
      <c r="C1019" t="s">
        <v>75</v>
      </c>
      <c r="D1019" t="s">
        <v>69</v>
      </c>
      <c r="E1019">
        <v>12</v>
      </c>
      <c r="F1019">
        <v>6.9</v>
      </c>
      <c r="G1019">
        <v>0.57999999999999996</v>
      </c>
      <c r="H1019">
        <v>23</v>
      </c>
      <c r="I1019">
        <v>2000</v>
      </c>
      <c r="J1019">
        <v>1500</v>
      </c>
      <c r="K1019" t="s">
        <v>207</v>
      </c>
      <c r="L1019" t="s">
        <v>77</v>
      </c>
      <c r="M1019" t="s">
        <v>43</v>
      </c>
      <c r="N1019" t="b">
        <v>0</v>
      </c>
      <c r="O1019" t="s">
        <v>208</v>
      </c>
    </row>
    <row r="1020" spans="1:15" ht="15" customHeight="1">
      <c r="A1020" t="s">
        <v>646</v>
      </c>
      <c r="B1020" t="s">
        <v>1605</v>
      </c>
      <c r="C1020" t="s">
        <v>68</v>
      </c>
      <c r="D1020" t="s">
        <v>69</v>
      </c>
      <c r="E1020">
        <v>14</v>
      </c>
      <c r="F1020">
        <v>0.5</v>
      </c>
      <c r="G1020">
        <v>0.04</v>
      </c>
      <c r="H1020">
        <v>5</v>
      </c>
      <c r="I1020">
        <v>30000</v>
      </c>
      <c r="J1020">
        <v>5000</v>
      </c>
      <c r="K1020" t="s">
        <v>112</v>
      </c>
      <c r="L1020" t="s">
        <v>77</v>
      </c>
      <c r="M1020" t="s">
        <v>40</v>
      </c>
      <c r="N1020" t="b">
        <v>0</v>
      </c>
      <c r="O1020" t="s">
        <v>113</v>
      </c>
    </row>
    <row r="1021" spans="1:15" ht="15" customHeight="1">
      <c r="A1021" t="s">
        <v>557</v>
      </c>
      <c r="B1021" t="s">
        <v>1606</v>
      </c>
      <c r="C1021" t="s">
        <v>129</v>
      </c>
      <c r="D1021" t="s">
        <v>130</v>
      </c>
      <c r="E1021">
        <v>17</v>
      </c>
      <c r="F1021">
        <v>3.2</v>
      </c>
      <c r="G1021">
        <v>0.19</v>
      </c>
      <c r="H1021">
        <v>13</v>
      </c>
      <c r="I1021">
        <v>5000</v>
      </c>
      <c r="J1021">
        <v>1000</v>
      </c>
      <c r="K1021" t="s">
        <v>313</v>
      </c>
      <c r="L1021" t="s">
        <v>91</v>
      </c>
      <c r="M1021" t="s">
        <v>50</v>
      </c>
      <c r="N1021" t="b">
        <v>1</v>
      </c>
      <c r="O1021" t="s">
        <v>314</v>
      </c>
    </row>
    <row r="1022" spans="1:15" ht="15" customHeight="1">
      <c r="A1022" t="s">
        <v>423</v>
      </c>
      <c r="B1022" t="s">
        <v>1607</v>
      </c>
      <c r="C1022" t="s">
        <v>149</v>
      </c>
      <c r="D1022" t="s">
        <v>69</v>
      </c>
      <c r="E1022">
        <v>11</v>
      </c>
      <c r="F1022">
        <v>8.6</v>
      </c>
      <c r="G1022">
        <v>0.78</v>
      </c>
      <c r="H1022">
        <v>35</v>
      </c>
      <c r="I1022">
        <v>3000</v>
      </c>
      <c r="J1022">
        <v>1000</v>
      </c>
      <c r="K1022" t="s">
        <v>131</v>
      </c>
      <c r="L1022" t="s">
        <v>117</v>
      </c>
      <c r="M1022" t="s">
        <v>40</v>
      </c>
      <c r="N1022" t="b">
        <v>1</v>
      </c>
      <c r="O1022" t="s">
        <v>132</v>
      </c>
    </row>
    <row r="1023" spans="1:15" ht="15" customHeight="1">
      <c r="A1023" t="s">
        <v>830</v>
      </c>
      <c r="B1023" t="s">
        <v>1608</v>
      </c>
      <c r="C1023" t="s">
        <v>81</v>
      </c>
      <c r="D1023" t="s">
        <v>69</v>
      </c>
      <c r="E1023">
        <v>11</v>
      </c>
      <c r="F1023">
        <v>5.0999999999999996</v>
      </c>
      <c r="G1023">
        <v>0.46</v>
      </c>
      <c r="H1023">
        <v>24</v>
      </c>
      <c r="I1023">
        <v>10000</v>
      </c>
      <c r="J1023">
        <v>3000</v>
      </c>
      <c r="K1023" t="s">
        <v>306</v>
      </c>
      <c r="L1023" t="s">
        <v>117</v>
      </c>
      <c r="M1023" t="s">
        <v>51</v>
      </c>
      <c r="N1023" t="b">
        <v>1</v>
      </c>
      <c r="O1023" t="s">
        <v>307</v>
      </c>
    </row>
    <row r="1024" spans="1:15" ht="15" customHeight="1">
      <c r="A1024" t="s">
        <v>367</v>
      </c>
      <c r="B1024" t="s">
        <v>1609</v>
      </c>
      <c r="C1024" t="s">
        <v>149</v>
      </c>
      <c r="D1024" t="s">
        <v>69</v>
      </c>
      <c r="E1024">
        <v>10</v>
      </c>
      <c r="F1024">
        <v>7.8</v>
      </c>
      <c r="G1024">
        <v>0.78</v>
      </c>
      <c r="H1024">
        <v>31</v>
      </c>
      <c r="I1024">
        <v>3000</v>
      </c>
      <c r="J1024">
        <v>1000</v>
      </c>
      <c r="K1024" t="s">
        <v>530</v>
      </c>
      <c r="L1024" t="s">
        <v>71</v>
      </c>
      <c r="M1024" t="s">
        <v>51</v>
      </c>
      <c r="N1024" t="b">
        <v>0</v>
      </c>
      <c r="O1024" t="s">
        <v>531</v>
      </c>
    </row>
    <row r="1025" spans="1:15" ht="15" customHeight="1">
      <c r="A1025" t="s">
        <v>73</v>
      </c>
      <c r="B1025" t="s">
        <v>1610</v>
      </c>
      <c r="C1025" t="s">
        <v>129</v>
      </c>
      <c r="D1025" t="s">
        <v>130</v>
      </c>
      <c r="E1025">
        <v>11</v>
      </c>
      <c r="F1025">
        <v>4.5</v>
      </c>
      <c r="G1025">
        <v>0.41</v>
      </c>
      <c r="H1025">
        <v>11</v>
      </c>
      <c r="I1025">
        <v>5000</v>
      </c>
      <c r="J1025">
        <v>1000</v>
      </c>
      <c r="K1025" t="s">
        <v>163</v>
      </c>
      <c r="L1025" t="s">
        <v>77</v>
      </c>
      <c r="M1025" t="s">
        <v>40</v>
      </c>
      <c r="N1025" t="b">
        <v>0</v>
      </c>
      <c r="O1025" t="s">
        <v>150</v>
      </c>
    </row>
    <row r="1026" spans="1:15" ht="15" customHeight="1">
      <c r="A1026" t="s">
        <v>209</v>
      </c>
      <c r="B1026" t="s">
        <v>1611</v>
      </c>
      <c r="C1026" t="s">
        <v>129</v>
      </c>
      <c r="D1026" t="s">
        <v>130</v>
      </c>
      <c r="E1026">
        <v>8</v>
      </c>
      <c r="F1026">
        <v>7.8</v>
      </c>
      <c r="G1026">
        <v>0.97</v>
      </c>
      <c r="H1026">
        <v>8</v>
      </c>
      <c r="I1026">
        <v>5000</v>
      </c>
      <c r="J1026">
        <v>1000</v>
      </c>
      <c r="K1026" t="s">
        <v>76</v>
      </c>
      <c r="L1026" t="s">
        <v>104</v>
      </c>
      <c r="M1026" t="s">
        <v>49</v>
      </c>
      <c r="N1026" t="b">
        <v>0</v>
      </c>
      <c r="O1026" t="s">
        <v>317</v>
      </c>
    </row>
    <row r="1027" spans="1:15" ht="15" customHeight="1">
      <c r="A1027" t="s">
        <v>1321</v>
      </c>
      <c r="B1027" t="s">
        <v>1612</v>
      </c>
      <c r="C1027" t="s">
        <v>75</v>
      </c>
      <c r="D1027" t="s">
        <v>69</v>
      </c>
      <c r="E1027">
        <v>19</v>
      </c>
      <c r="F1027">
        <v>15.7</v>
      </c>
      <c r="G1027">
        <v>0.83</v>
      </c>
      <c r="H1027">
        <v>25</v>
      </c>
      <c r="I1027">
        <v>2000</v>
      </c>
      <c r="J1027">
        <v>1500</v>
      </c>
      <c r="K1027" t="s">
        <v>158</v>
      </c>
      <c r="L1027" t="s">
        <v>71</v>
      </c>
      <c r="M1027" t="s">
        <v>40</v>
      </c>
      <c r="N1027" t="b">
        <v>0</v>
      </c>
      <c r="O1027" t="s">
        <v>400</v>
      </c>
    </row>
    <row r="1028" spans="1:15" ht="15" customHeight="1">
      <c r="A1028" t="s">
        <v>691</v>
      </c>
      <c r="B1028" t="s">
        <v>1613</v>
      </c>
      <c r="C1028" t="s">
        <v>68</v>
      </c>
      <c r="D1028" t="s">
        <v>69</v>
      </c>
      <c r="E1028">
        <v>13</v>
      </c>
      <c r="F1028">
        <v>3.8</v>
      </c>
      <c r="G1028">
        <v>0.28999999999999998</v>
      </c>
      <c r="H1028">
        <v>4</v>
      </c>
      <c r="I1028">
        <v>30000</v>
      </c>
      <c r="J1028">
        <v>5000</v>
      </c>
      <c r="K1028" t="s">
        <v>95</v>
      </c>
      <c r="L1028" t="s">
        <v>100</v>
      </c>
      <c r="M1028" t="s">
        <v>47</v>
      </c>
      <c r="N1028" t="b">
        <v>0</v>
      </c>
      <c r="O1028" t="s">
        <v>97</v>
      </c>
    </row>
    <row r="1029" spans="1:15" ht="15" customHeight="1">
      <c r="A1029" t="s">
        <v>538</v>
      </c>
      <c r="B1029" t="s">
        <v>1614</v>
      </c>
      <c r="C1029" t="s">
        <v>81</v>
      </c>
      <c r="D1029" t="s">
        <v>69</v>
      </c>
      <c r="E1029">
        <v>17</v>
      </c>
      <c r="F1029">
        <v>13</v>
      </c>
      <c r="G1029">
        <v>0.76</v>
      </c>
      <c r="H1029">
        <v>21</v>
      </c>
      <c r="I1029">
        <v>10000</v>
      </c>
      <c r="J1029">
        <v>3000</v>
      </c>
      <c r="K1029" t="s">
        <v>279</v>
      </c>
      <c r="L1029" t="s">
        <v>96</v>
      </c>
      <c r="M1029" t="s">
        <v>50</v>
      </c>
      <c r="N1029" t="b">
        <v>0</v>
      </c>
      <c r="O1029" t="s">
        <v>280</v>
      </c>
    </row>
    <row r="1030" spans="1:15" ht="15" customHeight="1">
      <c r="A1030" t="s">
        <v>344</v>
      </c>
      <c r="B1030" t="s">
        <v>1615</v>
      </c>
      <c r="C1030" t="s">
        <v>81</v>
      </c>
      <c r="D1030" t="s">
        <v>69</v>
      </c>
      <c r="E1030">
        <v>12</v>
      </c>
      <c r="F1030">
        <v>3.8</v>
      </c>
      <c r="G1030">
        <v>0.32</v>
      </c>
      <c r="H1030">
        <v>8</v>
      </c>
      <c r="I1030">
        <v>10000</v>
      </c>
      <c r="J1030">
        <v>3000</v>
      </c>
      <c r="K1030" t="s">
        <v>357</v>
      </c>
      <c r="L1030" t="s">
        <v>100</v>
      </c>
      <c r="M1030" t="s">
        <v>50</v>
      </c>
      <c r="N1030" t="b">
        <v>0</v>
      </c>
      <c r="O1030" t="s">
        <v>295</v>
      </c>
    </row>
    <row r="1031" spans="1:15" ht="15" customHeight="1">
      <c r="A1031" t="s">
        <v>1188</v>
      </c>
      <c r="B1031" t="s">
        <v>1616</v>
      </c>
      <c r="C1031" t="s">
        <v>75</v>
      </c>
      <c r="D1031" t="s">
        <v>69</v>
      </c>
      <c r="E1031">
        <v>12</v>
      </c>
      <c r="F1031">
        <v>6.2</v>
      </c>
      <c r="G1031">
        <v>0.52</v>
      </c>
      <c r="H1031">
        <v>30</v>
      </c>
      <c r="I1031">
        <v>2000</v>
      </c>
      <c r="J1031">
        <v>1500</v>
      </c>
      <c r="K1031" t="s">
        <v>162</v>
      </c>
      <c r="L1031" t="s">
        <v>117</v>
      </c>
      <c r="M1031" t="s">
        <v>50</v>
      </c>
      <c r="N1031" t="b">
        <v>1</v>
      </c>
      <c r="O1031" t="s">
        <v>510</v>
      </c>
    </row>
    <row r="1032" spans="1:15" ht="15" customHeight="1">
      <c r="A1032" t="s">
        <v>609</v>
      </c>
      <c r="B1032" t="s">
        <v>1617</v>
      </c>
      <c r="C1032" t="s">
        <v>129</v>
      </c>
      <c r="D1032" t="s">
        <v>130</v>
      </c>
      <c r="E1032">
        <v>15</v>
      </c>
      <c r="F1032">
        <v>12.5</v>
      </c>
      <c r="G1032">
        <v>0.83</v>
      </c>
      <c r="H1032">
        <v>6</v>
      </c>
      <c r="I1032">
        <v>5000</v>
      </c>
      <c r="J1032">
        <v>1000</v>
      </c>
      <c r="K1032" t="s">
        <v>70</v>
      </c>
      <c r="L1032" t="s">
        <v>91</v>
      </c>
      <c r="M1032" t="s">
        <v>40</v>
      </c>
      <c r="N1032" t="b">
        <v>1</v>
      </c>
      <c r="O1032" t="s">
        <v>331</v>
      </c>
    </row>
    <row r="1033" spans="1:15" ht="15" customHeight="1">
      <c r="A1033" t="s">
        <v>285</v>
      </c>
      <c r="B1033" t="s">
        <v>1618</v>
      </c>
      <c r="C1033" t="s">
        <v>68</v>
      </c>
      <c r="D1033" t="s">
        <v>69</v>
      </c>
      <c r="E1033">
        <v>9</v>
      </c>
      <c r="F1033">
        <v>2.2000000000000002</v>
      </c>
      <c r="G1033">
        <v>0.24</v>
      </c>
      <c r="H1033">
        <v>5</v>
      </c>
      <c r="I1033">
        <v>30000</v>
      </c>
      <c r="J1033">
        <v>5000</v>
      </c>
      <c r="K1033" t="s">
        <v>112</v>
      </c>
      <c r="L1033" t="s">
        <v>77</v>
      </c>
      <c r="M1033" t="s">
        <v>45</v>
      </c>
      <c r="N1033" t="b">
        <v>0</v>
      </c>
      <c r="O1033" t="s">
        <v>113</v>
      </c>
    </row>
    <row r="1034" spans="1:15" ht="15" customHeight="1">
      <c r="A1034" t="s">
        <v>167</v>
      </c>
      <c r="B1034" t="s">
        <v>1619</v>
      </c>
      <c r="C1034" t="s">
        <v>75</v>
      </c>
      <c r="D1034" t="s">
        <v>69</v>
      </c>
      <c r="E1034">
        <v>14</v>
      </c>
      <c r="F1034">
        <v>10.5</v>
      </c>
      <c r="G1034">
        <v>0.75</v>
      </c>
      <c r="H1034">
        <v>26</v>
      </c>
      <c r="I1034">
        <v>2000</v>
      </c>
      <c r="J1034">
        <v>1500</v>
      </c>
      <c r="K1034" t="s">
        <v>298</v>
      </c>
      <c r="L1034" t="s">
        <v>104</v>
      </c>
      <c r="M1034" t="s">
        <v>49</v>
      </c>
      <c r="N1034" t="b">
        <v>0</v>
      </c>
      <c r="O1034" t="s">
        <v>299</v>
      </c>
    </row>
    <row r="1035" spans="1:15" ht="15" customHeight="1">
      <c r="A1035" t="s">
        <v>891</v>
      </c>
      <c r="B1035" t="s">
        <v>1620</v>
      </c>
      <c r="C1035" t="s">
        <v>149</v>
      </c>
      <c r="D1035" t="s">
        <v>69</v>
      </c>
      <c r="E1035">
        <v>10</v>
      </c>
      <c r="F1035">
        <v>6.9</v>
      </c>
      <c r="G1035">
        <v>0.69</v>
      </c>
      <c r="H1035">
        <v>39</v>
      </c>
      <c r="I1035">
        <v>3000</v>
      </c>
      <c r="J1035">
        <v>1000</v>
      </c>
      <c r="K1035" t="s">
        <v>257</v>
      </c>
      <c r="L1035" t="s">
        <v>77</v>
      </c>
      <c r="M1035" t="s">
        <v>48</v>
      </c>
      <c r="N1035" t="b">
        <v>0</v>
      </c>
      <c r="O1035" t="s">
        <v>258</v>
      </c>
    </row>
    <row r="1036" spans="1:15" ht="15" customHeight="1">
      <c r="A1036" t="s">
        <v>731</v>
      </c>
      <c r="B1036" t="s">
        <v>1621</v>
      </c>
      <c r="C1036" t="s">
        <v>129</v>
      </c>
      <c r="D1036" t="s">
        <v>130</v>
      </c>
      <c r="E1036">
        <v>18</v>
      </c>
      <c r="F1036">
        <v>17.2</v>
      </c>
      <c r="G1036">
        <v>0.96</v>
      </c>
      <c r="H1036">
        <v>13</v>
      </c>
      <c r="I1036">
        <v>5000</v>
      </c>
      <c r="J1036">
        <v>1000</v>
      </c>
      <c r="K1036" t="s">
        <v>313</v>
      </c>
      <c r="L1036" t="s">
        <v>117</v>
      </c>
      <c r="M1036" t="s">
        <v>44</v>
      </c>
      <c r="N1036" t="b">
        <v>1</v>
      </c>
      <c r="O1036" t="s">
        <v>314</v>
      </c>
    </row>
    <row r="1037" spans="1:15" ht="15" customHeight="1">
      <c r="A1037" t="s">
        <v>267</v>
      </c>
      <c r="B1037" t="s">
        <v>1622</v>
      </c>
      <c r="C1037" t="s">
        <v>68</v>
      </c>
      <c r="D1037" t="s">
        <v>69</v>
      </c>
      <c r="E1037">
        <v>11</v>
      </c>
      <c r="F1037">
        <v>2.2000000000000002</v>
      </c>
      <c r="G1037">
        <v>0.2</v>
      </c>
      <c r="H1037">
        <v>1</v>
      </c>
      <c r="I1037">
        <v>30000</v>
      </c>
      <c r="J1037">
        <v>5000</v>
      </c>
      <c r="K1037" t="s">
        <v>70</v>
      </c>
      <c r="L1037" t="s">
        <v>104</v>
      </c>
      <c r="M1037" t="s">
        <v>48</v>
      </c>
      <c r="N1037" t="b">
        <v>0</v>
      </c>
      <c r="O1037" t="s">
        <v>72</v>
      </c>
    </row>
    <row r="1038" spans="1:15" ht="15" customHeight="1">
      <c r="A1038" t="s">
        <v>1389</v>
      </c>
      <c r="B1038" t="s">
        <v>1623</v>
      </c>
      <c r="C1038" t="s">
        <v>149</v>
      </c>
      <c r="D1038" t="s">
        <v>69</v>
      </c>
      <c r="E1038">
        <v>8</v>
      </c>
      <c r="F1038">
        <v>7.9</v>
      </c>
      <c r="G1038">
        <v>0.99</v>
      </c>
      <c r="H1038">
        <v>22</v>
      </c>
      <c r="I1038">
        <v>3000</v>
      </c>
      <c r="J1038">
        <v>1000</v>
      </c>
      <c r="K1038" t="s">
        <v>556</v>
      </c>
      <c r="L1038" t="s">
        <v>91</v>
      </c>
      <c r="M1038" t="s">
        <v>44</v>
      </c>
      <c r="N1038" t="b">
        <v>1</v>
      </c>
      <c r="O1038" t="s">
        <v>313</v>
      </c>
    </row>
    <row r="1039" spans="1:15" ht="15" customHeight="1">
      <c r="A1039" t="s">
        <v>181</v>
      </c>
      <c r="B1039" t="s">
        <v>1624</v>
      </c>
      <c r="C1039" t="s">
        <v>68</v>
      </c>
      <c r="D1039" t="s">
        <v>69</v>
      </c>
      <c r="E1039">
        <v>12</v>
      </c>
      <c r="F1039">
        <v>0.9</v>
      </c>
      <c r="G1039">
        <v>7.0000000000000007E-2</v>
      </c>
      <c r="H1039">
        <v>1</v>
      </c>
      <c r="I1039">
        <v>30000</v>
      </c>
      <c r="J1039">
        <v>5000</v>
      </c>
      <c r="K1039" t="s">
        <v>70</v>
      </c>
      <c r="L1039" t="s">
        <v>71</v>
      </c>
      <c r="M1039" t="s">
        <v>42</v>
      </c>
      <c r="N1039" t="b">
        <v>0</v>
      </c>
      <c r="O1039" t="s">
        <v>72</v>
      </c>
    </row>
    <row r="1040" spans="1:15" ht="15" customHeight="1">
      <c r="A1040" t="s">
        <v>628</v>
      </c>
      <c r="B1040" t="s">
        <v>1625</v>
      </c>
      <c r="C1040" t="s">
        <v>149</v>
      </c>
      <c r="D1040" t="s">
        <v>69</v>
      </c>
      <c r="E1040">
        <v>12</v>
      </c>
      <c r="F1040">
        <v>6</v>
      </c>
      <c r="G1040">
        <v>0.5</v>
      </c>
      <c r="H1040">
        <v>33</v>
      </c>
      <c r="I1040">
        <v>3000</v>
      </c>
      <c r="J1040">
        <v>1000</v>
      </c>
      <c r="K1040" t="s">
        <v>169</v>
      </c>
      <c r="L1040" t="s">
        <v>96</v>
      </c>
      <c r="M1040" t="s">
        <v>40</v>
      </c>
      <c r="N1040" t="b">
        <v>0</v>
      </c>
      <c r="O1040" t="s">
        <v>702</v>
      </c>
    </row>
    <row r="1041" spans="1:15" ht="15" customHeight="1">
      <c r="A1041" t="s">
        <v>342</v>
      </c>
      <c r="B1041" t="s">
        <v>1626</v>
      </c>
      <c r="C1041" t="s">
        <v>149</v>
      </c>
      <c r="D1041" t="s">
        <v>69</v>
      </c>
      <c r="E1041">
        <v>12</v>
      </c>
      <c r="F1041">
        <v>8.4</v>
      </c>
      <c r="G1041">
        <v>0.7</v>
      </c>
      <c r="H1041">
        <v>34</v>
      </c>
      <c r="I1041">
        <v>3000</v>
      </c>
      <c r="J1041">
        <v>1000</v>
      </c>
      <c r="K1041" t="s">
        <v>433</v>
      </c>
      <c r="L1041" t="s">
        <v>71</v>
      </c>
      <c r="M1041" t="s">
        <v>46</v>
      </c>
      <c r="N1041" t="b">
        <v>0</v>
      </c>
      <c r="O1041" t="s">
        <v>434</v>
      </c>
    </row>
    <row r="1042" spans="1:15" ht="15" customHeight="1">
      <c r="A1042" t="s">
        <v>73</v>
      </c>
      <c r="B1042" t="s">
        <v>1627</v>
      </c>
      <c r="C1042" t="s">
        <v>149</v>
      </c>
      <c r="D1042" t="s">
        <v>69</v>
      </c>
      <c r="E1042">
        <v>8</v>
      </c>
      <c r="F1042">
        <v>7.5</v>
      </c>
      <c r="G1042">
        <v>0.94</v>
      </c>
      <c r="H1042">
        <v>24</v>
      </c>
      <c r="I1042">
        <v>3000</v>
      </c>
      <c r="J1042">
        <v>1000</v>
      </c>
      <c r="K1042" t="s">
        <v>490</v>
      </c>
      <c r="L1042" t="s">
        <v>77</v>
      </c>
      <c r="M1042" t="s">
        <v>40</v>
      </c>
      <c r="N1042" t="b">
        <v>0</v>
      </c>
      <c r="O1042" t="s">
        <v>491</v>
      </c>
    </row>
    <row r="1043" spans="1:15" ht="15" customHeight="1">
      <c r="A1043" t="s">
        <v>1009</v>
      </c>
      <c r="B1043" t="s">
        <v>1628</v>
      </c>
      <c r="C1043" t="s">
        <v>75</v>
      </c>
      <c r="D1043" t="s">
        <v>69</v>
      </c>
      <c r="E1043">
        <v>9</v>
      </c>
      <c r="F1043">
        <v>8.8000000000000007</v>
      </c>
      <c r="G1043">
        <v>0.98</v>
      </c>
      <c r="H1043">
        <v>9</v>
      </c>
      <c r="I1043">
        <v>2000</v>
      </c>
      <c r="J1043">
        <v>1500</v>
      </c>
      <c r="K1043" t="s">
        <v>740</v>
      </c>
      <c r="L1043" t="s">
        <v>117</v>
      </c>
      <c r="M1043" t="s">
        <v>42</v>
      </c>
      <c r="N1043" t="b">
        <v>1</v>
      </c>
      <c r="O1043" t="s">
        <v>741</v>
      </c>
    </row>
    <row r="1044" spans="1:15" ht="15" customHeight="1">
      <c r="A1044" t="s">
        <v>513</v>
      </c>
      <c r="B1044" t="s">
        <v>1629</v>
      </c>
      <c r="C1044" t="s">
        <v>129</v>
      </c>
      <c r="D1044" t="s">
        <v>130</v>
      </c>
      <c r="E1044">
        <v>11</v>
      </c>
      <c r="F1044">
        <v>8.5</v>
      </c>
      <c r="G1044">
        <v>0.77</v>
      </c>
      <c r="H1044">
        <v>8</v>
      </c>
      <c r="I1044">
        <v>5000</v>
      </c>
      <c r="J1044">
        <v>1000</v>
      </c>
      <c r="K1044" t="s">
        <v>76</v>
      </c>
      <c r="L1044" t="s">
        <v>96</v>
      </c>
      <c r="M1044" t="s">
        <v>40</v>
      </c>
      <c r="N1044" t="b">
        <v>0</v>
      </c>
      <c r="O1044" t="s">
        <v>317</v>
      </c>
    </row>
    <row r="1045" spans="1:15" ht="15" customHeight="1">
      <c r="A1045" t="s">
        <v>338</v>
      </c>
      <c r="B1045" t="s">
        <v>1630</v>
      </c>
      <c r="C1045" t="s">
        <v>81</v>
      </c>
      <c r="D1045" t="s">
        <v>69</v>
      </c>
      <c r="E1045">
        <v>8</v>
      </c>
      <c r="F1045">
        <v>3.6</v>
      </c>
      <c r="G1045">
        <v>0.45</v>
      </c>
      <c r="H1045">
        <v>27</v>
      </c>
      <c r="I1045">
        <v>10000</v>
      </c>
      <c r="J1045">
        <v>3000</v>
      </c>
      <c r="K1045" t="s">
        <v>125</v>
      </c>
      <c r="L1045" t="s">
        <v>117</v>
      </c>
      <c r="M1045" t="s">
        <v>40</v>
      </c>
      <c r="N1045" t="b">
        <v>1</v>
      </c>
      <c r="O1045" t="s">
        <v>126</v>
      </c>
    </row>
    <row r="1046" spans="1:15" ht="15" customHeight="1">
      <c r="A1046" t="s">
        <v>406</v>
      </c>
      <c r="B1046" t="s">
        <v>1631</v>
      </c>
      <c r="C1046" t="s">
        <v>75</v>
      </c>
      <c r="D1046" t="s">
        <v>69</v>
      </c>
      <c r="E1046">
        <v>17</v>
      </c>
      <c r="F1046">
        <v>13.1</v>
      </c>
      <c r="G1046">
        <v>0.77</v>
      </c>
      <c r="H1046">
        <v>17</v>
      </c>
      <c r="I1046">
        <v>2000</v>
      </c>
      <c r="J1046">
        <v>1500</v>
      </c>
      <c r="K1046" t="s">
        <v>862</v>
      </c>
      <c r="L1046" t="s">
        <v>96</v>
      </c>
      <c r="M1046" t="s">
        <v>47</v>
      </c>
      <c r="N1046" t="b">
        <v>0</v>
      </c>
      <c r="O1046" t="s">
        <v>863</v>
      </c>
    </row>
    <row r="1047" spans="1:15" ht="15" customHeight="1">
      <c r="A1047" t="s">
        <v>1480</v>
      </c>
      <c r="B1047" t="s">
        <v>1632</v>
      </c>
      <c r="C1047" t="s">
        <v>149</v>
      </c>
      <c r="D1047" t="s">
        <v>69</v>
      </c>
      <c r="E1047">
        <v>8</v>
      </c>
      <c r="F1047">
        <v>6.3</v>
      </c>
      <c r="G1047">
        <v>0.79</v>
      </c>
      <c r="H1047">
        <v>16</v>
      </c>
      <c r="I1047">
        <v>3000</v>
      </c>
      <c r="J1047">
        <v>1000</v>
      </c>
      <c r="K1047" t="s">
        <v>361</v>
      </c>
      <c r="L1047" t="s">
        <v>96</v>
      </c>
      <c r="M1047" t="s">
        <v>43</v>
      </c>
      <c r="N1047" t="b">
        <v>0</v>
      </c>
      <c r="O1047" t="s">
        <v>870</v>
      </c>
    </row>
    <row r="1048" spans="1:15" ht="15" customHeight="1">
      <c r="A1048" t="s">
        <v>334</v>
      </c>
      <c r="B1048" t="s">
        <v>1633</v>
      </c>
      <c r="C1048" t="s">
        <v>149</v>
      </c>
      <c r="D1048" t="s">
        <v>69</v>
      </c>
      <c r="E1048">
        <v>12</v>
      </c>
      <c r="F1048">
        <v>11.2</v>
      </c>
      <c r="G1048">
        <v>0.93</v>
      </c>
      <c r="H1048">
        <v>23</v>
      </c>
      <c r="I1048">
        <v>3000</v>
      </c>
      <c r="J1048">
        <v>1000</v>
      </c>
      <c r="K1048" t="s">
        <v>229</v>
      </c>
      <c r="L1048" t="s">
        <v>77</v>
      </c>
      <c r="M1048" t="s">
        <v>43</v>
      </c>
      <c r="N1048" t="b">
        <v>0</v>
      </c>
      <c r="O1048" t="s">
        <v>249</v>
      </c>
    </row>
    <row r="1049" spans="1:15" ht="15" customHeight="1">
      <c r="A1049" t="s">
        <v>1434</v>
      </c>
      <c r="B1049" t="s">
        <v>1634</v>
      </c>
      <c r="C1049" t="s">
        <v>149</v>
      </c>
      <c r="D1049" t="s">
        <v>69</v>
      </c>
      <c r="E1049">
        <v>10</v>
      </c>
      <c r="F1049">
        <v>7.4</v>
      </c>
      <c r="G1049">
        <v>0.74</v>
      </c>
      <c r="H1049">
        <v>37</v>
      </c>
      <c r="I1049">
        <v>3000</v>
      </c>
      <c r="J1049">
        <v>1000</v>
      </c>
      <c r="K1049" t="s">
        <v>672</v>
      </c>
      <c r="L1049" t="s">
        <v>77</v>
      </c>
      <c r="M1049" t="s">
        <v>42</v>
      </c>
      <c r="N1049" t="b">
        <v>0</v>
      </c>
      <c r="O1049" t="s">
        <v>134</v>
      </c>
    </row>
    <row r="1050" spans="1:15" ht="15" customHeight="1">
      <c r="A1050" t="s">
        <v>391</v>
      </c>
      <c r="B1050" t="s">
        <v>1635</v>
      </c>
      <c r="C1050" t="s">
        <v>129</v>
      </c>
      <c r="D1050" t="s">
        <v>130</v>
      </c>
      <c r="E1050">
        <v>18</v>
      </c>
      <c r="F1050">
        <v>4.0999999999999996</v>
      </c>
      <c r="G1050">
        <v>0.23</v>
      </c>
      <c r="H1050">
        <v>11</v>
      </c>
      <c r="I1050">
        <v>5000</v>
      </c>
      <c r="J1050">
        <v>1000</v>
      </c>
      <c r="K1050" t="s">
        <v>163</v>
      </c>
      <c r="L1050" t="s">
        <v>71</v>
      </c>
      <c r="M1050" t="s">
        <v>46</v>
      </c>
      <c r="N1050" t="b">
        <v>0</v>
      </c>
      <c r="O1050" t="s">
        <v>150</v>
      </c>
    </row>
    <row r="1051" spans="1:15" ht="15" customHeight="1">
      <c r="A1051" t="s">
        <v>654</v>
      </c>
      <c r="B1051" t="s">
        <v>1636</v>
      </c>
      <c r="C1051" t="s">
        <v>68</v>
      </c>
      <c r="D1051" t="s">
        <v>69</v>
      </c>
      <c r="E1051">
        <v>15</v>
      </c>
      <c r="F1051">
        <v>2.9</v>
      </c>
      <c r="G1051">
        <v>0.19</v>
      </c>
      <c r="H1051">
        <v>2</v>
      </c>
      <c r="I1051">
        <v>30000</v>
      </c>
      <c r="J1051">
        <v>5000</v>
      </c>
      <c r="K1051" t="s">
        <v>162</v>
      </c>
      <c r="L1051" t="s">
        <v>117</v>
      </c>
      <c r="M1051" t="s">
        <v>48</v>
      </c>
      <c r="N1051" t="b">
        <v>1</v>
      </c>
      <c r="O1051" t="s">
        <v>163</v>
      </c>
    </row>
    <row r="1052" spans="1:15" ht="15" customHeight="1">
      <c r="A1052" t="s">
        <v>1159</v>
      </c>
      <c r="B1052" t="s">
        <v>1637</v>
      </c>
      <c r="C1052" t="s">
        <v>129</v>
      </c>
      <c r="D1052" t="s">
        <v>130</v>
      </c>
      <c r="E1052">
        <v>14</v>
      </c>
      <c r="F1052">
        <v>6.8</v>
      </c>
      <c r="G1052">
        <v>0.49</v>
      </c>
      <c r="H1052">
        <v>11</v>
      </c>
      <c r="I1052">
        <v>5000</v>
      </c>
      <c r="J1052">
        <v>1000</v>
      </c>
      <c r="K1052" t="s">
        <v>163</v>
      </c>
      <c r="L1052" t="s">
        <v>100</v>
      </c>
      <c r="M1052" t="s">
        <v>48</v>
      </c>
      <c r="N1052" t="b">
        <v>0</v>
      </c>
      <c r="O1052" t="s">
        <v>150</v>
      </c>
    </row>
    <row r="1053" spans="1:15" ht="15" customHeight="1">
      <c r="A1053" t="s">
        <v>762</v>
      </c>
      <c r="B1053" t="s">
        <v>1638</v>
      </c>
      <c r="C1053" t="s">
        <v>75</v>
      </c>
      <c r="D1053" t="s">
        <v>69</v>
      </c>
      <c r="E1053">
        <v>12</v>
      </c>
      <c r="F1053">
        <v>9.5</v>
      </c>
      <c r="G1053">
        <v>0.79</v>
      </c>
      <c r="H1053">
        <v>28</v>
      </c>
      <c r="I1053">
        <v>2000</v>
      </c>
      <c r="J1053">
        <v>1500</v>
      </c>
      <c r="K1053" t="s">
        <v>262</v>
      </c>
      <c r="L1053" t="s">
        <v>100</v>
      </c>
      <c r="M1053" t="s">
        <v>44</v>
      </c>
      <c r="N1053" t="b">
        <v>0</v>
      </c>
      <c r="O1053" t="s">
        <v>289</v>
      </c>
    </row>
    <row r="1054" spans="1:15" ht="15" customHeight="1">
      <c r="A1054" t="s">
        <v>1248</v>
      </c>
      <c r="B1054" t="s">
        <v>1639</v>
      </c>
      <c r="C1054" t="s">
        <v>81</v>
      </c>
      <c r="D1054" t="s">
        <v>69</v>
      </c>
      <c r="E1054">
        <v>10</v>
      </c>
      <c r="F1054">
        <v>4.8</v>
      </c>
      <c r="G1054">
        <v>0.48</v>
      </c>
      <c r="H1054">
        <v>25</v>
      </c>
      <c r="I1054">
        <v>10000</v>
      </c>
      <c r="J1054">
        <v>3000</v>
      </c>
      <c r="K1054" t="s">
        <v>138</v>
      </c>
      <c r="L1054" t="s">
        <v>96</v>
      </c>
      <c r="M1054" t="s">
        <v>50</v>
      </c>
      <c r="N1054" t="b">
        <v>0</v>
      </c>
      <c r="O1054" t="s">
        <v>139</v>
      </c>
    </row>
    <row r="1055" spans="1:15" ht="15" customHeight="1">
      <c r="A1055" t="s">
        <v>534</v>
      </c>
      <c r="B1055" t="s">
        <v>1640</v>
      </c>
      <c r="C1055" t="s">
        <v>129</v>
      </c>
      <c r="D1055" t="s">
        <v>130</v>
      </c>
      <c r="E1055">
        <v>17</v>
      </c>
      <c r="F1055">
        <v>8</v>
      </c>
      <c r="G1055">
        <v>0.47</v>
      </c>
      <c r="H1055">
        <v>11</v>
      </c>
      <c r="I1055">
        <v>5000</v>
      </c>
      <c r="J1055">
        <v>1000</v>
      </c>
      <c r="K1055" t="s">
        <v>163</v>
      </c>
      <c r="L1055" t="s">
        <v>71</v>
      </c>
      <c r="M1055" t="s">
        <v>51</v>
      </c>
      <c r="N1055" t="b">
        <v>0</v>
      </c>
      <c r="O1055" t="s">
        <v>150</v>
      </c>
    </row>
    <row r="1056" spans="1:15" ht="15" customHeight="1">
      <c r="A1056" t="s">
        <v>609</v>
      </c>
      <c r="B1056" t="s">
        <v>1641</v>
      </c>
      <c r="C1056" t="s">
        <v>75</v>
      </c>
      <c r="D1056" t="s">
        <v>69</v>
      </c>
      <c r="E1056">
        <v>12</v>
      </c>
      <c r="F1056">
        <v>7.1</v>
      </c>
      <c r="G1056">
        <v>0.59</v>
      </c>
      <c r="H1056">
        <v>26</v>
      </c>
      <c r="I1056">
        <v>2000</v>
      </c>
      <c r="J1056">
        <v>1500</v>
      </c>
      <c r="K1056" t="s">
        <v>298</v>
      </c>
      <c r="L1056" t="s">
        <v>91</v>
      </c>
      <c r="M1056" t="s">
        <v>40</v>
      </c>
      <c r="N1056" t="b">
        <v>1</v>
      </c>
      <c r="O1056" t="s">
        <v>299</v>
      </c>
    </row>
    <row r="1057" spans="1:15" ht="15" customHeight="1">
      <c r="A1057" t="s">
        <v>475</v>
      </c>
      <c r="B1057" t="s">
        <v>1642</v>
      </c>
      <c r="C1057" t="s">
        <v>129</v>
      </c>
      <c r="D1057" t="s">
        <v>130</v>
      </c>
      <c r="E1057">
        <v>10</v>
      </c>
      <c r="F1057">
        <v>5.2</v>
      </c>
      <c r="G1057">
        <v>0.52</v>
      </c>
      <c r="H1057">
        <v>23</v>
      </c>
      <c r="I1057">
        <v>5000</v>
      </c>
      <c r="J1057">
        <v>1000</v>
      </c>
      <c r="K1057" t="s">
        <v>97</v>
      </c>
      <c r="L1057" t="s">
        <v>91</v>
      </c>
      <c r="M1057" t="s">
        <v>47</v>
      </c>
      <c r="N1057" t="b">
        <v>1</v>
      </c>
      <c r="O1057" t="s">
        <v>220</v>
      </c>
    </row>
    <row r="1058" spans="1:15" ht="15" customHeight="1">
      <c r="A1058" t="s">
        <v>723</v>
      </c>
      <c r="B1058" t="s">
        <v>1643</v>
      </c>
      <c r="C1058" t="s">
        <v>129</v>
      </c>
      <c r="D1058" t="s">
        <v>130</v>
      </c>
      <c r="E1058">
        <v>12</v>
      </c>
      <c r="F1058">
        <v>3</v>
      </c>
      <c r="G1058">
        <v>0.25</v>
      </c>
      <c r="H1058">
        <v>25</v>
      </c>
      <c r="I1058">
        <v>5000</v>
      </c>
      <c r="J1058">
        <v>1000</v>
      </c>
      <c r="K1058" t="s">
        <v>245</v>
      </c>
      <c r="L1058" t="s">
        <v>77</v>
      </c>
      <c r="M1058" t="s">
        <v>50</v>
      </c>
      <c r="N1058" t="b">
        <v>0</v>
      </c>
      <c r="O1058" t="s">
        <v>246</v>
      </c>
    </row>
    <row r="1059" spans="1:15" ht="15" customHeight="1">
      <c r="A1059" t="s">
        <v>1321</v>
      </c>
      <c r="B1059" t="s">
        <v>1644</v>
      </c>
      <c r="C1059" t="s">
        <v>129</v>
      </c>
      <c r="D1059" t="s">
        <v>130</v>
      </c>
      <c r="E1059">
        <v>15</v>
      </c>
      <c r="F1059">
        <v>9.6</v>
      </c>
      <c r="G1059">
        <v>0.64</v>
      </c>
      <c r="H1059">
        <v>16</v>
      </c>
      <c r="I1059">
        <v>5000</v>
      </c>
      <c r="J1059">
        <v>1000</v>
      </c>
      <c r="K1059" t="s">
        <v>357</v>
      </c>
      <c r="L1059" t="s">
        <v>71</v>
      </c>
      <c r="M1059" t="s">
        <v>40</v>
      </c>
      <c r="N1059" t="b">
        <v>0</v>
      </c>
      <c r="O1059" t="s">
        <v>456</v>
      </c>
    </row>
    <row r="1060" spans="1:15" ht="15" customHeight="1">
      <c r="A1060" t="s">
        <v>1411</v>
      </c>
      <c r="B1060" t="s">
        <v>1645</v>
      </c>
      <c r="C1060" t="s">
        <v>129</v>
      </c>
      <c r="D1060" t="s">
        <v>130</v>
      </c>
      <c r="E1060">
        <v>20</v>
      </c>
      <c r="F1060">
        <v>11.4</v>
      </c>
      <c r="G1060">
        <v>0.56999999999999995</v>
      </c>
      <c r="H1060">
        <v>30</v>
      </c>
      <c r="I1060">
        <v>5000</v>
      </c>
      <c r="J1060">
        <v>1000</v>
      </c>
      <c r="K1060" t="s">
        <v>112</v>
      </c>
      <c r="L1060" t="s">
        <v>77</v>
      </c>
      <c r="M1060" t="s">
        <v>48</v>
      </c>
      <c r="N1060" t="b">
        <v>0</v>
      </c>
      <c r="O1060" t="s">
        <v>195</v>
      </c>
    </row>
    <row r="1061" spans="1:15" ht="15" customHeight="1">
      <c r="A1061" t="s">
        <v>243</v>
      </c>
      <c r="B1061" t="s">
        <v>1646</v>
      </c>
      <c r="C1061" t="s">
        <v>81</v>
      </c>
      <c r="D1061" t="s">
        <v>69</v>
      </c>
      <c r="E1061">
        <v>18</v>
      </c>
      <c r="F1061">
        <v>12.6</v>
      </c>
      <c r="G1061">
        <v>0.7</v>
      </c>
      <c r="H1061">
        <v>27</v>
      </c>
      <c r="I1061">
        <v>10000</v>
      </c>
      <c r="J1061">
        <v>3000</v>
      </c>
      <c r="K1061" t="s">
        <v>125</v>
      </c>
      <c r="L1061" t="s">
        <v>117</v>
      </c>
      <c r="M1061" t="s">
        <v>40</v>
      </c>
      <c r="N1061" t="b">
        <v>1</v>
      </c>
      <c r="O1061" t="s">
        <v>126</v>
      </c>
    </row>
    <row r="1062" spans="1:15" ht="15" customHeight="1">
      <c r="A1062" t="s">
        <v>421</v>
      </c>
      <c r="B1062" t="s">
        <v>1647</v>
      </c>
      <c r="C1062" t="s">
        <v>149</v>
      </c>
      <c r="D1062" t="s">
        <v>69</v>
      </c>
      <c r="E1062">
        <v>12</v>
      </c>
      <c r="F1062">
        <v>7.5</v>
      </c>
      <c r="G1062">
        <v>0.62</v>
      </c>
      <c r="H1062">
        <v>15</v>
      </c>
      <c r="I1062">
        <v>3000</v>
      </c>
      <c r="J1062">
        <v>1000</v>
      </c>
      <c r="K1062" t="s">
        <v>438</v>
      </c>
      <c r="L1062" t="s">
        <v>71</v>
      </c>
      <c r="M1062" t="s">
        <v>47</v>
      </c>
      <c r="N1062" t="b">
        <v>0</v>
      </c>
      <c r="O1062" t="s">
        <v>90</v>
      </c>
    </row>
    <row r="1063" spans="1:15" ht="15" customHeight="1">
      <c r="A1063" t="s">
        <v>744</v>
      </c>
      <c r="B1063" t="s">
        <v>1648</v>
      </c>
      <c r="C1063" t="s">
        <v>129</v>
      </c>
      <c r="D1063" t="s">
        <v>130</v>
      </c>
      <c r="E1063">
        <v>20</v>
      </c>
      <c r="F1063">
        <v>10.8</v>
      </c>
      <c r="G1063">
        <v>0.54</v>
      </c>
      <c r="H1063">
        <v>17</v>
      </c>
      <c r="I1063">
        <v>5000</v>
      </c>
      <c r="J1063">
        <v>1000</v>
      </c>
      <c r="K1063" t="s">
        <v>109</v>
      </c>
      <c r="L1063" t="s">
        <v>117</v>
      </c>
      <c r="M1063" t="s">
        <v>42</v>
      </c>
      <c r="N1063" t="b">
        <v>1</v>
      </c>
      <c r="O1063" t="s">
        <v>176</v>
      </c>
    </row>
    <row r="1064" spans="1:15" ht="15" customHeight="1">
      <c r="A1064" t="s">
        <v>187</v>
      </c>
      <c r="B1064" t="s">
        <v>1649</v>
      </c>
      <c r="C1064" t="s">
        <v>68</v>
      </c>
      <c r="D1064" t="s">
        <v>69</v>
      </c>
      <c r="E1064">
        <v>8</v>
      </c>
      <c r="F1064">
        <v>3.9</v>
      </c>
      <c r="G1064">
        <v>0.49</v>
      </c>
      <c r="H1064">
        <v>4</v>
      </c>
      <c r="I1064">
        <v>30000</v>
      </c>
      <c r="J1064">
        <v>5000</v>
      </c>
      <c r="K1064" t="s">
        <v>95</v>
      </c>
      <c r="L1064" t="s">
        <v>100</v>
      </c>
      <c r="M1064" t="s">
        <v>40</v>
      </c>
      <c r="N1064" t="b">
        <v>0</v>
      </c>
      <c r="O1064" t="s">
        <v>97</v>
      </c>
    </row>
    <row r="1065" spans="1:15" ht="15" customHeight="1">
      <c r="A1065" t="s">
        <v>592</v>
      </c>
      <c r="B1065" t="s">
        <v>1650</v>
      </c>
      <c r="C1065" t="s">
        <v>149</v>
      </c>
      <c r="D1065" t="s">
        <v>69</v>
      </c>
      <c r="E1065">
        <v>8</v>
      </c>
      <c r="F1065">
        <v>7.6</v>
      </c>
      <c r="G1065">
        <v>0.95</v>
      </c>
      <c r="H1065">
        <v>28</v>
      </c>
      <c r="I1065">
        <v>3000</v>
      </c>
      <c r="J1065">
        <v>1000</v>
      </c>
      <c r="K1065" t="s">
        <v>176</v>
      </c>
      <c r="L1065" t="s">
        <v>91</v>
      </c>
      <c r="M1065" t="s">
        <v>51</v>
      </c>
      <c r="N1065" t="b">
        <v>1</v>
      </c>
      <c r="O1065" t="s">
        <v>177</v>
      </c>
    </row>
    <row r="1066" spans="1:15" ht="15" customHeight="1">
      <c r="A1066" t="s">
        <v>790</v>
      </c>
      <c r="B1066" t="s">
        <v>1651</v>
      </c>
      <c r="C1066" t="s">
        <v>75</v>
      </c>
      <c r="D1066" t="s">
        <v>69</v>
      </c>
      <c r="E1066">
        <v>16</v>
      </c>
      <c r="F1066">
        <v>6.2</v>
      </c>
      <c r="G1066">
        <v>0.39</v>
      </c>
      <c r="H1066">
        <v>25</v>
      </c>
      <c r="I1066">
        <v>2000</v>
      </c>
      <c r="J1066">
        <v>1500</v>
      </c>
      <c r="K1066" t="s">
        <v>158</v>
      </c>
      <c r="L1066" t="s">
        <v>71</v>
      </c>
      <c r="M1066" t="s">
        <v>48</v>
      </c>
      <c r="N1066" t="b">
        <v>0</v>
      </c>
      <c r="O1066" t="s">
        <v>400</v>
      </c>
    </row>
    <row r="1067" spans="1:15" ht="15" customHeight="1">
      <c r="A1067" t="s">
        <v>460</v>
      </c>
      <c r="B1067" t="s">
        <v>1652</v>
      </c>
      <c r="C1067" t="s">
        <v>81</v>
      </c>
      <c r="D1067" t="s">
        <v>69</v>
      </c>
      <c r="E1067">
        <v>8</v>
      </c>
      <c r="F1067">
        <v>5.2</v>
      </c>
      <c r="G1067">
        <v>0.65</v>
      </c>
      <c r="H1067">
        <v>14</v>
      </c>
      <c r="I1067">
        <v>10000</v>
      </c>
      <c r="J1067">
        <v>3000</v>
      </c>
      <c r="K1067" t="s">
        <v>116</v>
      </c>
      <c r="L1067" t="s">
        <v>77</v>
      </c>
      <c r="M1067" t="s">
        <v>41</v>
      </c>
      <c r="N1067" t="b">
        <v>0</v>
      </c>
      <c r="O1067" t="s">
        <v>118</v>
      </c>
    </row>
    <row r="1068" spans="1:15" ht="15" customHeight="1">
      <c r="A1068" t="s">
        <v>580</v>
      </c>
      <c r="B1068" t="s">
        <v>1653</v>
      </c>
      <c r="C1068" t="s">
        <v>81</v>
      </c>
      <c r="D1068" t="s">
        <v>69</v>
      </c>
      <c r="E1068">
        <v>19</v>
      </c>
      <c r="F1068">
        <v>14.5</v>
      </c>
      <c r="G1068">
        <v>0.76</v>
      </c>
      <c r="H1068">
        <v>14</v>
      </c>
      <c r="I1068">
        <v>10000</v>
      </c>
      <c r="J1068">
        <v>3000</v>
      </c>
      <c r="K1068" t="s">
        <v>116</v>
      </c>
      <c r="L1068" t="s">
        <v>96</v>
      </c>
      <c r="M1068" t="s">
        <v>43</v>
      </c>
      <c r="N1068" t="b">
        <v>0</v>
      </c>
      <c r="O1068" t="s">
        <v>118</v>
      </c>
    </row>
    <row r="1069" spans="1:15" ht="15" customHeight="1">
      <c r="A1069" t="s">
        <v>338</v>
      </c>
      <c r="B1069" t="s">
        <v>1654</v>
      </c>
      <c r="C1069" t="s">
        <v>149</v>
      </c>
      <c r="D1069" t="s">
        <v>69</v>
      </c>
      <c r="E1069">
        <v>9</v>
      </c>
      <c r="F1069">
        <v>6.3</v>
      </c>
      <c r="G1069">
        <v>0.7</v>
      </c>
      <c r="H1069">
        <v>29</v>
      </c>
      <c r="I1069">
        <v>3000</v>
      </c>
      <c r="J1069">
        <v>1000</v>
      </c>
      <c r="K1069" t="s">
        <v>303</v>
      </c>
      <c r="L1069" t="s">
        <v>117</v>
      </c>
      <c r="M1069" t="s">
        <v>40</v>
      </c>
      <c r="N1069" t="b">
        <v>1</v>
      </c>
      <c r="O1069" t="s">
        <v>323</v>
      </c>
    </row>
    <row r="1070" spans="1:15" ht="15" customHeight="1">
      <c r="A1070" t="s">
        <v>744</v>
      </c>
      <c r="B1070" t="s">
        <v>1655</v>
      </c>
      <c r="C1070" t="s">
        <v>81</v>
      </c>
      <c r="D1070" t="s">
        <v>69</v>
      </c>
      <c r="E1070">
        <v>20</v>
      </c>
      <c r="F1070">
        <v>5.6</v>
      </c>
      <c r="G1070">
        <v>0.28000000000000003</v>
      </c>
      <c r="H1070">
        <v>24</v>
      </c>
      <c r="I1070">
        <v>10000</v>
      </c>
      <c r="J1070">
        <v>3000</v>
      </c>
      <c r="K1070" t="s">
        <v>306</v>
      </c>
      <c r="L1070" t="s">
        <v>117</v>
      </c>
      <c r="M1070" t="s">
        <v>42</v>
      </c>
      <c r="N1070" t="b">
        <v>1</v>
      </c>
      <c r="O1070" t="s">
        <v>307</v>
      </c>
    </row>
    <row r="1071" spans="1:15" ht="15" customHeight="1">
      <c r="A1071" t="s">
        <v>147</v>
      </c>
      <c r="B1071" t="s">
        <v>1656</v>
      </c>
      <c r="C1071" t="s">
        <v>129</v>
      </c>
      <c r="D1071" t="s">
        <v>130</v>
      </c>
      <c r="E1071">
        <v>14</v>
      </c>
      <c r="F1071">
        <v>7.3</v>
      </c>
      <c r="G1071">
        <v>0.52</v>
      </c>
      <c r="H1071">
        <v>22</v>
      </c>
      <c r="I1071">
        <v>5000</v>
      </c>
      <c r="J1071">
        <v>1000</v>
      </c>
      <c r="K1071" t="s">
        <v>134</v>
      </c>
      <c r="L1071" t="s">
        <v>100</v>
      </c>
      <c r="M1071" t="s">
        <v>43</v>
      </c>
      <c r="N1071" t="b">
        <v>0</v>
      </c>
      <c r="O1071" t="s">
        <v>135</v>
      </c>
    </row>
    <row r="1072" spans="1:15" ht="15" customHeight="1">
      <c r="A1072" t="s">
        <v>1657</v>
      </c>
      <c r="B1072" t="s">
        <v>1658</v>
      </c>
      <c r="C1072" t="s">
        <v>75</v>
      </c>
      <c r="D1072" t="s">
        <v>69</v>
      </c>
      <c r="E1072">
        <v>20</v>
      </c>
      <c r="F1072">
        <v>6.1</v>
      </c>
      <c r="G1072">
        <v>0.3</v>
      </c>
      <c r="H1072">
        <v>7</v>
      </c>
      <c r="I1072">
        <v>2000</v>
      </c>
      <c r="J1072">
        <v>1500</v>
      </c>
      <c r="K1072" t="s">
        <v>241</v>
      </c>
      <c r="L1072" t="s">
        <v>91</v>
      </c>
      <c r="M1072" t="s">
        <v>46</v>
      </c>
      <c r="N1072" t="b">
        <v>1</v>
      </c>
      <c r="O1072" t="s">
        <v>242</v>
      </c>
    </row>
    <row r="1073" spans="1:15" ht="15" customHeight="1">
      <c r="A1073" t="s">
        <v>349</v>
      </c>
      <c r="B1073" t="s">
        <v>1659</v>
      </c>
      <c r="C1073" t="s">
        <v>149</v>
      </c>
      <c r="D1073" t="s">
        <v>69</v>
      </c>
      <c r="E1073">
        <v>8</v>
      </c>
      <c r="F1073">
        <v>7.3</v>
      </c>
      <c r="G1073">
        <v>0.91</v>
      </c>
      <c r="H1073">
        <v>26</v>
      </c>
      <c r="I1073">
        <v>3000</v>
      </c>
      <c r="J1073">
        <v>1000</v>
      </c>
      <c r="K1073" t="s">
        <v>294</v>
      </c>
      <c r="L1073" t="s">
        <v>100</v>
      </c>
      <c r="M1073" t="s">
        <v>41</v>
      </c>
      <c r="N1073" t="b">
        <v>0</v>
      </c>
      <c r="O1073" t="s">
        <v>295</v>
      </c>
    </row>
    <row r="1074" spans="1:15" ht="15" customHeight="1">
      <c r="A1074" t="s">
        <v>1012</v>
      </c>
      <c r="B1074" t="s">
        <v>1660</v>
      </c>
      <c r="C1074" t="s">
        <v>149</v>
      </c>
      <c r="D1074" t="s">
        <v>69</v>
      </c>
      <c r="E1074">
        <v>11</v>
      </c>
      <c r="F1074">
        <v>6.5</v>
      </c>
      <c r="G1074">
        <v>0.59</v>
      </c>
      <c r="H1074">
        <v>16</v>
      </c>
      <c r="I1074">
        <v>3000</v>
      </c>
      <c r="J1074">
        <v>1000</v>
      </c>
      <c r="K1074" t="s">
        <v>361</v>
      </c>
      <c r="L1074" t="s">
        <v>96</v>
      </c>
      <c r="M1074" t="s">
        <v>41</v>
      </c>
      <c r="N1074" t="b">
        <v>0</v>
      </c>
      <c r="O1074" t="s">
        <v>870</v>
      </c>
    </row>
    <row r="1075" spans="1:15" ht="15" customHeight="1">
      <c r="A1075" t="s">
        <v>725</v>
      </c>
      <c r="B1075" t="s">
        <v>1661</v>
      </c>
      <c r="C1075" t="s">
        <v>81</v>
      </c>
      <c r="D1075" t="s">
        <v>69</v>
      </c>
      <c r="E1075">
        <v>17</v>
      </c>
      <c r="F1075">
        <v>3.6</v>
      </c>
      <c r="G1075">
        <v>0.21</v>
      </c>
      <c r="H1075">
        <v>6</v>
      </c>
      <c r="I1075">
        <v>10000</v>
      </c>
      <c r="J1075">
        <v>3000</v>
      </c>
      <c r="K1075" t="s">
        <v>162</v>
      </c>
      <c r="L1075" t="s">
        <v>117</v>
      </c>
      <c r="M1075" t="s">
        <v>50</v>
      </c>
      <c r="N1075" t="b">
        <v>1</v>
      </c>
      <c r="O1075" t="s">
        <v>198</v>
      </c>
    </row>
    <row r="1076" spans="1:15" ht="15" customHeight="1">
      <c r="A1076" t="s">
        <v>450</v>
      </c>
      <c r="B1076" t="s">
        <v>1662</v>
      </c>
      <c r="C1076" t="s">
        <v>75</v>
      </c>
      <c r="D1076" t="s">
        <v>69</v>
      </c>
      <c r="E1076">
        <v>17</v>
      </c>
      <c r="F1076">
        <v>14</v>
      </c>
      <c r="G1076">
        <v>0.82</v>
      </c>
      <c r="H1076">
        <v>19</v>
      </c>
      <c r="I1076">
        <v>2000</v>
      </c>
      <c r="J1076">
        <v>1500</v>
      </c>
      <c r="K1076" t="s">
        <v>408</v>
      </c>
      <c r="L1076" t="s">
        <v>117</v>
      </c>
      <c r="M1076" t="s">
        <v>49</v>
      </c>
      <c r="N1076" t="b">
        <v>1</v>
      </c>
      <c r="O1076" t="s">
        <v>409</v>
      </c>
    </row>
    <row r="1077" spans="1:15" ht="15" customHeight="1">
      <c r="A1077" t="s">
        <v>1379</v>
      </c>
      <c r="B1077" t="s">
        <v>1663</v>
      </c>
      <c r="C1077" t="s">
        <v>129</v>
      </c>
      <c r="D1077" t="s">
        <v>130</v>
      </c>
      <c r="E1077">
        <v>12</v>
      </c>
      <c r="F1077">
        <v>4.8</v>
      </c>
      <c r="G1077">
        <v>0.4</v>
      </c>
      <c r="H1077">
        <v>8</v>
      </c>
      <c r="I1077">
        <v>5000</v>
      </c>
      <c r="J1077">
        <v>1000</v>
      </c>
      <c r="K1077" t="s">
        <v>76</v>
      </c>
      <c r="L1077" t="s">
        <v>117</v>
      </c>
      <c r="M1077" t="s">
        <v>46</v>
      </c>
      <c r="N1077" t="b">
        <v>1</v>
      </c>
      <c r="O1077" t="s">
        <v>317</v>
      </c>
    </row>
    <row r="1078" spans="1:15" ht="15" customHeight="1">
      <c r="A1078" t="s">
        <v>123</v>
      </c>
      <c r="B1078" t="s">
        <v>1664</v>
      </c>
      <c r="C1078" t="s">
        <v>149</v>
      </c>
      <c r="D1078" t="s">
        <v>69</v>
      </c>
      <c r="E1078">
        <v>9</v>
      </c>
      <c r="F1078">
        <v>8.6999999999999993</v>
      </c>
      <c r="G1078">
        <v>0.97</v>
      </c>
      <c r="H1078">
        <v>28</v>
      </c>
      <c r="I1078">
        <v>3000</v>
      </c>
      <c r="J1078">
        <v>1000</v>
      </c>
      <c r="K1078" t="s">
        <v>176</v>
      </c>
      <c r="L1078" t="s">
        <v>91</v>
      </c>
      <c r="M1078" t="s">
        <v>42</v>
      </c>
      <c r="N1078" t="b">
        <v>1</v>
      </c>
      <c r="O1078" t="s">
        <v>177</v>
      </c>
    </row>
    <row r="1079" spans="1:15" ht="15" customHeight="1">
      <c r="A1079" t="s">
        <v>416</v>
      </c>
      <c r="B1079" t="s">
        <v>1665</v>
      </c>
      <c r="C1079" t="s">
        <v>68</v>
      </c>
      <c r="D1079" t="s">
        <v>69</v>
      </c>
      <c r="E1079">
        <v>13</v>
      </c>
      <c r="F1079">
        <v>2.4</v>
      </c>
      <c r="G1079">
        <v>0.18</v>
      </c>
      <c r="H1079">
        <v>2</v>
      </c>
      <c r="I1079">
        <v>30000</v>
      </c>
      <c r="J1079">
        <v>5000</v>
      </c>
      <c r="K1079" t="s">
        <v>162</v>
      </c>
      <c r="L1079" t="s">
        <v>77</v>
      </c>
      <c r="M1079" t="s">
        <v>44</v>
      </c>
      <c r="N1079" t="b">
        <v>0</v>
      </c>
      <c r="O1079" t="s">
        <v>163</v>
      </c>
    </row>
    <row r="1080" spans="1:15" ht="15" customHeight="1">
      <c r="A1080" t="s">
        <v>1166</v>
      </c>
      <c r="B1080" t="s">
        <v>1666</v>
      </c>
      <c r="C1080" t="s">
        <v>129</v>
      </c>
      <c r="D1080" t="s">
        <v>130</v>
      </c>
      <c r="E1080">
        <v>11</v>
      </c>
      <c r="F1080">
        <v>3.4</v>
      </c>
      <c r="G1080">
        <v>0.31</v>
      </c>
      <c r="H1080">
        <v>24</v>
      </c>
      <c r="I1080">
        <v>5000</v>
      </c>
      <c r="J1080">
        <v>1000</v>
      </c>
      <c r="K1080" t="s">
        <v>95</v>
      </c>
      <c r="L1080" t="s">
        <v>96</v>
      </c>
      <c r="M1080" t="s">
        <v>46</v>
      </c>
      <c r="N1080" t="b">
        <v>0</v>
      </c>
      <c r="O1080" t="s">
        <v>217</v>
      </c>
    </row>
    <row r="1081" spans="1:15" ht="15" customHeight="1">
      <c r="A1081" t="s">
        <v>218</v>
      </c>
      <c r="B1081" t="s">
        <v>1667</v>
      </c>
      <c r="C1081" t="s">
        <v>68</v>
      </c>
      <c r="D1081" t="s">
        <v>69</v>
      </c>
      <c r="E1081">
        <v>10</v>
      </c>
      <c r="F1081">
        <v>2.8</v>
      </c>
      <c r="G1081">
        <v>0.28000000000000003</v>
      </c>
      <c r="H1081">
        <v>4</v>
      </c>
      <c r="I1081">
        <v>30000</v>
      </c>
      <c r="J1081">
        <v>5000</v>
      </c>
      <c r="K1081" t="s">
        <v>95</v>
      </c>
      <c r="L1081" t="s">
        <v>77</v>
      </c>
      <c r="M1081" t="s">
        <v>45</v>
      </c>
      <c r="N1081" t="b">
        <v>0</v>
      </c>
      <c r="O1081" t="s">
        <v>97</v>
      </c>
    </row>
    <row r="1082" spans="1:15" ht="15" customHeight="1">
      <c r="A1082" t="s">
        <v>475</v>
      </c>
      <c r="B1082" t="s">
        <v>1668</v>
      </c>
      <c r="C1082" t="s">
        <v>75</v>
      </c>
      <c r="D1082" t="s">
        <v>69</v>
      </c>
      <c r="E1082">
        <v>11</v>
      </c>
      <c r="F1082">
        <v>7.6</v>
      </c>
      <c r="G1082">
        <v>0.69</v>
      </c>
      <c r="H1082">
        <v>28</v>
      </c>
      <c r="I1082">
        <v>2000</v>
      </c>
      <c r="J1082">
        <v>1500</v>
      </c>
      <c r="K1082" t="s">
        <v>262</v>
      </c>
      <c r="L1082" t="s">
        <v>91</v>
      </c>
      <c r="M1082" t="s">
        <v>47</v>
      </c>
      <c r="N1082" t="b">
        <v>1</v>
      </c>
      <c r="O1082" t="s">
        <v>289</v>
      </c>
    </row>
    <row r="1083" spans="1:15" ht="15" customHeight="1">
      <c r="A1083" t="s">
        <v>946</v>
      </c>
      <c r="B1083" t="s">
        <v>1669</v>
      </c>
      <c r="C1083" t="s">
        <v>81</v>
      </c>
      <c r="D1083" t="s">
        <v>69</v>
      </c>
      <c r="E1083">
        <v>14</v>
      </c>
      <c r="F1083">
        <v>11</v>
      </c>
      <c r="G1083">
        <v>0.79</v>
      </c>
      <c r="H1083">
        <v>29</v>
      </c>
      <c r="I1083">
        <v>10000</v>
      </c>
      <c r="J1083">
        <v>3000</v>
      </c>
      <c r="K1083" t="s">
        <v>603</v>
      </c>
      <c r="L1083" t="s">
        <v>100</v>
      </c>
      <c r="M1083" t="s">
        <v>51</v>
      </c>
      <c r="N1083" t="b">
        <v>0</v>
      </c>
      <c r="O1083" t="s">
        <v>604</v>
      </c>
    </row>
    <row r="1084" spans="1:15" ht="15" customHeight="1">
      <c r="A1084" t="s">
        <v>1436</v>
      </c>
      <c r="B1084" t="s">
        <v>1670</v>
      </c>
      <c r="C1084" t="s">
        <v>149</v>
      </c>
      <c r="D1084" t="s">
        <v>69</v>
      </c>
      <c r="E1084">
        <v>9</v>
      </c>
      <c r="F1084">
        <v>8.4</v>
      </c>
      <c r="G1084">
        <v>0.93</v>
      </c>
      <c r="H1084">
        <v>26</v>
      </c>
      <c r="I1084">
        <v>3000</v>
      </c>
      <c r="J1084">
        <v>1000</v>
      </c>
      <c r="K1084" t="s">
        <v>294</v>
      </c>
      <c r="L1084" t="s">
        <v>91</v>
      </c>
      <c r="M1084" t="s">
        <v>48</v>
      </c>
      <c r="N1084" t="b">
        <v>1</v>
      </c>
      <c r="O1084" t="s">
        <v>295</v>
      </c>
    </row>
    <row r="1085" spans="1:15" ht="15" customHeight="1">
      <c r="A1085" t="s">
        <v>1086</v>
      </c>
      <c r="B1085" t="s">
        <v>1671</v>
      </c>
      <c r="C1085" t="s">
        <v>68</v>
      </c>
      <c r="D1085" t="s">
        <v>69</v>
      </c>
      <c r="E1085">
        <v>10</v>
      </c>
      <c r="F1085">
        <v>3.6</v>
      </c>
      <c r="G1085">
        <v>0.36</v>
      </c>
      <c r="H1085">
        <v>1</v>
      </c>
      <c r="I1085">
        <v>30000</v>
      </c>
      <c r="J1085">
        <v>5000</v>
      </c>
      <c r="K1085" t="s">
        <v>70</v>
      </c>
      <c r="L1085" t="s">
        <v>71</v>
      </c>
      <c r="M1085" t="s">
        <v>44</v>
      </c>
      <c r="N1085" t="b">
        <v>0</v>
      </c>
      <c r="O1085" t="s">
        <v>72</v>
      </c>
    </row>
    <row r="1086" spans="1:15" ht="15" customHeight="1">
      <c r="A1086" t="s">
        <v>1672</v>
      </c>
      <c r="B1086" t="s">
        <v>1673</v>
      </c>
      <c r="C1086" t="s">
        <v>68</v>
      </c>
      <c r="D1086" t="s">
        <v>69</v>
      </c>
      <c r="E1086">
        <v>9</v>
      </c>
      <c r="F1086">
        <v>3.7</v>
      </c>
      <c r="G1086">
        <v>0.41</v>
      </c>
      <c r="H1086">
        <v>4</v>
      </c>
      <c r="I1086">
        <v>30000</v>
      </c>
      <c r="J1086">
        <v>5000</v>
      </c>
      <c r="K1086" t="s">
        <v>95</v>
      </c>
      <c r="L1086" t="s">
        <v>117</v>
      </c>
      <c r="M1086" t="s">
        <v>43</v>
      </c>
      <c r="N1086" t="b">
        <v>1</v>
      </c>
      <c r="O1086" t="s">
        <v>97</v>
      </c>
    </row>
    <row r="1087" spans="1:15" ht="15" customHeight="1">
      <c r="A1087" t="s">
        <v>402</v>
      </c>
      <c r="B1087" t="s">
        <v>1674</v>
      </c>
      <c r="C1087" t="s">
        <v>129</v>
      </c>
      <c r="D1087" t="s">
        <v>130</v>
      </c>
      <c r="E1087">
        <v>15</v>
      </c>
      <c r="F1087">
        <v>12.2</v>
      </c>
      <c r="G1087">
        <v>0.81</v>
      </c>
      <c r="H1087">
        <v>9</v>
      </c>
      <c r="I1087">
        <v>5000</v>
      </c>
      <c r="J1087">
        <v>1000</v>
      </c>
      <c r="K1087" t="s">
        <v>438</v>
      </c>
      <c r="L1087" t="s">
        <v>71</v>
      </c>
      <c r="M1087" t="s">
        <v>41</v>
      </c>
      <c r="N1087" t="b">
        <v>0</v>
      </c>
      <c r="O1087" t="s">
        <v>90</v>
      </c>
    </row>
    <row r="1088" spans="1:15" ht="15" customHeight="1">
      <c r="A1088" t="s">
        <v>101</v>
      </c>
      <c r="B1088" t="s">
        <v>1675</v>
      </c>
      <c r="C1088" t="s">
        <v>129</v>
      </c>
      <c r="D1088" t="s">
        <v>130</v>
      </c>
      <c r="E1088">
        <v>9</v>
      </c>
      <c r="F1088">
        <v>8.3000000000000007</v>
      </c>
      <c r="G1088">
        <v>0.92</v>
      </c>
      <c r="H1088">
        <v>18</v>
      </c>
      <c r="I1088">
        <v>5000</v>
      </c>
      <c r="J1088">
        <v>1000</v>
      </c>
      <c r="K1088" t="s">
        <v>108</v>
      </c>
      <c r="L1088" t="s">
        <v>104</v>
      </c>
      <c r="M1088" t="s">
        <v>41</v>
      </c>
      <c r="N1088" t="b">
        <v>0</v>
      </c>
      <c r="O1088" t="s">
        <v>166</v>
      </c>
    </row>
    <row r="1089" spans="1:15" ht="15" customHeight="1">
      <c r="A1089" t="s">
        <v>557</v>
      </c>
      <c r="B1089" t="s">
        <v>1676</v>
      </c>
      <c r="C1089" t="s">
        <v>75</v>
      </c>
      <c r="D1089" t="s">
        <v>69</v>
      </c>
      <c r="E1089">
        <v>17</v>
      </c>
      <c r="F1089">
        <v>6.1</v>
      </c>
      <c r="G1089">
        <v>0.36</v>
      </c>
      <c r="H1089">
        <v>11</v>
      </c>
      <c r="I1089">
        <v>2000</v>
      </c>
      <c r="J1089">
        <v>1500</v>
      </c>
      <c r="K1089" t="s">
        <v>689</v>
      </c>
      <c r="L1089" t="s">
        <v>91</v>
      </c>
      <c r="M1089" t="s">
        <v>50</v>
      </c>
      <c r="N1089" t="b">
        <v>1</v>
      </c>
      <c r="O1089" t="s">
        <v>690</v>
      </c>
    </row>
    <row r="1090" spans="1:15" ht="15" customHeight="1">
      <c r="A1090" t="s">
        <v>744</v>
      </c>
      <c r="B1090" t="s">
        <v>1677</v>
      </c>
      <c r="C1090" t="s">
        <v>81</v>
      </c>
      <c r="D1090" t="s">
        <v>69</v>
      </c>
      <c r="E1090">
        <v>20</v>
      </c>
      <c r="F1090">
        <v>16.8</v>
      </c>
      <c r="G1090">
        <v>0.84</v>
      </c>
      <c r="H1090">
        <v>27</v>
      </c>
      <c r="I1090">
        <v>10000</v>
      </c>
      <c r="J1090">
        <v>3000</v>
      </c>
      <c r="K1090" t="s">
        <v>125</v>
      </c>
      <c r="L1090" t="s">
        <v>117</v>
      </c>
      <c r="M1090" t="s">
        <v>42</v>
      </c>
      <c r="N1090" t="b">
        <v>1</v>
      </c>
      <c r="O1090" t="s">
        <v>126</v>
      </c>
    </row>
    <row r="1091" spans="1:15" ht="15" customHeight="1">
      <c r="A1091" t="s">
        <v>624</v>
      </c>
      <c r="B1091" t="s">
        <v>1678</v>
      </c>
      <c r="C1091" t="s">
        <v>81</v>
      </c>
      <c r="D1091" t="s">
        <v>69</v>
      </c>
      <c r="E1091">
        <v>10</v>
      </c>
      <c r="F1091">
        <v>9.3000000000000007</v>
      </c>
      <c r="G1091">
        <v>0.93</v>
      </c>
      <c r="H1091">
        <v>30</v>
      </c>
      <c r="I1091">
        <v>10000</v>
      </c>
      <c r="J1091">
        <v>3000</v>
      </c>
      <c r="K1091" t="s">
        <v>185</v>
      </c>
      <c r="L1091" t="s">
        <v>91</v>
      </c>
      <c r="M1091" t="s">
        <v>45</v>
      </c>
      <c r="N1091" t="b">
        <v>1</v>
      </c>
      <c r="O1091" t="s">
        <v>186</v>
      </c>
    </row>
    <row r="1092" spans="1:15" ht="15" customHeight="1">
      <c r="A1092" t="s">
        <v>367</v>
      </c>
      <c r="B1092" t="s">
        <v>1679</v>
      </c>
      <c r="C1092" t="s">
        <v>81</v>
      </c>
      <c r="D1092" t="s">
        <v>69</v>
      </c>
      <c r="E1092">
        <v>17</v>
      </c>
      <c r="F1092">
        <v>5</v>
      </c>
      <c r="G1092">
        <v>0.28999999999999998</v>
      </c>
      <c r="H1092">
        <v>21</v>
      </c>
      <c r="I1092">
        <v>10000</v>
      </c>
      <c r="J1092">
        <v>3000</v>
      </c>
      <c r="K1092" t="s">
        <v>279</v>
      </c>
      <c r="L1092" t="s">
        <v>71</v>
      </c>
      <c r="M1092" t="s">
        <v>51</v>
      </c>
      <c r="N1092" t="b">
        <v>0</v>
      </c>
      <c r="O1092" t="s">
        <v>280</v>
      </c>
    </row>
    <row r="1093" spans="1:15" ht="15" customHeight="1">
      <c r="A1093" t="s">
        <v>334</v>
      </c>
      <c r="B1093" t="s">
        <v>1680</v>
      </c>
      <c r="C1093" t="s">
        <v>129</v>
      </c>
      <c r="D1093" t="s">
        <v>130</v>
      </c>
      <c r="E1093">
        <v>14</v>
      </c>
      <c r="F1093">
        <v>13.4</v>
      </c>
      <c r="G1093">
        <v>0.96</v>
      </c>
      <c r="H1093">
        <v>8</v>
      </c>
      <c r="I1093">
        <v>5000</v>
      </c>
      <c r="J1093">
        <v>1000</v>
      </c>
      <c r="K1093" t="s">
        <v>76</v>
      </c>
      <c r="L1093" t="s">
        <v>77</v>
      </c>
      <c r="M1093" t="s">
        <v>43</v>
      </c>
      <c r="N1093" t="b">
        <v>0</v>
      </c>
      <c r="O1093" t="s">
        <v>317</v>
      </c>
    </row>
    <row r="1094" spans="1:15" ht="15" customHeight="1">
      <c r="A1094" t="s">
        <v>235</v>
      </c>
      <c r="B1094" t="s">
        <v>1681</v>
      </c>
      <c r="C1094" t="s">
        <v>129</v>
      </c>
      <c r="D1094" t="s">
        <v>130</v>
      </c>
      <c r="E1094">
        <v>16</v>
      </c>
      <c r="F1094">
        <v>4</v>
      </c>
      <c r="G1094">
        <v>0.25</v>
      </c>
      <c r="H1094">
        <v>24</v>
      </c>
      <c r="I1094">
        <v>5000</v>
      </c>
      <c r="J1094">
        <v>1000</v>
      </c>
      <c r="K1094" t="s">
        <v>95</v>
      </c>
      <c r="L1094" t="s">
        <v>91</v>
      </c>
      <c r="M1094" t="s">
        <v>45</v>
      </c>
      <c r="N1094" t="b">
        <v>1</v>
      </c>
      <c r="O1094" t="s">
        <v>217</v>
      </c>
    </row>
    <row r="1095" spans="1:15" ht="15" customHeight="1">
      <c r="A1095" t="s">
        <v>1278</v>
      </c>
      <c r="B1095" t="s">
        <v>1682</v>
      </c>
      <c r="C1095" t="s">
        <v>68</v>
      </c>
      <c r="D1095" t="s">
        <v>69</v>
      </c>
      <c r="E1095">
        <v>11</v>
      </c>
      <c r="F1095">
        <v>3.4</v>
      </c>
      <c r="G1095">
        <v>0.31</v>
      </c>
      <c r="H1095">
        <v>2</v>
      </c>
      <c r="I1095">
        <v>30000</v>
      </c>
      <c r="J1095">
        <v>5000</v>
      </c>
      <c r="K1095" t="s">
        <v>162</v>
      </c>
      <c r="L1095" t="s">
        <v>77</v>
      </c>
      <c r="M1095" t="s">
        <v>50</v>
      </c>
      <c r="N1095" t="b">
        <v>0</v>
      </c>
      <c r="O1095" t="s">
        <v>163</v>
      </c>
    </row>
    <row r="1096" spans="1:15" ht="15" customHeight="1">
      <c r="A1096" t="s">
        <v>1231</v>
      </c>
      <c r="B1096" t="s">
        <v>1683</v>
      </c>
      <c r="C1096" t="s">
        <v>75</v>
      </c>
      <c r="D1096" t="s">
        <v>69</v>
      </c>
      <c r="E1096">
        <v>8</v>
      </c>
      <c r="F1096">
        <v>6.3</v>
      </c>
      <c r="G1096">
        <v>0.79</v>
      </c>
      <c r="H1096">
        <v>18</v>
      </c>
      <c r="I1096">
        <v>2000</v>
      </c>
      <c r="J1096">
        <v>1500</v>
      </c>
      <c r="K1096" t="s">
        <v>225</v>
      </c>
      <c r="L1096" t="s">
        <v>91</v>
      </c>
      <c r="M1096" t="s">
        <v>51</v>
      </c>
      <c r="N1096" t="b">
        <v>1</v>
      </c>
      <c r="O1096" t="s">
        <v>226</v>
      </c>
    </row>
    <row r="1097" spans="1:15" ht="15" customHeight="1">
      <c r="A1097" t="s">
        <v>946</v>
      </c>
      <c r="B1097" t="s">
        <v>1684</v>
      </c>
      <c r="C1097" t="s">
        <v>81</v>
      </c>
      <c r="D1097" t="s">
        <v>69</v>
      </c>
      <c r="E1097">
        <v>20</v>
      </c>
      <c r="F1097">
        <v>11.1</v>
      </c>
      <c r="G1097">
        <v>0.55000000000000004</v>
      </c>
      <c r="H1097">
        <v>30</v>
      </c>
      <c r="I1097">
        <v>10000</v>
      </c>
      <c r="J1097">
        <v>3000</v>
      </c>
      <c r="K1097" t="s">
        <v>185</v>
      </c>
      <c r="L1097" t="s">
        <v>100</v>
      </c>
      <c r="M1097" t="s">
        <v>51</v>
      </c>
      <c r="N1097" t="b">
        <v>0</v>
      </c>
      <c r="O1097" t="s">
        <v>186</v>
      </c>
    </row>
    <row r="1098" spans="1:15" ht="15" customHeight="1">
      <c r="A1098" t="s">
        <v>1248</v>
      </c>
      <c r="B1098" t="s">
        <v>1685</v>
      </c>
      <c r="C1098" t="s">
        <v>75</v>
      </c>
      <c r="D1098" t="s">
        <v>69</v>
      </c>
      <c r="E1098">
        <v>15</v>
      </c>
      <c r="F1098">
        <v>8.4</v>
      </c>
      <c r="G1098">
        <v>0.56000000000000005</v>
      </c>
      <c r="H1098">
        <v>17</v>
      </c>
      <c r="I1098">
        <v>2000</v>
      </c>
      <c r="J1098">
        <v>1500</v>
      </c>
      <c r="K1098" t="s">
        <v>862</v>
      </c>
      <c r="L1098" t="s">
        <v>96</v>
      </c>
      <c r="M1098" t="s">
        <v>50</v>
      </c>
      <c r="N1098" t="b">
        <v>0</v>
      </c>
      <c r="O1098" t="s">
        <v>863</v>
      </c>
    </row>
    <row r="1099" spans="1:15" ht="15" customHeight="1">
      <c r="A1099" t="s">
        <v>814</v>
      </c>
      <c r="B1099" t="s">
        <v>1686</v>
      </c>
      <c r="C1099" t="s">
        <v>129</v>
      </c>
      <c r="D1099" t="s">
        <v>130</v>
      </c>
      <c r="E1099">
        <v>13</v>
      </c>
      <c r="F1099">
        <v>6.2</v>
      </c>
      <c r="G1099">
        <v>0.48</v>
      </c>
      <c r="H1099">
        <v>17</v>
      </c>
      <c r="I1099">
        <v>5000</v>
      </c>
      <c r="J1099">
        <v>1000</v>
      </c>
      <c r="K1099" t="s">
        <v>109</v>
      </c>
      <c r="L1099" t="s">
        <v>71</v>
      </c>
      <c r="M1099" t="s">
        <v>45</v>
      </c>
      <c r="N1099" t="b">
        <v>0</v>
      </c>
      <c r="O1099" t="s">
        <v>176</v>
      </c>
    </row>
    <row r="1100" spans="1:15" ht="15" customHeight="1">
      <c r="A1100" t="s">
        <v>636</v>
      </c>
      <c r="B1100" t="s">
        <v>1687</v>
      </c>
      <c r="C1100" t="s">
        <v>75</v>
      </c>
      <c r="D1100" t="s">
        <v>69</v>
      </c>
      <c r="E1100">
        <v>13</v>
      </c>
      <c r="F1100">
        <v>10.3</v>
      </c>
      <c r="G1100">
        <v>0.79</v>
      </c>
      <c r="H1100">
        <v>29</v>
      </c>
      <c r="I1100">
        <v>2000</v>
      </c>
      <c r="J1100">
        <v>1500</v>
      </c>
      <c r="K1100" t="s">
        <v>519</v>
      </c>
      <c r="L1100" t="s">
        <v>77</v>
      </c>
      <c r="M1100" t="s">
        <v>46</v>
      </c>
      <c r="N1100" t="b">
        <v>0</v>
      </c>
      <c r="O1100" t="s">
        <v>520</v>
      </c>
    </row>
    <row r="1101" spans="1:15" ht="15" customHeight="1">
      <c r="A1101" t="s">
        <v>458</v>
      </c>
      <c r="B1101" t="s">
        <v>1688</v>
      </c>
      <c r="C1101" t="s">
        <v>149</v>
      </c>
      <c r="D1101" t="s">
        <v>69</v>
      </c>
      <c r="E1101">
        <v>10</v>
      </c>
      <c r="F1101">
        <v>6</v>
      </c>
      <c r="G1101">
        <v>0.6</v>
      </c>
      <c r="H1101">
        <v>34</v>
      </c>
      <c r="I1101">
        <v>3000</v>
      </c>
      <c r="J1101">
        <v>1000</v>
      </c>
      <c r="K1101" t="s">
        <v>433</v>
      </c>
      <c r="L1101" t="s">
        <v>77</v>
      </c>
      <c r="M1101" t="s">
        <v>41</v>
      </c>
      <c r="N1101" t="b">
        <v>0</v>
      </c>
      <c r="O1101" t="s">
        <v>434</v>
      </c>
    </row>
    <row r="1102" spans="1:15" ht="15" customHeight="1">
      <c r="A1102" t="s">
        <v>156</v>
      </c>
      <c r="B1102" t="s">
        <v>1689</v>
      </c>
      <c r="C1102" t="s">
        <v>129</v>
      </c>
      <c r="D1102" t="s">
        <v>130</v>
      </c>
      <c r="E1102">
        <v>16</v>
      </c>
      <c r="F1102">
        <v>7.4</v>
      </c>
      <c r="G1102">
        <v>0.46</v>
      </c>
      <c r="H1102">
        <v>10</v>
      </c>
      <c r="I1102">
        <v>5000</v>
      </c>
      <c r="J1102">
        <v>1000</v>
      </c>
      <c r="K1102" t="s">
        <v>158</v>
      </c>
      <c r="L1102" t="s">
        <v>77</v>
      </c>
      <c r="M1102" t="s">
        <v>47</v>
      </c>
      <c r="N1102" t="b">
        <v>0</v>
      </c>
      <c r="O1102" t="s">
        <v>159</v>
      </c>
    </row>
    <row r="1103" spans="1:15" ht="15" customHeight="1">
      <c r="A1103" t="s">
        <v>447</v>
      </c>
      <c r="B1103" t="s">
        <v>1690</v>
      </c>
      <c r="C1103" t="s">
        <v>149</v>
      </c>
      <c r="D1103" t="s">
        <v>69</v>
      </c>
      <c r="E1103">
        <v>8</v>
      </c>
      <c r="F1103">
        <v>6.9</v>
      </c>
      <c r="G1103">
        <v>0.86</v>
      </c>
      <c r="H1103">
        <v>19</v>
      </c>
      <c r="I1103">
        <v>3000</v>
      </c>
      <c r="J1103">
        <v>1000</v>
      </c>
      <c r="K1103" t="s">
        <v>198</v>
      </c>
      <c r="L1103" t="s">
        <v>71</v>
      </c>
      <c r="M1103" t="s">
        <v>44</v>
      </c>
      <c r="N1103" t="b">
        <v>0</v>
      </c>
      <c r="O1103" t="s">
        <v>262</v>
      </c>
    </row>
    <row r="1104" spans="1:15" ht="15" customHeight="1">
      <c r="A1104" t="s">
        <v>825</v>
      </c>
      <c r="B1104" t="s">
        <v>1691</v>
      </c>
      <c r="C1104" t="s">
        <v>129</v>
      </c>
      <c r="D1104" t="s">
        <v>130</v>
      </c>
      <c r="E1104">
        <v>8</v>
      </c>
      <c r="F1104">
        <v>5.3</v>
      </c>
      <c r="G1104">
        <v>0.66</v>
      </c>
      <c r="H1104">
        <v>7</v>
      </c>
      <c r="I1104">
        <v>5000</v>
      </c>
      <c r="J1104">
        <v>1000</v>
      </c>
      <c r="K1104" t="s">
        <v>1135</v>
      </c>
      <c r="L1104" t="s">
        <v>104</v>
      </c>
      <c r="M1104" t="s">
        <v>40</v>
      </c>
      <c r="N1104" t="b">
        <v>0</v>
      </c>
      <c r="O1104" t="s">
        <v>862</v>
      </c>
    </row>
    <row r="1105" spans="1:15" ht="15" customHeight="1">
      <c r="A1105" t="s">
        <v>1329</v>
      </c>
      <c r="B1105" t="s">
        <v>1692</v>
      </c>
      <c r="C1105" t="s">
        <v>75</v>
      </c>
      <c r="D1105" t="s">
        <v>69</v>
      </c>
      <c r="E1105">
        <v>17</v>
      </c>
      <c r="F1105">
        <v>12.2</v>
      </c>
      <c r="G1105">
        <v>0.72</v>
      </c>
      <c r="H1105">
        <v>19</v>
      </c>
      <c r="I1105">
        <v>2000</v>
      </c>
      <c r="J1105">
        <v>1500</v>
      </c>
      <c r="K1105" t="s">
        <v>408</v>
      </c>
      <c r="L1105" t="s">
        <v>104</v>
      </c>
      <c r="M1105" t="s">
        <v>51</v>
      </c>
      <c r="N1105" t="b">
        <v>0</v>
      </c>
      <c r="O1105" t="s">
        <v>409</v>
      </c>
    </row>
    <row r="1106" spans="1:15" ht="15" customHeight="1">
      <c r="A1106" t="s">
        <v>687</v>
      </c>
      <c r="B1106" t="s">
        <v>1693</v>
      </c>
      <c r="C1106" t="s">
        <v>81</v>
      </c>
      <c r="D1106" t="s">
        <v>69</v>
      </c>
      <c r="E1106">
        <v>18</v>
      </c>
      <c r="F1106">
        <v>4.5</v>
      </c>
      <c r="G1106">
        <v>0.25</v>
      </c>
      <c r="H1106">
        <v>22</v>
      </c>
      <c r="I1106">
        <v>10000</v>
      </c>
      <c r="J1106">
        <v>3000</v>
      </c>
      <c r="K1106" t="s">
        <v>548</v>
      </c>
      <c r="L1106" t="s">
        <v>96</v>
      </c>
      <c r="M1106" t="s">
        <v>45</v>
      </c>
      <c r="N1106" t="b">
        <v>0</v>
      </c>
      <c r="O1106" t="s">
        <v>549</v>
      </c>
    </row>
    <row r="1107" spans="1:15" ht="15" customHeight="1">
      <c r="A1107" t="s">
        <v>565</v>
      </c>
      <c r="B1107" t="s">
        <v>1694</v>
      </c>
      <c r="C1107" t="s">
        <v>149</v>
      </c>
      <c r="D1107" t="s">
        <v>69</v>
      </c>
      <c r="E1107">
        <v>12</v>
      </c>
      <c r="F1107">
        <v>8.6</v>
      </c>
      <c r="G1107">
        <v>0.72</v>
      </c>
      <c r="H1107">
        <v>16</v>
      </c>
      <c r="I1107">
        <v>3000</v>
      </c>
      <c r="J1107">
        <v>1000</v>
      </c>
      <c r="K1107" t="s">
        <v>361</v>
      </c>
      <c r="L1107" t="s">
        <v>96</v>
      </c>
      <c r="M1107" t="s">
        <v>42</v>
      </c>
      <c r="N1107" t="b">
        <v>0</v>
      </c>
      <c r="O1107" t="s">
        <v>870</v>
      </c>
    </row>
    <row r="1108" spans="1:15" ht="15" customHeight="1">
      <c r="A1108" t="s">
        <v>232</v>
      </c>
      <c r="B1108" t="s">
        <v>1695</v>
      </c>
      <c r="C1108" t="s">
        <v>75</v>
      </c>
      <c r="D1108" t="s">
        <v>69</v>
      </c>
      <c r="E1108">
        <v>10</v>
      </c>
      <c r="F1108">
        <v>6.9</v>
      </c>
      <c r="G1108">
        <v>0.69</v>
      </c>
      <c r="H1108">
        <v>8</v>
      </c>
      <c r="I1108">
        <v>2000</v>
      </c>
      <c r="J1108">
        <v>1500</v>
      </c>
      <c r="K1108" t="s">
        <v>275</v>
      </c>
      <c r="L1108" t="s">
        <v>91</v>
      </c>
      <c r="M1108" t="s">
        <v>45</v>
      </c>
      <c r="N1108" t="b">
        <v>1</v>
      </c>
      <c r="O1108" t="s">
        <v>276</v>
      </c>
    </row>
    <row r="1109" spans="1:15" ht="15" customHeight="1">
      <c r="A1109" t="s">
        <v>781</v>
      </c>
      <c r="B1109" t="s">
        <v>1696</v>
      </c>
      <c r="C1109" t="s">
        <v>81</v>
      </c>
      <c r="D1109" t="s">
        <v>69</v>
      </c>
      <c r="E1109">
        <v>19</v>
      </c>
      <c r="F1109">
        <v>10.1</v>
      </c>
      <c r="G1109">
        <v>0.53</v>
      </c>
      <c r="H1109">
        <v>10</v>
      </c>
      <c r="I1109">
        <v>10000</v>
      </c>
      <c r="J1109">
        <v>3000</v>
      </c>
      <c r="K1109" t="s">
        <v>103</v>
      </c>
      <c r="L1109" t="s">
        <v>96</v>
      </c>
      <c r="M1109" t="s">
        <v>45</v>
      </c>
      <c r="N1109" t="b">
        <v>0</v>
      </c>
      <c r="O1109" t="s">
        <v>105</v>
      </c>
    </row>
    <row r="1110" spans="1:15" ht="15" customHeight="1">
      <c r="A1110" t="s">
        <v>1371</v>
      </c>
      <c r="B1110" t="s">
        <v>1697</v>
      </c>
      <c r="C1110" t="s">
        <v>129</v>
      </c>
      <c r="D1110" t="s">
        <v>130</v>
      </c>
      <c r="E1110">
        <v>19</v>
      </c>
      <c r="F1110">
        <v>14.2</v>
      </c>
      <c r="G1110">
        <v>0.75</v>
      </c>
      <c r="H1110">
        <v>13</v>
      </c>
      <c r="I1110">
        <v>5000</v>
      </c>
      <c r="J1110">
        <v>1000</v>
      </c>
      <c r="K1110" t="s">
        <v>313</v>
      </c>
      <c r="L1110" t="s">
        <v>104</v>
      </c>
      <c r="M1110" t="s">
        <v>43</v>
      </c>
      <c r="N1110" t="b">
        <v>0</v>
      </c>
      <c r="O1110" t="s">
        <v>314</v>
      </c>
    </row>
    <row r="1111" spans="1:15" ht="15" customHeight="1">
      <c r="A1111" t="s">
        <v>680</v>
      </c>
      <c r="B1111" t="s">
        <v>1698</v>
      </c>
      <c r="C1111" t="s">
        <v>68</v>
      </c>
      <c r="D1111" t="s">
        <v>69</v>
      </c>
      <c r="E1111">
        <v>9</v>
      </c>
      <c r="F1111">
        <v>0.6</v>
      </c>
      <c r="G1111">
        <v>7.0000000000000007E-2</v>
      </c>
      <c r="H1111">
        <v>5</v>
      </c>
      <c r="I1111">
        <v>30000</v>
      </c>
      <c r="J1111">
        <v>5000</v>
      </c>
      <c r="K1111" t="s">
        <v>112</v>
      </c>
      <c r="L1111" t="s">
        <v>100</v>
      </c>
      <c r="M1111" t="s">
        <v>40</v>
      </c>
      <c r="N1111" t="b">
        <v>0</v>
      </c>
      <c r="O1111" t="s">
        <v>113</v>
      </c>
    </row>
    <row r="1112" spans="1:15" ht="15" customHeight="1">
      <c r="A1112" t="s">
        <v>477</v>
      </c>
      <c r="B1112" t="s">
        <v>1699</v>
      </c>
      <c r="C1112" t="s">
        <v>68</v>
      </c>
      <c r="D1112" t="s">
        <v>69</v>
      </c>
      <c r="E1112">
        <v>13</v>
      </c>
      <c r="F1112">
        <v>4</v>
      </c>
      <c r="G1112">
        <v>0.31</v>
      </c>
      <c r="H1112">
        <v>4</v>
      </c>
      <c r="I1112">
        <v>30000</v>
      </c>
      <c r="J1112">
        <v>5000</v>
      </c>
      <c r="K1112" t="s">
        <v>95</v>
      </c>
      <c r="L1112" t="s">
        <v>71</v>
      </c>
      <c r="M1112" t="s">
        <v>42</v>
      </c>
      <c r="N1112" t="b">
        <v>0</v>
      </c>
      <c r="O1112" t="s">
        <v>97</v>
      </c>
    </row>
    <row r="1113" spans="1:15" ht="15" customHeight="1">
      <c r="A1113" t="s">
        <v>748</v>
      </c>
      <c r="B1113" t="s">
        <v>1700</v>
      </c>
      <c r="C1113" t="s">
        <v>81</v>
      </c>
      <c r="D1113" t="s">
        <v>69</v>
      </c>
      <c r="E1113">
        <v>11</v>
      </c>
      <c r="F1113">
        <v>7.7</v>
      </c>
      <c r="G1113">
        <v>0.7</v>
      </c>
      <c r="H1113">
        <v>25</v>
      </c>
      <c r="I1113">
        <v>10000</v>
      </c>
      <c r="J1113">
        <v>3000</v>
      </c>
      <c r="K1113" t="s">
        <v>138</v>
      </c>
      <c r="L1113" t="s">
        <v>117</v>
      </c>
      <c r="M1113" t="s">
        <v>42</v>
      </c>
      <c r="N1113" t="b">
        <v>1</v>
      </c>
      <c r="O1113" t="s">
        <v>139</v>
      </c>
    </row>
    <row r="1114" spans="1:15" ht="15" customHeight="1">
      <c r="A1114" t="s">
        <v>127</v>
      </c>
      <c r="B1114" t="s">
        <v>1701</v>
      </c>
      <c r="C1114" t="s">
        <v>75</v>
      </c>
      <c r="D1114" t="s">
        <v>69</v>
      </c>
      <c r="E1114">
        <v>14</v>
      </c>
      <c r="F1114">
        <v>3.1</v>
      </c>
      <c r="G1114">
        <v>0.22</v>
      </c>
      <c r="H1114">
        <v>6</v>
      </c>
      <c r="I1114">
        <v>2000</v>
      </c>
      <c r="J1114">
        <v>1500</v>
      </c>
      <c r="K1114" t="s">
        <v>269</v>
      </c>
      <c r="L1114" t="s">
        <v>117</v>
      </c>
      <c r="M1114" t="s">
        <v>44</v>
      </c>
      <c r="N1114" t="b">
        <v>1</v>
      </c>
      <c r="O1114" t="s">
        <v>270</v>
      </c>
    </row>
    <row r="1115" spans="1:15" ht="15" customHeight="1">
      <c r="A1115" t="s">
        <v>144</v>
      </c>
      <c r="B1115" t="s">
        <v>1702</v>
      </c>
      <c r="C1115" t="s">
        <v>75</v>
      </c>
      <c r="D1115" t="s">
        <v>69</v>
      </c>
      <c r="E1115">
        <v>14</v>
      </c>
      <c r="F1115">
        <v>13.9</v>
      </c>
      <c r="G1115">
        <v>0.99</v>
      </c>
      <c r="H1115">
        <v>19</v>
      </c>
      <c r="I1115">
        <v>2000</v>
      </c>
      <c r="J1115">
        <v>1500</v>
      </c>
      <c r="K1115" t="s">
        <v>408</v>
      </c>
      <c r="L1115" t="s">
        <v>100</v>
      </c>
      <c r="M1115" t="s">
        <v>44</v>
      </c>
      <c r="N1115" t="b">
        <v>0</v>
      </c>
      <c r="O1115" t="s">
        <v>409</v>
      </c>
    </row>
    <row r="1116" spans="1:15" ht="15" customHeight="1">
      <c r="A1116" t="s">
        <v>359</v>
      </c>
      <c r="B1116" t="s">
        <v>1703</v>
      </c>
      <c r="C1116" t="s">
        <v>149</v>
      </c>
      <c r="D1116" t="s">
        <v>69</v>
      </c>
      <c r="E1116">
        <v>9</v>
      </c>
      <c r="F1116">
        <v>6.5</v>
      </c>
      <c r="G1116">
        <v>0.72</v>
      </c>
      <c r="H1116">
        <v>19</v>
      </c>
      <c r="I1116">
        <v>3000</v>
      </c>
      <c r="J1116">
        <v>1000</v>
      </c>
      <c r="K1116" t="s">
        <v>198</v>
      </c>
      <c r="L1116" t="s">
        <v>117</v>
      </c>
      <c r="M1116" t="s">
        <v>47</v>
      </c>
      <c r="N1116" t="b">
        <v>1</v>
      </c>
      <c r="O1116" t="s">
        <v>262</v>
      </c>
    </row>
    <row r="1117" spans="1:15" ht="15" customHeight="1">
      <c r="A1117" t="s">
        <v>347</v>
      </c>
      <c r="B1117" t="s">
        <v>1704</v>
      </c>
      <c r="C1117" t="s">
        <v>75</v>
      </c>
      <c r="D1117" t="s">
        <v>69</v>
      </c>
      <c r="E1117">
        <v>10</v>
      </c>
      <c r="F1117">
        <v>3.8</v>
      </c>
      <c r="G1117">
        <v>0.38</v>
      </c>
      <c r="H1117">
        <v>25</v>
      </c>
      <c r="I1117">
        <v>2000</v>
      </c>
      <c r="J1117">
        <v>1500</v>
      </c>
      <c r="K1117" t="s">
        <v>158</v>
      </c>
      <c r="L1117" t="s">
        <v>104</v>
      </c>
      <c r="M1117" t="s">
        <v>42</v>
      </c>
      <c r="N1117" t="b">
        <v>0</v>
      </c>
      <c r="O1117" t="s">
        <v>400</v>
      </c>
    </row>
    <row r="1118" spans="1:15" ht="15" customHeight="1">
      <c r="A1118" t="s">
        <v>1705</v>
      </c>
      <c r="B1118" t="s">
        <v>1706</v>
      </c>
      <c r="C1118" t="s">
        <v>68</v>
      </c>
      <c r="D1118" t="s">
        <v>69</v>
      </c>
      <c r="E1118">
        <v>11</v>
      </c>
      <c r="F1118">
        <v>2.4</v>
      </c>
      <c r="G1118">
        <v>0.22</v>
      </c>
      <c r="H1118">
        <v>3</v>
      </c>
      <c r="I1118">
        <v>30000</v>
      </c>
      <c r="J1118">
        <v>5000</v>
      </c>
      <c r="K1118" t="s">
        <v>108</v>
      </c>
      <c r="L1118" t="s">
        <v>100</v>
      </c>
      <c r="M1118" t="s">
        <v>43</v>
      </c>
      <c r="N1118" t="b">
        <v>0</v>
      </c>
      <c r="O1118" t="s">
        <v>109</v>
      </c>
    </row>
    <row r="1119" spans="1:15" ht="15" customHeight="1">
      <c r="A1119" t="s">
        <v>1308</v>
      </c>
      <c r="B1119" t="s">
        <v>1707</v>
      </c>
      <c r="C1119" t="s">
        <v>75</v>
      </c>
      <c r="D1119" t="s">
        <v>69</v>
      </c>
      <c r="E1119">
        <v>14</v>
      </c>
      <c r="F1119">
        <v>9.4</v>
      </c>
      <c r="G1119">
        <v>0.67</v>
      </c>
      <c r="H1119">
        <v>9</v>
      </c>
      <c r="I1119">
        <v>2000</v>
      </c>
      <c r="J1119">
        <v>1500</v>
      </c>
      <c r="K1119" t="s">
        <v>740</v>
      </c>
      <c r="L1119" t="s">
        <v>91</v>
      </c>
      <c r="M1119" t="s">
        <v>44</v>
      </c>
      <c r="N1119" t="b">
        <v>1</v>
      </c>
      <c r="O1119" t="s">
        <v>741</v>
      </c>
    </row>
    <row r="1120" spans="1:15" ht="15" customHeight="1">
      <c r="A1120" t="s">
        <v>933</v>
      </c>
      <c r="B1120" t="s">
        <v>1708</v>
      </c>
      <c r="C1120" t="s">
        <v>149</v>
      </c>
      <c r="D1120" t="s">
        <v>69</v>
      </c>
      <c r="E1120">
        <v>8</v>
      </c>
      <c r="F1120">
        <v>7.9</v>
      </c>
      <c r="G1120">
        <v>0.99</v>
      </c>
      <c r="H1120">
        <v>29</v>
      </c>
      <c r="I1120">
        <v>3000</v>
      </c>
      <c r="J1120">
        <v>1000</v>
      </c>
      <c r="K1120" t="s">
        <v>303</v>
      </c>
      <c r="L1120" t="s">
        <v>71</v>
      </c>
      <c r="M1120" t="s">
        <v>46</v>
      </c>
      <c r="N1120" t="b">
        <v>0</v>
      </c>
      <c r="O1120" t="s">
        <v>323</v>
      </c>
    </row>
    <row r="1121" spans="1:15" ht="15" customHeight="1">
      <c r="A1121" t="s">
        <v>475</v>
      </c>
      <c r="B1121" t="s">
        <v>1709</v>
      </c>
      <c r="C1121" t="s">
        <v>149</v>
      </c>
      <c r="D1121" t="s">
        <v>69</v>
      </c>
      <c r="E1121">
        <v>10</v>
      </c>
      <c r="F1121">
        <v>6.6</v>
      </c>
      <c r="G1121">
        <v>0.66</v>
      </c>
      <c r="H1121">
        <v>31</v>
      </c>
      <c r="I1121">
        <v>3000</v>
      </c>
      <c r="J1121">
        <v>1000</v>
      </c>
      <c r="K1121" t="s">
        <v>530</v>
      </c>
      <c r="L1121" t="s">
        <v>91</v>
      </c>
      <c r="M1121" t="s">
        <v>47</v>
      </c>
      <c r="N1121" t="b">
        <v>1</v>
      </c>
      <c r="O1121" t="s">
        <v>531</v>
      </c>
    </row>
    <row r="1122" spans="1:15" ht="15" customHeight="1">
      <c r="A1122" t="s">
        <v>235</v>
      </c>
      <c r="B1122" t="s">
        <v>1710</v>
      </c>
      <c r="C1122" t="s">
        <v>129</v>
      </c>
      <c r="D1122" t="s">
        <v>130</v>
      </c>
      <c r="E1122">
        <v>19</v>
      </c>
      <c r="F1122">
        <v>11.4</v>
      </c>
      <c r="G1122">
        <v>0.6</v>
      </c>
      <c r="H1122">
        <v>11</v>
      </c>
      <c r="I1122">
        <v>5000</v>
      </c>
      <c r="J1122">
        <v>1000</v>
      </c>
      <c r="K1122" t="s">
        <v>163</v>
      </c>
      <c r="L1122" t="s">
        <v>91</v>
      </c>
      <c r="M1122" t="s">
        <v>45</v>
      </c>
      <c r="N1122" t="b">
        <v>1</v>
      </c>
      <c r="O1122" t="s">
        <v>150</v>
      </c>
    </row>
    <row r="1123" spans="1:15" ht="15" customHeight="1">
      <c r="A1123" t="s">
        <v>1711</v>
      </c>
      <c r="B1123" t="s">
        <v>1712</v>
      </c>
      <c r="C1123" t="s">
        <v>75</v>
      </c>
      <c r="D1123" t="s">
        <v>69</v>
      </c>
      <c r="E1123">
        <v>8</v>
      </c>
      <c r="F1123">
        <v>4.5</v>
      </c>
      <c r="G1123">
        <v>0.56000000000000005</v>
      </c>
      <c r="H1123">
        <v>26</v>
      </c>
      <c r="I1123">
        <v>2000</v>
      </c>
      <c r="J1123">
        <v>1500</v>
      </c>
      <c r="K1123" t="s">
        <v>298</v>
      </c>
      <c r="L1123" t="s">
        <v>96</v>
      </c>
      <c r="M1123" t="s">
        <v>47</v>
      </c>
      <c r="N1123" t="b">
        <v>0</v>
      </c>
      <c r="O1123" t="s">
        <v>299</v>
      </c>
    </row>
    <row r="1124" spans="1:15" ht="15" customHeight="1">
      <c r="A1124" t="s">
        <v>363</v>
      </c>
      <c r="B1124" t="s">
        <v>1713</v>
      </c>
      <c r="C1124" t="s">
        <v>75</v>
      </c>
      <c r="D1124" t="s">
        <v>69</v>
      </c>
      <c r="E1124">
        <v>20</v>
      </c>
      <c r="F1124">
        <v>10</v>
      </c>
      <c r="G1124">
        <v>0.5</v>
      </c>
      <c r="H1124">
        <v>7</v>
      </c>
      <c r="I1124">
        <v>2000</v>
      </c>
      <c r="J1124">
        <v>1500</v>
      </c>
      <c r="K1124" t="s">
        <v>241</v>
      </c>
      <c r="L1124" t="s">
        <v>71</v>
      </c>
      <c r="M1124" t="s">
        <v>43</v>
      </c>
      <c r="N1124" t="b">
        <v>0</v>
      </c>
      <c r="O1124" t="s">
        <v>242</v>
      </c>
    </row>
    <row r="1125" spans="1:15" ht="15" customHeight="1">
      <c r="A1125" t="s">
        <v>290</v>
      </c>
      <c r="B1125" t="s">
        <v>1714</v>
      </c>
      <c r="C1125" t="s">
        <v>75</v>
      </c>
      <c r="D1125" t="s">
        <v>69</v>
      </c>
      <c r="E1125">
        <v>9</v>
      </c>
      <c r="F1125">
        <v>5.4</v>
      </c>
      <c r="G1125">
        <v>0.6</v>
      </c>
      <c r="H1125">
        <v>24</v>
      </c>
      <c r="I1125">
        <v>2000</v>
      </c>
      <c r="J1125">
        <v>1500</v>
      </c>
      <c r="K1125" t="s">
        <v>361</v>
      </c>
      <c r="L1125" t="s">
        <v>104</v>
      </c>
      <c r="M1125" t="s">
        <v>46</v>
      </c>
      <c r="N1125" t="b">
        <v>0</v>
      </c>
      <c r="O1125" t="s">
        <v>362</v>
      </c>
    </row>
    <row r="1126" spans="1:15" ht="15" customHeight="1">
      <c r="A1126" t="s">
        <v>794</v>
      </c>
      <c r="B1126" t="s">
        <v>1715</v>
      </c>
      <c r="C1126" t="s">
        <v>75</v>
      </c>
      <c r="D1126" t="s">
        <v>69</v>
      </c>
      <c r="E1126">
        <v>19</v>
      </c>
      <c r="F1126">
        <v>4.8</v>
      </c>
      <c r="G1126">
        <v>0.25</v>
      </c>
      <c r="H1126">
        <v>6</v>
      </c>
      <c r="I1126">
        <v>2000</v>
      </c>
      <c r="J1126">
        <v>1500</v>
      </c>
      <c r="K1126" t="s">
        <v>269</v>
      </c>
      <c r="L1126" t="s">
        <v>96</v>
      </c>
      <c r="M1126" t="s">
        <v>45</v>
      </c>
      <c r="N1126" t="b">
        <v>0</v>
      </c>
      <c r="O1126" t="s">
        <v>270</v>
      </c>
    </row>
    <row r="1127" spans="1:15" ht="15" customHeight="1">
      <c r="A1127" t="s">
        <v>1338</v>
      </c>
      <c r="B1127" t="s">
        <v>1716</v>
      </c>
      <c r="C1127" t="s">
        <v>149</v>
      </c>
      <c r="D1127" t="s">
        <v>69</v>
      </c>
      <c r="E1127">
        <v>12</v>
      </c>
      <c r="F1127">
        <v>8</v>
      </c>
      <c r="G1127">
        <v>0.67</v>
      </c>
      <c r="H1127">
        <v>40</v>
      </c>
      <c r="I1127">
        <v>3000</v>
      </c>
      <c r="J1127">
        <v>1000</v>
      </c>
      <c r="K1127" t="s">
        <v>95</v>
      </c>
      <c r="L1127" t="s">
        <v>104</v>
      </c>
      <c r="M1127" t="s">
        <v>47</v>
      </c>
      <c r="N1127" t="b">
        <v>0</v>
      </c>
      <c r="O1127" t="s">
        <v>217</v>
      </c>
    </row>
    <row r="1128" spans="1:15" ht="15" customHeight="1">
      <c r="A1128" t="s">
        <v>423</v>
      </c>
      <c r="B1128" t="s">
        <v>1717</v>
      </c>
      <c r="C1128" t="s">
        <v>81</v>
      </c>
      <c r="D1128" t="s">
        <v>69</v>
      </c>
      <c r="E1128">
        <v>13</v>
      </c>
      <c r="F1128">
        <v>6.7</v>
      </c>
      <c r="G1128">
        <v>0.52</v>
      </c>
      <c r="H1128">
        <v>17</v>
      </c>
      <c r="I1128">
        <v>10000</v>
      </c>
      <c r="J1128">
        <v>3000</v>
      </c>
      <c r="K1128" t="s">
        <v>389</v>
      </c>
      <c r="L1128" t="s">
        <v>117</v>
      </c>
      <c r="M1128" t="s">
        <v>40</v>
      </c>
      <c r="N1128" t="b">
        <v>1</v>
      </c>
      <c r="O1128" t="s">
        <v>390</v>
      </c>
    </row>
    <row r="1129" spans="1:15" ht="15" customHeight="1">
      <c r="A1129" t="s">
        <v>725</v>
      </c>
      <c r="B1129" t="s">
        <v>1718</v>
      </c>
      <c r="C1129" t="s">
        <v>81</v>
      </c>
      <c r="D1129" t="s">
        <v>69</v>
      </c>
      <c r="E1129">
        <v>16</v>
      </c>
      <c r="F1129">
        <v>6.3</v>
      </c>
      <c r="G1129">
        <v>0.39</v>
      </c>
      <c r="H1129">
        <v>6</v>
      </c>
      <c r="I1129">
        <v>10000</v>
      </c>
      <c r="J1129">
        <v>3000</v>
      </c>
      <c r="K1129" t="s">
        <v>162</v>
      </c>
      <c r="L1129" t="s">
        <v>117</v>
      </c>
      <c r="M1129" t="s">
        <v>50</v>
      </c>
      <c r="N1129" t="b">
        <v>1</v>
      </c>
      <c r="O1129" t="s">
        <v>198</v>
      </c>
    </row>
    <row r="1130" spans="1:15" ht="15" customHeight="1">
      <c r="A1130" t="s">
        <v>767</v>
      </c>
      <c r="B1130" t="s">
        <v>1719</v>
      </c>
      <c r="C1130" t="s">
        <v>149</v>
      </c>
      <c r="D1130" t="s">
        <v>69</v>
      </c>
      <c r="E1130">
        <v>8</v>
      </c>
      <c r="F1130">
        <v>6.5</v>
      </c>
      <c r="G1130">
        <v>0.81</v>
      </c>
      <c r="H1130">
        <v>17</v>
      </c>
      <c r="I1130">
        <v>3000</v>
      </c>
      <c r="J1130">
        <v>1000</v>
      </c>
      <c r="K1130" t="s">
        <v>634</v>
      </c>
      <c r="L1130" t="s">
        <v>104</v>
      </c>
      <c r="M1130" t="s">
        <v>48</v>
      </c>
      <c r="N1130" t="b">
        <v>0</v>
      </c>
      <c r="O1130" t="s">
        <v>158</v>
      </c>
    </row>
    <row r="1131" spans="1:15" ht="15" customHeight="1">
      <c r="A1131" t="s">
        <v>230</v>
      </c>
      <c r="B1131" t="s">
        <v>1720</v>
      </c>
      <c r="C1131" t="s">
        <v>75</v>
      </c>
      <c r="D1131" t="s">
        <v>69</v>
      </c>
      <c r="E1131">
        <v>19</v>
      </c>
      <c r="F1131">
        <v>7.9</v>
      </c>
      <c r="G1131">
        <v>0.42</v>
      </c>
      <c r="H1131">
        <v>25</v>
      </c>
      <c r="I1131">
        <v>2000</v>
      </c>
      <c r="J1131">
        <v>1500</v>
      </c>
      <c r="K1131" t="s">
        <v>158</v>
      </c>
      <c r="L1131" t="s">
        <v>91</v>
      </c>
      <c r="M1131" t="s">
        <v>40</v>
      </c>
      <c r="N1131" t="b">
        <v>1</v>
      </c>
      <c r="O1131" t="s">
        <v>400</v>
      </c>
    </row>
    <row r="1132" spans="1:15" ht="15" customHeight="1">
      <c r="A1132" t="s">
        <v>926</v>
      </c>
      <c r="B1132" t="s">
        <v>1721</v>
      </c>
      <c r="C1132" t="s">
        <v>129</v>
      </c>
      <c r="D1132" t="s">
        <v>130</v>
      </c>
      <c r="E1132">
        <v>9</v>
      </c>
      <c r="F1132">
        <v>3.7</v>
      </c>
      <c r="G1132">
        <v>0.41</v>
      </c>
      <c r="H1132">
        <v>21</v>
      </c>
      <c r="I1132">
        <v>5000</v>
      </c>
      <c r="J1132">
        <v>1000</v>
      </c>
      <c r="K1132" t="s">
        <v>131</v>
      </c>
      <c r="L1132" t="s">
        <v>91</v>
      </c>
      <c r="M1132" t="s">
        <v>41</v>
      </c>
      <c r="N1132" t="b">
        <v>1</v>
      </c>
      <c r="O1132" t="s">
        <v>132</v>
      </c>
    </row>
    <row r="1133" spans="1:15" ht="15" customHeight="1">
      <c r="A1133" t="s">
        <v>164</v>
      </c>
      <c r="B1133" t="s">
        <v>1722</v>
      </c>
      <c r="C1133" t="s">
        <v>149</v>
      </c>
      <c r="D1133" t="s">
        <v>69</v>
      </c>
      <c r="E1133">
        <v>9</v>
      </c>
      <c r="F1133">
        <v>8.6999999999999993</v>
      </c>
      <c r="G1133">
        <v>0.97</v>
      </c>
      <c r="H1133">
        <v>32</v>
      </c>
      <c r="I1133">
        <v>3000</v>
      </c>
      <c r="J1133">
        <v>1000</v>
      </c>
      <c r="K1133" t="s">
        <v>576</v>
      </c>
      <c r="L1133" t="s">
        <v>71</v>
      </c>
      <c r="M1133" t="s">
        <v>51</v>
      </c>
      <c r="N1133" t="b">
        <v>0</v>
      </c>
      <c r="O1133" t="s">
        <v>336</v>
      </c>
    </row>
    <row r="1134" spans="1:15" ht="15" customHeight="1">
      <c r="A1134" t="s">
        <v>178</v>
      </c>
      <c r="B1134" t="s">
        <v>1723</v>
      </c>
      <c r="C1134" t="s">
        <v>68</v>
      </c>
      <c r="D1134" t="s">
        <v>69</v>
      </c>
      <c r="E1134">
        <v>8</v>
      </c>
      <c r="F1134">
        <v>2.5</v>
      </c>
      <c r="G1134">
        <v>0.31</v>
      </c>
      <c r="H1134">
        <v>1</v>
      </c>
      <c r="I1134">
        <v>30000</v>
      </c>
      <c r="J1134">
        <v>5000</v>
      </c>
      <c r="K1134" t="s">
        <v>70</v>
      </c>
      <c r="L1134" t="s">
        <v>91</v>
      </c>
      <c r="M1134" t="s">
        <v>47</v>
      </c>
      <c r="N1134" t="b">
        <v>1</v>
      </c>
      <c r="O1134" t="s">
        <v>72</v>
      </c>
    </row>
    <row r="1135" spans="1:15" ht="15" customHeight="1">
      <c r="A1135" t="s">
        <v>84</v>
      </c>
      <c r="B1135" t="s">
        <v>1724</v>
      </c>
      <c r="C1135" t="s">
        <v>81</v>
      </c>
      <c r="D1135" t="s">
        <v>69</v>
      </c>
      <c r="E1135">
        <v>12</v>
      </c>
      <c r="F1135">
        <v>7.4</v>
      </c>
      <c r="G1135">
        <v>0.62</v>
      </c>
      <c r="H1135">
        <v>18</v>
      </c>
      <c r="I1135">
        <v>10000</v>
      </c>
      <c r="J1135">
        <v>3000</v>
      </c>
      <c r="K1135" t="s">
        <v>142</v>
      </c>
      <c r="L1135" t="s">
        <v>77</v>
      </c>
      <c r="M1135" t="s">
        <v>51</v>
      </c>
      <c r="N1135" t="b">
        <v>0</v>
      </c>
      <c r="O1135" t="s">
        <v>143</v>
      </c>
    </row>
    <row r="1136" spans="1:15" ht="15" customHeight="1">
      <c r="A1136" t="s">
        <v>751</v>
      </c>
      <c r="B1136" t="s">
        <v>1725</v>
      </c>
      <c r="C1136" t="s">
        <v>75</v>
      </c>
      <c r="D1136" t="s">
        <v>69</v>
      </c>
      <c r="E1136">
        <v>11</v>
      </c>
      <c r="F1136">
        <v>3.7</v>
      </c>
      <c r="G1136">
        <v>0.34</v>
      </c>
      <c r="H1136">
        <v>13</v>
      </c>
      <c r="I1136">
        <v>2000</v>
      </c>
      <c r="J1136">
        <v>1500</v>
      </c>
      <c r="K1136" t="s">
        <v>211</v>
      </c>
      <c r="L1136" t="s">
        <v>100</v>
      </c>
      <c r="M1136" t="s">
        <v>41</v>
      </c>
      <c r="N1136" t="b">
        <v>0</v>
      </c>
      <c r="O1136" t="s">
        <v>212</v>
      </c>
    </row>
    <row r="1137" spans="1:15" ht="15" customHeight="1">
      <c r="A1137" t="s">
        <v>235</v>
      </c>
      <c r="B1137" t="s">
        <v>1726</v>
      </c>
      <c r="C1137" t="s">
        <v>129</v>
      </c>
      <c r="D1137" t="s">
        <v>130</v>
      </c>
      <c r="E1137">
        <v>8</v>
      </c>
      <c r="F1137">
        <v>4.5999999999999996</v>
      </c>
      <c r="G1137">
        <v>0.56999999999999995</v>
      </c>
      <c r="H1137">
        <v>29</v>
      </c>
      <c r="I1137">
        <v>5000</v>
      </c>
      <c r="J1137">
        <v>1000</v>
      </c>
      <c r="K1137" t="s">
        <v>113</v>
      </c>
      <c r="L1137" t="s">
        <v>91</v>
      </c>
      <c r="M1137" t="s">
        <v>45</v>
      </c>
      <c r="N1137" t="b">
        <v>1</v>
      </c>
      <c r="O1137" t="s">
        <v>146</v>
      </c>
    </row>
    <row r="1138" spans="1:15" ht="15" customHeight="1">
      <c r="A1138" t="s">
        <v>123</v>
      </c>
      <c r="B1138" t="s">
        <v>1727</v>
      </c>
      <c r="C1138" t="s">
        <v>75</v>
      </c>
      <c r="D1138" t="s">
        <v>69</v>
      </c>
      <c r="E1138">
        <v>18</v>
      </c>
      <c r="F1138">
        <v>17.7</v>
      </c>
      <c r="G1138">
        <v>0.98</v>
      </c>
      <c r="H1138">
        <v>19</v>
      </c>
      <c r="I1138">
        <v>2000</v>
      </c>
      <c r="J1138">
        <v>1500</v>
      </c>
      <c r="K1138" t="s">
        <v>408</v>
      </c>
      <c r="L1138" t="s">
        <v>91</v>
      </c>
      <c r="M1138" t="s">
        <v>42</v>
      </c>
      <c r="N1138" t="b">
        <v>1</v>
      </c>
      <c r="O1138" t="s">
        <v>409</v>
      </c>
    </row>
    <row r="1139" spans="1:15" ht="15" customHeight="1">
      <c r="A1139" t="s">
        <v>147</v>
      </c>
      <c r="B1139" t="s">
        <v>1728</v>
      </c>
      <c r="C1139" t="s">
        <v>81</v>
      </c>
      <c r="D1139" t="s">
        <v>69</v>
      </c>
      <c r="E1139">
        <v>9</v>
      </c>
      <c r="F1139">
        <v>3.4</v>
      </c>
      <c r="G1139">
        <v>0.38</v>
      </c>
      <c r="H1139">
        <v>7</v>
      </c>
      <c r="I1139">
        <v>10000</v>
      </c>
      <c r="J1139">
        <v>3000</v>
      </c>
      <c r="K1139" t="s">
        <v>82</v>
      </c>
      <c r="L1139" t="s">
        <v>100</v>
      </c>
      <c r="M1139" t="s">
        <v>43</v>
      </c>
      <c r="N1139" t="b">
        <v>0</v>
      </c>
      <c r="O1139" t="s">
        <v>83</v>
      </c>
    </row>
    <row r="1140" spans="1:15" ht="15" customHeight="1">
      <c r="A1140" t="s">
        <v>1417</v>
      </c>
      <c r="B1140" t="s">
        <v>1729</v>
      </c>
      <c r="C1140" t="s">
        <v>68</v>
      </c>
      <c r="D1140" t="s">
        <v>69</v>
      </c>
      <c r="E1140">
        <v>15</v>
      </c>
      <c r="F1140">
        <v>1.6</v>
      </c>
      <c r="G1140">
        <v>0.11</v>
      </c>
      <c r="H1140">
        <v>2</v>
      </c>
      <c r="I1140">
        <v>30000</v>
      </c>
      <c r="J1140">
        <v>5000</v>
      </c>
      <c r="K1140" t="s">
        <v>162</v>
      </c>
      <c r="L1140" t="s">
        <v>91</v>
      </c>
      <c r="M1140" t="s">
        <v>50</v>
      </c>
      <c r="N1140" t="b">
        <v>1</v>
      </c>
      <c r="O1140" t="s">
        <v>163</v>
      </c>
    </row>
    <row r="1141" spans="1:15" ht="15" customHeight="1">
      <c r="A1141" t="s">
        <v>505</v>
      </c>
      <c r="B1141" t="s">
        <v>1730</v>
      </c>
      <c r="C1141" t="s">
        <v>129</v>
      </c>
      <c r="D1141" t="s">
        <v>130</v>
      </c>
      <c r="E1141">
        <v>15</v>
      </c>
      <c r="F1141">
        <v>14.2</v>
      </c>
      <c r="G1141">
        <v>0.95</v>
      </c>
      <c r="H1141">
        <v>26</v>
      </c>
      <c r="I1141">
        <v>5000</v>
      </c>
      <c r="J1141">
        <v>1000</v>
      </c>
      <c r="K1141" t="s">
        <v>203</v>
      </c>
      <c r="L1141" t="s">
        <v>100</v>
      </c>
      <c r="M1141" t="s">
        <v>51</v>
      </c>
      <c r="N1141" t="b">
        <v>0</v>
      </c>
      <c r="O1141" t="s">
        <v>623</v>
      </c>
    </row>
    <row r="1142" spans="1:15" ht="15" customHeight="1">
      <c r="A1142" t="s">
        <v>1731</v>
      </c>
      <c r="B1142" t="s">
        <v>1732</v>
      </c>
      <c r="C1142" t="s">
        <v>81</v>
      </c>
      <c r="D1142" t="s">
        <v>69</v>
      </c>
      <c r="E1142">
        <v>9</v>
      </c>
      <c r="F1142">
        <v>3.9</v>
      </c>
      <c r="G1142">
        <v>0.43</v>
      </c>
      <c r="H1142">
        <v>20</v>
      </c>
      <c r="I1142">
        <v>10000</v>
      </c>
      <c r="J1142">
        <v>3000</v>
      </c>
      <c r="K1142" t="s">
        <v>86</v>
      </c>
      <c r="L1142" t="s">
        <v>100</v>
      </c>
      <c r="M1142" t="s">
        <v>51</v>
      </c>
      <c r="N1142" t="b">
        <v>0</v>
      </c>
      <c r="O1142" t="s">
        <v>87</v>
      </c>
    </row>
    <row r="1143" spans="1:15" ht="15" customHeight="1">
      <c r="A1143" t="s">
        <v>178</v>
      </c>
      <c r="B1143" t="s">
        <v>1733</v>
      </c>
      <c r="C1143" t="s">
        <v>129</v>
      </c>
      <c r="D1143" t="s">
        <v>130</v>
      </c>
      <c r="E1143">
        <v>14</v>
      </c>
      <c r="F1143">
        <v>3.4</v>
      </c>
      <c r="G1143">
        <v>0.24</v>
      </c>
      <c r="H1143">
        <v>8</v>
      </c>
      <c r="I1143">
        <v>5000</v>
      </c>
      <c r="J1143">
        <v>1000</v>
      </c>
      <c r="K1143" t="s">
        <v>76</v>
      </c>
      <c r="L1143" t="s">
        <v>91</v>
      </c>
      <c r="M1143" t="s">
        <v>47</v>
      </c>
      <c r="N1143" t="b">
        <v>1</v>
      </c>
      <c r="O1143" t="s">
        <v>317</v>
      </c>
    </row>
    <row r="1144" spans="1:15" ht="15" customHeight="1">
      <c r="A1144" t="s">
        <v>903</v>
      </c>
      <c r="B1144" t="s">
        <v>1734</v>
      </c>
      <c r="C1144" t="s">
        <v>149</v>
      </c>
      <c r="D1144" t="s">
        <v>69</v>
      </c>
      <c r="E1144">
        <v>8</v>
      </c>
      <c r="F1144">
        <v>6.2</v>
      </c>
      <c r="G1144">
        <v>0.78</v>
      </c>
      <c r="H1144">
        <v>26</v>
      </c>
      <c r="I1144">
        <v>3000</v>
      </c>
      <c r="J1144">
        <v>1000</v>
      </c>
      <c r="K1144" t="s">
        <v>294</v>
      </c>
      <c r="L1144" t="s">
        <v>117</v>
      </c>
      <c r="M1144" t="s">
        <v>49</v>
      </c>
      <c r="N1144" t="b">
        <v>1</v>
      </c>
      <c r="O1144" t="s">
        <v>295</v>
      </c>
    </row>
    <row r="1145" spans="1:15" ht="15" customHeight="1">
      <c r="A1145" t="s">
        <v>1532</v>
      </c>
      <c r="B1145" t="s">
        <v>1735</v>
      </c>
      <c r="C1145" t="s">
        <v>68</v>
      </c>
      <c r="D1145" t="s">
        <v>69</v>
      </c>
      <c r="E1145">
        <v>11</v>
      </c>
      <c r="F1145">
        <v>3.4</v>
      </c>
      <c r="G1145">
        <v>0.31</v>
      </c>
      <c r="H1145">
        <v>2</v>
      </c>
      <c r="I1145">
        <v>30000</v>
      </c>
      <c r="J1145">
        <v>5000</v>
      </c>
      <c r="K1145" t="s">
        <v>162</v>
      </c>
      <c r="L1145" t="s">
        <v>71</v>
      </c>
      <c r="M1145" t="s">
        <v>40</v>
      </c>
      <c r="N1145" t="b">
        <v>0</v>
      </c>
      <c r="O1145" t="s">
        <v>163</v>
      </c>
    </row>
    <row r="1146" spans="1:15" ht="15" customHeight="1">
      <c r="A1146" t="s">
        <v>814</v>
      </c>
      <c r="B1146" t="s">
        <v>1736</v>
      </c>
      <c r="C1146" t="s">
        <v>81</v>
      </c>
      <c r="D1146" t="s">
        <v>69</v>
      </c>
      <c r="E1146">
        <v>13</v>
      </c>
      <c r="F1146">
        <v>7.5</v>
      </c>
      <c r="G1146">
        <v>0.57999999999999996</v>
      </c>
      <c r="H1146">
        <v>14</v>
      </c>
      <c r="I1146">
        <v>10000</v>
      </c>
      <c r="J1146">
        <v>3000</v>
      </c>
      <c r="K1146" t="s">
        <v>116</v>
      </c>
      <c r="L1146" t="s">
        <v>71</v>
      </c>
      <c r="M1146" t="s">
        <v>45</v>
      </c>
      <c r="N1146" t="b">
        <v>0</v>
      </c>
      <c r="O1146" t="s">
        <v>118</v>
      </c>
    </row>
    <row r="1147" spans="1:15" ht="15" customHeight="1">
      <c r="A1147" t="s">
        <v>783</v>
      </c>
      <c r="B1147" t="s">
        <v>1737</v>
      </c>
      <c r="C1147" t="s">
        <v>129</v>
      </c>
      <c r="D1147" t="s">
        <v>130</v>
      </c>
      <c r="E1147">
        <v>15</v>
      </c>
      <c r="F1147">
        <v>9.8000000000000007</v>
      </c>
      <c r="G1147">
        <v>0.65</v>
      </c>
      <c r="H1147">
        <v>10</v>
      </c>
      <c r="I1147">
        <v>5000</v>
      </c>
      <c r="J1147">
        <v>1000</v>
      </c>
      <c r="K1147" t="s">
        <v>158</v>
      </c>
      <c r="L1147" t="s">
        <v>71</v>
      </c>
      <c r="M1147" t="s">
        <v>41</v>
      </c>
      <c r="N1147" t="b">
        <v>0</v>
      </c>
      <c r="O1147" t="s">
        <v>159</v>
      </c>
    </row>
    <row r="1148" spans="1:15" ht="15" customHeight="1">
      <c r="A1148" t="s">
        <v>324</v>
      </c>
      <c r="B1148" t="s">
        <v>1738</v>
      </c>
      <c r="C1148" t="s">
        <v>68</v>
      </c>
      <c r="D1148" t="s">
        <v>69</v>
      </c>
      <c r="E1148">
        <v>8</v>
      </c>
      <c r="F1148">
        <v>1</v>
      </c>
      <c r="G1148">
        <v>0.12</v>
      </c>
      <c r="H1148">
        <v>5</v>
      </c>
      <c r="I1148">
        <v>30000</v>
      </c>
      <c r="J1148">
        <v>5000</v>
      </c>
      <c r="K1148" t="s">
        <v>112</v>
      </c>
      <c r="L1148" t="s">
        <v>91</v>
      </c>
      <c r="M1148" t="s">
        <v>48</v>
      </c>
      <c r="N1148" t="b">
        <v>1</v>
      </c>
      <c r="O1148" t="s">
        <v>113</v>
      </c>
    </row>
    <row r="1149" spans="1:15" ht="15" customHeight="1">
      <c r="A1149" t="s">
        <v>410</v>
      </c>
      <c r="B1149" t="s">
        <v>1739</v>
      </c>
      <c r="C1149" t="s">
        <v>81</v>
      </c>
      <c r="D1149" t="s">
        <v>69</v>
      </c>
      <c r="E1149">
        <v>20</v>
      </c>
      <c r="F1149">
        <v>5.6</v>
      </c>
      <c r="G1149">
        <v>0.28000000000000003</v>
      </c>
      <c r="H1149">
        <v>7</v>
      </c>
      <c r="I1149">
        <v>10000</v>
      </c>
      <c r="J1149">
        <v>3000</v>
      </c>
      <c r="K1149" t="s">
        <v>82</v>
      </c>
      <c r="L1149" t="s">
        <v>96</v>
      </c>
      <c r="M1149" t="s">
        <v>46</v>
      </c>
      <c r="N1149" t="b">
        <v>0</v>
      </c>
      <c r="O1149" t="s">
        <v>83</v>
      </c>
    </row>
    <row r="1150" spans="1:15" ht="15" customHeight="1">
      <c r="A1150" t="s">
        <v>353</v>
      </c>
      <c r="B1150" t="s">
        <v>1740</v>
      </c>
      <c r="C1150" t="s">
        <v>81</v>
      </c>
      <c r="D1150" t="s">
        <v>69</v>
      </c>
      <c r="E1150">
        <v>15</v>
      </c>
      <c r="F1150">
        <v>12.8</v>
      </c>
      <c r="G1150">
        <v>0.85</v>
      </c>
      <c r="H1150">
        <v>8</v>
      </c>
      <c r="I1150">
        <v>10000</v>
      </c>
      <c r="J1150">
        <v>3000</v>
      </c>
      <c r="K1150" t="s">
        <v>357</v>
      </c>
      <c r="L1150" t="s">
        <v>117</v>
      </c>
      <c r="M1150" t="s">
        <v>47</v>
      </c>
      <c r="N1150" t="b">
        <v>1</v>
      </c>
      <c r="O1150" t="s">
        <v>295</v>
      </c>
    </row>
    <row r="1151" spans="1:15" ht="15" customHeight="1">
      <c r="A1151" t="s">
        <v>340</v>
      </c>
      <c r="B1151" t="s">
        <v>1741</v>
      </c>
      <c r="C1151" t="s">
        <v>149</v>
      </c>
      <c r="D1151" t="s">
        <v>69</v>
      </c>
      <c r="E1151">
        <v>8</v>
      </c>
      <c r="F1151">
        <v>6.5</v>
      </c>
      <c r="G1151">
        <v>0.81</v>
      </c>
      <c r="H1151">
        <v>40</v>
      </c>
      <c r="I1151">
        <v>3000</v>
      </c>
      <c r="J1151">
        <v>1000</v>
      </c>
      <c r="K1151" t="s">
        <v>95</v>
      </c>
      <c r="L1151" t="s">
        <v>117</v>
      </c>
      <c r="M1151" t="s">
        <v>45</v>
      </c>
      <c r="N1151" t="b">
        <v>1</v>
      </c>
      <c r="O1151" t="s">
        <v>217</v>
      </c>
    </row>
    <row r="1152" spans="1:15" ht="15" customHeight="1">
      <c r="A1152" t="s">
        <v>213</v>
      </c>
      <c r="B1152" t="s">
        <v>1742</v>
      </c>
      <c r="C1152" t="s">
        <v>129</v>
      </c>
      <c r="D1152" t="s">
        <v>130</v>
      </c>
      <c r="E1152">
        <v>8</v>
      </c>
      <c r="F1152">
        <v>3.5</v>
      </c>
      <c r="G1152">
        <v>0.44</v>
      </c>
      <c r="H1152">
        <v>7</v>
      </c>
      <c r="I1152">
        <v>5000</v>
      </c>
      <c r="J1152">
        <v>1000</v>
      </c>
      <c r="K1152" t="s">
        <v>1135</v>
      </c>
      <c r="L1152" t="s">
        <v>71</v>
      </c>
      <c r="M1152" t="s">
        <v>47</v>
      </c>
      <c r="N1152" t="b">
        <v>0</v>
      </c>
      <c r="O1152" t="s">
        <v>862</v>
      </c>
    </row>
    <row r="1153" spans="1:15" ht="15" customHeight="1">
      <c r="A1153" t="s">
        <v>1177</v>
      </c>
      <c r="B1153" t="s">
        <v>1743</v>
      </c>
      <c r="C1153" t="s">
        <v>68</v>
      </c>
      <c r="D1153" t="s">
        <v>69</v>
      </c>
      <c r="E1153">
        <v>14</v>
      </c>
      <c r="F1153">
        <v>1.5</v>
      </c>
      <c r="G1153">
        <v>0.11</v>
      </c>
      <c r="H1153">
        <v>1</v>
      </c>
      <c r="I1153">
        <v>30000</v>
      </c>
      <c r="J1153">
        <v>5000</v>
      </c>
      <c r="K1153" t="s">
        <v>70</v>
      </c>
      <c r="L1153" t="s">
        <v>117</v>
      </c>
      <c r="M1153" t="s">
        <v>42</v>
      </c>
      <c r="N1153" t="b">
        <v>1</v>
      </c>
      <c r="O1153" t="s">
        <v>72</v>
      </c>
    </row>
    <row r="1154" spans="1:15" ht="15" customHeight="1">
      <c r="A1154" t="s">
        <v>1101</v>
      </c>
      <c r="B1154" t="s">
        <v>1744</v>
      </c>
      <c r="C1154" t="s">
        <v>129</v>
      </c>
      <c r="D1154" t="s">
        <v>130</v>
      </c>
      <c r="E1154">
        <v>9</v>
      </c>
      <c r="F1154">
        <v>5.3</v>
      </c>
      <c r="G1154">
        <v>0.59</v>
      </c>
      <c r="H1154">
        <v>9</v>
      </c>
      <c r="I1154">
        <v>5000</v>
      </c>
      <c r="J1154">
        <v>1000</v>
      </c>
      <c r="K1154" t="s">
        <v>438</v>
      </c>
      <c r="L1154" t="s">
        <v>77</v>
      </c>
      <c r="M1154" t="s">
        <v>49</v>
      </c>
      <c r="N1154" t="b">
        <v>0</v>
      </c>
      <c r="O1154" t="s">
        <v>90</v>
      </c>
    </row>
    <row r="1155" spans="1:15" ht="15" customHeight="1">
      <c r="A1155" t="s">
        <v>542</v>
      </c>
      <c r="B1155" t="s">
        <v>1745</v>
      </c>
      <c r="C1155" t="s">
        <v>81</v>
      </c>
      <c r="D1155" t="s">
        <v>69</v>
      </c>
      <c r="E1155">
        <v>13</v>
      </c>
      <c r="F1155">
        <v>9.1999999999999993</v>
      </c>
      <c r="G1155">
        <v>0.71</v>
      </c>
      <c r="H1155">
        <v>30</v>
      </c>
      <c r="I1155">
        <v>10000</v>
      </c>
      <c r="J1155">
        <v>3000</v>
      </c>
      <c r="K1155" t="s">
        <v>185</v>
      </c>
      <c r="L1155" t="s">
        <v>77</v>
      </c>
      <c r="M1155" t="s">
        <v>44</v>
      </c>
      <c r="N1155" t="b">
        <v>0</v>
      </c>
      <c r="O1155" t="s">
        <v>186</v>
      </c>
    </row>
    <row r="1156" spans="1:15" ht="15" customHeight="1">
      <c r="A1156" t="s">
        <v>846</v>
      </c>
      <c r="B1156" t="s">
        <v>1746</v>
      </c>
      <c r="C1156" t="s">
        <v>129</v>
      </c>
      <c r="D1156" t="s">
        <v>130</v>
      </c>
      <c r="E1156">
        <v>18</v>
      </c>
      <c r="F1156">
        <v>3.6</v>
      </c>
      <c r="G1156">
        <v>0.2</v>
      </c>
      <c r="H1156">
        <v>22</v>
      </c>
      <c r="I1156">
        <v>5000</v>
      </c>
      <c r="J1156">
        <v>1000</v>
      </c>
      <c r="K1156" t="s">
        <v>134</v>
      </c>
      <c r="L1156" t="s">
        <v>104</v>
      </c>
      <c r="M1156" t="s">
        <v>45</v>
      </c>
      <c r="N1156" t="b">
        <v>0</v>
      </c>
      <c r="O1156" t="s">
        <v>135</v>
      </c>
    </row>
    <row r="1157" spans="1:15" ht="15" customHeight="1">
      <c r="A1157" t="s">
        <v>1371</v>
      </c>
      <c r="B1157" t="s">
        <v>1747</v>
      </c>
      <c r="C1157" t="s">
        <v>68</v>
      </c>
      <c r="D1157" t="s">
        <v>69</v>
      </c>
      <c r="E1157">
        <v>15</v>
      </c>
      <c r="F1157">
        <v>2.8</v>
      </c>
      <c r="G1157">
        <v>0.19</v>
      </c>
      <c r="H1157">
        <v>1</v>
      </c>
      <c r="I1157">
        <v>30000</v>
      </c>
      <c r="J1157">
        <v>5000</v>
      </c>
      <c r="K1157" t="s">
        <v>70</v>
      </c>
      <c r="L1157" t="s">
        <v>104</v>
      </c>
      <c r="M1157" t="s">
        <v>43</v>
      </c>
      <c r="N1157" t="b">
        <v>0</v>
      </c>
      <c r="O1157" t="s">
        <v>72</v>
      </c>
    </row>
    <row r="1158" spans="1:15" ht="15" customHeight="1">
      <c r="A1158" t="s">
        <v>349</v>
      </c>
      <c r="B1158" t="s">
        <v>1748</v>
      </c>
      <c r="C1158" t="s">
        <v>81</v>
      </c>
      <c r="D1158" t="s">
        <v>69</v>
      </c>
      <c r="E1158">
        <v>18</v>
      </c>
      <c r="F1158">
        <v>15.1</v>
      </c>
      <c r="G1158">
        <v>0.84</v>
      </c>
      <c r="H1158">
        <v>25</v>
      </c>
      <c r="I1158">
        <v>10000</v>
      </c>
      <c r="J1158">
        <v>3000</v>
      </c>
      <c r="K1158" t="s">
        <v>138</v>
      </c>
      <c r="L1158" t="s">
        <v>100</v>
      </c>
      <c r="M1158" t="s">
        <v>41</v>
      </c>
      <c r="N1158" t="b">
        <v>0</v>
      </c>
      <c r="O1158" t="s">
        <v>139</v>
      </c>
    </row>
    <row r="1159" spans="1:15" ht="15" customHeight="1">
      <c r="A1159" t="s">
        <v>123</v>
      </c>
      <c r="B1159" t="s">
        <v>1749</v>
      </c>
      <c r="C1159" t="s">
        <v>81</v>
      </c>
      <c r="D1159" t="s">
        <v>69</v>
      </c>
      <c r="E1159">
        <v>18</v>
      </c>
      <c r="F1159">
        <v>7.8</v>
      </c>
      <c r="G1159">
        <v>0.43</v>
      </c>
      <c r="H1159">
        <v>6</v>
      </c>
      <c r="I1159">
        <v>10000</v>
      </c>
      <c r="J1159">
        <v>3000</v>
      </c>
      <c r="K1159" t="s">
        <v>162</v>
      </c>
      <c r="L1159" t="s">
        <v>91</v>
      </c>
      <c r="M1159" t="s">
        <v>42</v>
      </c>
      <c r="N1159" t="b">
        <v>1</v>
      </c>
      <c r="O1159" t="s">
        <v>198</v>
      </c>
    </row>
    <row r="1160" spans="1:15" ht="15" customHeight="1">
      <c r="A1160" t="s">
        <v>412</v>
      </c>
      <c r="B1160" t="s">
        <v>1750</v>
      </c>
      <c r="C1160" t="s">
        <v>81</v>
      </c>
      <c r="D1160" t="s">
        <v>69</v>
      </c>
      <c r="E1160">
        <v>13</v>
      </c>
      <c r="F1160">
        <v>6.1</v>
      </c>
      <c r="G1160">
        <v>0.47</v>
      </c>
      <c r="H1160">
        <v>20</v>
      </c>
      <c r="I1160">
        <v>10000</v>
      </c>
      <c r="J1160">
        <v>3000</v>
      </c>
      <c r="K1160" t="s">
        <v>86</v>
      </c>
      <c r="L1160" t="s">
        <v>96</v>
      </c>
      <c r="M1160" t="s">
        <v>51</v>
      </c>
      <c r="N1160" t="b">
        <v>0</v>
      </c>
      <c r="O1160" t="s">
        <v>87</v>
      </c>
    </row>
    <row r="1161" spans="1:15" ht="15" customHeight="1">
      <c r="A1161" t="s">
        <v>367</v>
      </c>
      <c r="B1161" t="s">
        <v>1751</v>
      </c>
      <c r="C1161" t="s">
        <v>149</v>
      </c>
      <c r="D1161" t="s">
        <v>69</v>
      </c>
      <c r="E1161">
        <v>10</v>
      </c>
      <c r="F1161">
        <v>6.6</v>
      </c>
      <c r="G1161">
        <v>0.66</v>
      </c>
      <c r="H1161">
        <v>26</v>
      </c>
      <c r="I1161">
        <v>3000</v>
      </c>
      <c r="J1161">
        <v>1000</v>
      </c>
      <c r="K1161" t="s">
        <v>294</v>
      </c>
      <c r="L1161" t="s">
        <v>71</v>
      </c>
      <c r="M1161" t="s">
        <v>51</v>
      </c>
      <c r="N1161" t="b">
        <v>0</v>
      </c>
      <c r="O1161" t="s">
        <v>295</v>
      </c>
    </row>
    <row r="1162" spans="1:15" ht="15" customHeight="1">
      <c r="A1162" t="s">
        <v>1672</v>
      </c>
      <c r="B1162" t="s">
        <v>1752</v>
      </c>
      <c r="C1162" t="s">
        <v>75</v>
      </c>
      <c r="D1162" t="s">
        <v>69</v>
      </c>
      <c r="E1162">
        <v>19</v>
      </c>
      <c r="F1162">
        <v>7.1</v>
      </c>
      <c r="G1162">
        <v>0.37</v>
      </c>
      <c r="H1162">
        <v>10</v>
      </c>
      <c r="I1162">
        <v>2000</v>
      </c>
      <c r="J1162">
        <v>1500</v>
      </c>
      <c r="K1162" t="s">
        <v>418</v>
      </c>
      <c r="L1162" t="s">
        <v>117</v>
      </c>
      <c r="M1162" t="s">
        <v>43</v>
      </c>
      <c r="N1162" t="b">
        <v>1</v>
      </c>
      <c r="O1162" t="s">
        <v>419</v>
      </c>
    </row>
    <row r="1163" spans="1:15" ht="15" customHeight="1">
      <c r="A1163" t="s">
        <v>1018</v>
      </c>
      <c r="B1163" t="s">
        <v>1753</v>
      </c>
      <c r="C1163" t="s">
        <v>75</v>
      </c>
      <c r="D1163" t="s">
        <v>69</v>
      </c>
      <c r="E1163">
        <v>17</v>
      </c>
      <c r="F1163">
        <v>13.9</v>
      </c>
      <c r="G1163">
        <v>0.82</v>
      </c>
      <c r="H1163">
        <v>29</v>
      </c>
      <c r="I1163">
        <v>2000</v>
      </c>
      <c r="J1163">
        <v>1500</v>
      </c>
      <c r="K1163" t="s">
        <v>519</v>
      </c>
      <c r="L1163" t="s">
        <v>96</v>
      </c>
      <c r="M1163" t="s">
        <v>49</v>
      </c>
      <c r="N1163" t="b">
        <v>0</v>
      </c>
      <c r="O1163" t="s">
        <v>520</v>
      </c>
    </row>
    <row r="1164" spans="1:15" ht="15" customHeight="1">
      <c r="A1164" t="s">
        <v>1186</v>
      </c>
      <c r="B1164" t="s">
        <v>1754</v>
      </c>
      <c r="C1164" t="s">
        <v>149</v>
      </c>
      <c r="D1164" t="s">
        <v>69</v>
      </c>
      <c r="E1164">
        <v>11</v>
      </c>
      <c r="F1164">
        <v>7.1</v>
      </c>
      <c r="G1164">
        <v>0.65</v>
      </c>
      <c r="H1164">
        <v>20</v>
      </c>
      <c r="I1164">
        <v>3000</v>
      </c>
      <c r="J1164">
        <v>1000</v>
      </c>
      <c r="K1164" t="s">
        <v>162</v>
      </c>
      <c r="L1164" t="s">
        <v>96</v>
      </c>
      <c r="M1164" t="s">
        <v>42</v>
      </c>
      <c r="N1164" t="b">
        <v>0</v>
      </c>
      <c r="O1164" t="s">
        <v>180</v>
      </c>
    </row>
    <row r="1165" spans="1:15" ht="15" customHeight="1">
      <c r="A1165" t="s">
        <v>84</v>
      </c>
      <c r="B1165" t="s">
        <v>1755</v>
      </c>
      <c r="C1165" t="s">
        <v>68</v>
      </c>
      <c r="D1165" t="s">
        <v>69</v>
      </c>
      <c r="E1165">
        <v>16</v>
      </c>
      <c r="F1165">
        <v>3.6</v>
      </c>
      <c r="G1165">
        <v>0.23</v>
      </c>
      <c r="H1165">
        <v>2</v>
      </c>
      <c r="I1165">
        <v>30000</v>
      </c>
      <c r="J1165">
        <v>5000</v>
      </c>
      <c r="K1165" t="s">
        <v>162</v>
      </c>
      <c r="L1165" t="s">
        <v>77</v>
      </c>
      <c r="M1165" t="s">
        <v>51</v>
      </c>
      <c r="N1165" t="b">
        <v>0</v>
      </c>
      <c r="O1165" t="s">
        <v>163</v>
      </c>
    </row>
    <row r="1166" spans="1:15" ht="15" customHeight="1">
      <c r="A1166" t="s">
        <v>656</v>
      </c>
      <c r="B1166" t="s">
        <v>1756</v>
      </c>
      <c r="C1166" t="s">
        <v>75</v>
      </c>
      <c r="D1166" t="s">
        <v>69</v>
      </c>
      <c r="E1166">
        <v>16</v>
      </c>
      <c r="F1166">
        <v>8.6999999999999993</v>
      </c>
      <c r="G1166">
        <v>0.54</v>
      </c>
      <c r="H1166">
        <v>23</v>
      </c>
      <c r="I1166">
        <v>2000</v>
      </c>
      <c r="J1166">
        <v>1500</v>
      </c>
      <c r="K1166" t="s">
        <v>207</v>
      </c>
      <c r="L1166" t="s">
        <v>96</v>
      </c>
      <c r="M1166" t="s">
        <v>41</v>
      </c>
      <c r="N1166" t="b">
        <v>0</v>
      </c>
      <c r="O1166" t="s">
        <v>208</v>
      </c>
    </row>
    <row r="1167" spans="1:15" ht="15" customHeight="1">
      <c r="A1167" t="s">
        <v>957</v>
      </c>
      <c r="B1167" t="s">
        <v>1757</v>
      </c>
      <c r="C1167" t="s">
        <v>149</v>
      </c>
      <c r="D1167" t="s">
        <v>69</v>
      </c>
      <c r="E1167">
        <v>8</v>
      </c>
      <c r="F1167">
        <v>7.7</v>
      </c>
      <c r="G1167">
        <v>0.96</v>
      </c>
      <c r="H1167">
        <v>38</v>
      </c>
      <c r="I1167">
        <v>3000</v>
      </c>
      <c r="J1167">
        <v>1000</v>
      </c>
      <c r="K1167" t="s">
        <v>220</v>
      </c>
      <c r="L1167" t="s">
        <v>96</v>
      </c>
      <c r="M1167" t="s">
        <v>48</v>
      </c>
      <c r="N1167" t="b">
        <v>0</v>
      </c>
      <c r="O1167" t="s">
        <v>785</v>
      </c>
    </row>
    <row r="1168" spans="1:15" ht="15" customHeight="1">
      <c r="A1168" t="s">
        <v>495</v>
      </c>
      <c r="B1168" t="s">
        <v>1758</v>
      </c>
      <c r="C1168" t="s">
        <v>68</v>
      </c>
      <c r="D1168" t="s">
        <v>69</v>
      </c>
      <c r="E1168">
        <v>9</v>
      </c>
      <c r="F1168">
        <v>1.2</v>
      </c>
      <c r="G1168">
        <v>0.13</v>
      </c>
      <c r="H1168">
        <v>1</v>
      </c>
      <c r="I1168">
        <v>30000</v>
      </c>
      <c r="J1168">
        <v>5000</v>
      </c>
      <c r="K1168" t="s">
        <v>70</v>
      </c>
      <c r="L1168" t="s">
        <v>100</v>
      </c>
      <c r="M1168" t="s">
        <v>44</v>
      </c>
      <c r="N1168" t="b">
        <v>0</v>
      </c>
      <c r="O1168" t="s">
        <v>72</v>
      </c>
    </row>
    <row r="1169" spans="1:15" ht="15" customHeight="1">
      <c r="A1169" t="s">
        <v>464</v>
      </c>
      <c r="B1169" t="s">
        <v>1759</v>
      </c>
      <c r="C1169" t="s">
        <v>81</v>
      </c>
      <c r="D1169" t="s">
        <v>69</v>
      </c>
      <c r="E1169">
        <v>14</v>
      </c>
      <c r="F1169">
        <v>8.4</v>
      </c>
      <c r="G1169">
        <v>0.6</v>
      </c>
      <c r="H1169">
        <v>17</v>
      </c>
      <c r="I1169">
        <v>10000</v>
      </c>
      <c r="J1169">
        <v>3000</v>
      </c>
      <c r="K1169" t="s">
        <v>389</v>
      </c>
      <c r="L1169" t="s">
        <v>100</v>
      </c>
      <c r="M1169" t="s">
        <v>41</v>
      </c>
      <c r="N1169" t="b">
        <v>0</v>
      </c>
      <c r="O1169" t="s">
        <v>390</v>
      </c>
    </row>
    <row r="1170" spans="1:15" ht="15" customHeight="1">
      <c r="A1170" t="s">
        <v>209</v>
      </c>
      <c r="B1170" t="s">
        <v>1760</v>
      </c>
      <c r="C1170" t="s">
        <v>75</v>
      </c>
      <c r="D1170" t="s">
        <v>69</v>
      </c>
      <c r="E1170">
        <v>20</v>
      </c>
      <c r="F1170">
        <v>9.1</v>
      </c>
      <c r="G1170">
        <v>0.45</v>
      </c>
      <c r="H1170">
        <v>21</v>
      </c>
      <c r="I1170">
        <v>2000</v>
      </c>
      <c r="J1170">
        <v>1500</v>
      </c>
      <c r="K1170" t="s">
        <v>365</v>
      </c>
      <c r="L1170" t="s">
        <v>104</v>
      </c>
      <c r="M1170" t="s">
        <v>49</v>
      </c>
      <c r="N1170" t="b">
        <v>0</v>
      </c>
      <c r="O1170" t="s">
        <v>366</v>
      </c>
    </row>
    <row r="1171" spans="1:15" ht="15" customHeight="1">
      <c r="A1171" t="s">
        <v>825</v>
      </c>
      <c r="B1171" t="s">
        <v>1761</v>
      </c>
      <c r="C1171" t="s">
        <v>81</v>
      </c>
      <c r="D1171" t="s">
        <v>69</v>
      </c>
      <c r="E1171">
        <v>12</v>
      </c>
      <c r="F1171">
        <v>10</v>
      </c>
      <c r="G1171">
        <v>0.83</v>
      </c>
      <c r="H1171">
        <v>14</v>
      </c>
      <c r="I1171">
        <v>10000</v>
      </c>
      <c r="J1171">
        <v>3000</v>
      </c>
      <c r="K1171" t="s">
        <v>116</v>
      </c>
      <c r="L1171" t="s">
        <v>104</v>
      </c>
      <c r="M1171" t="s">
        <v>40</v>
      </c>
      <c r="N1171" t="b">
        <v>0</v>
      </c>
      <c r="O1171" t="s">
        <v>118</v>
      </c>
    </row>
    <row r="1172" spans="1:15" ht="15" customHeight="1">
      <c r="A1172" t="s">
        <v>466</v>
      </c>
      <c r="B1172" t="s">
        <v>1762</v>
      </c>
      <c r="C1172" t="s">
        <v>81</v>
      </c>
      <c r="D1172" t="s">
        <v>69</v>
      </c>
      <c r="E1172">
        <v>18</v>
      </c>
      <c r="F1172">
        <v>6.3</v>
      </c>
      <c r="G1172">
        <v>0.35</v>
      </c>
      <c r="H1172">
        <v>22</v>
      </c>
      <c r="I1172">
        <v>10000</v>
      </c>
      <c r="J1172">
        <v>3000</v>
      </c>
      <c r="K1172" t="s">
        <v>548</v>
      </c>
      <c r="L1172" t="s">
        <v>96</v>
      </c>
      <c r="M1172" t="s">
        <v>48</v>
      </c>
      <c r="N1172" t="b">
        <v>0</v>
      </c>
      <c r="O1172" t="s">
        <v>549</v>
      </c>
    </row>
    <row r="1173" spans="1:15" ht="15" customHeight="1">
      <c r="A1173" t="s">
        <v>193</v>
      </c>
      <c r="B1173" t="s">
        <v>1763</v>
      </c>
      <c r="C1173" t="s">
        <v>149</v>
      </c>
      <c r="D1173" t="s">
        <v>69</v>
      </c>
      <c r="E1173">
        <v>10</v>
      </c>
      <c r="F1173">
        <v>7.8</v>
      </c>
      <c r="G1173">
        <v>0.78</v>
      </c>
      <c r="H1173">
        <v>16</v>
      </c>
      <c r="I1173">
        <v>3000</v>
      </c>
      <c r="J1173">
        <v>1000</v>
      </c>
      <c r="K1173" t="s">
        <v>361</v>
      </c>
      <c r="L1173" t="s">
        <v>117</v>
      </c>
      <c r="M1173" t="s">
        <v>50</v>
      </c>
      <c r="N1173" t="b">
        <v>1</v>
      </c>
      <c r="O1173" t="s">
        <v>870</v>
      </c>
    </row>
    <row r="1174" spans="1:15" ht="15" customHeight="1">
      <c r="A1174" t="s">
        <v>986</v>
      </c>
      <c r="B1174" t="s">
        <v>1764</v>
      </c>
      <c r="C1174" t="s">
        <v>129</v>
      </c>
      <c r="D1174" t="s">
        <v>130</v>
      </c>
      <c r="E1174">
        <v>19</v>
      </c>
      <c r="F1174">
        <v>15.5</v>
      </c>
      <c r="G1174">
        <v>0.82</v>
      </c>
      <c r="H1174">
        <v>29</v>
      </c>
      <c r="I1174">
        <v>5000</v>
      </c>
      <c r="J1174">
        <v>1000</v>
      </c>
      <c r="K1174" t="s">
        <v>113</v>
      </c>
      <c r="L1174" t="s">
        <v>104</v>
      </c>
      <c r="M1174" t="s">
        <v>47</v>
      </c>
      <c r="N1174" t="b">
        <v>0</v>
      </c>
      <c r="O1174" t="s">
        <v>146</v>
      </c>
    </row>
    <row r="1175" spans="1:15" ht="15" customHeight="1">
      <c r="A1175" t="s">
        <v>585</v>
      </c>
      <c r="B1175" t="s">
        <v>1765</v>
      </c>
      <c r="C1175" t="s">
        <v>149</v>
      </c>
      <c r="D1175" t="s">
        <v>69</v>
      </c>
      <c r="E1175">
        <v>12</v>
      </c>
      <c r="F1175">
        <v>8.5</v>
      </c>
      <c r="G1175">
        <v>0.71</v>
      </c>
      <c r="H1175">
        <v>36</v>
      </c>
      <c r="I1175">
        <v>3000</v>
      </c>
      <c r="J1175">
        <v>1000</v>
      </c>
      <c r="K1175" t="s">
        <v>154</v>
      </c>
      <c r="L1175" t="s">
        <v>100</v>
      </c>
      <c r="M1175" t="s">
        <v>44</v>
      </c>
      <c r="N1175" t="b">
        <v>0</v>
      </c>
      <c r="O1175" t="s">
        <v>155</v>
      </c>
    </row>
    <row r="1176" spans="1:15" ht="15" customHeight="1">
      <c r="A1176" t="s">
        <v>1321</v>
      </c>
      <c r="B1176" t="s">
        <v>1766</v>
      </c>
      <c r="C1176" t="s">
        <v>129</v>
      </c>
      <c r="D1176" t="s">
        <v>130</v>
      </c>
      <c r="E1176">
        <v>13</v>
      </c>
      <c r="F1176">
        <v>10.9</v>
      </c>
      <c r="G1176">
        <v>0.84</v>
      </c>
      <c r="H1176">
        <v>27</v>
      </c>
      <c r="I1176">
        <v>5000</v>
      </c>
      <c r="J1176">
        <v>1000</v>
      </c>
      <c r="K1176" t="s">
        <v>172</v>
      </c>
      <c r="L1176" t="s">
        <v>71</v>
      </c>
      <c r="M1176" t="s">
        <v>40</v>
      </c>
      <c r="N1176" t="b">
        <v>0</v>
      </c>
      <c r="O1176" t="s">
        <v>173</v>
      </c>
    </row>
    <row r="1177" spans="1:15" ht="15" customHeight="1">
      <c r="A1177" t="s">
        <v>367</v>
      </c>
      <c r="B1177" t="s">
        <v>1767</v>
      </c>
      <c r="C1177" t="s">
        <v>68</v>
      </c>
      <c r="D1177" t="s">
        <v>69</v>
      </c>
      <c r="E1177">
        <v>10</v>
      </c>
      <c r="F1177">
        <v>2.8</v>
      </c>
      <c r="G1177">
        <v>0.28000000000000003</v>
      </c>
      <c r="H1177">
        <v>2</v>
      </c>
      <c r="I1177">
        <v>30000</v>
      </c>
      <c r="J1177">
        <v>5000</v>
      </c>
      <c r="K1177" t="s">
        <v>162</v>
      </c>
      <c r="L1177" t="s">
        <v>71</v>
      </c>
      <c r="M1177" t="s">
        <v>51</v>
      </c>
      <c r="N1177" t="b">
        <v>0</v>
      </c>
      <c r="O1177" t="s">
        <v>163</v>
      </c>
    </row>
    <row r="1178" spans="1:15" ht="15" customHeight="1">
      <c r="A1178" t="s">
        <v>1012</v>
      </c>
      <c r="B1178" t="s">
        <v>1768</v>
      </c>
      <c r="C1178" t="s">
        <v>75</v>
      </c>
      <c r="D1178" t="s">
        <v>69</v>
      </c>
      <c r="E1178">
        <v>14</v>
      </c>
      <c r="F1178">
        <v>13.8</v>
      </c>
      <c r="G1178">
        <v>0.99</v>
      </c>
      <c r="H1178">
        <v>12</v>
      </c>
      <c r="I1178">
        <v>2000</v>
      </c>
      <c r="J1178">
        <v>1500</v>
      </c>
      <c r="K1178" t="s">
        <v>265</v>
      </c>
      <c r="L1178" t="s">
        <v>96</v>
      </c>
      <c r="M1178" t="s">
        <v>41</v>
      </c>
      <c r="N1178" t="b">
        <v>0</v>
      </c>
      <c r="O1178" t="s">
        <v>266</v>
      </c>
    </row>
    <row r="1179" spans="1:15" ht="15" customHeight="1">
      <c r="A1179" t="s">
        <v>428</v>
      </c>
      <c r="B1179" t="s">
        <v>1769</v>
      </c>
      <c r="C1179" t="s">
        <v>149</v>
      </c>
      <c r="D1179" t="s">
        <v>69</v>
      </c>
      <c r="E1179">
        <v>10</v>
      </c>
      <c r="F1179">
        <v>7</v>
      </c>
      <c r="G1179">
        <v>0.7</v>
      </c>
      <c r="H1179">
        <v>23</v>
      </c>
      <c r="I1179">
        <v>3000</v>
      </c>
      <c r="J1179">
        <v>1000</v>
      </c>
      <c r="K1179" t="s">
        <v>229</v>
      </c>
      <c r="L1179" t="s">
        <v>104</v>
      </c>
      <c r="M1179" t="s">
        <v>46</v>
      </c>
      <c r="N1179" t="b">
        <v>0</v>
      </c>
      <c r="O1179" t="s">
        <v>249</v>
      </c>
    </row>
    <row r="1180" spans="1:15" ht="15" customHeight="1">
      <c r="A1180" t="s">
        <v>475</v>
      </c>
      <c r="B1180" t="s">
        <v>1770</v>
      </c>
      <c r="C1180" t="s">
        <v>129</v>
      </c>
      <c r="D1180" t="s">
        <v>130</v>
      </c>
      <c r="E1180">
        <v>17</v>
      </c>
      <c r="F1180">
        <v>11.8</v>
      </c>
      <c r="G1180">
        <v>0.69</v>
      </c>
      <c r="H1180">
        <v>29</v>
      </c>
      <c r="I1180">
        <v>5000</v>
      </c>
      <c r="J1180">
        <v>1000</v>
      </c>
      <c r="K1180" t="s">
        <v>113</v>
      </c>
      <c r="L1180" t="s">
        <v>91</v>
      </c>
      <c r="M1180" t="s">
        <v>47</v>
      </c>
      <c r="N1180" t="b">
        <v>1</v>
      </c>
      <c r="O1180" t="s">
        <v>146</v>
      </c>
    </row>
    <row r="1181" spans="1:15" ht="15" customHeight="1">
      <c r="A1181" t="s">
        <v>796</v>
      </c>
      <c r="B1181" t="s">
        <v>1771</v>
      </c>
      <c r="C1181" t="s">
        <v>81</v>
      </c>
      <c r="D1181" t="s">
        <v>69</v>
      </c>
      <c r="E1181">
        <v>10</v>
      </c>
      <c r="F1181">
        <v>7.3</v>
      </c>
      <c r="G1181">
        <v>0.73</v>
      </c>
      <c r="H1181">
        <v>28</v>
      </c>
      <c r="I1181">
        <v>10000</v>
      </c>
      <c r="J1181">
        <v>3000</v>
      </c>
      <c r="K1181" t="s">
        <v>966</v>
      </c>
      <c r="L1181" t="s">
        <v>91</v>
      </c>
      <c r="M1181" t="s">
        <v>43</v>
      </c>
      <c r="N1181" t="b">
        <v>1</v>
      </c>
      <c r="O1181" t="s">
        <v>967</v>
      </c>
    </row>
    <row r="1182" spans="1:15" ht="15" customHeight="1">
      <c r="A1182" t="s">
        <v>926</v>
      </c>
      <c r="B1182" t="s">
        <v>1772</v>
      </c>
      <c r="C1182" t="s">
        <v>149</v>
      </c>
      <c r="D1182" t="s">
        <v>69</v>
      </c>
      <c r="E1182">
        <v>9</v>
      </c>
      <c r="F1182">
        <v>7.5</v>
      </c>
      <c r="G1182">
        <v>0.83</v>
      </c>
      <c r="H1182">
        <v>20</v>
      </c>
      <c r="I1182">
        <v>3000</v>
      </c>
      <c r="J1182">
        <v>1000</v>
      </c>
      <c r="K1182" t="s">
        <v>162</v>
      </c>
      <c r="L1182" t="s">
        <v>91</v>
      </c>
      <c r="M1182" t="s">
        <v>41</v>
      </c>
      <c r="N1182" t="b">
        <v>1</v>
      </c>
      <c r="O1182" t="s">
        <v>180</v>
      </c>
    </row>
    <row r="1183" spans="1:15" ht="15" customHeight="1">
      <c r="A1183" t="s">
        <v>532</v>
      </c>
      <c r="B1183" t="s">
        <v>1773</v>
      </c>
      <c r="C1183" t="s">
        <v>68</v>
      </c>
      <c r="D1183" t="s">
        <v>69</v>
      </c>
      <c r="E1183">
        <v>12</v>
      </c>
      <c r="F1183">
        <v>0.5</v>
      </c>
      <c r="G1183">
        <v>0.04</v>
      </c>
      <c r="H1183">
        <v>4</v>
      </c>
      <c r="I1183">
        <v>30000</v>
      </c>
      <c r="J1183">
        <v>5000</v>
      </c>
      <c r="K1183" t="s">
        <v>95</v>
      </c>
      <c r="L1183" t="s">
        <v>71</v>
      </c>
      <c r="M1183" t="s">
        <v>43</v>
      </c>
      <c r="N1183" t="b">
        <v>0</v>
      </c>
      <c r="O1183" t="s">
        <v>97</v>
      </c>
    </row>
    <row r="1184" spans="1:15" ht="15" customHeight="1">
      <c r="A1184" t="s">
        <v>378</v>
      </c>
      <c r="B1184" t="s">
        <v>1774</v>
      </c>
      <c r="C1184" t="s">
        <v>75</v>
      </c>
      <c r="D1184" t="s">
        <v>69</v>
      </c>
      <c r="E1184">
        <v>17</v>
      </c>
      <c r="F1184">
        <v>3.8</v>
      </c>
      <c r="G1184">
        <v>0.22</v>
      </c>
      <c r="H1184">
        <v>13</v>
      </c>
      <c r="I1184">
        <v>2000</v>
      </c>
      <c r="J1184">
        <v>1500</v>
      </c>
      <c r="K1184" t="s">
        <v>211</v>
      </c>
      <c r="L1184" t="s">
        <v>71</v>
      </c>
      <c r="M1184" t="s">
        <v>42</v>
      </c>
      <c r="N1184" t="b">
        <v>0</v>
      </c>
      <c r="O1184" t="s">
        <v>212</v>
      </c>
    </row>
    <row r="1185" spans="1:15" ht="15" customHeight="1">
      <c r="A1185" t="s">
        <v>585</v>
      </c>
      <c r="B1185" t="s">
        <v>1775</v>
      </c>
      <c r="C1185" t="s">
        <v>68</v>
      </c>
      <c r="D1185" t="s">
        <v>69</v>
      </c>
      <c r="E1185">
        <v>13</v>
      </c>
      <c r="F1185">
        <v>3.8</v>
      </c>
      <c r="G1185">
        <v>0.28999999999999998</v>
      </c>
      <c r="H1185">
        <v>2</v>
      </c>
      <c r="I1185">
        <v>30000</v>
      </c>
      <c r="J1185">
        <v>5000</v>
      </c>
      <c r="K1185" t="s">
        <v>162</v>
      </c>
      <c r="L1185" t="s">
        <v>100</v>
      </c>
      <c r="M1185" t="s">
        <v>44</v>
      </c>
      <c r="N1185" t="b">
        <v>0</v>
      </c>
      <c r="O1185" t="s">
        <v>163</v>
      </c>
    </row>
    <row r="1186" spans="1:15" ht="15" customHeight="1">
      <c r="A1186" t="s">
        <v>964</v>
      </c>
      <c r="B1186" t="s">
        <v>1776</v>
      </c>
      <c r="C1186" t="s">
        <v>81</v>
      </c>
      <c r="D1186" t="s">
        <v>69</v>
      </c>
      <c r="E1186">
        <v>18</v>
      </c>
      <c r="F1186">
        <v>16.899999999999999</v>
      </c>
      <c r="G1186">
        <v>0.94</v>
      </c>
      <c r="H1186">
        <v>23</v>
      </c>
      <c r="I1186">
        <v>10000</v>
      </c>
      <c r="J1186">
        <v>3000</v>
      </c>
      <c r="K1186" t="s">
        <v>626</v>
      </c>
      <c r="L1186" t="s">
        <v>96</v>
      </c>
      <c r="M1186" t="s">
        <v>48</v>
      </c>
      <c r="N1186" t="b">
        <v>0</v>
      </c>
      <c r="O1186" t="s">
        <v>627</v>
      </c>
    </row>
    <row r="1187" spans="1:15" ht="15" customHeight="1">
      <c r="A1187" t="s">
        <v>903</v>
      </c>
      <c r="B1187" t="s">
        <v>1777</v>
      </c>
      <c r="C1187" t="s">
        <v>75</v>
      </c>
      <c r="D1187" t="s">
        <v>69</v>
      </c>
      <c r="E1187">
        <v>18</v>
      </c>
      <c r="F1187">
        <v>5.2</v>
      </c>
      <c r="G1187">
        <v>0.28999999999999998</v>
      </c>
      <c r="H1187">
        <v>22</v>
      </c>
      <c r="I1187">
        <v>2000</v>
      </c>
      <c r="J1187">
        <v>1500</v>
      </c>
      <c r="K1187" t="s">
        <v>90</v>
      </c>
      <c r="L1187" t="s">
        <v>117</v>
      </c>
      <c r="M1187" t="s">
        <v>49</v>
      </c>
      <c r="N1187" t="b">
        <v>1</v>
      </c>
      <c r="O1187" t="s">
        <v>92</v>
      </c>
    </row>
    <row r="1188" spans="1:15" ht="15" customHeight="1">
      <c r="A1188" t="s">
        <v>505</v>
      </c>
      <c r="B1188" t="s">
        <v>1778</v>
      </c>
      <c r="C1188" t="s">
        <v>81</v>
      </c>
      <c r="D1188" t="s">
        <v>69</v>
      </c>
      <c r="E1188">
        <v>17</v>
      </c>
      <c r="F1188">
        <v>12.5</v>
      </c>
      <c r="G1188">
        <v>0.74</v>
      </c>
      <c r="H1188">
        <v>11</v>
      </c>
      <c r="I1188">
        <v>10000</v>
      </c>
      <c r="J1188">
        <v>3000</v>
      </c>
      <c r="K1188" t="s">
        <v>134</v>
      </c>
      <c r="L1188" t="s">
        <v>100</v>
      </c>
      <c r="M1188" t="s">
        <v>51</v>
      </c>
      <c r="N1188" t="b">
        <v>0</v>
      </c>
      <c r="O1188" t="s">
        <v>155</v>
      </c>
    </row>
    <row r="1189" spans="1:15" ht="15" customHeight="1">
      <c r="A1189" t="s">
        <v>136</v>
      </c>
      <c r="B1189" t="s">
        <v>1779</v>
      </c>
      <c r="C1189" t="s">
        <v>68</v>
      </c>
      <c r="D1189" t="s">
        <v>69</v>
      </c>
      <c r="E1189">
        <v>11</v>
      </c>
      <c r="F1189">
        <v>1.4</v>
      </c>
      <c r="G1189">
        <v>0.13</v>
      </c>
      <c r="H1189">
        <v>2</v>
      </c>
      <c r="I1189">
        <v>30000</v>
      </c>
      <c r="J1189">
        <v>5000</v>
      </c>
      <c r="K1189" t="s">
        <v>162</v>
      </c>
      <c r="L1189" t="s">
        <v>96</v>
      </c>
      <c r="M1189" t="s">
        <v>41</v>
      </c>
      <c r="N1189" t="b">
        <v>0</v>
      </c>
      <c r="O1189" t="s">
        <v>163</v>
      </c>
    </row>
    <row r="1190" spans="1:15" ht="15" customHeight="1">
      <c r="A1190" t="s">
        <v>1153</v>
      </c>
      <c r="B1190" t="s">
        <v>1780</v>
      </c>
      <c r="C1190" t="s">
        <v>129</v>
      </c>
      <c r="D1190" t="s">
        <v>130</v>
      </c>
      <c r="E1190">
        <v>18</v>
      </c>
      <c r="F1190">
        <v>3.2</v>
      </c>
      <c r="G1190">
        <v>0.18</v>
      </c>
      <c r="H1190">
        <v>17</v>
      </c>
      <c r="I1190">
        <v>5000</v>
      </c>
      <c r="J1190">
        <v>1000</v>
      </c>
      <c r="K1190" t="s">
        <v>109</v>
      </c>
      <c r="L1190" t="s">
        <v>104</v>
      </c>
      <c r="M1190" t="s">
        <v>40</v>
      </c>
      <c r="N1190" t="b">
        <v>0</v>
      </c>
      <c r="O1190" t="s">
        <v>176</v>
      </c>
    </row>
    <row r="1191" spans="1:15" ht="15" customHeight="1">
      <c r="A1191" t="s">
        <v>1317</v>
      </c>
      <c r="B1191" t="s">
        <v>1781</v>
      </c>
      <c r="C1191" t="s">
        <v>75</v>
      </c>
      <c r="D1191" t="s">
        <v>69</v>
      </c>
      <c r="E1191">
        <v>16</v>
      </c>
      <c r="F1191">
        <v>4.7</v>
      </c>
      <c r="G1191">
        <v>0.28999999999999998</v>
      </c>
      <c r="H1191">
        <v>26</v>
      </c>
      <c r="I1191">
        <v>2000</v>
      </c>
      <c r="J1191">
        <v>1500</v>
      </c>
      <c r="K1191" t="s">
        <v>298</v>
      </c>
      <c r="L1191" t="s">
        <v>71</v>
      </c>
      <c r="M1191" t="s">
        <v>40</v>
      </c>
      <c r="N1191" t="b">
        <v>0</v>
      </c>
      <c r="O1191" t="s">
        <v>299</v>
      </c>
    </row>
    <row r="1192" spans="1:15" ht="15" customHeight="1">
      <c r="A1192" t="s">
        <v>588</v>
      </c>
      <c r="B1192" t="s">
        <v>1782</v>
      </c>
      <c r="C1192" t="s">
        <v>129</v>
      </c>
      <c r="D1192" t="s">
        <v>130</v>
      </c>
      <c r="E1192">
        <v>18</v>
      </c>
      <c r="F1192">
        <v>4.4000000000000004</v>
      </c>
      <c r="G1192">
        <v>0.24</v>
      </c>
      <c r="H1192">
        <v>25</v>
      </c>
      <c r="I1192">
        <v>5000</v>
      </c>
      <c r="J1192">
        <v>1000</v>
      </c>
      <c r="K1192" t="s">
        <v>245</v>
      </c>
      <c r="L1192" t="s">
        <v>104</v>
      </c>
      <c r="M1192" t="s">
        <v>42</v>
      </c>
      <c r="N1192" t="b">
        <v>0</v>
      </c>
      <c r="O1192" t="s">
        <v>246</v>
      </c>
    </row>
    <row r="1193" spans="1:15" ht="15" customHeight="1">
      <c r="A1193" t="s">
        <v>140</v>
      </c>
      <c r="B1193" t="s">
        <v>1783</v>
      </c>
      <c r="C1193" t="s">
        <v>75</v>
      </c>
      <c r="D1193" t="s">
        <v>69</v>
      </c>
      <c r="E1193">
        <v>13</v>
      </c>
      <c r="F1193">
        <v>9.5</v>
      </c>
      <c r="G1193">
        <v>0.73</v>
      </c>
      <c r="H1193">
        <v>10</v>
      </c>
      <c r="I1193">
        <v>2000</v>
      </c>
      <c r="J1193">
        <v>1500</v>
      </c>
      <c r="K1193" t="s">
        <v>418</v>
      </c>
      <c r="L1193" t="s">
        <v>96</v>
      </c>
      <c r="M1193" t="s">
        <v>50</v>
      </c>
      <c r="N1193" t="b">
        <v>0</v>
      </c>
      <c r="O1193" t="s">
        <v>419</v>
      </c>
    </row>
    <row r="1194" spans="1:15" ht="15" customHeight="1">
      <c r="A1194" t="s">
        <v>670</v>
      </c>
      <c r="B1194" t="s">
        <v>1784</v>
      </c>
      <c r="C1194" t="s">
        <v>129</v>
      </c>
      <c r="D1194" t="s">
        <v>130</v>
      </c>
      <c r="E1194">
        <v>10</v>
      </c>
      <c r="F1194">
        <v>9.6</v>
      </c>
      <c r="G1194">
        <v>0.96</v>
      </c>
      <c r="H1194">
        <v>28</v>
      </c>
      <c r="I1194">
        <v>5000</v>
      </c>
      <c r="J1194">
        <v>1000</v>
      </c>
      <c r="K1194" t="s">
        <v>116</v>
      </c>
      <c r="L1194" t="s">
        <v>91</v>
      </c>
      <c r="M1194" t="s">
        <v>42</v>
      </c>
      <c r="N1194" t="b">
        <v>1</v>
      </c>
      <c r="O1194" t="s">
        <v>470</v>
      </c>
    </row>
    <row r="1195" spans="1:15" ht="15" customHeight="1">
      <c r="A1195" t="s">
        <v>497</v>
      </c>
      <c r="B1195" t="s">
        <v>1785</v>
      </c>
      <c r="C1195" t="s">
        <v>75</v>
      </c>
      <c r="D1195" t="s">
        <v>69</v>
      </c>
      <c r="E1195">
        <v>10</v>
      </c>
      <c r="F1195">
        <v>5.7</v>
      </c>
      <c r="G1195">
        <v>0.56999999999999995</v>
      </c>
      <c r="H1195">
        <v>23</v>
      </c>
      <c r="I1195">
        <v>2000</v>
      </c>
      <c r="J1195">
        <v>1500</v>
      </c>
      <c r="K1195" t="s">
        <v>207</v>
      </c>
      <c r="L1195" t="s">
        <v>104</v>
      </c>
      <c r="M1195" t="s">
        <v>44</v>
      </c>
      <c r="N1195" t="b">
        <v>0</v>
      </c>
      <c r="O1195" t="s">
        <v>208</v>
      </c>
    </row>
    <row r="1196" spans="1:15" ht="15" customHeight="1">
      <c r="A1196" t="s">
        <v>430</v>
      </c>
      <c r="B1196" t="s">
        <v>1786</v>
      </c>
      <c r="C1196" t="s">
        <v>68</v>
      </c>
      <c r="D1196" t="s">
        <v>69</v>
      </c>
      <c r="E1196">
        <v>12</v>
      </c>
      <c r="F1196">
        <v>3.3</v>
      </c>
      <c r="G1196">
        <v>0.27</v>
      </c>
      <c r="H1196">
        <v>5</v>
      </c>
      <c r="I1196">
        <v>30000</v>
      </c>
      <c r="J1196">
        <v>5000</v>
      </c>
      <c r="K1196" t="s">
        <v>112</v>
      </c>
      <c r="L1196" t="s">
        <v>104</v>
      </c>
      <c r="M1196" t="s">
        <v>42</v>
      </c>
      <c r="N1196" t="b">
        <v>0</v>
      </c>
      <c r="O1196" t="s">
        <v>113</v>
      </c>
    </row>
    <row r="1197" spans="1:15" ht="15" customHeight="1">
      <c r="A1197" t="s">
        <v>351</v>
      </c>
      <c r="B1197" t="s">
        <v>1787</v>
      </c>
      <c r="C1197" t="s">
        <v>81</v>
      </c>
      <c r="D1197" t="s">
        <v>69</v>
      </c>
      <c r="E1197">
        <v>18</v>
      </c>
      <c r="F1197">
        <v>12.8</v>
      </c>
      <c r="G1197">
        <v>0.71</v>
      </c>
      <c r="H1197">
        <v>16</v>
      </c>
      <c r="I1197">
        <v>10000</v>
      </c>
      <c r="J1197">
        <v>3000</v>
      </c>
      <c r="K1197" t="s">
        <v>283</v>
      </c>
      <c r="L1197" t="s">
        <v>71</v>
      </c>
      <c r="M1197" t="s">
        <v>45</v>
      </c>
      <c r="N1197" t="b">
        <v>0</v>
      </c>
      <c r="O1197" t="s">
        <v>284</v>
      </c>
    </row>
    <row r="1198" spans="1:15" ht="15" customHeight="1">
      <c r="A1198" t="s">
        <v>458</v>
      </c>
      <c r="B1198" t="s">
        <v>1788</v>
      </c>
      <c r="C1198" t="s">
        <v>81</v>
      </c>
      <c r="D1198" t="s">
        <v>69</v>
      </c>
      <c r="E1198">
        <v>18</v>
      </c>
      <c r="F1198">
        <v>14.7</v>
      </c>
      <c r="G1198">
        <v>0.82</v>
      </c>
      <c r="H1198">
        <v>26</v>
      </c>
      <c r="I1198">
        <v>10000</v>
      </c>
      <c r="J1198">
        <v>3000</v>
      </c>
      <c r="K1198" t="s">
        <v>525</v>
      </c>
      <c r="L1198" t="s">
        <v>77</v>
      </c>
      <c r="M1198" t="s">
        <v>41</v>
      </c>
      <c r="N1198" t="b">
        <v>0</v>
      </c>
      <c r="O1198" t="s">
        <v>526</v>
      </c>
    </row>
    <row r="1199" spans="1:15" ht="15" customHeight="1">
      <c r="A1199" t="s">
        <v>136</v>
      </c>
      <c r="B1199" t="s">
        <v>1789</v>
      </c>
      <c r="C1199" t="s">
        <v>68</v>
      </c>
      <c r="D1199" t="s">
        <v>69</v>
      </c>
      <c r="E1199">
        <v>12</v>
      </c>
      <c r="F1199">
        <v>0.7</v>
      </c>
      <c r="G1199">
        <v>0.06</v>
      </c>
      <c r="H1199">
        <v>4</v>
      </c>
      <c r="I1199">
        <v>30000</v>
      </c>
      <c r="J1199">
        <v>5000</v>
      </c>
      <c r="K1199" t="s">
        <v>95</v>
      </c>
      <c r="L1199" t="s">
        <v>96</v>
      </c>
      <c r="M1199" t="s">
        <v>41</v>
      </c>
      <c r="N1199" t="b">
        <v>0</v>
      </c>
      <c r="O1199" t="s">
        <v>97</v>
      </c>
    </row>
    <row r="1200" spans="1:15" ht="15" customHeight="1">
      <c r="A1200" t="s">
        <v>694</v>
      </c>
      <c r="B1200" t="s">
        <v>1790</v>
      </c>
      <c r="C1200" t="s">
        <v>75</v>
      </c>
      <c r="D1200" t="s">
        <v>69</v>
      </c>
      <c r="E1200">
        <v>18</v>
      </c>
      <c r="F1200">
        <v>13.3</v>
      </c>
      <c r="G1200">
        <v>0.74</v>
      </c>
      <c r="H1200">
        <v>23</v>
      </c>
      <c r="I1200">
        <v>2000</v>
      </c>
      <c r="J1200">
        <v>1500</v>
      </c>
      <c r="K1200" t="s">
        <v>207</v>
      </c>
      <c r="L1200" t="s">
        <v>96</v>
      </c>
      <c r="M1200" t="s">
        <v>46</v>
      </c>
      <c r="N1200" t="b">
        <v>0</v>
      </c>
      <c r="O1200" t="s">
        <v>208</v>
      </c>
    </row>
    <row r="1201" spans="1:15" ht="15" customHeight="1">
      <c r="A1201" t="s">
        <v>393</v>
      </c>
      <c r="B1201" t="s">
        <v>1791</v>
      </c>
      <c r="C1201" t="s">
        <v>75</v>
      </c>
      <c r="D1201" t="s">
        <v>69</v>
      </c>
      <c r="E1201">
        <v>16</v>
      </c>
      <c r="F1201">
        <v>7.4</v>
      </c>
      <c r="G1201">
        <v>0.46</v>
      </c>
      <c r="H1201">
        <v>19</v>
      </c>
      <c r="I1201">
        <v>2000</v>
      </c>
      <c r="J1201">
        <v>1500</v>
      </c>
      <c r="K1201" t="s">
        <v>408</v>
      </c>
      <c r="L1201" t="s">
        <v>100</v>
      </c>
      <c r="M1201" t="s">
        <v>49</v>
      </c>
      <c r="N1201" t="b">
        <v>0</v>
      </c>
      <c r="O1201" t="s">
        <v>409</v>
      </c>
    </row>
    <row r="1202" spans="1:15" ht="15" customHeight="1">
      <c r="A1202" t="s">
        <v>676</v>
      </c>
      <c r="B1202" t="s">
        <v>1792</v>
      </c>
      <c r="C1202" t="s">
        <v>149</v>
      </c>
      <c r="D1202" t="s">
        <v>69</v>
      </c>
      <c r="E1202">
        <v>12</v>
      </c>
      <c r="F1202">
        <v>8.1999999999999993</v>
      </c>
      <c r="G1202">
        <v>0.68</v>
      </c>
      <c r="H1202">
        <v>24</v>
      </c>
      <c r="I1202">
        <v>3000</v>
      </c>
      <c r="J1202">
        <v>1000</v>
      </c>
      <c r="K1202" t="s">
        <v>490</v>
      </c>
      <c r="L1202" t="s">
        <v>71</v>
      </c>
      <c r="M1202" t="s">
        <v>49</v>
      </c>
      <c r="N1202" t="b">
        <v>0</v>
      </c>
      <c r="O1202" t="s">
        <v>491</v>
      </c>
    </row>
    <row r="1203" spans="1:15" ht="15" customHeight="1">
      <c r="A1203" t="s">
        <v>596</v>
      </c>
      <c r="B1203" t="s">
        <v>1793</v>
      </c>
      <c r="C1203" t="s">
        <v>129</v>
      </c>
      <c r="D1203" t="s">
        <v>130</v>
      </c>
      <c r="E1203">
        <v>20</v>
      </c>
      <c r="F1203">
        <v>15.3</v>
      </c>
      <c r="G1203">
        <v>0.77</v>
      </c>
      <c r="H1203">
        <v>12</v>
      </c>
      <c r="I1203">
        <v>5000</v>
      </c>
      <c r="J1203">
        <v>1000</v>
      </c>
      <c r="K1203" t="s">
        <v>162</v>
      </c>
      <c r="L1203" t="s">
        <v>96</v>
      </c>
      <c r="M1203" t="s">
        <v>46</v>
      </c>
      <c r="N1203" t="b">
        <v>0</v>
      </c>
      <c r="O1203" t="s">
        <v>180</v>
      </c>
    </row>
    <row r="1204" spans="1:15" ht="15" customHeight="1">
      <c r="A1204" t="s">
        <v>447</v>
      </c>
      <c r="B1204" t="s">
        <v>1794</v>
      </c>
      <c r="C1204" t="s">
        <v>68</v>
      </c>
      <c r="D1204" t="s">
        <v>69</v>
      </c>
      <c r="E1204">
        <v>14</v>
      </c>
      <c r="F1204">
        <v>0.9</v>
      </c>
      <c r="G1204">
        <v>0.06</v>
      </c>
      <c r="H1204">
        <v>4</v>
      </c>
      <c r="I1204">
        <v>30000</v>
      </c>
      <c r="J1204">
        <v>5000</v>
      </c>
      <c r="K1204" t="s">
        <v>95</v>
      </c>
      <c r="L1204" t="s">
        <v>71</v>
      </c>
      <c r="M1204" t="s">
        <v>44</v>
      </c>
      <c r="N1204" t="b">
        <v>0</v>
      </c>
      <c r="O1204" t="s">
        <v>97</v>
      </c>
    </row>
    <row r="1205" spans="1:15" ht="15" customHeight="1">
      <c r="A1205" t="s">
        <v>762</v>
      </c>
      <c r="B1205" t="s">
        <v>1795</v>
      </c>
      <c r="C1205" t="s">
        <v>129</v>
      </c>
      <c r="D1205" t="s">
        <v>130</v>
      </c>
      <c r="E1205">
        <v>16</v>
      </c>
      <c r="F1205">
        <v>10.5</v>
      </c>
      <c r="G1205">
        <v>0.66</v>
      </c>
      <c r="H1205">
        <v>9</v>
      </c>
      <c r="I1205">
        <v>5000</v>
      </c>
      <c r="J1205">
        <v>1000</v>
      </c>
      <c r="K1205" t="s">
        <v>438</v>
      </c>
      <c r="L1205" t="s">
        <v>100</v>
      </c>
      <c r="M1205" t="s">
        <v>44</v>
      </c>
      <c r="N1205" t="b">
        <v>0</v>
      </c>
      <c r="O1205" t="s">
        <v>90</v>
      </c>
    </row>
    <row r="1206" spans="1:15" ht="15" customHeight="1">
      <c r="A1206" t="s">
        <v>285</v>
      </c>
      <c r="B1206" t="s">
        <v>1796</v>
      </c>
      <c r="C1206" t="s">
        <v>81</v>
      </c>
      <c r="D1206" t="s">
        <v>69</v>
      </c>
      <c r="E1206">
        <v>10</v>
      </c>
      <c r="F1206">
        <v>7.7</v>
      </c>
      <c r="G1206">
        <v>0.77</v>
      </c>
      <c r="H1206">
        <v>24</v>
      </c>
      <c r="I1206">
        <v>10000</v>
      </c>
      <c r="J1206">
        <v>3000</v>
      </c>
      <c r="K1206" t="s">
        <v>306</v>
      </c>
      <c r="L1206" t="s">
        <v>77</v>
      </c>
      <c r="M1206" t="s">
        <v>45</v>
      </c>
      <c r="N1206" t="b">
        <v>0</v>
      </c>
      <c r="O1206" t="s">
        <v>307</v>
      </c>
    </row>
    <row r="1207" spans="1:15" ht="15" customHeight="1">
      <c r="A1207" t="s">
        <v>88</v>
      </c>
      <c r="B1207" t="s">
        <v>1797</v>
      </c>
      <c r="C1207" t="s">
        <v>81</v>
      </c>
      <c r="D1207" t="s">
        <v>69</v>
      </c>
      <c r="E1207">
        <v>11</v>
      </c>
      <c r="F1207">
        <v>4.5</v>
      </c>
      <c r="G1207">
        <v>0.41</v>
      </c>
      <c r="H1207">
        <v>21</v>
      </c>
      <c r="I1207">
        <v>10000</v>
      </c>
      <c r="J1207">
        <v>3000</v>
      </c>
      <c r="K1207" t="s">
        <v>279</v>
      </c>
      <c r="L1207" t="s">
        <v>91</v>
      </c>
      <c r="M1207" t="s">
        <v>51</v>
      </c>
      <c r="N1207" t="b">
        <v>1</v>
      </c>
      <c r="O1207" t="s">
        <v>280</v>
      </c>
    </row>
    <row r="1208" spans="1:15" ht="15" customHeight="1">
      <c r="A1208" t="s">
        <v>1076</v>
      </c>
      <c r="B1208" t="s">
        <v>1798</v>
      </c>
      <c r="C1208" t="s">
        <v>129</v>
      </c>
      <c r="D1208" t="s">
        <v>130</v>
      </c>
      <c r="E1208">
        <v>19</v>
      </c>
      <c r="F1208">
        <v>9.6999999999999993</v>
      </c>
      <c r="G1208">
        <v>0.51</v>
      </c>
      <c r="H1208">
        <v>9</v>
      </c>
      <c r="I1208">
        <v>5000</v>
      </c>
      <c r="J1208">
        <v>1000</v>
      </c>
      <c r="K1208" t="s">
        <v>438</v>
      </c>
      <c r="L1208" t="s">
        <v>91</v>
      </c>
      <c r="M1208" t="s">
        <v>51</v>
      </c>
      <c r="N1208" t="b">
        <v>1</v>
      </c>
      <c r="O1208" t="s">
        <v>90</v>
      </c>
    </row>
    <row r="1209" spans="1:15" ht="15" customHeight="1">
      <c r="A1209" t="s">
        <v>1799</v>
      </c>
      <c r="B1209" t="s">
        <v>1800</v>
      </c>
      <c r="C1209" t="s">
        <v>75</v>
      </c>
      <c r="D1209" t="s">
        <v>69</v>
      </c>
      <c r="E1209">
        <v>14</v>
      </c>
      <c r="F1209">
        <v>3.2</v>
      </c>
      <c r="G1209">
        <v>0.23</v>
      </c>
      <c r="H1209">
        <v>28</v>
      </c>
      <c r="I1209">
        <v>2000</v>
      </c>
      <c r="J1209">
        <v>1500</v>
      </c>
      <c r="K1209" t="s">
        <v>262</v>
      </c>
      <c r="L1209" t="s">
        <v>71</v>
      </c>
      <c r="M1209" t="s">
        <v>50</v>
      </c>
      <c r="N1209" t="b">
        <v>0</v>
      </c>
      <c r="O1209" t="s">
        <v>289</v>
      </c>
    </row>
    <row r="1210" spans="1:15" ht="15" customHeight="1">
      <c r="A1210" t="s">
        <v>416</v>
      </c>
      <c r="B1210" t="s">
        <v>1801</v>
      </c>
      <c r="C1210" t="s">
        <v>68</v>
      </c>
      <c r="D1210" t="s">
        <v>69</v>
      </c>
      <c r="E1210">
        <v>15</v>
      </c>
      <c r="F1210">
        <v>1.8</v>
      </c>
      <c r="G1210">
        <v>0.12</v>
      </c>
      <c r="H1210">
        <v>5</v>
      </c>
      <c r="I1210">
        <v>30000</v>
      </c>
      <c r="J1210">
        <v>5000</v>
      </c>
      <c r="K1210" t="s">
        <v>112</v>
      </c>
      <c r="L1210" t="s">
        <v>77</v>
      </c>
      <c r="M1210" t="s">
        <v>44</v>
      </c>
      <c r="N1210" t="b">
        <v>0</v>
      </c>
      <c r="O1210" t="s">
        <v>113</v>
      </c>
    </row>
    <row r="1211" spans="1:15" ht="15" customHeight="1">
      <c r="A1211" t="s">
        <v>954</v>
      </c>
      <c r="B1211" t="s">
        <v>1802</v>
      </c>
      <c r="C1211" t="s">
        <v>68</v>
      </c>
      <c r="D1211" t="s">
        <v>69</v>
      </c>
      <c r="E1211">
        <v>16</v>
      </c>
      <c r="F1211">
        <v>1.6</v>
      </c>
      <c r="G1211">
        <v>0.1</v>
      </c>
      <c r="H1211">
        <v>1</v>
      </c>
      <c r="I1211">
        <v>30000</v>
      </c>
      <c r="J1211">
        <v>5000</v>
      </c>
      <c r="K1211" t="s">
        <v>70</v>
      </c>
      <c r="L1211" t="s">
        <v>104</v>
      </c>
      <c r="M1211" t="s">
        <v>46</v>
      </c>
      <c r="N1211" t="b">
        <v>0</v>
      </c>
      <c r="O1211" t="s">
        <v>72</v>
      </c>
    </row>
    <row r="1212" spans="1:15" ht="15" customHeight="1">
      <c r="A1212" t="s">
        <v>663</v>
      </c>
      <c r="B1212" t="s">
        <v>1803</v>
      </c>
      <c r="C1212" t="s">
        <v>129</v>
      </c>
      <c r="D1212" t="s">
        <v>130</v>
      </c>
      <c r="E1212">
        <v>16</v>
      </c>
      <c r="F1212">
        <v>12</v>
      </c>
      <c r="G1212">
        <v>0.75</v>
      </c>
      <c r="H1212">
        <v>25</v>
      </c>
      <c r="I1212">
        <v>5000</v>
      </c>
      <c r="J1212">
        <v>1000</v>
      </c>
      <c r="K1212" t="s">
        <v>245</v>
      </c>
      <c r="L1212" t="s">
        <v>104</v>
      </c>
      <c r="M1212" t="s">
        <v>43</v>
      </c>
      <c r="N1212" t="b">
        <v>0</v>
      </c>
      <c r="O1212" t="s">
        <v>246</v>
      </c>
    </row>
    <row r="1213" spans="1:15" ht="15" customHeight="1">
      <c r="A1213" t="s">
        <v>1518</v>
      </c>
      <c r="B1213" t="s">
        <v>1804</v>
      </c>
      <c r="C1213" t="s">
        <v>81</v>
      </c>
      <c r="D1213" t="s">
        <v>69</v>
      </c>
      <c r="E1213">
        <v>14</v>
      </c>
      <c r="F1213">
        <v>6.5</v>
      </c>
      <c r="G1213">
        <v>0.46</v>
      </c>
      <c r="H1213">
        <v>10</v>
      </c>
      <c r="I1213">
        <v>10000</v>
      </c>
      <c r="J1213">
        <v>3000</v>
      </c>
      <c r="K1213" t="s">
        <v>103</v>
      </c>
      <c r="L1213" t="s">
        <v>117</v>
      </c>
      <c r="M1213" t="s">
        <v>51</v>
      </c>
      <c r="N1213" t="b">
        <v>1</v>
      </c>
      <c r="O1213" t="s">
        <v>105</v>
      </c>
    </row>
    <row r="1214" spans="1:15" ht="15" customHeight="1">
      <c r="A1214" t="s">
        <v>666</v>
      </c>
      <c r="B1214" t="s">
        <v>1805</v>
      </c>
      <c r="C1214" t="s">
        <v>149</v>
      </c>
      <c r="D1214" t="s">
        <v>69</v>
      </c>
      <c r="E1214">
        <v>12</v>
      </c>
      <c r="F1214">
        <v>7.5</v>
      </c>
      <c r="G1214">
        <v>0.62</v>
      </c>
      <c r="H1214">
        <v>29</v>
      </c>
      <c r="I1214">
        <v>3000</v>
      </c>
      <c r="J1214">
        <v>1000</v>
      </c>
      <c r="K1214" t="s">
        <v>303</v>
      </c>
      <c r="L1214" t="s">
        <v>77</v>
      </c>
      <c r="M1214" t="s">
        <v>44</v>
      </c>
      <c r="N1214" t="b">
        <v>0</v>
      </c>
      <c r="O1214" t="s">
        <v>323</v>
      </c>
    </row>
    <row r="1215" spans="1:15" ht="15" customHeight="1">
      <c r="A1215" t="s">
        <v>1159</v>
      </c>
      <c r="B1215" t="s">
        <v>1806</v>
      </c>
      <c r="C1215" t="s">
        <v>75</v>
      </c>
      <c r="D1215" t="s">
        <v>69</v>
      </c>
      <c r="E1215">
        <v>19</v>
      </c>
      <c r="F1215">
        <v>15.4</v>
      </c>
      <c r="G1215">
        <v>0.81</v>
      </c>
      <c r="H1215">
        <v>27</v>
      </c>
      <c r="I1215">
        <v>2000</v>
      </c>
      <c r="J1215">
        <v>1500</v>
      </c>
      <c r="K1215" t="s">
        <v>150</v>
      </c>
      <c r="L1215" t="s">
        <v>100</v>
      </c>
      <c r="M1215" t="s">
        <v>48</v>
      </c>
      <c r="N1215" t="b">
        <v>0</v>
      </c>
      <c r="O1215" t="s">
        <v>528</v>
      </c>
    </row>
    <row r="1216" spans="1:15" ht="15" customHeight="1">
      <c r="A1216" t="s">
        <v>1039</v>
      </c>
      <c r="B1216" t="s">
        <v>1807</v>
      </c>
      <c r="C1216" t="s">
        <v>129</v>
      </c>
      <c r="D1216" t="s">
        <v>130</v>
      </c>
      <c r="E1216">
        <v>10</v>
      </c>
      <c r="F1216">
        <v>5.2</v>
      </c>
      <c r="G1216">
        <v>0.52</v>
      </c>
      <c r="H1216">
        <v>10</v>
      </c>
      <c r="I1216">
        <v>5000</v>
      </c>
      <c r="J1216">
        <v>1000</v>
      </c>
      <c r="K1216" t="s">
        <v>158</v>
      </c>
      <c r="L1216" t="s">
        <v>104</v>
      </c>
      <c r="M1216" t="s">
        <v>49</v>
      </c>
      <c r="N1216" t="b">
        <v>0</v>
      </c>
      <c r="O1216" t="s">
        <v>159</v>
      </c>
    </row>
    <row r="1217" spans="1:15" ht="15" customHeight="1">
      <c r="A1217" t="s">
        <v>891</v>
      </c>
      <c r="B1217" t="s">
        <v>1808</v>
      </c>
      <c r="C1217" t="s">
        <v>75</v>
      </c>
      <c r="D1217" t="s">
        <v>69</v>
      </c>
      <c r="E1217">
        <v>12</v>
      </c>
      <c r="F1217">
        <v>6.4</v>
      </c>
      <c r="G1217">
        <v>0.53</v>
      </c>
      <c r="H1217">
        <v>19</v>
      </c>
      <c r="I1217">
        <v>2000</v>
      </c>
      <c r="J1217">
        <v>1500</v>
      </c>
      <c r="K1217" t="s">
        <v>408</v>
      </c>
      <c r="L1217" t="s">
        <v>77</v>
      </c>
      <c r="M1217" t="s">
        <v>48</v>
      </c>
      <c r="N1217" t="b">
        <v>0</v>
      </c>
      <c r="O1217" t="s">
        <v>409</v>
      </c>
    </row>
    <row r="1218" spans="1:15" ht="15" customHeight="1">
      <c r="A1218" t="s">
        <v>1809</v>
      </c>
      <c r="B1218" t="s">
        <v>1810</v>
      </c>
      <c r="C1218" t="s">
        <v>81</v>
      </c>
      <c r="D1218" t="s">
        <v>69</v>
      </c>
      <c r="E1218">
        <v>12</v>
      </c>
      <c r="F1218">
        <v>3.3</v>
      </c>
      <c r="G1218">
        <v>0.27</v>
      </c>
      <c r="H1218">
        <v>26</v>
      </c>
      <c r="I1218">
        <v>10000</v>
      </c>
      <c r="J1218">
        <v>3000</v>
      </c>
      <c r="K1218" t="s">
        <v>525</v>
      </c>
      <c r="L1218" t="s">
        <v>91</v>
      </c>
      <c r="M1218" t="s">
        <v>40</v>
      </c>
      <c r="N1218" t="b">
        <v>1</v>
      </c>
      <c r="O1218" t="s">
        <v>526</v>
      </c>
    </row>
    <row r="1219" spans="1:15" ht="15" customHeight="1">
      <c r="A1219" t="s">
        <v>618</v>
      </c>
      <c r="B1219" t="s">
        <v>1811</v>
      </c>
      <c r="C1219" t="s">
        <v>75</v>
      </c>
      <c r="D1219" t="s">
        <v>69</v>
      </c>
      <c r="E1219">
        <v>13</v>
      </c>
      <c r="F1219">
        <v>7</v>
      </c>
      <c r="G1219">
        <v>0.54</v>
      </c>
      <c r="H1219">
        <v>30</v>
      </c>
      <c r="I1219">
        <v>2000</v>
      </c>
      <c r="J1219">
        <v>1500</v>
      </c>
      <c r="K1219" t="s">
        <v>162</v>
      </c>
      <c r="L1219" t="s">
        <v>117</v>
      </c>
      <c r="M1219" t="s">
        <v>46</v>
      </c>
      <c r="N1219" t="b">
        <v>1</v>
      </c>
      <c r="O1219" t="s">
        <v>510</v>
      </c>
    </row>
    <row r="1220" spans="1:15" ht="15" customHeight="1">
      <c r="A1220" t="s">
        <v>232</v>
      </c>
      <c r="B1220" t="s">
        <v>1812</v>
      </c>
      <c r="C1220" t="s">
        <v>81</v>
      </c>
      <c r="D1220" t="s">
        <v>69</v>
      </c>
      <c r="E1220">
        <v>13</v>
      </c>
      <c r="F1220">
        <v>3.4</v>
      </c>
      <c r="G1220">
        <v>0.26</v>
      </c>
      <c r="H1220">
        <v>7</v>
      </c>
      <c r="I1220">
        <v>10000</v>
      </c>
      <c r="J1220">
        <v>3000</v>
      </c>
      <c r="K1220" t="s">
        <v>82</v>
      </c>
      <c r="L1220" t="s">
        <v>91</v>
      </c>
      <c r="M1220" t="s">
        <v>45</v>
      </c>
      <c r="N1220" t="b">
        <v>1</v>
      </c>
      <c r="O1220" t="s">
        <v>83</v>
      </c>
    </row>
    <row r="1221" spans="1:15" ht="15" customHeight="1">
      <c r="A1221" t="s">
        <v>594</v>
      </c>
      <c r="B1221" t="s">
        <v>1813</v>
      </c>
      <c r="C1221" t="s">
        <v>129</v>
      </c>
      <c r="D1221" t="s">
        <v>130</v>
      </c>
      <c r="E1221">
        <v>16</v>
      </c>
      <c r="F1221">
        <v>13</v>
      </c>
      <c r="G1221">
        <v>0.81</v>
      </c>
      <c r="H1221">
        <v>27</v>
      </c>
      <c r="I1221">
        <v>5000</v>
      </c>
      <c r="J1221">
        <v>1000</v>
      </c>
      <c r="K1221" t="s">
        <v>172</v>
      </c>
      <c r="L1221" t="s">
        <v>91</v>
      </c>
      <c r="M1221" t="s">
        <v>43</v>
      </c>
      <c r="N1221" t="b">
        <v>1</v>
      </c>
      <c r="O1221" t="s">
        <v>173</v>
      </c>
    </row>
    <row r="1222" spans="1:15" ht="15" customHeight="1">
      <c r="A1222" t="s">
        <v>1194</v>
      </c>
      <c r="B1222" t="s">
        <v>1814</v>
      </c>
      <c r="C1222" t="s">
        <v>129</v>
      </c>
      <c r="D1222" t="s">
        <v>130</v>
      </c>
      <c r="E1222">
        <v>12</v>
      </c>
      <c r="F1222">
        <v>9.8000000000000007</v>
      </c>
      <c r="G1222">
        <v>0.82</v>
      </c>
      <c r="H1222">
        <v>28</v>
      </c>
      <c r="I1222">
        <v>5000</v>
      </c>
      <c r="J1222">
        <v>1000</v>
      </c>
      <c r="K1222" t="s">
        <v>116</v>
      </c>
      <c r="L1222" t="s">
        <v>104</v>
      </c>
      <c r="M1222" t="s">
        <v>50</v>
      </c>
      <c r="N1222" t="b">
        <v>0</v>
      </c>
      <c r="O1222" t="s">
        <v>470</v>
      </c>
    </row>
    <row r="1223" spans="1:15" ht="15" customHeight="1">
      <c r="A1223" t="s">
        <v>986</v>
      </c>
      <c r="B1223" t="s">
        <v>1815</v>
      </c>
      <c r="C1223" t="s">
        <v>81</v>
      </c>
      <c r="D1223" t="s">
        <v>69</v>
      </c>
      <c r="E1223">
        <v>12</v>
      </c>
      <c r="F1223">
        <v>5.4</v>
      </c>
      <c r="G1223">
        <v>0.45</v>
      </c>
      <c r="H1223">
        <v>19</v>
      </c>
      <c r="I1223">
        <v>10000</v>
      </c>
      <c r="J1223">
        <v>3000</v>
      </c>
      <c r="K1223" t="s">
        <v>309</v>
      </c>
      <c r="L1223" t="s">
        <v>104</v>
      </c>
      <c r="M1223" t="s">
        <v>47</v>
      </c>
      <c r="N1223" t="b">
        <v>0</v>
      </c>
      <c r="O1223" t="s">
        <v>310</v>
      </c>
    </row>
    <row r="1224" spans="1:15" ht="15" customHeight="1">
      <c r="A1224" t="s">
        <v>1816</v>
      </c>
      <c r="B1224" t="s">
        <v>1817</v>
      </c>
      <c r="C1224" t="s">
        <v>149</v>
      </c>
      <c r="D1224" t="s">
        <v>69</v>
      </c>
      <c r="E1224">
        <v>8</v>
      </c>
      <c r="F1224">
        <v>7.1</v>
      </c>
      <c r="G1224">
        <v>0.89</v>
      </c>
      <c r="H1224">
        <v>40</v>
      </c>
      <c r="I1224">
        <v>3000</v>
      </c>
      <c r="J1224">
        <v>1000</v>
      </c>
      <c r="K1224" t="s">
        <v>95</v>
      </c>
      <c r="L1224" t="s">
        <v>91</v>
      </c>
      <c r="M1224" t="s">
        <v>41</v>
      </c>
      <c r="N1224" t="b">
        <v>1</v>
      </c>
      <c r="O1224" t="s">
        <v>217</v>
      </c>
    </row>
    <row r="1225" spans="1:15" ht="15" customHeight="1">
      <c r="A1225" t="s">
        <v>1518</v>
      </c>
      <c r="B1225" t="s">
        <v>1818</v>
      </c>
      <c r="C1225" t="s">
        <v>68</v>
      </c>
      <c r="D1225" t="s">
        <v>69</v>
      </c>
      <c r="E1225">
        <v>14</v>
      </c>
      <c r="F1225">
        <v>3.4</v>
      </c>
      <c r="G1225">
        <v>0.24</v>
      </c>
      <c r="H1225">
        <v>1</v>
      </c>
      <c r="I1225">
        <v>30000</v>
      </c>
      <c r="J1225">
        <v>5000</v>
      </c>
      <c r="K1225" t="s">
        <v>70</v>
      </c>
      <c r="L1225" t="s">
        <v>117</v>
      </c>
      <c r="M1225" t="s">
        <v>51</v>
      </c>
      <c r="N1225" t="b">
        <v>1</v>
      </c>
      <c r="O1225" t="s">
        <v>72</v>
      </c>
    </row>
    <row r="1226" spans="1:15" ht="15" customHeight="1">
      <c r="A1226" t="s">
        <v>1044</v>
      </c>
      <c r="B1226" t="s">
        <v>1819</v>
      </c>
      <c r="C1226" t="s">
        <v>75</v>
      </c>
      <c r="D1226" t="s">
        <v>69</v>
      </c>
      <c r="E1226">
        <v>11</v>
      </c>
      <c r="F1226">
        <v>9.6</v>
      </c>
      <c r="G1226">
        <v>0.87</v>
      </c>
      <c r="H1226">
        <v>19</v>
      </c>
      <c r="I1226">
        <v>2000</v>
      </c>
      <c r="J1226">
        <v>1500</v>
      </c>
      <c r="K1226" t="s">
        <v>408</v>
      </c>
      <c r="L1226" t="s">
        <v>71</v>
      </c>
      <c r="M1226" t="s">
        <v>48</v>
      </c>
      <c r="N1226" t="b">
        <v>0</v>
      </c>
      <c r="O1226" t="s">
        <v>409</v>
      </c>
    </row>
    <row r="1227" spans="1:15" ht="15" customHeight="1">
      <c r="A1227" t="s">
        <v>487</v>
      </c>
      <c r="B1227" t="s">
        <v>1820</v>
      </c>
      <c r="C1227" t="s">
        <v>149</v>
      </c>
      <c r="D1227" t="s">
        <v>69</v>
      </c>
      <c r="E1227">
        <v>11</v>
      </c>
      <c r="F1227">
        <v>10.3</v>
      </c>
      <c r="G1227">
        <v>0.94</v>
      </c>
      <c r="H1227">
        <v>38</v>
      </c>
      <c r="I1227">
        <v>3000</v>
      </c>
      <c r="J1227">
        <v>1000</v>
      </c>
      <c r="K1227" t="s">
        <v>220</v>
      </c>
      <c r="L1227" t="s">
        <v>96</v>
      </c>
      <c r="M1227" t="s">
        <v>43</v>
      </c>
      <c r="N1227" t="b">
        <v>0</v>
      </c>
      <c r="O1227" t="s">
        <v>785</v>
      </c>
    </row>
    <row r="1228" spans="1:15" ht="15" customHeight="1">
      <c r="A1228" t="s">
        <v>1026</v>
      </c>
      <c r="B1228" t="s">
        <v>1821</v>
      </c>
      <c r="C1228" t="s">
        <v>75</v>
      </c>
      <c r="D1228" t="s">
        <v>69</v>
      </c>
      <c r="E1228">
        <v>16</v>
      </c>
      <c r="F1228">
        <v>7.3</v>
      </c>
      <c r="G1228">
        <v>0.46</v>
      </c>
      <c r="H1228">
        <v>9</v>
      </c>
      <c r="I1228">
        <v>2000</v>
      </c>
      <c r="J1228">
        <v>1500</v>
      </c>
      <c r="K1228" t="s">
        <v>740</v>
      </c>
      <c r="L1228" t="s">
        <v>96</v>
      </c>
      <c r="M1228" t="s">
        <v>50</v>
      </c>
      <c r="N1228" t="b">
        <v>0</v>
      </c>
      <c r="O1228" t="s">
        <v>741</v>
      </c>
    </row>
    <row r="1229" spans="1:15" ht="15" customHeight="1">
      <c r="A1229" t="s">
        <v>825</v>
      </c>
      <c r="B1229" t="s">
        <v>1822</v>
      </c>
      <c r="C1229" t="s">
        <v>68</v>
      </c>
      <c r="D1229" t="s">
        <v>69</v>
      </c>
      <c r="E1229">
        <v>11</v>
      </c>
      <c r="F1229">
        <v>3.3</v>
      </c>
      <c r="G1229">
        <v>0.3</v>
      </c>
      <c r="H1229">
        <v>4</v>
      </c>
      <c r="I1229">
        <v>30000</v>
      </c>
      <c r="J1229">
        <v>5000</v>
      </c>
      <c r="K1229" t="s">
        <v>95</v>
      </c>
      <c r="L1229" t="s">
        <v>104</v>
      </c>
      <c r="M1229" t="s">
        <v>40</v>
      </c>
      <c r="N1229" t="b">
        <v>0</v>
      </c>
      <c r="O1229" t="s">
        <v>97</v>
      </c>
    </row>
    <row r="1230" spans="1:15" ht="15" customHeight="1">
      <c r="A1230" t="s">
        <v>676</v>
      </c>
      <c r="B1230" t="s">
        <v>1823</v>
      </c>
      <c r="C1230" t="s">
        <v>75</v>
      </c>
      <c r="D1230" t="s">
        <v>69</v>
      </c>
      <c r="E1230">
        <v>17</v>
      </c>
      <c r="F1230">
        <v>15.1</v>
      </c>
      <c r="G1230">
        <v>0.89</v>
      </c>
      <c r="H1230">
        <v>28</v>
      </c>
      <c r="I1230">
        <v>2000</v>
      </c>
      <c r="J1230">
        <v>1500</v>
      </c>
      <c r="K1230" t="s">
        <v>262</v>
      </c>
      <c r="L1230" t="s">
        <v>71</v>
      </c>
      <c r="M1230" t="s">
        <v>49</v>
      </c>
      <c r="N1230" t="b">
        <v>0</v>
      </c>
      <c r="O1230" t="s">
        <v>289</v>
      </c>
    </row>
    <row r="1231" spans="1:15" ht="15" customHeight="1">
      <c r="A1231" t="s">
        <v>765</v>
      </c>
      <c r="B1231" t="s">
        <v>1824</v>
      </c>
      <c r="C1231" t="s">
        <v>75</v>
      </c>
      <c r="D1231" t="s">
        <v>69</v>
      </c>
      <c r="E1231">
        <v>18</v>
      </c>
      <c r="F1231">
        <v>14.5</v>
      </c>
      <c r="G1231">
        <v>0.81</v>
      </c>
      <c r="H1231">
        <v>26</v>
      </c>
      <c r="I1231">
        <v>2000</v>
      </c>
      <c r="J1231">
        <v>1500</v>
      </c>
      <c r="K1231" t="s">
        <v>298</v>
      </c>
      <c r="L1231" t="s">
        <v>71</v>
      </c>
      <c r="M1231" t="s">
        <v>42</v>
      </c>
      <c r="N1231" t="b">
        <v>0</v>
      </c>
      <c r="O1231" t="s">
        <v>299</v>
      </c>
    </row>
    <row r="1232" spans="1:15" ht="15" customHeight="1">
      <c r="A1232" t="s">
        <v>1106</v>
      </c>
      <c r="B1232" t="s">
        <v>1825</v>
      </c>
      <c r="C1232" t="s">
        <v>81</v>
      </c>
      <c r="D1232" t="s">
        <v>69</v>
      </c>
      <c r="E1232">
        <v>13</v>
      </c>
      <c r="F1232">
        <v>10.6</v>
      </c>
      <c r="G1232">
        <v>0.82</v>
      </c>
      <c r="H1232">
        <v>29</v>
      </c>
      <c r="I1232">
        <v>10000</v>
      </c>
      <c r="J1232">
        <v>3000</v>
      </c>
      <c r="K1232" t="s">
        <v>603</v>
      </c>
      <c r="L1232" t="s">
        <v>71</v>
      </c>
      <c r="M1232" t="s">
        <v>47</v>
      </c>
      <c r="N1232" t="b">
        <v>0</v>
      </c>
      <c r="O1232" t="s">
        <v>604</v>
      </c>
    </row>
    <row r="1233" spans="1:15" ht="15" customHeight="1">
      <c r="A1233" t="s">
        <v>136</v>
      </c>
      <c r="B1233" t="s">
        <v>1826</v>
      </c>
      <c r="C1233" t="s">
        <v>149</v>
      </c>
      <c r="D1233" t="s">
        <v>69</v>
      </c>
      <c r="E1233">
        <v>8</v>
      </c>
      <c r="F1233">
        <v>6.6</v>
      </c>
      <c r="G1233">
        <v>0.82</v>
      </c>
      <c r="H1233">
        <v>39</v>
      </c>
      <c r="I1233">
        <v>3000</v>
      </c>
      <c r="J1233">
        <v>1000</v>
      </c>
      <c r="K1233" t="s">
        <v>257</v>
      </c>
      <c r="L1233" t="s">
        <v>96</v>
      </c>
      <c r="M1233" t="s">
        <v>41</v>
      </c>
      <c r="N1233" t="b">
        <v>0</v>
      </c>
      <c r="O1233" t="s">
        <v>258</v>
      </c>
    </row>
    <row r="1234" spans="1:15" ht="15" customHeight="1">
      <c r="A1234" t="s">
        <v>227</v>
      </c>
      <c r="B1234" t="s">
        <v>1827</v>
      </c>
      <c r="C1234" t="s">
        <v>68</v>
      </c>
      <c r="D1234" t="s">
        <v>69</v>
      </c>
      <c r="E1234">
        <v>13</v>
      </c>
      <c r="F1234">
        <v>2.8</v>
      </c>
      <c r="G1234">
        <v>0.22</v>
      </c>
      <c r="H1234">
        <v>3</v>
      </c>
      <c r="I1234">
        <v>30000</v>
      </c>
      <c r="J1234">
        <v>5000</v>
      </c>
      <c r="K1234" t="s">
        <v>108</v>
      </c>
      <c r="L1234" t="s">
        <v>77</v>
      </c>
      <c r="M1234" t="s">
        <v>41</v>
      </c>
      <c r="N1234" t="b">
        <v>0</v>
      </c>
      <c r="O1234" t="s">
        <v>109</v>
      </c>
    </row>
    <row r="1235" spans="1:15" ht="15" customHeight="1">
      <c r="A1235" t="s">
        <v>1208</v>
      </c>
      <c r="B1235" t="s">
        <v>1828</v>
      </c>
      <c r="C1235" t="s">
        <v>75</v>
      </c>
      <c r="D1235" t="s">
        <v>69</v>
      </c>
      <c r="E1235">
        <v>19</v>
      </c>
      <c r="F1235">
        <v>10.8</v>
      </c>
      <c r="G1235">
        <v>0.56999999999999995</v>
      </c>
      <c r="H1235">
        <v>15</v>
      </c>
      <c r="I1235">
        <v>2000</v>
      </c>
      <c r="J1235">
        <v>1500</v>
      </c>
      <c r="K1235" t="s">
        <v>70</v>
      </c>
      <c r="L1235" t="s">
        <v>117</v>
      </c>
      <c r="M1235" t="s">
        <v>43</v>
      </c>
      <c r="N1235" t="b">
        <v>1</v>
      </c>
      <c r="O1235" t="s">
        <v>598</v>
      </c>
    </row>
    <row r="1236" spans="1:15" ht="15" customHeight="1">
      <c r="A1236" t="s">
        <v>884</v>
      </c>
      <c r="B1236" t="s">
        <v>1829</v>
      </c>
      <c r="C1236" t="s">
        <v>81</v>
      </c>
      <c r="D1236" t="s">
        <v>69</v>
      </c>
      <c r="E1236">
        <v>19</v>
      </c>
      <c r="F1236">
        <v>8.5</v>
      </c>
      <c r="G1236">
        <v>0.45</v>
      </c>
      <c r="H1236">
        <v>13</v>
      </c>
      <c r="I1236">
        <v>10000</v>
      </c>
      <c r="J1236">
        <v>3000</v>
      </c>
      <c r="K1236" t="s">
        <v>203</v>
      </c>
      <c r="L1236" t="s">
        <v>77</v>
      </c>
      <c r="M1236" t="s">
        <v>47</v>
      </c>
      <c r="N1236" t="b">
        <v>0</v>
      </c>
      <c r="O1236" t="s">
        <v>204</v>
      </c>
    </row>
    <row r="1237" spans="1:15" ht="15" customHeight="1">
      <c r="A1237" t="s">
        <v>884</v>
      </c>
      <c r="B1237" t="s">
        <v>1830</v>
      </c>
      <c r="C1237" t="s">
        <v>75</v>
      </c>
      <c r="D1237" t="s">
        <v>69</v>
      </c>
      <c r="E1237">
        <v>9</v>
      </c>
      <c r="F1237">
        <v>7.5</v>
      </c>
      <c r="G1237">
        <v>0.83</v>
      </c>
      <c r="H1237">
        <v>23</v>
      </c>
      <c r="I1237">
        <v>2000</v>
      </c>
      <c r="J1237">
        <v>1500</v>
      </c>
      <c r="K1237" t="s">
        <v>207</v>
      </c>
      <c r="L1237" t="s">
        <v>77</v>
      </c>
      <c r="M1237" t="s">
        <v>47</v>
      </c>
      <c r="N1237" t="b">
        <v>0</v>
      </c>
      <c r="O1237" t="s">
        <v>208</v>
      </c>
    </row>
    <row r="1238" spans="1:15" ht="15" customHeight="1">
      <c r="A1238" t="s">
        <v>500</v>
      </c>
      <c r="B1238" t="s">
        <v>1831</v>
      </c>
      <c r="C1238" t="s">
        <v>129</v>
      </c>
      <c r="D1238" t="s">
        <v>130</v>
      </c>
      <c r="E1238">
        <v>18</v>
      </c>
      <c r="F1238">
        <v>5.4</v>
      </c>
      <c r="G1238">
        <v>0.3</v>
      </c>
      <c r="H1238">
        <v>20</v>
      </c>
      <c r="I1238">
        <v>5000</v>
      </c>
      <c r="J1238">
        <v>1000</v>
      </c>
      <c r="K1238" t="s">
        <v>103</v>
      </c>
      <c r="L1238" t="s">
        <v>77</v>
      </c>
      <c r="M1238" t="s">
        <v>47</v>
      </c>
      <c r="N1238" t="b">
        <v>0</v>
      </c>
      <c r="O1238" t="s">
        <v>169</v>
      </c>
    </row>
    <row r="1239" spans="1:15" ht="15" customHeight="1">
      <c r="A1239" t="s">
        <v>321</v>
      </c>
      <c r="B1239" t="s">
        <v>1832</v>
      </c>
      <c r="C1239" t="s">
        <v>129</v>
      </c>
      <c r="D1239" t="s">
        <v>130</v>
      </c>
      <c r="E1239">
        <v>8</v>
      </c>
      <c r="F1239">
        <v>6.6</v>
      </c>
      <c r="G1239">
        <v>0.82</v>
      </c>
      <c r="H1239">
        <v>14</v>
      </c>
      <c r="I1239">
        <v>5000</v>
      </c>
      <c r="J1239">
        <v>1000</v>
      </c>
      <c r="K1239" t="s">
        <v>82</v>
      </c>
      <c r="L1239" t="s">
        <v>91</v>
      </c>
      <c r="M1239" t="s">
        <v>50</v>
      </c>
      <c r="N1239" t="b">
        <v>1</v>
      </c>
      <c r="O1239" t="s">
        <v>229</v>
      </c>
    </row>
    <row r="1240" spans="1:15" ht="15" customHeight="1">
      <c r="A1240" t="s">
        <v>398</v>
      </c>
      <c r="B1240" t="s">
        <v>1833</v>
      </c>
      <c r="C1240" t="s">
        <v>81</v>
      </c>
      <c r="D1240" t="s">
        <v>69</v>
      </c>
      <c r="E1240">
        <v>17</v>
      </c>
      <c r="F1240">
        <v>14.9</v>
      </c>
      <c r="G1240">
        <v>0.88</v>
      </c>
      <c r="H1240">
        <v>9</v>
      </c>
      <c r="I1240">
        <v>10000</v>
      </c>
      <c r="J1240">
        <v>3000</v>
      </c>
      <c r="K1240" t="s">
        <v>108</v>
      </c>
      <c r="L1240" t="s">
        <v>117</v>
      </c>
      <c r="M1240" t="s">
        <v>43</v>
      </c>
      <c r="N1240" t="b">
        <v>1</v>
      </c>
      <c r="O1240" t="s">
        <v>303</v>
      </c>
    </row>
    <row r="1241" spans="1:15" ht="15" customHeight="1">
      <c r="A1241" t="s">
        <v>1031</v>
      </c>
      <c r="B1241" t="s">
        <v>1834</v>
      </c>
      <c r="C1241" t="s">
        <v>149</v>
      </c>
      <c r="D1241" t="s">
        <v>69</v>
      </c>
      <c r="E1241">
        <v>9</v>
      </c>
      <c r="F1241">
        <v>8.9</v>
      </c>
      <c r="G1241">
        <v>0.99</v>
      </c>
      <c r="H1241">
        <v>36</v>
      </c>
      <c r="I1241">
        <v>3000</v>
      </c>
      <c r="J1241">
        <v>1000</v>
      </c>
      <c r="K1241" t="s">
        <v>154</v>
      </c>
      <c r="L1241" t="s">
        <v>91</v>
      </c>
      <c r="M1241" t="s">
        <v>45</v>
      </c>
      <c r="N1241" t="b">
        <v>1</v>
      </c>
      <c r="O1241" t="s">
        <v>155</v>
      </c>
    </row>
    <row r="1242" spans="1:15" ht="15" customHeight="1">
      <c r="A1242" t="s">
        <v>468</v>
      </c>
      <c r="B1242" t="s">
        <v>1835</v>
      </c>
      <c r="C1242" t="s">
        <v>129</v>
      </c>
      <c r="D1242" t="s">
        <v>130</v>
      </c>
      <c r="E1242">
        <v>13</v>
      </c>
      <c r="F1242">
        <v>9.9</v>
      </c>
      <c r="G1242">
        <v>0.76</v>
      </c>
      <c r="H1242">
        <v>15</v>
      </c>
      <c r="I1242">
        <v>5000</v>
      </c>
      <c r="J1242">
        <v>1000</v>
      </c>
      <c r="K1242" t="s">
        <v>479</v>
      </c>
      <c r="L1242" t="s">
        <v>117</v>
      </c>
      <c r="M1242" t="s">
        <v>49</v>
      </c>
      <c r="N1242" t="b">
        <v>1</v>
      </c>
      <c r="O1242" t="s">
        <v>480</v>
      </c>
    </row>
    <row r="1243" spans="1:15" ht="15" customHeight="1">
      <c r="A1243" t="s">
        <v>694</v>
      </c>
      <c r="B1243" t="s">
        <v>1836</v>
      </c>
      <c r="C1243" t="s">
        <v>75</v>
      </c>
      <c r="D1243" t="s">
        <v>69</v>
      </c>
      <c r="E1243">
        <v>19</v>
      </c>
      <c r="F1243">
        <v>16.600000000000001</v>
      </c>
      <c r="G1243">
        <v>0.87</v>
      </c>
      <c r="H1243">
        <v>29</v>
      </c>
      <c r="I1243">
        <v>2000</v>
      </c>
      <c r="J1243">
        <v>1500</v>
      </c>
      <c r="K1243" t="s">
        <v>519</v>
      </c>
      <c r="L1243" t="s">
        <v>96</v>
      </c>
      <c r="M1243" t="s">
        <v>46</v>
      </c>
      <c r="N1243" t="b">
        <v>0</v>
      </c>
      <c r="O1243" t="s">
        <v>520</v>
      </c>
    </row>
    <row r="1244" spans="1:15" ht="15" customHeight="1">
      <c r="A1244" t="s">
        <v>1799</v>
      </c>
      <c r="B1244" t="s">
        <v>1837</v>
      </c>
      <c r="C1244" t="s">
        <v>129</v>
      </c>
      <c r="D1244" t="s">
        <v>130</v>
      </c>
      <c r="E1244">
        <v>14</v>
      </c>
      <c r="F1244">
        <v>6.8</v>
      </c>
      <c r="G1244">
        <v>0.49</v>
      </c>
      <c r="H1244">
        <v>8</v>
      </c>
      <c r="I1244">
        <v>5000</v>
      </c>
      <c r="J1244">
        <v>1000</v>
      </c>
      <c r="K1244" t="s">
        <v>76</v>
      </c>
      <c r="L1244" t="s">
        <v>71</v>
      </c>
      <c r="M1244" t="s">
        <v>50</v>
      </c>
      <c r="N1244" t="b">
        <v>0</v>
      </c>
      <c r="O1244" t="s">
        <v>317</v>
      </c>
    </row>
    <row r="1245" spans="1:15" ht="15" customHeight="1">
      <c r="A1245" t="s">
        <v>267</v>
      </c>
      <c r="B1245" t="s">
        <v>1838</v>
      </c>
      <c r="C1245" t="s">
        <v>149</v>
      </c>
      <c r="D1245" t="s">
        <v>69</v>
      </c>
      <c r="E1245">
        <v>11</v>
      </c>
      <c r="F1245">
        <v>9.6999999999999993</v>
      </c>
      <c r="G1245">
        <v>0.88</v>
      </c>
      <c r="H1245">
        <v>16</v>
      </c>
      <c r="I1245">
        <v>3000</v>
      </c>
      <c r="J1245">
        <v>1000</v>
      </c>
      <c r="K1245" t="s">
        <v>361</v>
      </c>
      <c r="L1245" t="s">
        <v>104</v>
      </c>
      <c r="M1245" t="s">
        <v>48</v>
      </c>
      <c r="N1245" t="b">
        <v>0</v>
      </c>
      <c r="O1245" t="s">
        <v>870</v>
      </c>
    </row>
    <row r="1246" spans="1:15" ht="15" customHeight="1">
      <c r="A1246" t="s">
        <v>1839</v>
      </c>
      <c r="B1246" t="s">
        <v>1840</v>
      </c>
      <c r="C1246" t="s">
        <v>68</v>
      </c>
      <c r="D1246" t="s">
        <v>69</v>
      </c>
      <c r="E1246">
        <v>9</v>
      </c>
      <c r="F1246">
        <v>1.8</v>
      </c>
      <c r="G1246">
        <v>0.2</v>
      </c>
      <c r="H1246">
        <v>5</v>
      </c>
      <c r="I1246">
        <v>30000</v>
      </c>
      <c r="J1246">
        <v>5000</v>
      </c>
      <c r="K1246" t="s">
        <v>112</v>
      </c>
      <c r="L1246" t="s">
        <v>91</v>
      </c>
      <c r="M1246" t="s">
        <v>43</v>
      </c>
      <c r="N1246" t="b">
        <v>1</v>
      </c>
      <c r="O1246" t="s">
        <v>113</v>
      </c>
    </row>
    <row r="1247" spans="1:15" ht="15" customHeight="1">
      <c r="A1247" t="s">
        <v>378</v>
      </c>
      <c r="B1247" t="s">
        <v>1841</v>
      </c>
      <c r="C1247" t="s">
        <v>75</v>
      </c>
      <c r="D1247" t="s">
        <v>69</v>
      </c>
      <c r="E1247">
        <v>16</v>
      </c>
      <c r="F1247">
        <v>9.8000000000000007</v>
      </c>
      <c r="G1247">
        <v>0.61</v>
      </c>
      <c r="H1247">
        <v>27</v>
      </c>
      <c r="I1247">
        <v>2000</v>
      </c>
      <c r="J1247">
        <v>1500</v>
      </c>
      <c r="K1247" t="s">
        <v>150</v>
      </c>
      <c r="L1247" t="s">
        <v>71</v>
      </c>
      <c r="M1247" t="s">
        <v>42</v>
      </c>
      <c r="N1247" t="b">
        <v>0</v>
      </c>
      <c r="O1247" t="s">
        <v>528</v>
      </c>
    </row>
    <row r="1248" spans="1:15" ht="15" customHeight="1">
      <c r="A1248" t="s">
        <v>592</v>
      </c>
      <c r="B1248" t="s">
        <v>1842</v>
      </c>
      <c r="C1248" t="s">
        <v>68</v>
      </c>
      <c r="D1248" t="s">
        <v>69</v>
      </c>
      <c r="E1248">
        <v>10</v>
      </c>
      <c r="F1248">
        <v>1.3</v>
      </c>
      <c r="G1248">
        <v>0.13</v>
      </c>
      <c r="H1248">
        <v>5</v>
      </c>
      <c r="I1248">
        <v>30000</v>
      </c>
      <c r="J1248">
        <v>5000</v>
      </c>
      <c r="K1248" t="s">
        <v>112</v>
      </c>
      <c r="L1248" t="s">
        <v>91</v>
      </c>
      <c r="M1248" t="s">
        <v>51</v>
      </c>
      <c r="N1248" t="b">
        <v>1</v>
      </c>
      <c r="O1248" t="s">
        <v>113</v>
      </c>
    </row>
    <row r="1249" spans="1:15" ht="15" customHeight="1">
      <c r="A1249" t="s">
        <v>93</v>
      </c>
      <c r="B1249" t="s">
        <v>1843</v>
      </c>
      <c r="C1249" t="s">
        <v>68</v>
      </c>
      <c r="D1249" t="s">
        <v>69</v>
      </c>
      <c r="E1249">
        <v>9</v>
      </c>
      <c r="F1249">
        <v>0.5</v>
      </c>
      <c r="G1249">
        <v>0.06</v>
      </c>
      <c r="H1249">
        <v>1</v>
      </c>
      <c r="I1249">
        <v>30000</v>
      </c>
      <c r="J1249">
        <v>5000</v>
      </c>
      <c r="K1249" t="s">
        <v>70</v>
      </c>
      <c r="L1249" t="s">
        <v>96</v>
      </c>
      <c r="M1249" t="s">
        <v>40</v>
      </c>
      <c r="N1249" t="b">
        <v>0</v>
      </c>
      <c r="O1249" t="s">
        <v>72</v>
      </c>
    </row>
    <row r="1250" spans="1:15" ht="15" customHeight="1">
      <c r="A1250" t="s">
        <v>393</v>
      </c>
      <c r="B1250" t="s">
        <v>1844</v>
      </c>
      <c r="C1250" t="s">
        <v>75</v>
      </c>
      <c r="D1250" t="s">
        <v>69</v>
      </c>
      <c r="E1250">
        <v>12</v>
      </c>
      <c r="F1250">
        <v>9.6</v>
      </c>
      <c r="G1250">
        <v>0.8</v>
      </c>
      <c r="H1250">
        <v>14</v>
      </c>
      <c r="I1250">
        <v>2000</v>
      </c>
      <c r="J1250">
        <v>1500</v>
      </c>
      <c r="K1250" t="s">
        <v>396</v>
      </c>
      <c r="L1250" t="s">
        <v>100</v>
      </c>
      <c r="M1250" t="s">
        <v>49</v>
      </c>
      <c r="N1250" t="b">
        <v>0</v>
      </c>
      <c r="O1250" t="s">
        <v>397</v>
      </c>
    </row>
    <row r="1251" spans="1:15" ht="15" customHeight="1">
      <c r="A1251" t="s">
        <v>110</v>
      </c>
      <c r="B1251" t="s">
        <v>1845</v>
      </c>
      <c r="C1251" t="s">
        <v>149</v>
      </c>
      <c r="D1251" t="s">
        <v>69</v>
      </c>
      <c r="E1251">
        <v>8</v>
      </c>
      <c r="F1251">
        <v>6.2</v>
      </c>
      <c r="G1251">
        <v>0.78</v>
      </c>
      <c r="H1251">
        <v>25</v>
      </c>
      <c r="I1251">
        <v>3000</v>
      </c>
      <c r="J1251">
        <v>1000</v>
      </c>
      <c r="K1251" t="s">
        <v>479</v>
      </c>
      <c r="L1251" t="s">
        <v>100</v>
      </c>
      <c r="M1251" t="s">
        <v>43</v>
      </c>
      <c r="N1251" t="b">
        <v>0</v>
      </c>
      <c r="O1251" t="s">
        <v>480</v>
      </c>
    </row>
    <row r="1252" spans="1:15" ht="15" customHeight="1">
      <c r="A1252" t="s">
        <v>304</v>
      </c>
      <c r="B1252" t="s">
        <v>1846</v>
      </c>
      <c r="C1252" t="s">
        <v>149</v>
      </c>
      <c r="D1252" t="s">
        <v>69</v>
      </c>
      <c r="E1252">
        <v>9</v>
      </c>
      <c r="F1252">
        <v>8.9</v>
      </c>
      <c r="G1252">
        <v>0.99</v>
      </c>
      <c r="H1252">
        <v>26</v>
      </c>
      <c r="I1252">
        <v>3000</v>
      </c>
      <c r="J1252">
        <v>1000</v>
      </c>
      <c r="K1252" t="s">
        <v>294</v>
      </c>
      <c r="L1252" t="s">
        <v>104</v>
      </c>
      <c r="M1252" t="s">
        <v>45</v>
      </c>
      <c r="N1252" t="b">
        <v>0</v>
      </c>
      <c r="O1252" t="s">
        <v>295</v>
      </c>
    </row>
    <row r="1253" spans="1:15" ht="15" customHeight="1">
      <c r="A1253" t="s">
        <v>794</v>
      </c>
      <c r="B1253" t="s">
        <v>1847</v>
      </c>
      <c r="C1253" t="s">
        <v>149</v>
      </c>
      <c r="D1253" t="s">
        <v>69</v>
      </c>
      <c r="E1253">
        <v>10</v>
      </c>
      <c r="F1253">
        <v>6.4</v>
      </c>
      <c r="G1253">
        <v>0.64</v>
      </c>
      <c r="H1253">
        <v>20</v>
      </c>
      <c r="I1253">
        <v>3000</v>
      </c>
      <c r="J1253">
        <v>1000</v>
      </c>
      <c r="K1253" t="s">
        <v>162</v>
      </c>
      <c r="L1253" t="s">
        <v>96</v>
      </c>
      <c r="M1253" t="s">
        <v>45</v>
      </c>
      <c r="N1253" t="b">
        <v>0</v>
      </c>
      <c r="O1253" t="s">
        <v>180</v>
      </c>
    </row>
    <row r="1254" spans="1:15" ht="15" customHeight="1">
      <c r="A1254" t="s">
        <v>1106</v>
      </c>
      <c r="B1254" t="s">
        <v>1848</v>
      </c>
      <c r="C1254" t="s">
        <v>149</v>
      </c>
      <c r="D1254" t="s">
        <v>69</v>
      </c>
      <c r="E1254">
        <v>8</v>
      </c>
      <c r="F1254">
        <v>6.1</v>
      </c>
      <c r="G1254">
        <v>0.76</v>
      </c>
      <c r="H1254">
        <v>28</v>
      </c>
      <c r="I1254">
        <v>3000</v>
      </c>
      <c r="J1254">
        <v>1000</v>
      </c>
      <c r="K1254" t="s">
        <v>176</v>
      </c>
      <c r="L1254" t="s">
        <v>71</v>
      </c>
      <c r="M1254" t="s">
        <v>47</v>
      </c>
      <c r="N1254" t="b">
        <v>0</v>
      </c>
      <c r="O1254" t="s">
        <v>177</v>
      </c>
    </row>
    <row r="1255" spans="1:15" ht="15" customHeight="1">
      <c r="A1255" t="s">
        <v>663</v>
      </c>
      <c r="B1255" t="s">
        <v>1849</v>
      </c>
      <c r="C1255" t="s">
        <v>68</v>
      </c>
      <c r="D1255" t="s">
        <v>69</v>
      </c>
      <c r="E1255">
        <v>15</v>
      </c>
      <c r="F1255">
        <v>1.1000000000000001</v>
      </c>
      <c r="G1255">
        <v>7.0000000000000007E-2</v>
      </c>
      <c r="H1255">
        <v>5</v>
      </c>
      <c r="I1255">
        <v>30000</v>
      </c>
      <c r="J1255">
        <v>5000</v>
      </c>
      <c r="K1255" t="s">
        <v>112</v>
      </c>
      <c r="L1255" t="s">
        <v>104</v>
      </c>
      <c r="M1255" t="s">
        <v>43</v>
      </c>
      <c r="N1255" t="b">
        <v>0</v>
      </c>
      <c r="O1255" t="s">
        <v>113</v>
      </c>
    </row>
    <row r="1256" spans="1:15" ht="15" customHeight="1">
      <c r="A1256" t="s">
        <v>351</v>
      </c>
      <c r="B1256" t="s">
        <v>1850</v>
      </c>
      <c r="C1256" t="s">
        <v>75</v>
      </c>
      <c r="D1256" t="s">
        <v>69</v>
      </c>
      <c r="E1256">
        <v>17</v>
      </c>
      <c r="F1256">
        <v>4.4000000000000004</v>
      </c>
      <c r="G1256">
        <v>0.26</v>
      </c>
      <c r="H1256">
        <v>27</v>
      </c>
      <c r="I1256">
        <v>2000</v>
      </c>
      <c r="J1256">
        <v>1500</v>
      </c>
      <c r="K1256" t="s">
        <v>150</v>
      </c>
      <c r="L1256" t="s">
        <v>71</v>
      </c>
      <c r="M1256" t="s">
        <v>45</v>
      </c>
      <c r="N1256" t="b">
        <v>0</v>
      </c>
      <c r="O1256" t="s">
        <v>528</v>
      </c>
    </row>
    <row r="1257" spans="1:15" ht="15" customHeight="1">
      <c r="A1257" t="s">
        <v>497</v>
      </c>
      <c r="B1257" t="s">
        <v>1851</v>
      </c>
      <c r="C1257" t="s">
        <v>129</v>
      </c>
      <c r="D1257" t="s">
        <v>130</v>
      </c>
      <c r="E1257">
        <v>12</v>
      </c>
      <c r="F1257">
        <v>5.9</v>
      </c>
      <c r="G1257">
        <v>0.49</v>
      </c>
      <c r="H1257">
        <v>29</v>
      </c>
      <c r="I1257">
        <v>5000</v>
      </c>
      <c r="J1257">
        <v>1000</v>
      </c>
      <c r="K1257" t="s">
        <v>113</v>
      </c>
      <c r="L1257" t="s">
        <v>104</v>
      </c>
      <c r="M1257" t="s">
        <v>44</v>
      </c>
      <c r="N1257" t="b">
        <v>0</v>
      </c>
      <c r="O1257" t="s">
        <v>146</v>
      </c>
    </row>
    <row r="1258" spans="1:15" ht="15" customHeight="1">
      <c r="A1258" t="s">
        <v>794</v>
      </c>
      <c r="B1258" t="s">
        <v>1852</v>
      </c>
      <c r="C1258" t="s">
        <v>68</v>
      </c>
      <c r="D1258" t="s">
        <v>69</v>
      </c>
      <c r="E1258">
        <v>11</v>
      </c>
      <c r="F1258">
        <v>3.4</v>
      </c>
      <c r="G1258">
        <v>0.31</v>
      </c>
      <c r="H1258">
        <v>1</v>
      </c>
      <c r="I1258">
        <v>30000</v>
      </c>
      <c r="J1258">
        <v>5000</v>
      </c>
      <c r="K1258" t="s">
        <v>70</v>
      </c>
      <c r="L1258" t="s">
        <v>96</v>
      </c>
      <c r="M1258" t="s">
        <v>45</v>
      </c>
      <c r="N1258" t="b">
        <v>0</v>
      </c>
      <c r="O1258" t="s">
        <v>72</v>
      </c>
    </row>
    <row r="1259" spans="1:15" ht="15" customHeight="1">
      <c r="A1259" t="s">
        <v>756</v>
      </c>
      <c r="B1259" t="s">
        <v>1853</v>
      </c>
      <c r="C1259" t="s">
        <v>129</v>
      </c>
      <c r="D1259" t="s">
        <v>130</v>
      </c>
      <c r="E1259">
        <v>17</v>
      </c>
      <c r="F1259">
        <v>10.9</v>
      </c>
      <c r="G1259">
        <v>0.64</v>
      </c>
      <c r="H1259">
        <v>23</v>
      </c>
      <c r="I1259">
        <v>5000</v>
      </c>
      <c r="J1259">
        <v>1000</v>
      </c>
      <c r="K1259" t="s">
        <v>97</v>
      </c>
      <c r="L1259" t="s">
        <v>117</v>
      </c>
      <c r="M1259" t="s">
        <v>41</v>
      </c>
      <c r="N1259" t="b">
        <v>1</v>
      </c>
      <c r="O1259" t="s">
        <v>220</v>
      </c>
    </row>
    <row r="1260" spans="1:15" ht="15" customHeight="1">
      <c r="A1260" t="s">
        <v>801</v>
      </c>
      <c r="B1260" t="s">
        <v>1854</v>
      </c>
      <c r="C1260" t="s">
        <v>129</v>
      </c>
      <c r="D1260" t="s">
        <v>130</v>
      </c>
      <c r="E1260">
        <v>20</v>
      </c>
      <c r="F1260">
        <v>9.4</v>
      </c>
      <c r="G1260">
        <v>0.47</v>
      </c>
      <c r="H1260">
        <v>13</v>
      </c>
      <c r="I1260">
        <v>5000</v>
      </c>
      <c r="J1260">
        <v>1000</v>
      </c>
      <c r="K1260" t="s">
        <v>313</v>
      </c>
      <c r="L1260" t="s">
        <v>91</v>
      </c>
      <c r="M1260" t="s">
        <v>40</v>
      </c>
      <c r="N1260" t="b">
        <v>1</v>
      </c>
      <c r="O1260" t="s">
        <v>314</v>
      </c>
    </row>
    <row r="1261" spans="1:15" ht="15" customHeight="1">
      <c r="A1261" t="s">
        <v>897</v>
      </c>
      <c r="B1261" t="s">
        <v>1855</v>
      </c>
      <c r="C1261" t="s">
        <v>149</v>
      </c>
      <c r="D1261" t="s">
        <v>69</v>
      </c>
      <c r="E1261">
        <v>10</v>
      </c>
      <c r="F1261">
        <v>6.4</v>
      </c>
      <c r="G1261">
        <v>0.64</v>
      </c>
      <c r="H1261">
        <v>31</v>
      </c>
      <c r="I1261">
        <v>3000</v>
      </c>
      <c r="J1261">
        <v>1000</v>
      </c>
      <c r="K1261" t="s">
        <v>530</v>
      </c>
      <c r="L1261" t="s">
        <v>104</v>
      </c>
      <c r="M1261" t="s">
        <v>49</v>
      </c>
      <c r="N1261" t="b">
        <v>0</v>
      </c>
      <c r="O1261" t="s">
        <v>531</v>
      </c>
    </row>
    <row r="1262" spans="1:15" ht="15" customHeight="1">
      <c r="A1262" t="s">
        <v>607</v>
      </c>
      <c r="B1262" t="s">
        <v>1856</v>
      </c>
      <c r="C1262" t="s">
        <v>75</v>
      </c>
      <c r="D1262" t="s">
        <v>69</v>
      </c>
      <c r="E1262">
        <v>11</v>
      </c>
      <c r="F1262">
        <v>9.6999999999999993</v>
      </c>
      <c r="G1262">
        <v>0.88</v>
      </c>
      <c r="H1262">
        <v>26</v>
      </c>
      <c r="I1262">
        <v>2000</v>
      </c>
      <c r="J1262">
        <v>1500</v>
      </c>
      <c r="K1262" t="s">
        <v>298</v>
      </c>
      <c r="L1262" t="s">
        <v>100</v>
      </c>
      <c r="M1262" t="s">
        <v>42</v>
      </c>
      <c r="N1262" t="b">
        <v>0</v>
      </c>
      <c r="O1262" t="s">
        <v>299</v>
      </c>
    </row>
    <row r="1263" spans="1:15" ht="15" customHeight="1">
      <c r="A1263" t="s">
        <v>414</v>
      </c>
      <c r="B1263" t="s">
        <v>1857</v>
      </c>
      <c r="C1263" t="s">
        <v>75</v>
      </c>
      <c r="D1263" t="s">
        <v>69</v>
      </c>
      <c r="E1263">
        <v>20</v>
      </c>
      <c r="F1263">
        <v>15.4</v>
      </c>
      <c r="G1263">
        <v>0.77</v>
      </c>
      <c r="H1263">
        <v>13</v>
      </c>
      <c r="I1263">
        <v>2000</v>
      </c>
      <c r="J1263">
        <v>1500</v>
      </c>
      <c r="K1263" t="s">
        <v>211</v>
      </c>
      <c r="L1263" t="s">
        <v>117</v>
      </c>
      <c r="M1263" t="s">
        <v>46</v>
      </c>
      <c r="N1263" t="b">
        <v>1</v>
      </c>
      <c r="O1263" t="s">
        <v>212</v>
      </c>
    </row>
    <row r="1264" spans="1:15" ht="15" customHeight="1">
      <c r="A1264" t="s">
        <v>1321</v>
      </c>
      <c r="B1264" t="s">
        <v>1858</v>
      </c>
      <c r="C1264" t="s">
        <v>75</v>
      </c>
      <c r="D1264" t="s">
        <v>69</v>
      </c>
      <c r="E1264">
        <v>9</v>
      </c>
      <c r="F1264">
        <v>8.6999999999999993</v>
      </c>
      <c r="G1264">
        <v>0.97</v>
      </c>
      <c r="H1264">
        <v>14</v>
      </c>
      <c r="I1264">
        <v>2000</v>
      </c>
      <c r="J1264">
        <v>1500</v>
      </c>
      <c r="K1264" t="s">
        <v>396</v>
      </c>
      <c r="L1264" t="s">
        <v>71</v>
      </c>
      <c r="M1264" t="s">
        <v>40</v>
      </c>
      <c r="N1264" t="b">
        <v>0</v>
      </c>
      <c r="O1264" t="s">
        <v>397</v>
      </c>
    </row>
    <row r="1265" spans="1:15" ht="15" customHeight="1">
      <c r="A1265" t="s">
        <v>290</v>
      </c>
      <c r="B1265" t="s">
        <v>1859</v>
      </c>
      <c r="C1265" t="s">
        <v>68</v>
      </c>
      <c r="D1265" t="s">
        <v>69</v>
      </c>
      <c r="E1265">
        <v>16</v>
      </c>
      <c r="F1265">
        <v>3.7</v>
      </c>
      <c r="G1265">
        <v>0.23</v>
      </c>
      <c r="H1265">
        <v>4</v>
      </c>
      <c r="I1265">
        <v>30000</v>
      </c>
      <c r="J1265">
        <v>5000</v>
      </c>
      <c r="K1265" t="s">
        <v>95</v>
      </c>
      <c r="L1265" t="s">
        <v>104</v>
      </c>
      <c r="M1265" t="s">
        <v>46</v>
      </c>
      <c r="N1265" t="b">
        <v>0</v>
      </c>
      <c r="O1265" t="s">
        <v>97</v>
      </c>
    </row>
    <row r="1266" spans="1:15" ht="15" customHeight="1">
      <c r="A1266" t="s">
        <v>650</v>
      </c>
      <c r="B1266" t="s">
        <v>1860</v>
      </c>
      <c r="C1266" t="s">
        <v>68</v>
      </c>
      <c r="D1266" t="s">
        <v>69</v>
      </c>
      <c r="E1266">
        <v>8</v>
      </c>
      <c r="F1266">
        <v>2.2999999999999998</v>
      </c>
      <c r="G1266">
        <v>0.28999999999999998</v>
      </c>
      <c r="H1266">
        <v>2</v>
      </c>
      <c r="I1266">
        <v>30000</v>
      </c>
      <c r="J1266">
        <v>5000</v>
      </c>
      <c r="K1266" t="s">
        <v>162</v>
      </c>
      <c r="L1266" t="s">
        <v>100</v>
      </c>
      <c r="M1266" t="s">
        <v>46</v>
      </c>
      <c r="N1266" t="b">
        <v>0</v>
      </c>
      <c r="O1266" t="s">
        <v>163</v>
      </c>
    </row>
    <row r="1267" spans="1:15" ht="15" customHeight="1">
      <c r="A1267" t="s">
        <v>723</v>
      </c>
      <c r="B1267" t="s">
        <v>1861</v>
      </c>
      <c r="C1267" t="s">
        <v>149</v>
      </c>
      <c r="D1267" t="s">
        <v>69</v>
      </c>
      <c r="E1267">
        <v>10</v>
      </c>
      <c r="F1267">
        <v>6.1</v>
      </c>
      <c r="G1267">
        <v>0.61</v>
      </c>
      <c r="H1267">
        <v>15</v>
      </c>
      <c r="I1267">
        <v>3000</v>
      </c>
      <c r="J1267">
        <v>1000</v>
      </c>
      <c r="K1267" t="s">
        <v>438</v>
      </c>
      <c r="L1267" t="s">
        <v>77</v>
      </c>
      <c r="M1267" t="s">
        <v>50</v>
      </c>
      <c r="N1267" t="b">
        <v>0</v>
      </c>
      <c r="O1267" t="s">
        <v>90</v>
      </c>
    </row>
    <row r="1268" spans="1:15" ht="15" customHeight="1">
      <c r="A1268" t="s">
        <v>762</v>
      </c>
      <c r="B1268" t="s">
        <v>1862</v>
      </c>
      <c r="C1268" t="s">
        <v>75</v>
      </c>
      <c r="D1268" t="s">
        <v>69</v>
      </c>
      <c r="E1268">
        <v>19</v>
      </c>
      <c r="F1268">
        <v>17.2</v>
      </c>
      <c r="G1268">
        <v>0.91</v>
      </c>
      <c r="H1268">
        <v>25</v>
      </c>
      <c r="I1268">
        <v>2000</v>
      </c>
      <c r="J1268">
        <v>1500</v>
      </c>
      <c r="K1268" t="s">
        <v>158</v>
      </c>
      <c r="L1268" t="s">
        <v>100</v>
      </c>
      <c r="M1268" t="s">
        <v>44</v>
      </c>
      <c r="N1268" t="b">
        <v>0</v>
      </c>
      <c r="O1268" t="s">
        <v>400</v>
      </c>
    </row>
    <row r="1269" spans="1:15" ht="15" customHeight="1">
      <c r="A1269" t="s">
        <v>770</v>
      </c>
      <c r="B1269" t="s">
        <v>1863</v>
      </c>
      <c r="C1269" t="s">
        <v>68</v>
      </c>
      <c r="D1269" t="s">
        <v>69</v>
      </c>
      <c r="E1269">
        <v>11</v>
      </c>
      <c r="F1269">
        <v>0.9</v>
      </c>
      <c r="G1269">
        <v>0.08</v>
      </c>
      <c r="H1269">
        <v>1</v>
      </c>
      <c r="I1269">
        <v>30000</v>
      </c>
      <c r="J1269">
        <v>5000</v>
      </c>
      <c r="K1269" t="s">
        <v>70</v>
      </c>
      <c r="L1269" t="s">
        <v>104</v>
      </c>
      <c r="M1269" t="s">
        <v>48</v>
      </c>
      <c r="N1269" t="b">
        <v>0</v>
      </c>
      <c r="O1269" t="s">
        <v>72</v>
      </c>
    </row>
    <row r="1270" spans="1:15" ht="15" customHeight="1">
      <c r="A1270" t="s">
        <v>1106</v>
      </c>
      <c r="B1270" t="s">
        <v>1864</v>
      </c>
      <c r="C1270" t="s">
        <v>68</v>
      </c>
      <c r="D1270" t="s">
        <v>69</v>
      </c>
      <c r="E1270">
        <v>14</v>
      </c>
      <c r="F1270">
        <v>1</v>
      </c>
      <c r="G1270">
        <v>7.0000000000000007E-2</v>
      </c>
      <c r="H1270">
        <v>3</v>
      </c>
      <c r="I1270">
        <v>30000</v>
      </c>
      <c r="J1270">
        <v>5000</v>
      </c>
      <c r="K1270" t="s">
        <v>108</v>
      </c>
      <c r="L1270" t="s">
        <v>71</v>
      </c>
      <c r="M1270" t="s">
        <v>47</v>
      </c>
      <c r="N1270" t="b">
        <v>0</v>
      </c>
      <c r="O1270" t="s">
        <v>109</v>
      </c>
    </row>
    <row r="1271" spans="1:15" ht="15" customHeight="1">
      <c r="A1271" t="s">
        <v>1168</v>
      </c>
      <c r="B1271" t="s">
        <v>1865</v>
      </c>
      <c r="C1271" t="s">
        <v>149</v>
      </c>
      <c r="D1271" t="s">
        <v>69</v>
      </c>
      <c r="E1271">
        <v>12</v>
      </c>
      <c r="F1271">
        <v>11.8</v>
      </c>
      <c r="G1271">
        <v>0.98</v>
      </c>
      <c r="H1271">
        <v>27</v>
      </c>
      <c r="I1271">
        <v>3000</v>
      </c>
      <c r="J1271">
        <v>1000</v>
      </c>
      <c r="K1271" t="s">
        <v>845</v>
      </c>
      <c r="L1271" t="s">
        <v>91</v>
      </c>
      <c r="M1271" t="s">
        <v>46</v>
      </c>
      <c r="N1271" t="b">
        <v>1</v>
      </c>
      <c r="O1271" t="s">
        <v>357</v>
      </c>
    </row>
    <row r="1272" spans="1:15" ht="15" customHeight="1">
      <c r="A1272" t="s">
        <v>588</v>
      </c>
      <c r="B1272" t="s">
        <v>1866</v>
      </c>
      <c r="C1272" t="s">
        <v>129</v>
      </c>
      <c r="D1272" t="s">
        <v>130</v>
      </c>
      <c r="E1272">
        <v>14</v>
      </c>
      <c r="F1272">
        <v>12</v>
      </c>
      <c r="G1272">
        <v>0.86</v>
      </c>
      <c r="H1272">
        <v>30</v>
      </c>
      <c r="I1272">
        <v>5000</v>
      </c>
      <c r="J1272">
        <v>1000</v>
      </c>
      <c r="K1272" t="s">
        <v>112</v>
      </c>
      <c r="L1272" t="s">
        <v>104</v>
      </c>
      <c r="M1272" t="s">
        <v>42</v>
      </c>
      <c r="N1272" t="b">
        <v>0</v>
      </c>
      <c r="O1272" t="s">
        <v>195</v>
      </c>
    </row>
    <row r="1273" spans="1:15" ht="15" customHeight="1">
      <c r="A1273" t="s">
        <v>756</v>
      </c>
      <c r="B1273" t="s">
        <v>1867</v>
      </c>
      <c r="C1273" t="s">
        <v>81</v>
      </c>
      <c r="D1273" t="s">
        <v>69</v>
      </c>
      <c r="E1273">
        <v>19</v>
      </c>
      <c r="F1273">
        <v>18.3</v>
      </c>
      <c r="G1273">
        <v>0.96</v>
      </c>
      <c r="H1273">
        <v>14</v>
      </c>
      <c r="I1273">
        <v>10000</v>
      </c>
      <c r="J1273">
        <v>3000</v>
      </c>
      <c r="K1273" t="s">
        <v>116</v>
      </c>
      <c r="L1273" t="s">
        <v>117</v>
      </c>
      <c r="M1273" t="s">
        <v>41</v>
      </c>
      <c r="N1273" t="b">
        <v>1</v>
      </c>
      <c r="O1273" t="s">
        <v>118</v>
      </c>
    </row>
    <row r="1274" spans="1:15" ht="15" customHeight="1">
      <c r="A1274" t="s">
        <v>485</v>
      </c>
      <c r="B1274" t="s">
        <v>1868</v>
      </c>
      <c r="C1274" t="s">
        <v>75</v>
      </c>
      <c r="D1274" t="s">
        <v>69</v>
      </c>
      <c r="E1274">
        <v>10</v>
      </c>
      <c r="F1274">
        <v>5.5</v>
      </c>
      <c r="G1274">
        <v>0.55000000000000004</v>
      </c>
      <c r="H1274">
        <v>27</v>
      </c>
      <c r="I1274">
        <v>2000</v>
      </c>
      <c r="J1274">
        <v>1500</v>
      </c>
      <c r="K1274" t="s">
        <v>150</v>
      </c>
      <c r="L1274" t="s">
        <v>100</v>
      </c>
      <c r="M1274" t="s">
        <v>50</v>
      </c>
      <c r="N1274" t="b">
        <v>0</v>
      </c>
      <c r="O1274" t="s">
        <v>528</v>
      </c>
    </row>
    <row r="1275" spans="1:15" ht="15" customHeight="1">
      <c r="A1275" t="s">
        <v>933</v>
      </c>
      <c r="B1275" t="s">
        <v>1869</v>
      </c>
      <c r="C1275" t="s">
        <v>149</v>
      </c>
      <c r="D1275" t="s">
        <v>69</v>
      </c>
      <c r="E1275">
        <v>9</v>
      </c>
      <c r="F1275">
        <v>6.3</v>
      </c>
      <c r="G1275">
        <v>0.7</v>
      </c>
      <c r="H1275">
        <v>19</v>
      </c>
      <c r="I1275">
        <v>3000</v>
      </c>
      <c r="J1275">
        <v>1000</v>
      </c>
      <c r="K1275" t="s">
        <v>198</v>
      </c>
      <c r="L1275" t="s">
        <v>71</v>
      </c>
      <c r="M1275" t="s">
        <v>46</v>
      </c>
      <c r="N1275" t="b">
        <v>0</v>
      </c>
      <c r="O1275" t="s">
        <v>262</v>
      </c>
    </row>
    <row r="1276" spans="1:15" ht="15" customHeight="1">
      <c r="A1276" t="s">
        <v>1657</v>
      </c>
      <c r="B1276" t="s">
        <v>1870</v>
      </c>
      <c r="C1276" t="s">
        <v>149</v>
      </c>
      <c r="D1276" t="s">
        <v>69</v>
      </c>
      <c r="E1276">
        <v>9</v>
      </c>
      <c r="F1276">
        <v>8.9</v>
      </c>
      <c r="G1276">
        <v>0.99</v>
      </c>
      <c r="H1276">
        <v>24</v>
      </c>
      <c r="I1276">
        <v>3000</v>
      </c>
      <c r="J1276">
        <v>1000</v>
      </c>
      <c r="K1276" t="s">
        <v>490</v>
      </c>
      <c r="L1276" t="s">
        <v>91</v>
      </c>
      <c r="M1276" t="s">
        <v>46</v>
      </c>
      <c r="N1276" t="b">
        <v>1</v>
      </c>
      <c r="O1276" t="s">
        <v>491</v>
      </c>
    </row>
    <row r="1277" spans="1:15" ht="15" customHeight="1">
      <c r="A1277" t="s">
        <v>799</v>
      </c>
      <c r="B1277" t="s">
        <v>1871</v>
      </c>
      <c r="C1277" t="s">
        <v>75</v>
      </c>
      <c r="D1277" t="s">
        <v>69</v>
      </c>
      <c r="E1277">
        <v>17</v>
      </c>
      <c r="F1277">
        <v>10.7</v>
      </c>
      <c r="G1277">
        <v>0.63</v>
      </c>
      <c r="H1277">
        <v>24</v>
      </c>
      <c r="I1277">
        <v>2000</v>
      </c>
      <c r="J1277">
        <v>1500</v>
      </c>
      <c r="K1277" t="s">
        <v>361</v>
      </c>
      <c r="L1277" t="s">
        <v>77</v>
      </c>
      <c r="M1277" t="s">
        <v>46</v>
      </c>
      <c r="N1277" t="b">
        <v>0</v>
      </c>
      <c r="O1277" t="s">
        <v>362</v>
      </c>
    </row>
    <row r="1278" spans="1:15" ht="15" customHeight="1">
      <c r="A1278" t="s">
        <v>464</v>
      </c>
      <c r="B1278" t="s">
        <v>1872</v>
      </c>
      <c r="C1278" t="s">
        <v>68</v>
      </c>
      <c r="D1278" t="s">
        <v>69</v>
      </c>
      <c r="E1278">
        <v>15</v>
      </c>
      <c r="F1278">
        <v>1.5</v>
      </c>
      <c r="G1278">
        <v>0.1</v>
      </c>
      <c r="H1278">
        <v>5</v>
      </c>
      <c r="I1278">
        <v>30000</v>
      </c>
      <c r="J1278">
        <v>5000</v>
      </c>
      <c r="K1278" t="s">
        <v>112</v>
      </c>
      <c r="L1278" t="s">
        <v>100</v>
      </c>
      <c r="M1278" t="s">
        <v>41</v>
      </c>
      <c r="N1278" t="b">
        <v>0</v>
      </c>
      <c r="O1278" t="s">
        <v>113</v>
      </c>
    </row>
    <row r="1279" spans="1:15" ht="15" customHeight="1">
      <c r="A1279" t="s">
        <v>1258</v>
      </c>
      <c r="B1279" t="s">
        <v>1873</v>
      </c>
      <c r="C1279" t="s">
        <v>68</v>
      </c>
      <c r="D1279" t="s">
        <v>69</v>
      </c>
      <c r="E1279">
        <v>15</v>
      </c>
      <c r="F1279">
        <v>2.1</v>
      </c>
      <c r="G1279">
        <v>0.14000000000000001</v>
      </c>
      <c r="H1279">
        <v>4</v>
      </c>
      <c r="I1279">
        <v>30000</v>
      </c>
      <c r="J1279">
        <v>5000</v>
      </c>
      <c r="K1279" t="s">
        <v>95</v>
      </c>
      <c r="L1279" t="s">
        <v>91</v>
      </c>
      <c r="M1279" t="s">
        <v>48</v>
      </c>
      <c r="N1279" t="b">
        <v>1</v>
      </c>
      <c r="O1279" t="s">
        <v>97</v>
      </c>
    </row>
    <row r="1280" spans="1:15" ht="15" customHeight="1">
      <c r="A1280" t="s">
        <v>513</v>
      </c>
      <c r="B1280" t="s">
        <v>1874</v>
      </c>
      <c r="C1280" t="s">
        <v>75</v>
      </c>
      <c r="D1280" t="s">
        <v>69</v>
      </c>
      <c r="E1280">
        <v>13</v>
      </c>
      <c r="F1280">
        <v>4.3</v>
      </c>
      <c r="G1280">
        <v>0.33</v>
      </c>
      <c r="H1280">
        <v>17</v>
      </c>
      <c r="I1280">
        <v>2000</v>
      </c>
      <c r="J1280">
        <v>1500</v>
      </c>
      <c r="K1280" t="s">
        <v>862</v>
      </c>
      <c r="L1280" t="s">
        <v>96</v>
      </c>
      <c r="M1280" t="s">
        <v>40</v>
      </c>
      <c r="N1280" t="b">
        <v>0</v>
      </c>
      <c r="O1280" t="s">
        <v>863</v>
      </c>
    </row>
    <row r="1281" spans="1:15" ht="15" customHeight="1">
      <c r="A1281" t="s">
        <v>756</v>
      </c>
      <c r="B1281" t="s">
        <v>1875</v>
      </c>
      <c r="C1281" t="s">
        <v>81</v>
      </c>
      <c r="D1281" t="s">
        <v>69</v>
      </c>
      <c r="E1281">
        <v>12</v>
      </c>
      <c r="F1281">
        <v>10.199999999999999</v>
      </c>
      <c r="G1281">
        <v>0.85</v>
      </c>
      <c r="H1281">
        <v>10</v>
      </c>
      <c r="I1281">
        <v>10000</v>
      </c>
      <c r="J1281">
        <v>3000</v>
      </c>
      <c r="K1281" t="s">
        <v>103</v>
      </c>
      <c r="L1281" t="s">
        <v>117</v>
      </c>
      <c r="M1281" t="s">
        <v>41</v>
      </c>
      <c r="N1281" t="b">
        <v>1</v>
      </c>
      <c r="O1281" t="s">
        <v>105</v>
      </c>
    </row>
    <row r="1282" spans="1:15" ht="15" customHeight="1">
      <c r="A1282" t="s">
        <v>621</v>
      </c>
      <c r="B1282" t="s">
        <v>1876</v>
      </c>
      <c r="C1282" t="s">
        <v>81</v>
      </c>
      <c r="D1282" t="s">
        <v>69</v>
      </c>
      <c r="E1282">
        <v>11</v>
      </c>
      <c r="F1282">
        <v>9.9</v>
      </c>
      <c r="G1282">
        <v>0.9</v>
      </c>
      <c r="H1282">
        <v>22</v>
      </c>
      <c r="I1282">
        <v>10000</v>
      </c>
      <c r="J1282">
        <v>3000</v>
      </c>
      <c r="K1282" t="s">
        <v>548</v>
      </c>
      <c r="L1282" t="s">
        <v>104</v>
      </c>
      <c r="M1282" t="s">
        <v>44</v>
      </c>
      <c r="N1282" t="b">
        <v>0</v>
      </c>
      <c r="O1282" t="s">
        <v>549</v>
      </c>
    </row>
    <row r="1283" spans="1:15" ht="15" customHeight="1">
      <c r="A1283" t="s">
        <v>439</v>
      </c>
      <c r="B1283" t="s">
        <v>1877</v>
      </c>
      <c r="C1283" t="s">
        <v>75</v>
      </c>
      <c r="D1283" t="s">
        <v>69</v>
      </c>
      <c r="E1283">
        <v>17</v>
      </c>
      <c r="F1283">
        <v>12.6</v>
      </c>
      <c r="G1283">
        <v>0.74</v>
      </c>
      <c r="H1283">
        <v>17</v>
      </c>
      <c r="I1283">
        <v>2000</v>
      </c>
      <c r="J1283">
        <v>1500</v>
      </c>
      <c r="K1283" t="s">
        <v>862</v>
      </c>
      <c r="L1283" t="s">
        <v>71</v>
      </c>
      <c r="M1283" t="s">
        <v>48</v>
      </c>
      <c r="N1283" t="b">
        <v>0</v>
      </c>
      <c r="O1283" t="s">
        <v>863</v>
      </c>
    </row>
    <row r="1284" spans="1:15" ht="15" customHeight="1">
      <c r="A1284" t="s">
        <v>1504</v>
      </c>
      <c r="B1284" t="s">
        <v>1878</v>
      </c>
      <c r="C1284" t="s">
        <v>75</v>
      </c>
      <c r="D1284" t="s">
        <v>69</v>
      </c>
      <c r="E1284">
        <v>15</v>
      </c>
      <c r="F1284">
        <v>13.6</v>
      </c>
      <c r="G1284">
        <v>0.91</v>
      </c>
      <c r="H1284">
        <v>17</v>
      </c>
      <c r="I1284">
        <v>2000</v>
      </c>
      <c r="J1284">
        <v>1500</v>
      </c>
      <c r="K1284" t="s">
        <v>862</v>
      </c>
      <c r="L1284" t="s">
        <v>104</v>
      </c>
      <c r="M1284" t="s">
        <v>46</v>
      </c>
      <c r="N1284" t="b">
        <v>0</v>
      </c>
      <c r="O1284" t="s">
        <v>863</v>
      </c>
    </row>
    <row r="1285" spans="1:15" ht="15" customHeight="1">
      <c r="A1285" t="s">
        <v>926</v>
      </c>
      <c r="B1285" t="s">
        <v>1879</v>
      </c>
      <c r="C1285" t="s">
        <v>149</v>
      </c>
      <c r="D1285" t="s">
        <v>69</v>
      </c>
      <c r="E1285">
        <v>8</v>
      </c>
      <c r="F1285">
        <v>7.9</v>
      </c>
      <c r="G1285">
        <v>0.99</v>
      </c>
      <c r="H1285">
        <v>26</v>
      </c>
      <c r="I1285">
        <v>3000</v>
      </c>
      <c r="J1285">
        <v>1000</v>
      </c>
      <c r="K1285" t="s">
        <v>294</v>
      </c>
      <c r="L1285" t="s">
        <v>91</v>
      </c>
      <c r="M1285" t="s">
        <v>41</v>
      </c>
      <c r="N1285" t="b">
        <v>1</v>
      </c>
      <c r="O1285" t="s">
        <v>295</v>
      </c>
    </row>
    <row r="1286" spans="1:15" ht="15" customHeight="1">
      <c r="A1286" t="s">
        <v>441</v>
      </c>
      <c r="B1286" t="s">
        <v>1880</v>
      </c>
      <c r="C1286" t="s">
        <v>81</v>
      </c>
      <c r="D1286" t="s">
        <v>69</v>
      </c>
      <c r="E1286">
        <v>14</v>
      </c>
      <c r="F1286">
        <v>9.6999999999999993</v>
      </c>
      <c r="G1286">
        <v>0.69</v>
      </c>
      <c r="H1286">
        <v>14</v>
      </c>
      <c r="I1286">
        <v>10000</v>
      </c>
      <c r="J1286">
        <v>3000</v>
      </c>
      <c r="K1286" t="s">
        <v>116</v>
      </c>
      <c r="L1286" t="s">
        <v>77</v>
      </c>
      <c r="M1286" t="s">
        <v>43</v>
      </c>
      <c r="N1286" t="b">
        <v>0</v>
      </c>
      <c r="O1286" t="s">
        <v>118</v>
      </c>
    </row>
    <row r="1287" spans="1:15" ht="15" customHeight="1">
      <c r="A1287" t="s">
        <v>632</v>
      </c>
      <c r="B1287" t="s">
        <v>1881</v>
      </c>
      <c r="C1287" t="s">
        <v>129</v>
      </c>
      <c r="D1287" t="s">
        <v>130</v>
      </c>
      <c r="E1287">
        <v>9</v>
      </c>
      <c r="F1287">
        <v>8.6999999999999993</v>
      </c>
      <c r="G1287">
        <v>0.97</v>
      </c>
      <c r="H1287">
        <v>14</v>
      </c>
      <c r="I1287">
        <v>5000</v>
      </c>
      <c r="J1287">
        <v>1000</v>
      </c>
      <c r="K1287" t="s">
        <v>82</v>
      </c>
      <c r="L1287" t="s">
        <v>117</v>
      </c>
      <c r="M1287" t="s">
        <v>41</v>
      </c>
      <c r="N1287" t="b">
        <v>1</v>
      </c>
      <c r="O1287" t="s">
        <v>229</v>
      </c>
    </row>
    <row r="1288" spans="1:15" ht="15" customHeight="1">
      <c r="A1288" t="s">
        <v>1731</v>
      </c>
      <c r="B1288" t="s">
        <v>1882</v>
      </c>
      <c r="C1288" t="s">
        <v>75</v>
      </c>
      <c r="D1288" t="s">
        <v>69</v>
      </c>
      <c r="E1288">
        <v>16</v>
      </c>
      <c r="F1288">
        <v>3.5</v>
      </c>
      <c r="G1288">
        <v>0.22</v>
      </c>
      <c r="H1288">
        <v>21</v>
      </c>
      <c r="I1288">
        <v>2000</v>
      </c>
      <c r="J1288">
        <v>1500</v>
      </c>
      <c r="K1288" t="s">
        <v>365</v>
      </c>
      <c r="L1288" t="s">
        <v>100</v>
      </c>
      <c r="M1288" t="s">
        <v>51</v>
      </c>
      <c r="N1288" t="b">
        <v>0</v>
      </c>
      <c r="O1288" t="s">
        <v>366</v>
      </c>
    </row>
    <row r="1289" spans="1:15" ht="15" customHeight="1">
      <c r="A1289" t="s">
        <v>601</v>
      </c>
      <c r="B1289" t="s">
        <v>1883</v>
      </c>
      <c r="C1289" t="s">
        <v>81</v>
      </c>
      <c r="D1289" t="s">
        <v>69</v>
      </c>
      <c r="E1289">
        <v>13</v>
      </c>
      <c r="F1289">
        <v>12.5</v>
      </c>
      <c r="G1289">
        <v>0.96</v>
      </c>
      <c r="H1289">
        <v>6</v>
      </c>
      <c r="I1289">
        <v>10000</v>
      </c>
      <c r="J1289">
        <v>3000</v>
      </c>
      <c r="K1289" t="s">
        <v>162</v>
      </c>
      <c r="L1289" t="s">
        <v>117</v>
      </c>
      <c r="M1289" t="s">
        <v>40</v>
      </c>
      <c r="N1289" t="b">
        <v>1</v>
      </c>
      <c r="O1289" t="s">
        <v>198</v>
      </c>
    </row>
    <row r="1290" spans="1:15" ht="15" customHeight="1">
      <c r="A1290" t="s">
        <v>572</v>
      </c>
      <c r="B1290" t="s">
        <v>1884</v>
      </c>
      <c r="C1290" t="s">
        <v>149</v>
      </c>
      <c r="D1290" t="s">
        <v>69</v>
      </c>
      <c r="E1290">
        <v>9</v>
      </c>
      <c r="F1290">
        <v>8.5</v>
      </c>
      <c r="G1290">
        <v>0.94</v>
      </c>
      <c r="H1290">
        <v>32</v>
      </c>
      <c r="I1290">
        <v>3000</v>
      </c>
      <c r="J1290">
        <v>1000</v>
      </c>
      <c r="K1290" t="s">
        <v>576</v>
      </c>
      <c r="L1290" t="s">
        <v>100</v>
      </c>
      <c r="M1290" t="s">
        <v>46</v>
      </c>
      <c r="N1290" t="b">
        <v>0</v>
      </c>
      <c r="O1290" t="s">
        <v>336</v>
      </c>
    </row>
    <row r="1291" spans="1:15" ht="15" customHeight="1">
      <c r="A1291" t="s">
        <v>1151</v>
      </c>
      <c r="B1291" t="s">
        <v>1885</v>
      </c>
      <c r="C1291" t="s">
        <v>149</v>
      </c>
      <c r="D1291" t="s">
        <v>69</v>
      </c>
      <c r="E1291">
        <v>11</v>
      </c>
      <c r="F1291">
        <v>8.3000000000000007</v>
      </c>
      <c r="G1291">
        <v>0.75</v>
      </c>
      <c r="H1291">
        <v>30</v>
      </c>
      <c r="I1291">
        <v>3000</v>
      </c>
      <c r="J1291">
        <v>1000</v>
      </c>
      <c r="K1291" t="s">
        <v>108</v>
      </c>
      <c r="L1291" t="s">
        <v>77</v>
      </c>
      <c r="M1291" t="s">
        <v>42</v>
      </c>
      <c r="N1291" t="b">
        <v>0</v>
      </c>
      <c r="O1291" t="s">
        <v>166</v>
      </c>
    </row>
    <row r="1292" spans="1:15" ht="15" customHeight="1">
      <c r="A1292" t="s">
        <v>685</v>
      </c>
      <c r="B1292" t="s">
        <v>1886</v>
      </c>
      <c r="C1292" t="s">
        <v>149</v>
      </c>
      <c r="D1292" t="s">
        <v>69</v>
      </c>
      <c r="E1292">
        <v>8</v>
      </c>
      <c r="F1292">
        <v>7.1</v>
      </c>
      <c r="G1292">
        <v>0.89</v>
      </c>
      <c r="H1292">
        <v>19</v>
      </c>
      <c r="I1292">
        <v>3000</v>
      </c>
      <c r="J1292">
        <v>1000</v>
      </c>
      <c r="K1292" t="s">
        <v>198</v>
      </c>
      <c r="L1292" t="s">
        <v>71</v>
      </c>
      <c r="M1292" t="s">
        <v>47</v>
      </c>
      <c r="N1292" t="b">
        <v>0</v>
      </c>
      <c r="O1292" t="s">
        <v>262</v>
      </c>
    </row>
    <row r="1293" spans="1:15" ht="15" customHeight="1">
      <c r="A1293" t="s">
        <v>933</v>
      </c>
      <c r="B1293" t="s">
        <v>1887</v>
      </c>
      <c r="C1293" t="s">
        <v>68</v>
      </c>
      <c r="D1293" t="s">
        <v>69</v>
      </c>
      <c r="E1293">
        <v>14</v>
      </c>
      <c r="F1293">
        <v>1.7</v>
      </c>
      <c r="G1293">
        <v>0.12</v>
      </c>
      <c r="H1293">
        <v>4</v>
      </c>
      <c r="I1293">
        <v>30000</v>
      </c>
      <c r="J1293">
        <v>5000</v>
      </c>
      <c r="K1293" t="s">
        <v>95</v>
      </c>
      <c r="L1293" t="s">
        <v>71</v>
      </c>
      <c r="M1293" t="s">
        <v>46</v>
      </c>
      <c r="N1293" t="b">
        <v>0</v>
      </c>
      <c r="O1293" t="s">
        <v>97</v>
      </c>
    </row>
    <row r="1294" spans="1:15" ht="15" customHeight="1">
      <c r="A1294" t="s">
        <v>976</v>
      </c>
      <c r="B1294" t="s">
        <v>1888</v>
      </c>
      <c r="C1294" t="s">
        <v>75</v>
      </c>
      <c r="D1294" t="s">
        <v>69</v>
      </c>
      <c r="E1294">
        <v>19</v>
      </c>
      <c r="F1294">
        <v>6.3</v>
      </c>
      <c r="G1294">
        <v>0.33</v>
      </c>
      <c r="H1294">
        <v>11</v>
      </c>
      <c r="I1294">
        <v>2000</v>
      </c>
      <c r="J1294">
        <v>1500</v>
      </c>
      <c r="K1294" t="s">
        <v>689</v>
      </c>
      <c r="L1294" t="s">
        <v>71</v>
      </c>
      <c r="M1294" t="s">
        <v>48</v>
      </c>
      <c r="N1294" t="b">
        <v>0</v>
      </c>
      <c r="O1294" t="s">
        <v>690</v>
      </c>
    </row>
    <row r="1295" spans="1:15" ht="15" customHeight="1">
      <c r="A1295" t="s">
        <v>770</v>
      </c>
      <c r="B1295" t="s">
        <v>1889</v>
      </c>
      <c r="C1295" t="s">
        <v>68</v>
      </c>
      <c r="D1295" t="s">
        <v>69</v>
      </c>
      <c r="E1295">
        <v>11</v>
      </c>
      <c r="F1295">
        <v>3.1</v>
      </c>
      <c r="G1295">
        <v>0.28000000000000003</v>
      </c>
      <c r="H1295">
        <v>3</v>
      </c>
      <c r="I1295">
        <v>30000</v>
      </c>
      <c r="J1295">
        <v>5000</v>
      </c>
      <c r="K1295" t="s">
        <v>108</v>
      </c>
      <c r="L1295" t="s">
        <v>104</v>
      </c>
      <c r="M1295" t="s">
        <v>48</v>
      </c>
      <c r="N1295" t="b">
        <v>0</v>
      </c>
      <c r="O1295" t="s">
        <v>109</v>
      </c>
    </row>
    <row r="1296" spans="1:15" ht="15" customHeight="1">
      <c r="A1296" t="s">
        <v>1711</v>
      </c>
      <c r="B1296" t="s">
        <v>1890</v>
      </c>
      <c r="C1296" t="s">
        <v>129</v>
      </c>
      <c r="D1296" t="s">
        <v>130</v>
      </c>
      <c r="E1296">
        <v>14</v>
      </c>
      <c r="F1296">
        <v>12.3</v>
      </c>
      <c r="G1296">
        <v>0.88</v>
      </c>
      <c r="H1296">
        <v>29</v>
      </c>
      <c r="I1296">
        <v>5000</v>
      </c>
      <c r="J1296">
        <v>1000</v>
      </c>
      <c r="K1296" t="s">
        <v>113</v>
      </c>
      <c r="L1296" t="s">
        <v>96</v>
      </c>
      <c r="M1296" t="s">
        <v>47</v>
      </c>
      <c r="N1296" t="b">
        <v>0</v>
      </c>
      <c r="O1296" t="s">
        <v>146</v>
      </c>
    </row>
    <row r="1297" spans="1:15" ht="15" customHeight="1">
      <c r="A1297" t="s">
        <v>1411</v>
      </c>
      <c r="B1297" t="s">
        <v>1891</v>
      </c>
      <c r="C1297" t="s">
        <v>75</v>
      </c>
      <c r="D1297" t="s">
        <v>69</v>
      </c>
      <c r="E1297">
        <v>19</v>
      </c>
      <c r="F1297">
        <v>17.899999999999999</v>
      </c>
      <c r="G1297">
        <v>0.94</v>
      </c>
      <c r="H1297">
        <v>18</v>
      </c>
      <c r="I1297">
        <v>2000</v>
      </c>
      <c r="J1297">
        <v>1500</v>
      </c>
      <c r="K1297" t="s">
        <v>225</v>
      </c>
      <c r="L1297" t="s">
        <v>77</v>
      </c>
      <c r="M1297" t="s">
        <v>48</v>
      </c>
      <c r="N1297" t="b">
        <v>0</v>
      </c>
      <c r="O1297" t="s">
        <v>226</v>
      </c>
    </row>
    <row r="1298" spans="1:15" ht="15" customHeight="1">
      <c r="A1298" t="s">
        <v>477</v>
      </c>
      <c r="B1298" t="s">
        <v>1892</v>
      </c>
      <c r="C1298" t="s">
        <v>68</v>
      </c>
      <c r="D1298" t="s">
        <v>69</v>
      </c>
      <c r="E1298">
        <v>14</v>
      </c>
      <c r="F1298">
        <v>1.5</v>
      </c>
      <c r="G1298">
        <v>0.11</v>
      </c>
      <c r="H1298">
        <v>4</v>
      </c>
      <c r="I1298">
        <v>30000</v>
      </c>
      <c r="J1298">
        <v>5000</v>
      </c>
      <c r="K1298" t="s">
        <v>95</v>
      </c>
      <c r="L1298" t="s">
        <v>71</v>
      </c>
      <c r="M1298" t="s">
        <v>42</v>
      </c>
      <c r="N1298" t="b">
        <v>0</v>
      </c>
      <c r="O1298" t="s">
        <v>97</v>
      </c>
    </row>
    <row r="1299" spans="1:15" ht="15" customHeight="1">
      <c r="A1299" t="s">
        <v>1379</v>
      </c>
      <c r="B1299" t="s">
        <v>1893</v>
      </c>
      <c r="C1299" t="s">
        <v>68</v>
      </c>
      <c r="D1299" t="s">
        <v>69</v>
      </c>
      <c r="E1299">
        <v>12</v>
      </c>
      <c r="F1299">
        <v>3.6</v>
      </c>
      <c r="G1299">
        <v>0.3</v>
      </c>
      <c r="H1299">
        <v>3</v>
      </c>
      <c r="I1299">
        <v>30000</v>
      </c>
      <c r="J1299">
        <v>5000</v>
      </c>
      <c r="K1299" t="s">
        <v>108</v>
      </c>
      <c r="L1299" t="s">
        <v>117</v>
      </c>
      <c r="M1299" t="s">
        <v>46</v>
      </c>
      <c r="N1299" t="b">
        <v>1</v>
      </c>
      <c r="O1299" t="s">
        <v>109</v>
      </c>
    </row>
    <row r="1300" spans="1:15" ht="15" customHeight="1">
      <c r="A1300" t="s">
        <v>636</v>
      </c>
      <c r="B1300" t="s">
        <v>1894</v>
      </c>
      <c r="C1300" t="s">
        <v>129</v>
      </c>
      <c r="D1300" t="s">
        <v>130</v>
      </c>
      <c r="E1300">
        <v>17</v>
      </c>
      <c r="F1300">
        <v>11.1</v>
      </c>
      <c r="G1300">
        <v>0.65</v>
      </c>
      <c r="H1300">
        <v>30</v>
      </c>
      <c r="I1300">
        <v>5000</v>
      </c>
      <c r="J1300">
        <v>1000</v>
      </c>
      <c r="K1300" t="s">
        <v>112</v>
      </c>
      <c r="L1300" t="s">
        <v>77</v>
      </c>
      <c r="M1300" t="s">
        <v>46</v>
      </c>
      <c r="N1300" t="b">
        <v>0</v>
      </c>
      <c r="O1300" t="s">
        <v>195</v>
      </c>
    </row>
    <row r="1301" spans="1:15" ht="15" customHeight="1">
      <c r="A1301" t="s">
        <v>334</v>
      </c>
      <c r="B1301" t="s">
        <v>1895</v>
      </c>
      <c r="C1301" t="s">
        <v>149</v>
      </c>
      <c r="D1301" t="s">
        <v>69</v>
      </c>
      <c r="E1301">
        <v>11</v>
      </c>
      <c r="F1301">
        <v>10.9</v>
      </c>
      <c r="G1301">
        <v>0.99</v>
      </c>
      <c r="H1301">
        <v>32</v>
      </c>
      <c r="I1301">
        <v>3000</v>
      </c>
      <c r="J1301">
        <v>1000</v>
      </c>
      <c r="K1301" t="s">
        <v>576</v>
      </c>
      <c r="L1301" t="s">
        <v>77</v>
      </c>
      <c r="M1301" t="s">
        <v>43</v>
      </c>
      <c r="N1301" t="b">
        <v>0</v>
      </c>
      <c r="O1301" t="s">
        <v>336</v>
      </c>
    </row>
    <row r="1302" spans="1:15" ht="15" customHeight="1">
      <c r="A1302" t="s">
        <v>712</v>
      </c>
      <c r="B1302" t="s">
        <v>1896</v>
      </c>
      <c r="C1302" t="s">
        <v>75</v>
      </c>
      <c r="D1302" t="s">
        <v>69</v>
      </c>
      <c r="E1302">
        <v>18</v>
      </c>
      <c r="F1302">
        <v>11.6</v>
      </c>
      <c r="G1302">
        <v>0.64</v>
      </c>
      <c r="H1302">
        <v>18</v>
      </c>
      <c r="I1302">
        <v>2000</v>
      </c>
      <c r="J1302">
        <v>1500</v>
      </c>
      <c r="K1302" t="s">
        <v>225</v>
      </c>
      <c r="L1302" t="s">
        <v>71</v>
      </c>
      <c r="M1302" t="s">
        <v>41</v>
      </c>
      <c r="N1302" t="b">
        <v>0</v>
      </c>
      <c r="O1302" t="s">
        <v>226</v>
      </c>
    </row>
    <row r="1303" spans="1:15" ht="15" customHeight="1">
      <c r="A1303" t="s">
        <v>618</v>
      </c>
      <c r="B1303" t="s">
        <v>1897</v>
      </c>
      <c r="C1303" t="s">
        <v>75</v>
      </c>
      <c r="D1303" t="s">
        <v>69</v>
      </c>
      <c r="E1303">
        <v>9</v>
      </c>
      <c r="F1303">
        <v>5.3</v>
      </c>
      <c r="G1303">
        <v>0.59</v>
      </c>
      <c r="H1303">
        <v>18</v>
      </c>
      <c r="I1303">
        <v>2000</v>
      </c>
      <c r="J1303">
        <v>1500</v>
      </c>
      <c r="K1303" t="s">
        <v>225</v>
      </c>
      <c r="L1303" t="s">
        <v>117</v>
      </c>
      <c r="M1303" t="s">
        <v>46</v>
      </c>
      <c r="N1303" t="b">
        <v>1</v>
      </c>
      <c r="O1303" t="s">
        <v>226</v>
      </c>
    </row>
    <row r="1304" spans="1:15" ht="15" customHeight="1">
      <c r="A1304" t="s">
        <v>416</v>
      </c>
      <c r="B1304" t="s">
        <v>1898</v>
      </c>
      <c r="C1304" t="s">
        <v>68</v>
      </c>
      <c r="D1304" t="s">
        <v>69</v>
      </c>
      <c r="E1304">
        <v>10</v>
      </c>
      <c r="F1304">
        <v>1.6</v>
      </c>
      <c r="G1304">
        <v>0.16</v>
      </c>
      <c r="H1304">
        <v>2</v>
      </c>
      <c r="I1304">
        <v>30000</v>
      </c>
      <c r="J1304">
        <v>5000</v>
      </c>
      <c r="K1304" t="s">
        <v>162</v>
      </c>
      <c r="L1304" t="s">
        <v>77</v>
      </c>
      <c r="M1304" t="s">
        <v>44</v>
      </c>
      <c r="N1304" t="b">
        <v>0</v>
      </c>
      <c r="O1304" t="s">
        <v>163</v>
      </c>
    </row>
    <row r="1305" spans="1:15" ht="15" customHeight="1">
      <c r="A1305" t="s">
        <v>705</v>
      </c>
      <c r="B1305" t="s">
        <v>1899</v>
      </c>
      <c r="C1305" t="s">
        <v>129</v>
      </c>
      <c r="D1305" t="s">
        <v>130</v>
      </c>
      <c r="E1305">
        <v>14</v>
      </c>
      <c r="F1305">
        <v>6.7</v>
      </c>
      <c r="G1305">
        <v>0.48</v>
      </c>
      <c r="H1305">
        <v>17</v>
      </c>
      <c r="I1305">
        <v>5000</v>
      </c>
      <c r="J1305">
        <v>1000</v>
      </c>
      <c r="K1305" t="s">
        <v>109</v>
      </c>
      <c r="L1305" t="s">
        <v>71</v>
      </c>
      <c r="M1305" t="s">
        <v>41</v>
      </c>
      <c r="N1305" t="b">
        <v>0</v>
      </c>
      <c r="O1305" t="s">
        <v>176</v>
      </c>
    </row>
    <row r="1306" spans="1:15" ht="15" customHeight="1">
      <c r="A1306" t="s">
        <v>342</v>
      </c>
      <c r="B1306" t="s">
        <v>1900</v>
      </c>
      <c r="C1306" t="s">
        <v>129</v>
      </c>
      <c r="D1306" t="s">
        <v>130</v>
      </c>
      <c r="E1306">
        <v>15</v>
      </c>
      <c r="F1306">
        <v>10.9</v>
      </c>
      <c r="G1306">
        <v>0.73</v>
      </c>
      <c r="H1306">
        <v>16</v>
      </c>
      <c r="I1306">
        <v>5000</v>
      </c>
      <c r="J1306">
        <v>1000</v>
      </c>
      <c r="K1306" t="s">
        <v>357</v>
      </c>
      <c r="L1306" t="s">
        <v>71</v>
      </c>
      <c r="M1306" t="s">
        <v>46</v>
      </c>
      <c r="N1306" t="b">
        <v>0</v>
      </c>
      <c r="O1306" t="s">
        <v>456</v>
      </c>
    </row>
    <row r="1307" spans="1:15" ht="15" customHeight="1">
      <c r="A1307" t="s">
        <v>290</v>
      </c>
      <c r="B1307" t="s">
        <v>1901</v>
      </c>
      <c r="C1307" t="s">
        <v>75</v>
      </c>
      <c r="D1307" t="s">
        <v>69</v>
      </c>
      <c r="E1307">
        <v>14</v>
      </c>
      <c r="F1307">
        <v>11.2</v>
      </c>
      <c r="G1307">
        <v>0.8</v>
      </c>
      <c r="H1307">
        <v>9</v>
      </c>
      <c r="I1307">
        <v>2000</v>
      </c>
      <c r="J1307">
        <v>1500</v>
      </c>
      <c r="K1307" t="s">
        <v>740</v>
      </c>
      <c r="L1307" t="s">
        <v>104</v>
      </c>
      <c r="M1307" t="s">
        <v>46</v>
      </c>
      <c r="N1307" t="b">
        <v>0</v>
      </c>
      <c r="O1307" t="s">
        <v>741</v>
      </c>
    </row>
    <row r="1308" spans="1:15" ht="15" customHeight="1">
      <c r="A1308" t="s">
        <v>676</v>
      </c>
      <c r="B1308" t="s">
        <v>1902</v>
      </c>
      <c r="C1308" t="s">
        <v>149</v>
      </c>
      <c r="D1308" t="s">
        <v>69</v>
      </c>
      <c r="E1308">
        <v>11</v>
      </c>
      <c r="F1308">
        <v>6.4</v>
      </c>
      <c r="G1308">
        <v>0.57999999999999996</v>
      </c>
      <c r="H1308">
        <v>28</v>
      </c>
      <c r="I1308">
        <v>3000</v>
      </c>
      <c r="J1308">
        <v>1000</v>
      </c>
      <c r="K1308" t="s">
        <v>176</v>
      </c>
      <c r="L1308" t="s">
        <v>71</v>
      </c>
      <c r="M1308" t="s">
        <v>49</v>
      </c>
      <c r="N1308" t="b">
        <v>0</v>
      </c>
      <c r="O1308" t="s">
        <v>177</v>
      </c>
    </row>
    <row r="1309" spans="1:15" ht="15" customHeight="1">
      <c r="A1309" t="s">
        <v>794</v>
      </c>
      <c r="B1309" t="s">
        <v>1903</v>
      </c>
      <c r="C1309" t="s">
        <v>68</v>
      </c>
      <c r="D1309" t="s">
        <v>69</v>
      </c>
      <c r="E1309">
        <v>13</v>
      </c>
      <c r="F1309">
        <v>2</v>
      </c>
      <c r="G1309">
        <v>0.15</v>
      </c>
      <c r="H1309">
        <v>4</v>
      </c>
      <c r="I1309">
        <v>30000</v>
      </c>
      <c r="J1309">
        <v>5000</v>
      </c>
      <c r="K1309" t="s">
        <v>95</v>
      </c>
      <c r="L1309" t="s">
        <v>96</v>
      </c>
      <c r="M1309" t="s">
        <v>45</v>
      </c>
      <c r="N1309" t="b">
        <v>0</v>
      </c>
      <c r="O1309" t="s">
        <v>97</v>
      </c>
    </row>
    <row r="1310" spans="1:15" ht="15" customHeight="1">
      <c r="A1310" t="s">
        <v>884</v>
      </c>
      <c r="B1310" t="s">
        <v>1904</v>
      </c>
      <c r="C1310" t="s">
        <v>68</v>
      </c>
      <c r="D1310" t="s">
        <v>69</v>
      </c>
      <c r="E1310">
        <v>10</v>
      </c>
      <c r="F1310">
        <v>3.7</v>
      </c>
      <c r="G1310">
        <v>0.37</v>
      </c>
      <c r="H1310">
        <v>4</v>
      </c>
      <c r="I1310">
        <v>30000</v>
      </c>
      <c r="J1310">
        <v>5000</v>
      </c>
      <c r="K1310" t="s">
        <v>95</v>
      </c>
      <c r="L1310" t="s">
        <v>77</v>
      </c>
      <c r="M1310" t="s">
        <v>47</v>
      </c>
      <c r="N1310" t="b">
        <v>0</v>
      </c>
      <c r="O1310" t="s">
        <v>97</v>
      </c>
    </row>
    <row r="1311" spans="1:15" ht="15" customHeight="1">
      <c r="A1311" t="s">
        <v>787</v>
      </c>
      <c r="B1311" t="s">
        <v>1905</v>
      </c>
      <c r="C1311" t="s">
        <v>129</v>
      </c>
      <c r="D1311" t="s">
        <v>130</v>
      </c>
      <c r="E1311">
        <v>16</v>
      </c>
      <c r="F1311">
        <v>8.3000000000000007</v>
      </c>
      <c r="G1311">
        <v>0.52</v>
      </c>
      <c r="H1311">
        <v>26</v>
      </c>
      <c r="I1311">
        <v>5000</v>
      </c>
      <c r="J1311">
        <v>1000</v>
      </c>
      <c r="K1311" t="s">
        <v>203</v>
      </c>
      <c r="L1311" t="s">
        <v>96</v>
      </c>
      <c r="M1311" t="s">
        <v>43</v>
      </c>
      <c r="N1311" t="b">
        <v>0</v>
      </c>
      <c r="O1311" t="s">
        <v>623</v>
      </c>
    </row>
    <row r="1312" spans="1:15" ht="15" customHeight="1">
      <c r="A1312" t="s">
        <v>511</v>
      </c>
      <c r="B1312" t="s">
        <v>1906</v>
      </c>
      <c r="C1312" t="s">
        <v>81</v>
      </c>
      <c r="D1312" t="s">
        <v>69</v>
      </c>
      <c r="E1312">
        <v>17</v>
      </c>
      <c r="F1312">
        <v>17</v>
      </c>
      <c r="G1312">
        <v>1</v>
      </c>
      <c r="H1312">
        <v>24</v>
      </c>
      <c r="I1312">
        <v>10000</v>
      </c>
      <c r="J1312">
        <v>3000</v>
      </c>
      <c r="K1312" t="s">
        <v>306</v>
      </c>
      <c r="L1312" t="s">
        <v>104</v>
      </c>
      <c r="M1312" t="s">
        <v>50</v>
      </c>
      <c r="N1312" t="b">
        <v>0</v>
      </c>
      <c r="O1312" t="s">
        <v>307</v>
      </c>
    </row>
    <row r="1313" spans="1:15" ht="15" customHeight="1">
      <c r="A1313" t="s">
        <v>495</v>
      </c>
      <c r="B1313" t="s">
        <v>1907</v>
      </c>
      <c r="C1313" t="s">
        <v>81</v>
      </c>
      <c r="D1313" t="s">
        <v>69</v>
      </c>
      <c r="E1313">
        <v>10</v>
      </c>
      <c r="F1313">
        <v>7</v>
      </c>
      <c r="G1313">
        <v>0.7</v>
      </c>
      <c r="H1313">
        <v>9</v>
      </c>
      <c r="I1313">
        <v>10000</v>
      </c>
      <c r="J1313">
        <v>3000</v>
      </c>
      <c r="K1313" t="s">
        <v>108</v>
      </c>
      <c r="L1313" t="s">
        <v>100</v>
      </c>
      <c r="M1313" t="s">
        <v>44</v>
      </c>
      <c r="N1313" t="b">
        <v>0</v>
      </c>
      <c r="O1313" t="s">
        <v>303</v>
      </c>
    </row>
    <row r="1314" spans="1:15" ht="15" customHeight="1">
      <c r="A1314" t="s">
        <v>546</v>
      </c>
      <c r="B1314" t="s">
        <v>1908</v>
      </c>
      <c r="C1314" t="s">
        <v>129</v>
      </c>
      <c r="D1314" t="s">
        <v>130</v>
      </c>
      <c r="E1314">
        <v>16</v>
      </c>
      <c r="F1314">
        <v>14</v>
      </c>
      <c r="G1314">
        <v>0.88</v>
      </c>
      <c r="H1314">
        <v>27</v>
      </c>
      <c r="I1314">
        <v>5000</v>
      </c>
      <c r="J1314">
        <v>1000</v>
      </c>
      <c r="K1314" t="s">
        <v>172</v>
      </c>
      <c r="L1314" t="s">
        <v>100</v>
      </c>
      <c r="M1314" t="s">
        <v>45</v>
      </c>
      <c r="N1314" t="b">
        <v>0</v>
      </c>
      <c r="O1314" t="s">
        <v>173</v>
      </c>
    </row>
    <row r="1315" spans="1:15" ht="15" customHeight="1">
      <c r="A1315" t="s">
        <v>1250</v>
      </c>
      <c r="B1315" t="s">
        <v>1909</v>
      </c>
      <c r="C1315" t="s">
        <v>75</v>
      </c>
      <c r="D1315" t="s">
        <v>69</v>
      </c>
      <c r="E1315">
        <v>14</v>
      </c>
      <c r="F1315">
        <v>12.6</v>
      </c>
      <c r="G1315">
        <v>0.9</v>
      </c>
      <c r="H1315">
        <v>9</v>
      </c>
      <c r="I1315">
        <v>2000</v>
      </c>
      <c r="J1315">
        <v>1500</v>
      </c>
      <c r="K1315" t="s">
        <v>740</v>
      </c>
      <c r="L1315" t="s">
        <v>96</v>
      </c>
      <c r="M1315" t="s">
        <v>41</v>
      </c>
      <c r="N1315" t="b">
        <v>0</v>
      </c>
      <c r="O1315" t="s">
        <v>741</v>
      </c>
    </row>
    <row r="1316" spans="1:15" ht="15" customHeight="1">
      <c r="A1316" t="s">
        <v>699</v>
      </c>
      <c r="B1316" t="s">
        <v>1910</v>
      </c>
      <c r="C1316" t="s">
        <v>68</v>
      </c>
      <c r="D1316" t="s">
        <v>69</v>
      </c>
      <c r="E1316">
        <v>12</v>
      </c>
      <c r="F1316">
        <v>1.6</v>
      </c>
      <c r="G1316">
        <v>0.13</v>
      </c>
      <c r="H1316">
        <v>1</v>
      </c>
      <c r="I1316">
        <v>30000</v>
      </c>
      <c r="J1316">
        <v>5000</v>
      </c>
      <c r="K1316" t="s">
        <v>70</v>
      </c>
      <c r="L1316" t="s">
        <v>77</v>
      </c>
      <c r="M1316" t="s">
        <v>40</v>
      </c>
      <c r="N1316" t="b">
        <v>0</v>
      </c>
      <c r="O1316" t="s">
        <v>72</v>
      </c>
    </row>
    <row r="1317" spans="1:15" ht="15" customHeight="1">
      <c r="A1317" t="s">
        <v>746</v>
      </c>
      <c r="B1317" t="s">
        <v>1911</v>
      </c>
      <c r="C1317" t="s">
        <v>129</v>
      </c>
      <c r="D1317" t="s">
        <v>130</v>
      </c>
      <c r="E1317">
        <v>14</v>
      </c>
      <c r="F1317">
        <v>3.2</v>
      </c>
      <c r="G1317">
        <v>0.23</v>
      </c>
      <c r="H1317">
        <v>26</v>
      </c>
      <c r="I1317">
        <v>5000</v>
      </c>
      <c r="J1317">
        <v>1000</v>
      </c>
      <c r="K1317" t="s">
        <v>203</v>
      </c>
      <c r="L1317" t="s">
        <v>71</v>
      </c>
      <c r="M1317" t="s">
        <v>50</v>
      </c>
      <c r="N1317" t="b">
        <v>0</v>
      </c>
      <c r="O1317" t="s">
        <v>623</v>
      </c>
    </row>
    <row r="1318" spans="1:15" ht="15" customHeight="1">
      <c r="A1318" t="s">
        <v>271</v>
      </c>
      <c r="B1318" t="s">
        <v>1912</v>
      </c>
      <c r="C1318" t="s">
        <v>129</v>
      </c>
      <c r="D1318" t="s">
        <v>130</v>
      </c>
      <c r="E1318">
        <v>18</v>
      </c>
      <c r="F1318">
        <v>17.899999999999999</v>
      </c>
      <c r="G1318">
        <v>0.99</v>
      </c>
      <c r="H1318">
        <v>21</v>
      </c>
      <c r="I1318">
        <v>5000</v>
      </c>
      <c r="J1318">
        <v>1000</v>
      </c>
      <c r="K1318" t="s">
        <v>131</v>
      </c>
      <c r="L1318" t="s">
        <v>91</v>
      </c>
      <c r="M1318" t="s">
        <v>41</v>
      </c>
      <c r="N1318" t="b">
        <v>1</v>
      </c>
      <c r="O1318" t="s">
        <v>132</v>
      </c>
    </row>
    <row r="1319" spans="1:15" ht="15" customHeight="1">
      <c r="A1319" t="s">
        <v>1168</v>
      </c>
      <c r="B1319" t="s">
        <v>1913</v>
      </c>
      <c r="C1319" t="s">
        <v>129</v>
      </c>
      <c r="D1319" t="s">
        <v>130</v>
      </c>
      <c r="E1319">
        <v>10</v>
      </c>
      <c r="F1319">
        <v>6.6</v>
      </c>
      <c r="G1319">
        <v>0.66</v>
      </c>
      <c r="H1319">
        <v>26</v>
      </c>
      <c r="I1319">
        <v>5000</v>
      </c>
      <c r="J1319">
        <v>1000</v>
      </c>
      <c r="K1319" t="s">
        <v>203</v>
      </c>
      <c r="L1319" t="s">
        <v>91</v>
      </c>
      <c r="M1319" t="s">
        <v>46</v>
      </c>
      <c r="N1319" t="b">
        <v>1</v>
      </c>
      <c r="O1319" t="s">
        <v>623</v>
      </c>
    </row>
    <row r="1320" spans="1:15" ht="15" customHeight="1">
      <c r="A1320" t="s">
        <v>1518</v>
      </c>
      <c r="B1320" t="s">
        <v>1914</v>
      </c>
      <c r="C1320" t="s">
        <v>149</v>
      </c>
      <c r="D1320" t="s">
        <v>69</v>
      </c>
      <c r="E1320">
        <v>12</v>
      </c>
      <c r="F1320">
        <v>6.6</v>
      </c>
      <c r="G1320">
        <v>0.55000000000000004</v>
      </c>
      <c r="H1320">
        <v>38</v>
      </c>
      <c r="I1320">
        <v>3000</v>
      </c>
      <c r="J1320">
        <v>1000</v>
      </c>
      <c r="K1320" t="s">
        <v>220</v>
      </c>
      <c r="L1320" t="s">
        <v>117</v>
      </c>
      <c r="M1320" t="s">
        <v>51</v>
      </c>
      <c r="N1320" t="b">
        <v>1</v>
      </c>
      <c r="O1320" t="s">
        <v>785</v>
      </c>
    </row>
    <row r="1321" spans="1:15" ht="15" customHeight="1">
      <c r="A1321" t="s">
        <v>848</v>
      </c>
      <c r="B1321" t="s">
        <v>1915</v>
      </c>
      <c r="C1321" t="s">
        <v>75</v>
      </c>
      <c r="D1321" t="s">
        <v>69</v>
      </c>
      <c r="E1321">
        <v>19</v>
      </c>
      <c r="F1321">
        <v>7.8</v>
      </c>
      <c r="G1321">
        <v>0.41</v>
      </c>
      <c r="H1321">
        <v>9</v>
      </c>
      <c r="I1321">
        <v>2000</v>
      </c>
      <c r="J1321">
        <v>1500</v>
      </c>
      <c r="K1321" t="s">
        <v>740</v>
      </c>
      <c r="L1321" t="s">
        <v>117</v>
      </c>
      <c r="M1321" t="s">
        <v>48</v>
      </c>
      <c r="N1321" t="b">
        <v>1</v>
      </c>
      <c r="O1321" t="s">
        <v>741</v>
      </c>
    </row>
    <row r="1322" spans="1:15" ht="15" customHeight="1">
      <c r="A1322" t="s">
        <v>156</v>
      </c>
      <c r="B1322" t="s">
        <v>1916</v>
      </c>
      <c r="C1322" t="s">
        <v>149</v>
      </c>
      <c r="D1322" t="s">
        <v>69</v>
      </c>
      <c r="E1322">
        <v>12</v>
      </c>
      <c r="F1322">
        <v>11</v>
      </c>
      <c r="G1322">
        <v>0.92</v>
      </c>
      <c r="H1322">
        <v>36</v>
      </c>
      <c r="I1322">
        <v>3000</v>
      </c>
      <c r="J1322">
        <v>1000</v>
      </c>
      <c r="K1322" t="s">
        <v>154</v>
      </c>
      <c r="L1322" t="s">
        <v>77</v>
      </c>
      <c r="M1322" t="s">
        <v>47</v>
      </c>
      <c r="N1322" t="b">
        <v>0</v>
      </c>
      <c r="O1322" t="s">
        <v>155</v>
      </c>
    </row>
    <row r="1323" spans="1:15" ht="15" customHeight="1">
      <c r="A1323" t="s">
        <v>1126</v>
      </c>
      <c r="B1323" t="s">
        <v>1917</v>
      </c>
      <c r="C1323" t="s">
        <v>129</v>
      </c>
      <c r="D1323" t="s">
        <v>130</v>
      </c>
      <c r="E1323">
        <v>8</v>
      </c>
      <c r="F1323">
        <v>5.2</v>
      </c>
      <c r="G1323">
        <v>0.65</v>
      </c>
      <c r="H1323">
        <v>27</v>
      </c>
      <c r="I1323">
        <v>5000</v>
      </c>
      <c r="J1323">
        <v>1000</v>
      </c>
      <c r="K1323" t="s">
        <v>172</v>
      </c>
      <c r="L1323" t="s">
        <v>104</v>
      </c>
      <c r="M1323" t="s">
        <v>46</v>
      </c>
      <c r="N1323" t="b">
        <v>0</v>
      </c>
      <c r="O1323" t="s">
        <v>173</v>
      </c>
    </row>
    <row r="1324" spans="1:15" ht="15" customHeight="1">
      <c r="A1324" t="s">
        <v>66</v>
      </c>
      <c r="B1324" t="s">
        <v>1918</v>
      </c>
      <c r="C1324" t="s">
        <v>68</v>
      </c>
      <c r="D1324" t="s">
        <v>69</v>
      </c>
      <c r="E1324">
        <v>8</v>
      </c>
      <c r="F1324">
        <v>0.9</v>
      </c>
      <c r="G1324">
        <v>0.11</v>
      </c>
      <c r="H1324">
        <v>4</v>
      </c>
      <c r="I1324">
        <v>30000</v>
      </c>
      <c r="J1324">
        <v>5000</v>
      </c>
      <c r="K1324" t="s">
        <v>95</v>
      </c>
      <c r="L1324" t="s">
        <v>71</v>
      </c>
      <c r="M1324" t="s">
        <v>51</v>
      </c>
      <c r="N1324" t="b">
        <v>0</v>
      </c>
      <c r="O1324" t="s">
        <v>97</v>
      </c>
    </row>
    <row r="1325" spans="1:15" ht="15" customHeight="1">
      <c r="A1325" t="s">
        <v>412</v>
      </c>
      <c r="B1325" t="s">
        <v>1919</v>
      </c>
      <c r="C1325" t="s">
        <v>149</v>
      </c>
      <c r="D1325" t="s">
        <v>69</v>
      </c>
      <c r="E1325">
        <v>8</v>
      </c>
      <c r="F1325">
        <v>7.5</v>
      </c>
      <c r="G1325">
        <v>0.94</v>
      </c>
      <c r="H1325">
        <v>17</v>
      </c>
      <c r="I1325">
        <v>3000</v>
      </c>
      <c r="J1325">
        <v>1000</v>
      </c>
      <c r="K1325" t="s">
        <v>634</v>
      </c>
      <c r="L1325" t="s">
        <v>96</v>
      </c>
      <c r="M1325" t="s">
        <v>51</v>
      </c>
      <c r="N1325" t="b">
        <v>0</v>
      </c>
      <c r="O1325" t="s">
        <v>158</v>
      </c>
    </row>
    <row r="1326" spans="1:15" ht="15" customHeight="1">
      <c r="A1326" t="s">
        <v>324</v>
      </c>
      <c r="B1326" t="s">
        <v>1920</v>
      </c>
      <c r="C1326" t="s">
        <v>149</v>
      </c>
      <c r="D1326" t="s">
        <v>69</v>
      </c>
      <c r="E1326">
        <v>12</v>
      </c>
      <c r="F1326">
        <v>11.9</v>
      </c>
      <c r="G1326">
        <v>0.99</v>
      </c>
      <c r="H1326">
        <v>28</v>
      </c>
      <c r="I1326">
        <v>3000</v>
      </c>
      <c r="J1326">
        <v>1000</v>
      </c>
      <c r="K1326" t="s">
        <v>176</v>
      </c>
      <c r="L1326" t="s">
        <v>91</v>
      </c>
      <c r="M1326" t="s">
        <v>48</v>
      </c>
      <c r="N1326" t="b">
        <v>1</v>
      </c>
      <c r="O1326" t="s">
        <v>177</v>
      </c>
    </row>
    <row r="1327" spans="1:15" ht="15" customHeight="1">
      <c r="A1327" t="s">
        <v>1074</v>
      </c>
      <c r="B1327" t="s">
        <v>1921</v>
      </c>
      <c r="C1327" t="s">
        <v>129</v>
      </c>
      <c r="D1327" t="s">
        <v>130</v>
      </c>
      <c r="E1327">
        <v>15</v>
      </c>
      <c r="F1327">
        <v>8.6</v>
      </c>
      <c r="G1327">
        <v>0.56999999999999995</v>
      </c>
      <c r="H1327">
        <v>18</v>
      </c>
      <c r="I1327">
        <v>5000</v>
      </c>
      <c r="J1327">
        <v>1000</v>
      </c>
      <c r="K1327" t="s">
        <v>108</v>
      </c>
      <c r="L1327" t="s">
        <v>71</v>
      </c>
      <c r="M1327" t="s">
        <v>42</v>
      </c>
      <c r="N1327" t="b">
        <v>0</v>
      </c>
      <c r="O1327" t="s">
        <v>166</v>
      </c>
    </row>
    <row r="1328" spans="1:15" ht="15" customHeight="1">
      <c r="A1328" t="s">
        <v>1515</v>
      </c>
      <c r="B1328" t="s">
        <v>1922</v>
      </c>
      <c r="C1328" t="s">
        <v>75</v>
      </c>
      <c r="D1328" t="s">
        <v>69</v>
      </c>
      <c r="E1328">
        <v>16</v>
      </c>
      <c r="F1328">
        <v>5.8</v>
      </c>
      <c r="G1328">
        <v>0.36</v>
      </c>
      <c r="H1328">
        <v>30</v>
      </c>
      <c r="I1328">
        <v>2000</v>
      </c>
      <c r="J1328">
        <v>1500</v>
      </c>
      <c r="K1328" t="s">
        <v>162</v>
      </c>
      <c r="L1328" t="s">
        <v>104</v>
      </c>
      <c r="M1328" t="s">
        <v>51</v>
      </c>
      <c r="N1328" t="b">
        <v>0</v>
      </c>
      <c r="O1328" t="s">
        <v>510</v>
      </c>
    </row>
    <row r="1329" spans="1:15" ht="15" customHeight="1">
      <c r="A1329" t="s">
        <v>1657</v>
      </c>
      <c r="B1329" t="s">
        <v>1923</v>
      </c>
      <c r="C1329" t="s">
        <v>149</v>
      </c>
      <c r="D1329" t="s">
        <v>69</v>
      </c>
      <c r="E1329">
        <v>10</v>
      </c>
      <c r="F1329">
        <v>6.2</v>
      </c>
      <c r="G1329">
        <v>0.62</v>
      </c>
      <c r="H1329">
        <v>25</v>
      </c>
      <c r="I1329">
        <v>3000</v>
      </c>
      <c r="J1329">
        <v>1000</v>
      </c>
      <c r="K1329" t="s">
        <v>479</v>
      </c>
      <c r="L1329" t="s">
        <v>91</v>
      </c>
      <c r="M1329" t="s">
        <v>46</v>
      </c>
      <c r="N1329" t="b">
        <v>1</v>
      </c>
      <c r="O1329" t="s">
        <v>480</v>
      </c>
    </row>
    <row r="1330" spans="1:15" ht="15" customHeight="1">
      <c r="A1330" t="s">
        <v>554</v>
      </c>
      <c r="B1330" t="s">
        <v>1924</v>
      </c>
      <c r="C1330" t="s">
        <v>75</v>
      </c>
      <c r="D1330" t="s">
        <v>69</v>
      </c>
      <c r="E1330">
        <v>19</v>
      </c>
      <c r="F1330">
        <v>14.1</v>
      </c>
      <c r="G1330">
        <v>0.74</v>
      </c>
      <c r="H1330">
        <v>24</v>
      </c>
      <c r="I1330">
        <v>2000</v>
      </c>
      <c r="J1330">
        <v>1500</v>
      </c>
      <c r="K1330" t="s">
        <v>361</v>
      </c>
      <c r="L1330" t="s">
        <v>71</v>
      </c>
      <c r="M1330" t="s">
        <v>40</v>
      </c>
      <c r="N1330" t="b">
        <v>0</v>
      </c>
      <c r="O1330" t="s">
        <v>362</v>
      </c>
    </row>
    <row r="1331" spans="1:15" ht="15" customHeight="1">
      <c r="A1331" t="s">
        <v>712</v>
      </c>
      <c r="B1331" t="s">
        <v>1925</v>
      </c>
      <c r="C1331" t="s">
        <v>129</v>
      </c>
      <c r="D1331" t="s">
        <v>130</v>
      </c>
      <c r="E1331">
        <v>17</v>
      </c>
      <c r="F1331">
        <v>16.2</v>
      </c>
      <c r="G1331">
        <v>0.95</v>
      </c>
      <c r="H1331">
        <v>12</v>
      </c>
      <c r="I1331">
        <v>5000</v>
      </c>
      <c r="J1331">
        <v>1000</v>
      </c>
      <c r="K1331" t="s">
        <v>162</v>
      </c>
      <c r="L1331" t="s">
        <v>71</v>
      </c>
      <c r="M1331" t="s">
        <v>41</v>
      </c>
      <c r="N1331" t="b">
        <v>0</v>
      </c>
      <c r="O1331" t="s">
        <v>180</v>
      </c>
    </row>
    <row r="1332" spans="1:15" ht="15" customHeight="1">
      <c r="A1332" t="s">
        <v>522</v>
      </c>
      <c r="B1332" t="s">
        <v>1926</v>
      </c>
      <c r="C1332" t="s">
        <v>129</v>
      </c>
      <c r="D1332" t="s">
        <v>130</v>
      </c>
      <c r="E1332">
        <v>16</v>
      </c>
      <c r="F1332">
        <v>10.8</v>
      </c>
      <c r="G1332">
        <v>0.68</v>
      </c>
      <c r="H1332">
        <v>30</v>
      </c>
      <c r="I1332">
        <v>5000</v>
      </c>
      <c r="J1332">
        <v>1000</v>
      </c>
      <c r="K1332" t="s">
        <v>112</v>
      </c>
      <c r="L1332" t="s">
        <v>96</v>
      </c>
      <c r="M1332" t="s">
        <v>48</v>
      </c>
      <c r="N1332" t="b">
        <v>0</v>
      </c>
      <c r="O1332" t="s">
        <v>195</v>
      </c>
    </row>
    <row r="1333" spans="1:15" ht="15" customHeight="1">
      <c r="A1333" t="s">
        <v>503</v>
      </c>
      <c r="B1333" t="s">
        <v>1927</v>
      </c>
      <c r="C1333" t="s">
        <v>129</v>
      </c>
      <c r="D1333" t="s">
        <v>130</v>
      </c>
      <c r="E1333">
        <v>10</v>
      </c>
      <c r="F1333">
        <v>4.8</v>
      </c>
      <c r="G1333">
        <v>0.48</v>
      </c>
      <c r="H1333">
        <v>14</v>
      </c>
      <c r="I1333">
        <v>5000</v>
      </c>
      <c r="J1333">
        <v>1000</v>
      </c>
      <c r="K1333" t="s">
        <v>82</v>
      </c>
      <c r="L1333" t="s">
        <v>91</v>
      </c>
      <c r="M1333" t="s">
        <v>43</v>
      </c>
      <c r="N1333" t="b">
        <v>1</v>
      </c>
      <c r="O1333" t="s">
        <v>229</v>
      </c>
    </row>
    <row r="1334" spans="1:15" ht="15" customHeight="1">
      <c r="A1334" t="s">
        <v>232</v>
      </c>
      <c r="B1334" t="s">
        <v>1928</v>
      </c>
      <c r="C1334" t="s">
        <v>149</v>
      </c>
      <c r="D1334" t="s">
        <v>69</v>
      </c>
      <c r="E1334">
        <v>9</v>
      </c>
      <c r="F1334">
        <v>7.8</v>
      </c>
      <c r="G1334">
        <v>0.87</v>
      </c>
      <c r="H1334">
        <v>17</v>
      </c>
      <c r="I1334">
        <v>3000</v>
      </c>
      <c r="J1334">
        <v>1000</v>
      </c>
      <c r="K1334" t="s">
        <v>634</v>
      </c>
      <c r="L1334" t="s">
        <v>91</v>
      </c>
      <c r="M1334" t="s">
        <v>45</v>
      </c>
      <c r="N1334" t="b">
        <v>1</v>
      </c>
      <c r="O1334" t="s">
        <v>158</v>
      </c>
    </row>
    <row r="1335" spans="1:15" ht="15" customHeight="1">
      <c r="A1335" t="s">
        <v>607</v>
      </c>
      <c r="B1335" t="s">
        <v>1929</v>
      </c>
      <c r="C1335" t="s">
        <v>129</v>
      </c>
      <c r="D1335" t="s">
        <v>130</v>
      </c>
      <c r="E1335">
        <v>14</v>
      </c>
      <c r="F1335">
        <v>7.1</v>
      </c>
      <c r="G1335">
        <v>0.51</v>
      </c>
      <c r="H1335">
        <v>9</v>
      </c>
      <c r="I1335">
        <v>5000</v>
      </c>
      <c r="J1335">
        <v>1000</v>
      </c>
      <c r="K1335" t="s">
        <v>438</v>
      </c>
      <c r="L1335" t="s">
        <v>100</v>
      </c>
      <c r="M1335" t="s">
        <v>42</v>
      </c>
      <c r="N1335" t="b">
        <v>0</v>
      </c>
      <c r="O1335" t="s">
        <v>90</v>
      </c>
    </row>
    <row r="1336" spans="1:15" ht="15" customHeight="1">
      <c r="A1336" t="s">
        <v>340</v>
      </c>
      <c r="B1336" t="s">
        <v>1930</v>
      </c>
      <c r="C1336" t="s">
        <v>81</v>
      </c>
      <c r="D1336" t="s">
        <v>69</v>
      </c>
      <c r="E1336">
        <v>20</v>
      </c>
      <c r="F1336">
        <v>4.4000000000000004</v>
      </c>
      <c r="G1336">
        <v>0.22</v>
      </c>
      <c r="H1336">
        <v>20</v>
      </c>
      <c r="I1336">
        <v>10000</v>
      </c>
      <c r="J1336">
        <v>3000</v>
      </c>
      <c r="K1336" t="s">
        <v>86</v>
      </c>
      <c r="L1336" t="s">
        <v>117</v>
      </c>
      <c r="M1336" t="s">
        <v>45</v>
      </c>
      <c r="N1336" t="b">
        <v>1</v>
      </c>
      <c r="O1336" t="s">
        <v>87</v>
      </c>
    </row>
    <row r="1337" spans="1:15" ht="15" customHeight="1">
      <c r="A1337" t="s">
        <v>174</v>
      </c>
      <c r="B1337" t="s">
        <v>1931</v>
      </c>
      <c r="C1337" t="s">
        <v>149</v>
      </c>
      <c r="D1337" t="s">
        <v>69</v>
      </c>
      <c r="E1337">
        <v>9</v>
      </c>
      <c r="F1337">
        <v>8.8000000000000007</v>
      </c>
      <c r="G1337">
        <v>0.98</v>
      </c>
      <c r="H1337">
        <v>29</v>
      </c>
      <c r="I1337">
        <v>3000</v>
      </c>
      <c r="J1337">
        <v>1000</v>
      </c>
      <c r="K1337" t="s">
        <v>303</v>
      </c>
      <c r="L1337" t="s">
        <v>77</v>
      </c>
      <c r="M1337" t="s">
        <v>47</v>
      </c>
      <c r="N1337" t="b">
        <v>0</v>
      </c>
      <c r="O1337" t="s">
        <v>323</v>
      </c>
    </row>
    <row r="1338" spans="1:15" ht="15" customHeight="1">
      <c r="A1338" t="s">
        <v>430</v>
      </c>
      <c r="B1338" t="s">
        <v>1932</v>
      </c>
      <c r="C1338" t="s">
        <v>129</v>
      </c>
      <c r="D1338" t="s">
        <v>130</v>
      </c>
      <c r="E1338">
        <v>19</v>
      </c>
      <c r="F1338">
        <v>13.4</v>
      </c>
      <c r="G1338">
        <v>0.71</v>
      </c>
      <c r="H1338">
        <v>19</v>
      </c>
      <c r="I1338">
        <v>5000</v>
      </c>
      <c r="J1338">
        <v>1000</v>
      </c>
      <c r="K1338" t="s">
        <v>336</v>
      </c>
      <c r="L1338" t="s">
        <v>104</v>
      </c>
      <c r="M1338" t="s">
        <v>42</v>
      </c>
      <c r="N1338" t="b">
        <v>0</v>
      </c>
      <c r="O1338" t="s">
        <v>337</v>
      </c>
    </row>
    <row r="1339" spans="1:15" ht="15" customHeight="1">
      <c r="A1339" t="s">
        <v>378</v>
      </c>
      <c r="B1339" t="s">
        <v>1933</v>
      </c>
      <c r="C1339" t="s">
        <v>129</v>
      </c>
      <c r="D1339" t="s">
        <v>130</v>
      </c>
      <c r="E1339">
        <v>11</v>
      </c>
      <c r="F1339">
        <v>3.7</v>
      </c>
      <c r="G1339">
        <v>0.34</v>
      </c>
      <c r="H1339">
        <v>18</v>
      </c>
      <c r="I1339">
        <v>5000</v>
      </c>
      <c r="J1339">
        <v>1000</v>
      </c>
      <c r="K1339" t="s">
        <v>108</v>
      </c>
      <c r="L1339" t="s">
        <v>71</v>
      </c>
      <c r="M1339" t="s">
        <v>42</v>
      </c>
      <c r="N1339" t="b">
        <v>0</v>
      </c>
      <c r="O1339" t="s">
        <v>166</v>
      </c>
    </row>
    <row r="1340" spans="1:15" ht="15" customHeight="1">
      <c r="A1340" t="s">
        <v>475</v>
      </c>
      <c r="B1340" t="s">
        <v>1934</v>
      </c>
      <c r="C1340" t="s">
        <v>81</v>
      </c>
      <c r="D1340" t="s">
        <v>69</v>
      </c>
      <c r="E1340">
        <v>15</v>
      </c>
      <c r="F1340">
        <v>12.9</v>
      </c>
      <c r="G1340">
        <v>0.86</v>
      </c>
      <c r="H1340">
        <v>7</v>
      </c>
      <c r="I1340">
        <v>10000</v>
      </c>
      <c r="J1340">
        <v>3000</v>
      </c>
      <c r="K1340" t="s">
        <v>82</v>
      </c>
      <c r="L1340" t="s">
        <v>91</v>
      </c>
      <c r="M1340" t="s">
        <v>47</v>
      </c>
      <c r="N1340" t="b">
        <v>1</v>
      </c>
      <c r="O1340" t="s">
        <v>83</v>
      </c>
    </row>
    <row r="1341" spans="1:15" ht="15" customHeight="1">
      <c r="A1341" t="s">
        <v>1515</v>
      </c>
      <c r="B1341" t="s">
        <v>1935</v>
      </c>
      <c r="C1341" t="s">
        <v>129</v>
      </c>
      <c r="D1341" t="s">
        <v>130</v>
      </c>
      <c r="E1341">
        <v>13</v>
      </c>
      <c r="F1341">
        <v>8.9</v>
      </c>
      <c r="G1341">
        <v>0.68</v>
      </c>
      <c r="H1341">
        <v>6</v>
      </c>
      <c r="I1341">
        <v>5000</v>
      </c>
      <c r="J1341">
        <v>1000</v>
      </c>
      <c r="K1341" t="s">
        <v>70</v>
      </c>
      <c r="L1341" t="s">
        <v>104</v>
      </c>
      <c r="M1341" t="s">
        <v>51</v>
      </c>
      <c r="N1341" t="b">
        <v>0</v>
      </c>
      <c r="O1341" t="s">
        <v>331</v>
      </c>
    </row>
    <row r="1342" spans="1:15" ht="15" customHeight="1">
      <c r="A1342" t="s">
        <v>723</v>
      </c>
      <c r="B1342" t="s">
        <v>1936</v>
      </c>
      <c r="C1342" t="s">
        <v>149</v>
      </c>
      <c r="D1342" t="s">
        <v>69</v>
      </c>
      <c r="E1342">
        <v>11</v>
      </c>
      <c r="F1342">
        <v>10</v>
      </c>
      <c r="G1342">
        <v>0.91</v>
      </c>
      <c r="H1342">
        <v>23</v>
      </c>
      <c r="I1342">
        <v>3000</v>
      </c>
      <c r="J1342">
        <v>1000</v>
      </c>
      <c r="K1342" t="s">
        <v>229</v>
      </c>
      <c r="L1342" t="s">
        <v>77</v>
      </c>
      <c r="M1342" t="s">
        <v>50</v>
      </c>
      <c r="N1342" t="b">
        <v>0</v>
      </c>
      <c r="O1342" t="s">
        <v>249</v>
      </c>
    </row>
    <row r="1343" spans="1:15" ht="15" customHeight="1">
      <c r="A1343" t="s">
        <v>924</v>
      </c>
      <c r="B1343" t="s">
        <v>1937</v>
      </c>
      <c r="C1343" t="s">
        <v>129</v>
      </c>
      <c r="D1343" t="s">
        <v>130</v>
      </c>
      <c r="E1343">
        <v>8</v>
      </c>
      <c r="F1343">
        <v>6.5</v>
      </c>
      <c r="G1343">
        <v>0.81</v>
      </c>
      <c r="H1343">
        <v>15</v>
      </c>
      <c r="I1343">
        <v>5000</v>
      </c>
      <c r="J1343">
        <v>1000</v>
      </c>
      <c r="K1343" t="s">
        <v>479</v>
      </c>
      <c r="L1343" t="s">
        <v>104</v>
      </c>
      <c r="M1343" t="s">
        <v>49</v>
      </c>
      <c r="N1343" t="b">
        <v>0</v>
      </c>
      <c r="O1343" t="s">
        <v>480</v>
      </c>
    </row>
    <row r="1344" spans="1:15" ht="15" customHeight="1">
      <c r="A1344" t="s">
        <v>725</v>
      </c>
      <c r="B1344" t="s">
        <v>1938</v>
      </c>
      <c r="C1344" t="s">
        <v>129</v>
      </c>
      <c r="D1344" t="s">
        <v>130</v>
      </c>
      <c r="E1344">
        <v>18</v>
      </c>
      <c r="F1344">
        <v>14.8</v>
      </c>
      <c r="G1344">
        <v>0.82</v>
      </c>
      <c r="H1344">
        <v>27</v>
      </c>
      <c r="I1344">
        <v>5000</v>
      </c>
      <c r="J1344">
        <v>1000</v>
      </c>
      <c r="K1344" t="s">
        <v>172</v>
      </c>
      <c r="L1344" t="s">
        <v>117</v>
      </c>
      <c r="M1344" t="s">
        <v>50</v>
      </c>
      <c r="N1344" t="b">
        <v>1</v>
      </c>
      <c r="O1344" t="s">
        <v>173</v>
      </c>
    </row>
    <row r="1345" spans="1:15" ht="15" customHeight="1">
      <c r="A1345" t="s">
        <v>920</v>
      </c>
      <c r="B1345" t="s">
        <v>1939</v>
      </c>
      <c r="C1345" t="s">
        <v>81</v>
      </c>
      <c r="D1345" t="s">
        <v>69</v>
      </c>
      <c r="E1345">
        <v>8</v>
      </c>
      <c r="F1345">
        <v>3.6</v>
      </c>
      <c r="G1345">
        <v>0.45</v>
      </c>
      <c r="H1345">
        <v>20</v>
      </c>
      <c r="I1345">
        <v>10000</v>
      </c>
      <c r="J1345">
        <v>3000</v>
      </c>
      <c r="K1345" t="s">
        <v>86</v>
      </c>
      <c r="L1345" t="s">
        <v>96</v>
      </c>
      <c r="M1345" t="s">
        <v>51</v>
      </c>
      <c r="N1345" t="b">
        <v>0</v>
      </c>
      <c r="O1345" t="s">
        <v>87</v>
      </c>
    </row>
    <row r="1346" spans="1:15" ht="15" customHeight="1">
      <c r="A1346" t="s">
        <v>804</v>
      </c>
      <c r="B1346" t="s">
        <v>1940</v>
      </c>
      <c r="C1346" t="s">
        <v>75</v>
      </c>
      <c r="D1346" t="s">
        <v>69</v>
      </c>
      <c r="E1346">
        <v>17</v>
      </c>
      <c r="F1346">
        <v>16.2</v>
      </c>
      <c r="G1346">
        <v>0.95</v>
      </c>
      <c r="H1346">
        <v>21</v>
      </c>
      <c r="I1346">
        <v>2000</v>
      </c>
      <c r="J1346">
        <v>1500</v>
      </c>
      <c r="K1346" t="s">
        <v>365</v>
      </c>
      <c r="L1346" t="s">
        <v>104</v>
      </c>
      <c r="M1346" t="s">
        <v>40</v>
      </c>
      <c r="N1346" t="b">
        <v>0</v>
      </c>
      <c r="O1346" t="s">
        <v>366</v>
      </c>
    </row>
    <row r="1347" spans="1:15" ht="15" customHeight="1">
      <c r="A1347" t="s">
        <v>641</v>
      </c>
      <c r="B1347" t="s">
        <v>1941</v>
      </c>
      <c r="C1347" t="s">
        <v>129</v>
      </c>
      <c r="D1347" t="s">
        <v>130</v>
      </c>
      <c r="E1347">
        <v>17</v>
      </c>
      <c r="F1347">
        <v>15.2</v>
      </c>
      <c r="G1347">
        <v>0.89</v>
      </c>
      <c r="H1347">
        <v>10</v>
      </c>
      <c r="I1347">
        <v>5000</v>
      </c>
      <c r="J1347">
        <v>1000</v>
      </c>
      <c r="K1347" t="s">
        <v>158</v>
      </c>
      <c r="L1347" t="s">
        <v>77</v>
      </c>
      <c r="M1347" t="s">
        <v>45</v>
      </c>
      <c r="N1347" t="b">
        <v>0</v>
      </c>
      <c r="O1347" t="s">
        <v>159</v>
      </c>
    </row>
    <row r="1348" spans="1:15" ht="15" customHeight="1">
      <c r="A1348" t="s">
        <v>641</v>
      </c>
      <c r="B1348" t="s">
        <v>1942</v>
      </c>
      <c r="C1348" t="s">
        <v>81</v>
      </c>
      <c r="D1348" t="s">
        <v>69</v>
      </c>
      <c r="E1348">
        <v>8</v>
      </c>
      <c r="F1348">
        <v>4.4000000000000004</v>
      </c>
      <c r="G1348">
        <v>0.55000000000000004</v>
      </c>
      <c r="H1348">
        <v>19</v>
      </c>
      <c r="I1348">
        <v>10000</v>
      </c>
      <c r="J1348">
        <v>3000</v>
      </c>
      <c r="K1348" t="s">
        <v>309</v>
      </c>
      <c r="L1348" t="s">
        <v>77</v>
      </c>
      <c r="M1348" t="s">
        <v>45</v>
      </c>
      <c r="N1348" t="b">
        <v>0</v>
      </c>
      <c r="O1348" t="s">
        <v>310</v>
      </c>
    </row>
    <row r="1349" spans="1:15" ht="15" customHeight="1">
      <c r="A1349" t="s">
        <v>374</v>
      </c>
      <c r="B1349" t="s">
        <v>1943</v>
      </c>
      <c r="C1349" t="s">
        <v>68</v>
      </c>
      <c r="D1349" t="s">
        <v>69</v>
      </c>
      <c r="E1349">
        <v>13</v>
      </c>
      <c r="F1349">
        <v>0.7</v>
      </c>
      <c r="G1349">
        <v>0.05</v>
      </c>
      <c r="H1349">
        <v>5</v>
      </c>
      <c r="I1349">
        <v>30000</v>
      </c>
      <c r="J1349">
        <v>5000</v>
      </c>
      <c r="K1349" t="s">
        <v>112</v>
      </c>
      <c r="L1349" t="s">
        <v>104</v>
      </c>
      <c r="M1349" t="s">
        <v>42</v>
      </c>
      <c r="N1349" t="b">
        <v>0</v>
      </c>
      <c r="O1349" t="s">
        <v>113</v>
      </c>
    </row>
    <row r="1350" spans="1:15" ht="15" customHeight="1">
      <c r="A1350" t="s">
        <v>1168</v>
      </c>
      <c r="B1350" t="s">
        <v>1944</v>
      </c>
      <c r="C1350" t="s">
        <v>149</v>
      </c>
      <c r="D1350" t="s">
        <v>69</v>
      </c>
      <c r="E1350">
        <v>9</v>
      </c>
      <c r="F1350">
        <v>7.6</v>
      </c>
      <c r="G1350">
        <v>0.84</v>
      </c>
      <c r="H1350">
        <v>31</v>
      </c>
      <c r="I1350">
        <v>3000</v>
      </c>
      <c r="J1350">
        <v>1000</v>
      </c>
      <c r="K1350" t="s">
        <v>530</v>
      </c>
      <c r="L1350" t="s">
        <v>91</v>
      </c>
      <c r="M1350" t="s">
        <v>46</v>
      </c>
      <c r="N1350" t="b">
        <v>1</v>
      </c>
      <c r="O1350" t="s">
        <v>531</v>
      </c>
    </row>
    <row r="1351" spans="1:15" ht="15" customHeight="1">
      <c r="A1351" t="s">
        <v>178</v>
      </c>
      <c r="B1351" t="s">
        <v>1945</v>
      </c>
      <c r="C1351" t="s">
        <v>75</v>
      </c>
      <c r="D1351" t="s">
        <v>69</v>
      </c>
      <c r="E1351">
        <v>20</v>
      </c>
      <c r="F1351">
        <v>5.9</v>
      </c>
      <c r="G1351">
        <v>0.3</v>
      </c>
      <c r="H1351">
        <v>29</v>
      </c>
      <c r="I1351">
        <v>2000</v>
      </c>
      <c r="J1351">
        <v>1500</v>
      </c>
      <c r="K1351" t="s">
        <v>519</v>
      </c>
      <c r="L1351" t="s">
        <v>91</v>
      </c>
      <c r="M1351" t="s">
        <v>47</v>
      </c>
      <c r="N1351" t="b">
        <v>1</v>
      </c>
      <c r="O1351" t="s">
        <v>520</v>
      </c>
    </row>
    <row r="1352" spans="1:15" ht="15" customHeight="1">
      <c r="A1352" t="s">
        <v>170</v>
      </c>
      <c r="B1352" t="s">
        <v>1946</v>
      </c>
      <c r="C1352" t="s">
        <v>129</v>
      </c>
      <c r="D1352" t="s">
        <v>130</v>
      </c>
      <c r="E1352">
        <v>8</v>
      </c>
      <c r="F1352">
        <v>3.2</v>
      </c>
      <c r="G1352">
        <v>0.4</v>
      </c>
      <c r="H1352">
        <v>17</v>
      </c>
      <c r="I1352">
        <v>5000</v>
      </c>
      <c r="J1352">
        <v>1000</v>
      </c>
      <c r="K1352" t="s">
        <v>109</v>
      </c>
      <c r="L1352" t="s">
        <v>96</v>
      </c>
      <c r="M1352" t="s">
        <v>44</v>
      </c>
      <c r="N1352" t="b">
        <v>0</v>
      </c>
      <c r="O1352" t="s">
        <v>176</v>
      </c>
    </row>
    <row r="1353" spans="1:15" ht="15" customHeight="1">
      <c r="A1353" t="s">
        <v>590</v>
      </c>
      <c r="B1353" t="s">
        <v>1947</v>
      </c>
      <c r="C1353" t="s">
        <v>129</v>
      </c>
      <c r="D1353" t="s">
        <v>130</v>
      </c>
      <c r="E1353">
        <v>18</v>
      </c>
      <c r="F1353">
        <v>6.3</v>
      </c>
      <c r="G1353">
        <v>0.35</v>
      </c>
      <c r="H1353">
        <v>20</v>
      </c>
      <c r="I1353">
        <v>5000</v>
      </c>
      <c r="J1353">
        <v>1000</v>
      </c>
      <c r="K1353" t="s">
        <v>103</v>
      </c>
      <c r="L1353" t="s">
        <v>77</v>
      </c>
      <c r="M1353" t="s">
        <v>49</v>
      </c>
      <c r="N1353" t="b">
        <v>0</v>
      </c>
      <c r="O1353" t="s">
        <v>169</v>
      </c>
    </row>
    <row r="1354" spans="1:15" ht="15" customHeight="1">
      <c r="A1354" t="s">
        <v>340</v>
      </c>
      <c r="B1354" t="s">
        <v>1948</v>
      </c>
      <c r="C1354" t="s">
        <v>129</v>
      </c>
      <c r="D1354" t="s">
        <v>130</v>
      </c>
      <c r="E1354">
        <v>13</v>
      </c>
      <c r="F1354">
        <v>10.9</v>
      </c>
      <c r="G1354">
        <v>0.84</v>
      </c>
      <c r="H1354">
        <v>14</v>
      </c>
      <c r="I1354">
        <v>5000</v>
      </c>
      <c r="J1354">
        <v>1000</v>
      </c>
      <c r="K1354" t="s">
        <v>82</v>
      </c>
      <c r="L1354" t="s">
        <v>117</v>
      </c>
      <c r="M1354" t="s">
        <v>45</v>
      </c>
      <c r="N1354" t="b">
        <v>1</v>
      </c>
      <c r="O1354" t="s">
        <v>229</v>
      </c>
    </row>
    <row r="1355" spans="1:15" ht="15" customHeight="1">
      <c r="A1355" t="s">
        <v>127</v>
      </c>
      <c r="B1355" t="s">
        <v>1949</v>
      </c>
      <c r="C1355" t="s">
        <v>68</v>
      </c>
      <c r="D1355" t="s">
        <v>69</v>
      </c>
      <c r="E1355">
        <v>13</v>
      </c>
      <c r="F1355">
        <v>2.8</v>
      </c>
      <c r="G1355">
        <v>0.22</v>
      </c>
      <c r="H1355">
        <v>4</v>
      </c>
      <c r="I1355">
        <v>30000</v>
      </c>
      <c r="J1355">
        <v>5000</v>
      </c>
      <c r="K1355" t="s">
        <v>95</v>
      </c>
      <c r="L1355" t="s">
        <v>117</v>
      </c>
      <c r="M1355" t="s">
        <v>44</v>
      </c>
      <c r="N1355" t="b">
        <v>1</v>
      </c>
      <c r="O1355" t="s">
        <v>97</v>
      </c>
    </row>
    <row r="1356" spans="1:15" ht="15" customHeight="1">
      <c r="A1356" t="s">
        <v>1532</v>
      </c>
      <c r="B1356" t="s">
        <v>1950</v>
      </c>
      <c r="C1356" t="s">
        <v>81</v>
      </c>
      <c r="D1356" t="s">
        <v>69</v>
      </c>
      <c r="E1356">
        <v>14</v>
      </c>
      <c r="F1356">
        <v>3.2</v>
      </c>
      <c r="G1356">
        <v>0.23</v>
      </c>
      <c r="H1356">
        <v>15</v>
      </c>
      <c r="I1356">
        <v>10000</v>
      </c>
      <c r="J1356">
        <v>3000</v>
      </c>
      <c r="K1356" t="s">
        <v>112</v>
      </c>
      <c r="L1356" t="s">
        <v>71</v>
      </c>
      <c r="M1356" t="s">
        <v>40</v>
      </c>
      <c r="N1356" t="b">
        <v>0</v>
      </c>
      <c r="O1356" t="s">
        <v>234</v>
      </c>
    </row>
    <row r="1357" spans="1:15" ht="15" customHeight="1">
      <c r="A1357" t="s">
        <v>416</v>
      </c>
      <c r="B1357" t="s">
        <v>1951</v>
      </c>
      <c r="C1357" t="s">
        <v>129</v>
      </c>
      <c r="D1357" t="s">
        <v>130</v>
      </c>
      <c r="E1357">
        <v>14</v>
      </c>
      <c r="F1357">
        <v>10.6</v>
      </c>
      <c r="G1357">
        <v>0.76</v>
      </c>
      <c r="H1357">
        <v>23</v>
      </c>
      <c r="I1357">
        <v>5000</v>
      </c>
      <c r="J1357">
        <v>1000</v>
      </c>
      <c r="K1357" t="s">
        <v>97</v>
      </c>
      <c r="L1357" t="s">
        <v>77</v>
      </c>
      <c r="M1357" t="s">
        <v>44</v>
      </c>
      <c r="N1357" t="b">
        <v>0</v>
      </c>
      <c r="O1357" t="s">
        <v>220</v>
      </c>
    </row>
    <row r="1358" spans="1:15" ht="15" customHeight="1">
      <c r="A1358" t="s">
        <v>778</v>
      </c>
      <c r="B1358" t="s">
        <v>1952</v>
      </c>
      <c r="C1358" t="s">
        <v>75</v>
      </c>
      <c r="D1358" t="s">
        <v>69</v>
      </c>
      <c r="E1358">
        <v>20</v>
      </c>
      <c r="F1358">
        <v>19.399999999999999</v>
      </c>
      <c r="G1358">
        <v>0.97</v>
      </c>
      <c r="H1358">
        <v>22</v>
      </c>
      <c r="I1358">
        <v>2000</v>
      </c>
      <c r="J1358">
        <v>1500</v>
      </c>
      <c r="K1358" t="s">
        <v>90</v>
      </c>
      <c r="L1358" t="s">
        <v>91</v>
      </c>
      <c r="M1358" t="s">
        <v>50</v>
      </c>
      <c r="N1358" t="b">
        <v>1</v>
      </c>
      <c r="O1358" t="s">
        <v>92</v>
      </c>
    </row>
    <row r="1359" spans="1:15" ht="15" customHeight="1">
      <c r="A1359" t="s">
        <v>725</v>
      </c>
      <c r="B1359" t="s">
        <v>1953</v>
      </c>
      <c r="C1359" t="s">
        <v>68</v>
      </c>
      <c r="D1359" t="s">
        <v>69</v>
      </c>
      <c r="E1359">
        <v>10</v>
      </c>
      <c r="F1359">
        <v>1</v>
      </c>
      <c r="G1359">
        <v>0.1</v>
      </c>
      <c r="H1359">
        <v>5</v>
      </c>
      <c r="I1359">
        <v>30000</v>
      </c>
      <c r="J1359">
        <v>5000</v>
      </c>
      <c r="K1359" t="s">
        <v>112</v>
      </c>
      <c r="L1359" t="s">
        <v>117</v>
      </c>
      <c r="M1359" t="s">
        <v>50</v>
      </c>
      <c r="N1359" t="b">
        <v>1</v>
      </c>
      <c r="O1359" t="s">
        <v>113</v>
      </c>
    </row>
    <row r="1360" spans="1:15" ht="15" customHeight="1">
      <c r="A1360" t="s">
        <v>421</v>
      </c>
      <c r="B1360" t="s">
        <v>1954</v>
      </c>
      <c r="C1360" t="s">
        <v>129</v>
      </c>
      <c r="D1360" t="s">
        <v>130</v>
      </c>
      <c r="E1360">
        <v>11</v>
      </c>
      <c r="F1360">
        <v>8</v>
      </c>
      <c r="G1360">
        <v>0.73</v>
      </c>
      <c r="H1360">
        <v>30</v>
      </c>
      <c r="I1360">
        <v>5000</v>
      </c>
      <c r="J1360">
        <v>1000</v>
      </c>
      <c r="K1360" t="s">
        <v>112</v>
      </c>
      <c r="L1360" t="s">
        <v>71</v>
      </c>
      <c r="M1360" t="s">
        <v>47</v>
      </c>
      <c r="N1360" t="b">
        <v>0</v>
      </c>
      <c r="O1360" t="s">
        <v>195</v>
      </c>
    </row>
    <row r="1361" spans="1:15" ht="15" customHeight="1">
      <c r="A1361" t="s">
        <v>903</v>
      </c>
      <c r="B1361" t="s">
        <v>1955</v>
      </c>
      <c r="C1361" t="s">
        <v>81</v>
      </c>
      <c r="D1361" t="s">
        <v>69</v>
      </c>
      <c r="E1361">
        <v>15</v>
      </c>
      <c r="F1361">
        <v>9.1</v>
      </c>
      <c r="G1361">
        <v>0.61</v>
      </c>
      <c r="H1361">
        <v>28</v>
      </c>
      <c r="I1361">
        <v>10000</v>
      </c>
      <c r="J1361">
        <v>3000</v>
      </c>
      <c r="K1361" t="s">
        <v>966</v>
      </c>
      <c r="L1361" t="s">
        <v>117</v>
      </c>
      <c r="M1361" t="s">
        <v>49</v>
      </c>
      <c r="N1361" t="b">
        <v>1</v>
      </c>
      <c r="O1361" t="s">
        <v>967</v>
      </c>
    </row>
    <row r="1362" spans="1:15" ht="15" customHeight="1">
      <c r="A1362" t="s">
        <v>187</v>
      </c>
      <c r="B1362" t="s">
        <v>1956</v>
      </c>
      <c r="C1362" t="s">
        <v>68</v>
      </c>
      <c r="D1362" t="s">
        <v>69</v>
      </c>
      <c r="E1362">
        <v>10</v>
      </c>
      <c r="F1362">
        <v>1.6</v>
      </c>
      <c r="G1362">
        <v>0.16</v>
      </c>
      <c r="H1362">
        <v>4</v>
      </c>
      <c r="I1362">
        <v>30000</v>
      </c>
      <c r="J1362">
        <v>5000</v>
      </c>
      <c r="K1362" t="s">
        <v>95</v>
      </c>
      <c r="L1362" t="s">
        <v>100</v>
      </c>
      <c r="M1362" t="s">
        <v>40</v>
      </c>
      <c r="N1362" t="b">
        <v>0</v>
      </c>
      <c r="O1362" t="s">
        <v>97</v>
      </c>
    </row>
    <row r="1363" spans="1:15" ht="15" customHeight="1">
      <c r="A1363" t="s">
        <v>340</v>
      </c>
      <c r="B1363" t="s">
        <v>1957</v>
      </c>
      <c r="C1363" t="s">
        <v>68</v>
      </c>
      <c r="D1363" t="s">
        <v>69</v>
      </c>
      <c r="E1363">
        <v>16</v>
      </c>
      <c r="F1363">
        <v>0.6</v>
      </c>
      <c r="G1363">
        <v>0.04</v>
      </c>
      <c r="H1363">
        <v>5</v>
      </c>
      <c r="I1363">
        <v>30000</v>
      </c>
      <c r="J1363">
        <v>5000</v>
      </c>
      <c r="K1363" t="s">
        <v>112</v>
      </c>
      <c r="L1363" t="s">
        <v>117</v>
      </c>
      <c r="M1363" t="s">
        <v>45</v>
      </c>
      <c r="N1363" t="b">
        <v>1</v>
      </c>
      <c r="O1363" t="s">
        <v>113</v>
      </c>
    </row>
    <row r="1364" spans="1:15" ht="15" customHeight="1">
      <c r="A1364" t="s">
        <v>538</v>
      </c>
      <c r="B1364" t="s">
        <v>1958</v>
      </c>
      <c r="C1364" t="s">
        <v>81</v>
      </c>
      <c r="D1364" t="s">
        <v>69</v>
      </c>
      <c r="E1364">
        <v>11</v>
      </c>
      <c r="F1364">
        <v>6.7</v>
      </c>
      <c r="G1364">
        <v>0.61</v>
      </c>
      <c r="H1364">
        <v>11</v>
      </c>
      <c r="I1364">
        <v>10000</v>
      </c>
      <c r="J1364">
        <v>3000</v>
      </c>
      <c r="K1364" t="s">
        <v>134</v>
      </c>
      <c r="L1364" t="s">
        <v>96</v>
      </c>
      <c r="M1364" t="s">
        <v>50</v>
      </c>
      <c r="N1364" t="b">
        <v>0</v>
      </c>
      <c r="O1364" t="s">
        <v>155</v>
      </c>
    </row>
    <row r="1365" spans="1:15" ht="15" customHeight="1">
      <c r="A1365" t="s">
        <v>609</v>
      </c>
      <c r="B1365" t="s">
        <v>1959</v>
      </c>
      <c r="C1365" t="s">
        <v>68</v>
      </c>
      <c r="D1365" t="s">
        <v>69</v>
      </c>
      <c r="E1365">
        <v>14</v>
      </c>
      <c r="F1365">
        <v>1.1000000000000001</v>
      </c>
      <c r="G1365">
        <v>0.08</v>
      </c>
      <c r="H1365">
        <v>4</v>
      </c>
      <c r="I1365">
        <v>30000</v>
      </c>
      <c r="J1365">
        <v>5000</v>
      </c>
      <c r="K1365" t="s">
        <v>95</v>
      </c>
      <c r="L1365" t="s">
        <v>91</v>
      </c>
      <c r="M1365" t="s">
        <v>40</v>
      </c>
      <c r="N1365" t="b">
        <v>1</v>
      </c>
      <c r="O1365" t="s">
        <v>97</v>
      </c>
    </row>
    <row r="1366" spans="1:15" ht="15" customHeight="1">
      <c r="A1366" t="s">
        <v>156</v>
      </c>
      <c r="B1366" t="s">
        <v>1960</v>
      </c>
      <c r="C1366" t="s">
        <v>75</v>
      </c>
      <c r="D1366" t="s">
        <v>69</v>
      </c>
      <c r="E1366">
        <v>12</v>
      </c>
      <c r="F1366">
        <v>11</v>
      </c>
      <c r="G1366">
        <v>0.92</v>
      </c>
      <c r="H1366">
        <v>28</v>
      </c>
      <c r="I1366">
        <v>2000</v>
      </c>
      <c r="J1366">
        <v>1500</v>
      </c>
      <c r="K1366" t="s">
        <v>262</v>
      </c>
      <c r="L1366" t="s">
        <v>77</v>
      </c>
      <c r="M1366" t="s">
        <v>47</v>
      </c>
      <c r="N1366" t="b">
        <v>0</v>
      </c>
      <c r="O1366" t="s">
        <v>289</v>
      </c>
    </row>
    <row r="1367" spans="1:15" ht="15" customHeight="1">
      <c r="A1367" t="s">
        <v>897</v>
      </c>
      <c r="B1367" t="s">
        <v>1961</v>
      </c>
      <c r="C1367" t="s">
        <v>81</v>
      </c>
      <c r="D1367" t="s">
        <v>69</v>
      </c>
      <c r="E1367">
        <v>12</v>
      </c>
      <c r="F1367">
        <v>7.8</v>
      </c>
      <c r="G1367">
        <v>0.65</v>
      </c>
      <c r="H1367">
        <v>16</v>
      </c>
      <c r="I1367">
        <v>10000</v>
      </c>
      <c r="J1367">
        <v>3000</v>
      </c>
      <c r="K1367" t="s">
        <v>283</v>
      </c>
      <c r="L1367" t="s">
        <v>104</v>
      </c>
      <c r="M1367" t="s">
        <v>49</v>
      </c>
      <c r="N1367" t="b">
        <v>0</v>
      </c>
      <c r="O1367" t="s">
        <v>284</v>
      </c>
    </row>
    <row r="1368" spans="1:15" ht="15" customHeight="1">
      <c r="A1368" t="s">
        <v>1248</v>
      </c>
      <c r="B1368" t="s">
        <v>1962</v>
      </c>
      <c r="C1368" t="s">
        <v>75</v>
      </c>
      <c r="D1368" t="s">
        <v>69</v>
      </c>
      <c r="E1368">
        <v>15</v>
      </c>
      <c r="F1368">
        <v>11.6</v>
      </c>
      <c r="G1368">
        <v>0.77</v>
      </c>
      <c r="H1368">
        <v>10</v>
      </c>
      <c r="I1368">
        <v>2000</v>
      </c>
      <c r="J1368">
        <v>1500</v>
      </c>
      <c r="K1368" t="s">
        <v>418</v>
      </c>
      <c r="L1368" t="s">
        <v>96</v>
      </c>
      <c r="M1368" t="s">
        <v>50</v>
      </c>
      <c r="N1368" t="b">
        <v>0</v>
      </c>
      <c r="O1368" t="s">
        <v>419</v>
      </c>
    </row>
    <row r="1369" spans="1:15" ht="15" customHeight="1">
      <c r="A1369" t="s">
        <v>636</v>
      </c>
      <c r="B1369" t="s">
        <v>1963</v>
      </c>
      <c r="C1369" t="s">
        <v>68</v>
      </c>
      <c r="D1369" t="s">
        <v>69</v>
      </c>
      <c r="E1369">
        <v>8</v>
      </c>
      <c r="F1369">
        <v>1.8</v>
      </c>
      <c r="G1369">
        <v>0.23</v>
      </c>
      <c r="H1369">
        <v>5</v>
      </c>
      <c r="I1369">
        <v>30000</v>
      </c>
      <c r="J1369">
        <v>5000</v>
      </c>
      <c r="K1369" t="s">
        <v>112</v>
      </c>
      <c r="L1369" t="s">
        <v>77</v>
      </c>
      <c r="M1369" t="s">
        <v>46</v>
      </c>
      <c r="N1369" t="b">
        <v>0</v>
      </c>
      <c r="O1369" t="s">
        <v>113</v>
      </c>
    </row>
    <row r="1370" spans="1:15" ht="15" customHeight="1">
      <c r="A1370" t="s">
        <v>1389</v>
      </c>
      <c r="B1370" t="s">
        <v>1964</v>
      </c>
      <c r="C1370" t="s">
        <v>81</v>
      </c>
      <c r="D1370" t="s">
        <v>69</v>
      </c>
      <c r="E1370">
        <v>17</v>
      </c>
      <c r="F1370">
        <v>7.8</v>
      </c>
      <c r="G1370">
        <v>0.46</v>
      </c>
      <c r="H1370">
        <v>7</v>
      </c>
      <c r="I1370">
        <v>10000</v>
      </c>
      <c r="J1370">
        <v>3000</v>
      </c>
      <c r="K1370" t="s">
        <v>82</v>
      </c>
      <c r="L1370" t="s">
        <v>91</v>
      </c>
      <c r="M1370" t="s">
        <v>44</v>
      </c>
      <c r="N1370" t="b">
        <v>1</v>
      </c>
      <c r="O1370" t="s">
        <v>83</v>
      </c>
    </row>
    <row r="1371" spans="1:15" ht="15" customHeight="1">
      <c r="A1371" t="s">
        <v>1117</v>
      </c>
      <c r="B1371" t="s">
        <v>1965</v>
      </c>
      <c r="C1371" t="s">
        <v>68</v>
      </c>
      <c r="D1371" t="s">
        <v>69</v>
      </c>
      <c r="E1371">
        <v>8</v>
      </c>
      <c r="F1371">
        <v>0.9</v>
      </c>
      <c r="G1371">
        <v>0.11</v>
      </c>
      <c r="H1371">
        <v>5</v>
      </c>
      <c r="I1371">
        <v>30000</v>
      </c>
      <c r="J1371">
        <v>5000</v>
      </c>
      <c r="K1371" t="s">
        <v>112</v>
      </c>
      <c r="L1371" t="s">
        <v>117</v>
      </c>
      <c r="M1371" t="s">
        <v>43</v>
      </c>
      <c r="N1371" t="b">
        <v>1</v>
      </c>
      <c r="O1371" t="s">
        <v>113</v>
      </c>
    </row>
    <row r="1372" spans="1:15" ht="15" customHeight="1">
      <c r="A1372" t="s">
        <v>964</v>
      </c>
      <c r="B1372" t="s">
        <v>1966</v>
      </c>
      <c r="C1372" t="s">
        <v>81</v>
      </c>
      <c r="D1372" t="s">
        <v>69</v>
      </c>
      <c r="E1372">
        <v>9</v>
      </c>
      <c r="F1372">
        <v>6.6</v>
      </c>
      <c r="G1372">
        <v>0.73</v>
      </c>
      <c r="H1372">
        <v>30</v>
      </c>
      <c r="I1372">
        <v>10000</v>
      </c>
      <c r="J1372">
        <v>3000</v>
      </c>
      <c r="K1372" t="s">
        <v>185</v>
      </c>
      <c r="L1372" t="s">
        <v>96</v>
      </c>
      <c r="M1372" t="s">
        <v>48</v>
      </c>
      <c r="N1372" t="b">
        <v>0</v>
      </c>
      <c r="O1372" t="s">
        <v>186</v>
      </c>
    </row>
    <row r="1373" spans="1:15" ht="15" customHeight="1">
      <c r="A1373" t="s">
        <v>443</v>
      </c>
      <c r="B1373" t="s">
        <v>1967</v>
      </c>
      <c r="C1373" t="s">
        <v>149</v>
      </c>
      <c r="D1373" t="s">
        <v>69</v>
      </c>
      <c r="E1373">
        <v>11</v>
      </c>
      <c r="F1373">
        <v>9.6999999999999993</v>
      </c>
      <c r="G1373">
        <v>0.88</v>
      </c>
      <c r="H1373">
        <v>40</v>
      </c>
      <c r="I1373">
        <v>3000</v>
      </c>
      <c r="J1373">
        <v>1000</v>
      </c>
      <c r="K1373" t="s">
        <v>95</v>
      </c>
      <c r="L1373" t="s">
        <v>91</v>
      </c>
      <c r="M1373" t="s">
        <v>49</v>
      </c>
      <c r="N1373" t="b">
        <v>1</v>
      </c>
      <c r="O1373" t="s">
        <v>217</v>
      </c>
    </row>
    <row r="1374" spans="1:15" ht="15" customHeight="1">
      <c r="A1374" t="s">
        <v>301</v>
      </c>
      <c r="B1374" t="s">
        <v>1968</v>
      </c>
      <c r="C1374" t="s">
        <v>149</v>
      </c>
      <c r="D1374" t="s">
        <v>69</v>
      </c>
      <c r="E1374">
        <v>9</v>
      </c>
      <c r="F1374">
        <v>8.1999999999999993</v>
      </c>
      <c r="G1374">
        <v>0.91</v>
      </c>
      <c r="H1374">
        <v>27</v>
      </c>
      <c r="I1374">
        <v>3000</v>
      </c>
      <c r="J1374">
        <v>1000</v>
      </c>
      <c r="K1374" t="s">
        <v>845</v>
      </c>
      <c r="L1374" t="s">
        <v>100</v>
      </c>
      <c r="M1374" t="s">
        <v>50</v>
      </c>
      <c r="N1374" t="b">
        <v>0</v>
      </c>
      <c r="O1374" t="s">
        <v>357</v>
      </c>
    </row>
    <row r="1375" spans="1:15" ht="15" customHeight="1">
      <c r="A1375" t="s">
        <v>406</v>
      </c>
      <c r="B1375" t="s">
        <v>1969</v>
      </c>
      <c r="C1375" t="s">
        <v>149</v>
      </c>
      <c r="D1375" t="s">
        <v>69</v>
      </c>
      <c r="E1375">
        <v>11</v>
      </c>
      <c r="F1375">
        <v>6.1</v>
      </c>
      <c r="G1375">
        <v>0.55000000000000004</v>
      </c>
      <c r="H1375">
        <v>18</v>
      </c>
      <c r="I1375">
        <v>3000</v>
      </c>
      <c r="J1375">
        <v>1000</v>
      </c>
      <c r="K1375" t="s">
        <v>150</v>
      </c>
      <c r="L1375" t="s">
        <v>96</v>
      </c>
      <c r="M1375" t="s">
        <v>47</v>
      </c>
      <c r="N1375" t="b">
        <v>0</v>
      </c>
      <c r="O1375" t="s">
        <v>151</v>
      </c>
    </row>
    <row r="1376" spans="1:15" ht="15" customHeight="1">
      <c r="A1376" t="s">
        <v>398</v>
      </c>
      <c r="B1376" t="s">
        <v>1970</v>
      </c>
      <c r="C1376" t="s">
        <v>81</v>
      </c>
      <c r="D1376" t="s">
        <v>69</v>
      </c>
      <c r="E1376">
        <v>18</v>
      </c>
      <c r="F1376">
        <v>9.1</v>
      </c>
      <c r="G1376">
        <v>0.51</v>
      </c>
      <c r="H1376">
        <v>22</v>
      </c>
      <c r="I1376">
        <v>10000</v>
      </c>
      <c r="J1376">
        <v>3000</v>
      </c>
      <c r="K1376" t="s">
        <v>548</v>
      </c>
      <c r="L1376" t="s">
        <v>117</v>
      </c>
      <c r="M1376" t="s">
        <v>43</v>
      </c>
      <c r="N1376" t="b">
        <v>1</v>
      </c>
      <c r="O1376" t="s">
        <v>549</v>
      </c>
    </row>
    <row r="1377" spans="1:15" ht="15" customHeight="1">
      <c r="A1377" t="s">
        <v>609</v>
      </c>
      <c r="B1377" t="s">
        <v>1971</v>
      </c>
      <c r="C1377" t="s">
        <v>149</v>
      </c>
      <c r="D1377" t="s">
        <v>69</v>
      </c>
      <c r="E1377">
        <v>8</v>
      </c>
      <c r="F1377">
        <v>7</v>
      </c>
      <c r="G1377">
        <v>0.88</v>
      </c>
      <c r="H1377">
        <v>34</v>
      </c>
      <c r="I1377">
        <v>3000</v>
      </c>
      <c r="J1377">
        <v>1000</v>
      </c>
      <c r="K1377" t="s">
        <v>433</v>
      </c>
      <c r="L1377" t="s">
        <v>91</v>
      </c>
      <c r="M1377" t="s">
        <v>40</v>
      </c>
      <c r="N1377" t="b">
        <v>1</v>
      </c>
      <c r="O1377" t="s">
        <v>434</v>
      </c>
    </row>
    <row r="1378" spans="1:15" ht="15" customHeight="1">
      <c r="A1378" t="s">
        <v>378</v>
      </c>
      <c r="B1378" t="s">
        <v>1972</v>
      </c>
      <c r="C1378" t="s">
        <v>75</v>
      </c>
      <c r="D1378" t="s">
        <v>69</v>
      </c>
      <c r="E1378">
        <v>20</v>
      </c>
      <c r="F1378">
        <v>6.2</v>
      </c>
      <c r="G1378">
        <v>0.31</v>
      </c>
      <c r="H1378">
        <v>15</v>
      </c>
      <c r="I1378">
        <v>2000</v>
      </c>
      <c r="J1378">
        <v>1500</v>
      </c>
      <c r="K1378" t="s">
        <v>70</v>
      </c>
      <c r="L1378" t="s">
        <v>71</v>
      </c>
      <c r="M1378" t="s">
        <v>42</v>
      </c>
      <c r="N1378" t="b">
        <v>0</v>
      </c>
      <c r="O1378" t="s">
        <v>598</v>
      </c>
    </row>
    <row r="1379" spans="1:15" ht="15" customHeight="1">
      <c r="A1379" t="s">
        <v>933</v>
      </c>
      <c r="B1379" t="s">
        <v>1973</v>
      </c>
      <c r="C1379" t="s">
        <v>81</v>
      </c>
      <c r="D1379" t="s">
        <v>69</v>
      </c>
      <c r="E1379">
        <v>18</v>
      </c>
      <c r="F1379">
        <v>10.6</v>
      </c>
      <c r="G1379">
        <v>0.59</v>
      </c>
      <c r="H1379">
        <v>17</v>
      </c>
      <c r="I1379">
        <v>10000</v>
      </c>
      <c r="J1379">
        <v>3000</v>
      </c>
      <c r="K1379" t="s">
        <v>389</v>
      </c>
      <c r="L1379" t="s">
        <v>71</v>
      </c>
      <c r="M1379" t="s">
        <v>46</v>
      </c>
      <c r="N1379" t="b">
        <v>0</v>
      </c>
      <c r="O1379" t="s">
        <v>390</v>
      </c>
    </row>
    <row r="1380" spans="1:15" ht="15" customHeight="1">
      <c r="A1380" t="s">
        <v>1338</v>
      </c>
      <c r="B1380" t="s">
        <v>1974</v>
      </c>
      <c r="C1380" t="s">
        <v>68</v>
      </c>
      <c r="D1380" t="s">
        <v>69</v>
      </c>
      <c r="E1380">
        <v>16</v>
      </c>
      <c r="F1380">
        <v>0.6</v>
      </c>
      <c r="G1380">
        <v>0.04</v>
      </c>
      <c r="H1380">
        <v>1</v>
      </c>
      <c r="I1380">
        <v>30000</v>
      </c>
      <c r="J1380">
        <v>5000</v>
      </c>
      <c r="K1380" t="s">
        <v>70</v>
      </c>
      <c r="L1380" t="s">
        <v>104</v>
      </c>
      <c r="M1380" t="s">
        <v>47</v>
      </c>
      <c r="N1380" t="b">
        <v>0</v>
      </c>
      <c r="O1380" t="s">
        <v>72</v>
      </c>
    </row>
    <row r="1381" spans="1:15" ht="15" customHeight="1">
      <c r="A1381" t="s">
        <v>666</v>
      </c>
      <c r="B1381" t="s">
        <v>1975</v>
      </c>
      <c r="C1381" t="s">
        <v>129</v>
      </c>
      <c r="D1381" t="s">
        <v>130</v>
      </c>
      <c r="E1381">
        <v>20</v>
      </c>
      <c r="F1381">
        <v>10.6</v>
      </c>
      <c r="G1381">
        <v>0.53</v>
      </c>
      <c r="H1381">
        <v>24</v>
      </c>
      <c r="I1381">
        <v>5000</v>
      </c>
      <c r="J1381">
        <v>1000</v>
      </c>
      <c r="K1381" t="s">
        <v>95</v>
      </c>
      <c r="L1381" t="s">
        <v>77</v>
      </c>
      <c r="M1381" t="s">
        <v>44</v>
      </c>
      <c r="N1381" t="b">
        <v>0</v>
      </c>
      <c r="O1381" t="s">
        <v>217</v>
      </c>
    </row>
    <row r="1382" spans="1:15" ht="15" customHeight="1">
      <c r="A1382" t="s">
        <v>500</v>
      </c>
      <c r="B1382" t="s">
        <v>1976</v>
      </c>
      <c r="C1382" t="s">
        <v>75</v>
      </c>
      <c r="D1382" t="s">
        <v>69</v>
      </c>
      <c r="E1382">
        <v>11</v>
      </c>
      <c r="F1382">
        <v>4.5999999999999996</v>
      </c>
      <c r="G1382">
        <v>0.42</v>
      </c>
      <c r="H1382">
        <v>9</v>
      </c>
      <c r="I1382">
        <v>2000</v>
      </c>
      <c r="J1382">
        <v>1500</v>
      </c>
      <c r="K1382" t="s">
        <v>740</v>
      </c>
      <c r="L1382" t="s">
        <v>77</v>
      </c>
      <c r="M1382" t="s">
        <v>47</v>
      </c>
      <c r="N1382" t="b">
        <v>0</v>
      </c>
      <c r="O1382" t="s">
        <v>741</v>
      </c>
    </row>
    <row r="1383" spans="1:15" ht="15" customHeight="1">
      <c r="A1383" t="s">
        <v>1417</v>
      </c>
      <c r="B1383" t="s">
        <v>1977</v>
      </c>
      <c r="C1383" t="s">
        <v>81</v>
      </c>
      <c r="D1383" t="s">
        <v>69</v>
      </c>
      <c r="E1383">
        <v>9</v>
      </c>
      <c r="F1383">
        <v>8.1999999999999993</v>
      </c>
      <c r="G1383">
        <v>0.91</v>
      </c>
      <c r="H1383">
        <v>19</v>
      </c>
      <c r="I1383">
        <v>10000</v>
      </c>
      <c r="J1383">
        <v>3000</v>
      </c>
      <c r="K1383" t="s">
        <v>309</v>
      </c>
      <c r="L1383" t="s">
        <v>91</v>
      </c>
      <c r="M1383" t="s">
        <v>50</v>
      </c>
      <c r="N1383" t="b">
        <v>1</v>
      </c>
      <c r="O1383" t="s">
        <v>310</v>
      </c>
    </row>
    <row r="1384" spans="1:15" ht="15" customHeight="1">
      <c r="A1384" t="s">
        <v>860</v>
      </c>
      <c r="B1384" t="s">
        <v>1978</v>
      </c>
      <c r="C1384" t="s">
        <v>75</v>
      </c>
      <c r="D1384" t="s">
        <v>69</v>
      </c>
      <c r="E1384">
        <v>10</v>
      </c>
      <c r="F1384">
        <v>9.6999999999999993</v>
      </c>
      <c r="G1384">
        <v>0.97</v>
      </c>
      <c r="H1384">
        <v>13</v>
      </c>
      <c r="I1384">
        <v>2000</v>
      </c>
      <c r="J1384">
        <v>1500</v>
      </c>
      <c r="K1384" t="s">
        <v>211</v>
      </c>
      <c r="L1384" t="s">
        <v>96</v>
      </c>
      <c r="M1384" t="s">
        <v>42</v>
      </c>
      <c r="N1384" t="b">
        <v>0</v>
      </c>
      <c r="O1384" t="s">
        <v>212</v>
      </c>
    </row>
    <row r="1385" spans="1:15" ht="15" customHeight="1">
      <c r="A1385" t="s">
        <v>1321</v>
      </c>
      <c r="B1385" t="s">
        <v>1979</v>
      </c>
      <c r="C1385" t="s">
        <v>149</v>
      </c>
      <c r="D1385" t="s">
        <v>69</v>
      </c>
      <c r="E1385">
        <v>11</v>
      </c>
      <c r="F1385">
        <v>7.8</v>
      </c>
      <c r="G1385">
        <v>0.71</v>
      </c>
      <c r="H1385">
        <v>34</v>
      </c>
      <c r="I1385">
        <v>3000</v>
      </c>
      <c r="J1385">
        <v>1000</v>
      </c>
      <c r="K1385" t="s">
        <v>433</v>
      </c>
      <c r="L1385" t="s">
        <v>71</v>
      </c>
      <c r="M1385" t="s">
        <v>40</v>
      </c>
      <c r="N1385" t="b">
        <v>0</v>
      </c>
      <c r="O1385" t="s">
        <v>434</v>
      </c>
    </row>
    <row r="1386" spans="1:15" ht="15" customHeight="1">
      <c r="A1386" t="s">
        <v>668</v>
      </c>
      <c r="B1386" t="s">
        <v>1980</v>
      </c>
      <c r="C1386" t="s">
        <v>129</v>
      </c>
      <c r="D1386" t="s">
        <v>130</v>
      </c>
      <c r="E1386">
        <v>9</v>
      </c>
      <c r="F1386">
        <v>6.4</v>
      </c>
      <c r="G1386">
        <v>0.71</v>
      </c>
      <c r="H1386">
        <v>11</v>
      </c>
      <c r="I1386">
        <v>5000</v>
      </c>
      <c r="J1386">
        <v>1000</v>
      </c>
      <c r="K1386" t="s">
        <v>163</v>
      </c>
      <c r="L1386" t="s">
        <v>104</v>
      </c>
      <c r="M1386" t="s">
        <v>44</v>
      </c>
      <c r="N1386" t="b">
        <v>0</v>
      </c>
      <c r="O1386" t="s">
        <v>150</v>
      </c>
    </row>
    <row r="1387" spans="1:15" ht="15" customHeight="1">
      <c r="A1387" t="s">
        <v>666</v>
      </c>
      <c r="B1387" t="s">
        <v>1981</v>
      </c>
      <c r="C1387" t="s">
        <v>81</v>
      </c>
      <c r="D1387" t="s">
        <v>69</v>
      </c>
      <c r="E1387">
        <v>15</v>
      </c>
      <c r="F1387">
        <v>8.1</v>
      </c>
      <c r="G1387">
        <v>0.54</v>
      </c>
      <c r="H1387">
        <v>26</v>
      </c>
      <c r="I1387">
        <v>10000</v>
      </c>
      <c r="J1387">
        <v>3000</v>
      </c>
      <c r="K1387" t="s">
        <v>525</v>
      </c>
      <c r="L1387" t="s">
        <v>77</v>
      </c>
      <c r="M1387" t="s">
        <v>44</v>
      </c>
      <c r="N1387" t="b">
        <v>0</v>
      </c>
      <c r="O1387" t="s">
        <v>526</v>
      </c>
    </row>
    <row r="1388" spans="1:15" ht="15" customHeight="1">
      <c r="A1388" t="s">
        <v>1436</v>
      </c>
      <c r="B1388" t="s">
        <v>1982</v>
      </c>
      <c r="C1388" t="s">
        <v>149</v>
      </c>
      <c r="D1388" t="s">
        <v>69</v>
      </c>
      <c r="E1388">
        <v>12</v>
      </c>
      <c r="F1388">
        <v>7.6</v>
      </c>
      <c r="G1388">
        <v>0.63</v>
      </c>
      <c r="H1388">
        <v>28</v>
      </c>
      <c r="I1388">
        <v>3000</v>
      </c>
      <c r="J1388">
        <v>1000</v>
      </c>
      <c r="K1388" t="s">
        <v>176</v>
      </c>
      <c r="L1388" t="s">
        <v>91</v>
      </c>
      <c r="M1388" t="s">
        <v>48</v>
      </c>
      <c r="N1388" t="b">
        <v>1</v>
      </c>
      <c r="O1388" t="s">
        <v>177</v>
      </c>
    </row>
    <row r="1389" spans="1:15" ht="15" customHeight="1">
      <c r="A1389" t="s">
        <v>641</v>
      </c>
      <c r="B1389" t="s">
        <v>1983</v>
      </c>
      <c r="C1389" t="s">
        <v>75</v>
      </c>
      <c r="D1389" t="s">
        <v>69</v>
      </c>
      <c r="E1389">
        <v>8</v>
      </c>
      <c r="F1389">
        <v>6.1</v>
      </c>
      <c r="G1389">
        <v>0.76</v>
      </c>
      <c r="H1389">
        <v>24</v>
      </c>
      <c r="I1389">
        <v>2000</v>
      </c>
      <c r="J1389">
        <v>1500</v>
      </c>
      <c r="K1389" t="s">
        <v>361</v>
      </c>
      <c r="L1389" t="s">
        <v>77</v>
      </c>
      <c r="M1389" t="s">
        <v>45</v>
      </c>
      <c r="N1389" t="b">
        <v>0</v>
      </c>
      <c r="O1389" t="s">
        <v>362</v>
      </c>
    </row>
    <row r="1390" spans="1:15" ht="15" customHeight="1">
      <c r="A1390" t="s">
        <v>1500</v>
      </c>
      <c r="B1390" t="s">
        <v>1984</v>
      </c>
      <c r="C1390" t="s">
        <v>149</v>
      </c>
      <c r="D1390" t="s">
        <v>69</v>
      </c>
      <c r="E1390">
        <v>9</v>
      </c>
      <c r="F1390">
        <v>7.9</v>
      </c>
      <c r="G1390">
        <v>0.88</v>
      </c>
      <c r="H1390">
        <v>29</v>
      </c>
      <c r="I1390">
        <v>3000</v>
      </c>
      <c r="J1390">
        <v>1000</v>
      </c>
      <c r="K1390" t="s">
        <v>303</v>
      </c>
      <c r="L1390" t="s">
        <v>117</v>
      </c>
      <c r="M1390" t="s">
        <v>51</v>
      </c>
      <c r="N1390" t="b">
        <v>1</v>
      </c>
      <c r="O1390" t="s">
        <v>323</v>
      </c>
    </row>
    <row r="1391" spans="1:15" ht="15" customHeight="1">
      <c r="A1391" t="s">
        <v>946</v>
      </c>
      <c r="B1391" t="s">
        <v>1985</v>
      </c>
      <c r="C1391" t="s">
        <v>75</v>
      </c>
      <c r="D1391" t="s">
        <v>69</v>
      </c>
      <c r="E1391">
        <v>18</v>
      </c>
      <c r="F1391">
        <v>10.8</v>
      </c>
      <c r="G1391">
        <v>0.6</v>
      </c>
      <c r="H1391">
        <v>18</v>
      </c>
      <c r="I1391">
        <v>2000</v>
      </c>
      <c r="J1391">
        <v>1500</v>
      </c>
      <c r="K1391" t="s">
        <v>225</v>
      </c>
      <c r="L1391" t="s">
        <v>100</v>
      </c>
      <c r="M1391" t="s">
        <v>51</v>
      </c>
      <c r="N1391" t="b">
        <v>0</v>
      </c>
      <c r="O1391" t="s">
        <v>226</v>
      </c>
    </row>
    <row r="1392" spans="1:15" ht="15" customHeight="1">
      <c r="A1392" t="s">
        <v>209</v>
      </c>
      <c r="B1392" t="s">
        <v>1986</v>
      </c>
      <c r="C1392" t="s">
        <v>68</v>
      </c>
      <c r="D1392" t="s">
        <v>69</v>
      </c>
      <c r="E1392">
        <v>15</v>
      </c>
      <c r="F1392">
        <v>3</v>
      </c>
      <c r="G1392">
        <v>0.2</v>
      </c>
      <c r="H1392">
        <v>4</v>
      </c>
      <c r="I1392">
        <v>30000</v>
      </c>
      <c r="J1392">
        <v>5000</v>
      </c>
      <c r="K1392" t="s">
        <v>95</v>
      </c>
      <c r="L1392" t="s">
        <v>104</v>
      </c>
      <c r="M1392" t="s">
        <v>49</v>
      </c>
      <c r="N1392" t="b">
        <v>0</v>
      </c>
      <c r="O1392" t="s">
        <v>97</v>
      </c>
    </row>
    <row r="1393" spans="1:15" ht="15" customHeight="1">
      <c r="A1393" t="s">
        <v>866</v>
      </c>
      <c r="B1393" t="s">
        <v>1987</v>
      </c>
      <c r="C1393" t="s">
        <v>129</v>
      </c>
      <c r="D1393" t="s">
        <v>130</v>
      </c>
      <c r="E1393">
        <v>14</v>
      </c>
      <c r="F1393">
        <v>3.4</v>
      </c>
      <c r="G1393">
        <v>0.24</v>
      </c>
      <c r="H1393">
        <v>29</v>
      </c>
      <c r="I1393">
        <v>5000</v>
      </c>
      <c r="J1393">
        <v>1000</v>
      </c>
      <c r="K1393" t="s">
        <v>113</v>
      </c>
      <c r="L1393" t="s">
        <v>104</v>
      </c>
      <c r="M1393" t="s">
        <v>40</v>
      </c>
      <c r="N1393" t="b">
        <v>0</v>
      </c>
      <c r="O1393" t="s">
        <v>146</v>
      </c>
    </row>
    <row r="1394" spans="1:15" ht="15" customHeight="1">
      <c r="A1394" t="s">
        <v>281</v>
      </c>
      <c r="B1394" t="s">
        <v>1988</v>
      </c>
      <c r="C1394" t="s">
        <v>81</v>
      </c>
      <c r="D1394" t="s">
        <v>69</v>
      </c>
      <c r="E1394">
        <v>20</v>
      </c>
      <c r="F1394">
        <v>6.4</v>
      </c>
      <c r="G1394">
        <v>0.32</v>
      </c>
      <c r="H1394">
        <v>9</v>
      </c>
      <c r="I1394">
        <v>10000</v>
      </c>
      <c r="J1394">
        <v>3000</v>
      </c>
      <c r="K1394" t="s">
        <v>108</v>
      </c>
      <c r="L1394" t="s">
        <v>77</v>
      </c>
      <c r="M1394" t="s">
        <v>51</v>
      </c>
      <c r="N1394" t="b">
        <v>0</v>
      </c>
      <c r="O1394" t="s">
        <v>303</v>
      </c>
    </row>
    <row r="1395" spans="1:15" ht="15" customHeight="1">
      <c r="A1395" t="s">
        <v>88</v>
      </c>
      <c r="B1395" t="s">
        <v>1989</v>
      </c>
      <c r="C1395" t="s">
        <v>75</v>
      </c>
      <c r="D1395" t="s">
        <v>69</v>
      </c>
      <c r="E1395">
        <v>20</v>
      </c>
      <c r="F1395">
        <v>7.9</v>
      </c>
      <c r="G1395">
        <v>0.4</v>
      </c>
      <c r="H1395">
        <v>19</v>
      </c>
      <c r="I1395">
        <v>2000</v>
      </c>
      <c r="J1395">
        <v>1500</v>
      </c>
      <c r="K1395" t="s">
        <v>408</v>
      </c>
      <c r="L1395" t="s">
        <v>91</v>
      </c>
      <c r="M1395" t="s">
        <v>51</v>
      </c>
      <c r="N1395" t="b">
        <v>1</v>
      </c>
      <c r="O1395" t="s">
        <v>409</v>
      </c>
    </row>
    <row r="1396" spans="1:15" ht="15" customHeight="1">
      <c r="A1396" t="s">
        <v>534</v>
      </c>
      <c r="B1396" t="s">
        <v>1990</v>
      </c>
      <c r="C1396" t="s">
        <v>129</v>
      </c>
      <c r="D1396" t="s">
        <v>130</v>
      </c>
      <c r="E1396">
        <v>13</v>
      </c>
      <c r="F1396">
        <v>3.8</v>
      </c>
      <c r="G1396">
        <v>0.28999999999999998</v>
      </c>
      <c r="H1396">
        <v>16</v>
      </c>
      <c r="I1396">
        <v>5000</v>
      </c>
      <c r="J1396">
        <v>1000</v>
      </c>
      <c r="K1396" t="s">
        <v>357</v>
      </c>
      <c r="L1396" t="s">
        <v>71</v>
      </c>
      <c r="M1396" t="s">
        <v>51</v>
      </c>
      <c r="N1396" t="b">
        <v>0</v>
      </c>
      <c r="O1396" t="s">
        <v>456</v>
      </c>
    </row>
    <row r="1397" spans="1:15" ht="15" customHeight="1">
      <c r="A1397" t="s">
        <v>178</v>
      </c>
      <c r="B1397" t="s">
        <v>1991</v>
      </c>
      <c r="C1397" t="s">
        <v>129</v>
      </c>
      <c r="D1397" t="s">
        <v>130</v>
      </c>
      <c r="E1397">
        <v>9</v>
      </c>
      <c r="F1397">
        <v>3.7</v>
      </c>
      <c r="G1397">
        <v>0.41</v>
      </c>
      <c r="H1397">
        <v>20</v>
      </c>
      <c r="I1397">
        <v>5000</v>
      </c>
      <c r="J1397">
        <v>1000</v>
      </c>
      <c r="K1397" t="s">
        <v>103</v>
      </c>
      <c r="L1397" t="s">
        <v>91</v>
      </c>
      <c r="M1397" t="s">
        <v>47</v>
      </c>
      <c r="N1397" t="b">
        <v>1</v>
      </c>
      <c r="O1397" t="s">
        <v>169</v>
      </c>
    </row>
    <row r="1398" spans="1:15" ht="15" customHeight="1">
      <c r="A1398" t="s">
        <v>421</v>
      </c>
      <c r="B1398" t="s">
        <v>1992</v>
      </c>
      <c r="C1398" t="s">
        <v>68</v>
      </c>
      <c r="D1398" t="s">
        <v>69</v>
      </c>
      <c r="E1398">
        <v>15</v>
      </c>
      <c r="F1398">
        <v>3</v>
      </c>
      <c r="G1398">
        <v>0.2</v>
      </c>
      <c r="H1398">
        <v>5</v>
      </c>
      <c r="I1398">
        <v>30000</v>
      </c>
      <c r="J1398">
        <v>5000</v>
      </c>
      <c r="K1398" t="s">
        <v>112</v>
      </c>
      <c r="L1398" t="s">
        <v>71</v>
      </c>
      <c r="M1398" t="s">
        <v>47</v>
      </c>
      <c r="N1398" t="b">
        <v>0</v>
      </c>
      <c r="O1398" t="s">
        <v>113</v>
      </c>
    </row>
    <row r="1399" spans="1:15" ht="15" customHeight="1">
      <c r="A1399" t="s">
        <v>884</v>
      </c>
      <c r="B1399" t="s">
        <v>1993</v>
      </c>
      <c r="C1399" t="s">
        <v>75</v>
      </c>
      <c r="D1399" t="s">
        <v>69</v>
      </c>
      <c r="E1399">
        <v>11</v>
      </c>
      <c r="F1399">
        <v>10.199999999999999</v>
      </c>
      <c r="G1399">
        <v>0.93</v>
      </c>
      <c r="H1399">
        <v>18</v>
      </c>
      <c r="I1399">
        <v>2000</v>
      </c>
      <c r="J1399">
        <v>1500</v>
      </c>
      <c r="K1399" t="s">
        <v>225</v>
      </c>
      <c r="L1399" t="s">
        <v>77</v>
      </c>
      <c r="M1399" t="s">
        <v>47</v>
      </c>
      <c r="N1399" t="b">
        <v>0</v>
      </c>
      <c r="O1399" t="s">
        <v>226</v>
      </c>
    </row>
    <row r="1400" spans="1:15" ht="15" customHeight="1">
      <c r="A1400" t="s">
        <v>473</v>
      </c>
      <c r="B1400" t="s">
        <v>1994</v>
      </c>
      <c r="C1400" t="s">
        <v>149</v>
      </c>
      <c r="D1400" t="s">
        <v>69</v>
      </c>
      <c r="E1400">
        <v>11</v>
      </c>
      <c r="F1400">
        <v>8.6999999999999993</v>
      </c>
      <c r="G1400">
        <v>0.79</v>
      </c>
      <c r="H1400">
        <v>15</v>
      </c>
      <c r="I1400">
        <v>3000</v>
      </c>
      <c r="J1400">
        <v>1000</v>
      </c>
      <c r="K1400" t="s">
        <v>438</v>
      </c>
      <c r="L1400" t="s">
        <v>77</v>
      </c>
      <c r="M1400" t="s">
        <v>42</v>
      </c>
      <c r="N1400" t="b">
        <v>0</v>
      </c>
      <c r="O1400" t="s">
        <v>90</v>
      </c>
    </row>
    <row r="1401" spans="1:15" ht="15" customHeight="1">
      <c r="A1401" t="s">
        <v>1044</v>
      </c>
      <c r="B1401" t="s">
        <v>1995</v>
      </c>
      <c r="C1401" t="s">
        <v>129</v>
      </c>
      <c r="D1401" t="s">
        <v>130</v>
      </c>
      <c r="E1401">
        <v>10</v>
      </c>
      <c r="F1401">
        <v>8.8000000000000007</v>
      </c>
      <c r="G1401">
        <v>0.88</v>
      </c>
      <c r="H1401">
        <v>19</v>
      </c>
      <c r="I1401">
        <v>5000</v>
      </c>
      <c r="J1401">
        <v>1000</v>
      </c>
      <c r="K1401" t="s">
        <v>336</v>
      </c>
      <c r="L1401" t="s">
        <v>71</v>
      </c>
      <c r="M1401" t="s">
        <v>48</v>
      </c>
      <c r="N1401" t="b">
        <v>0</v>
      </c>
      <c r="O1401" t="s">
        <v>337</v>
      </c>
    </row>
    <row r="1402" spans="1:15" ht="15" customHeight="1">
      <c r="A1402" t="s">
        <v>1004</v>
      </c>
      <c r="B1402" t="s">
        <v>1996</v>
      </c>
      <c r="C1402" t="s">
        <v>149</v>
      </c>
      <c r="D1402" t="s">
        <v>69</v>
      </c>
      <c r="E1402">
        <v>12</v>
      </c>
      <c r="F1402">
        <v>8.1999999999999993</v>
      </c>
      <c r="G1402">
        <v>0.68</v>
      </c>
      <c r="H1402">
        <v>30</v>
      </c>
      <c r="I1402">
        <v>3000</v>
      </c>
      <c r="J1402">
        <v>1000</v>
      </c>
      <c r="K1402" t="s">
        <v>108</v>
      </c>
      <c r="L1402" t="s">
        <v>77</v>
      </c>
      <c r="M1402" t="s">
        <v>43</v>
      </c>
      <c r="N1402" t="b">
        <v>0</v>
      </c>
      <c r="O1402" t="s">
        <v>166</v>
      </c>
    </row>
    <row r="1403" spans="1:15" ht="15" customHeight="1">
      <c r="A1403" t="s">
        <v>156</v>
      </c>
      <c r="B1403" t="s">
        <v>1997</v>
      </c>
      <c r="C1403" t="s">
        <v>68</v>
      </c>
      <c r="D1403" t="s">
        <v>69</v>
      </c>
      <c r="E1403">
        <v>12</v>
      </c>
      <c r="F1403">
        <v>0.5</v>
      </c>
      <c r="G1403">
        <v>0.04</v>
      </c>
      <c r="H1403">
        <v>4</v>
      </c>
      <c r="I1403">
        <v>30000</v>
      </c>
      <c r="J1403">
        <v>5000</v>
      </c>
      <c r="K1403" t="s">
        <v>95</v>
      </c>
      <c r="L1403" t="s">
        <v>77</v>
      </c>
      <c r="M1403" t="s">
        <v>47</v>
      </c>
      <c r="N1403" t="b">
        <v>0</v>
      </c>
      <c r="O1403" t="s">
        <v>97</v>
      </c>
    </row>
    <row r="1404" spans="1:15" ht="15" customHeight="1">
      <c r="A1404" t="s">
        <v>443</v>
      </c>
      <c r="B1404" t="s">
        <v>1998</v>
      </c>
      <c r="C1404" t="s">
        <v>81</v>
      </c>
      <c r="D1404" t="s">
        <v>69</v>
      </c>
      <c r="E1404">
        <v>19</v>
      </c>
      <c r="F1404">
        <v>17</v>
      </c>
      <c r="G1404">
        <v>0.89</v>
      </c>
      <c r="H1404">
        <v>8</v>
      </c>
      <c r="I1404">
        <v>10000</v>
      </c>
      <c r="J1404">
        <v>3000</v>
      </c>
      <c r="K1404" t="s">
        <v>357</v>
      </c>
      <c r="L1404" t="s">
        <v>91</v>
      </c>
      <c r="M1404" t="s">
        <v>49</v>
      </c>
      <c r="N1404" t="b">
        <v>1</v>
      </c>
      <c r="O1404" t="s">
        <v>295</v>
      </c>
    </row>
    <row r="1405" spans="1:15" ht="15" customHeight="1">
      <c r="A1405" t="s">
        <v>1711</v>
      </c>
      <c r="B1405" t="s">
        <v>1999</v>
      </c>
      <c r="C1405" t="s">
        <v>75</v>
      </c>
      <c r="D1405" t="s">
        <v>69</v>
      </c>
      <c r="E1405">
        <v>18</v>
      </c>
      <c r="F1405">
        <v>17</v>
      </c>
      <c r="G1405">
        <v>0.94</v>
      </c>
      <c r="H1405">
        <v>22</v>
      </c>
      <c r="I1405">
        <v>2000</v>
      </c>
      <c r="J1405">
        <v>1500</v>
      </c>
      <c r="K1405" t="s">
        <v>90</v>
      </c>
      <c r="L1405" t="s">
        <v>96</v>
      </c>
      <c r="M1405" t="s">
        <v>47</v>
      </c>
      <c r="N1405" t="b">
        <v>0</v>
      </c>
      <c r="O1405" t="s">
        <v>92</v>
      </c>
    </row>
    <row r="1406" spans="1:15" ht="15" customHeight="1">
      <c r="A1406" t="s">
        <v>1188</v>
      </c>
      <c r="B1406" t="s">
        <v>2000</v>
      </c>
      <c r="C1406" t="s">
        <v>75</v>
      </c>
      <c r="D1406" t="s">
        <v>69</v>
      </c>
      <c r="E1406">
        <v>14</v>
      </c>
      <c r="F1406">
        <v>4.9000000000000004</v>
      </c>
      <c r="G1406">
        <v>0.35</v>
      </c>
      <c r="H1406">
        <v>17</v>
      </c>
      <c r="I1406">
        <v>2000</v>
      </c>
      <c r="J1406">
        <v>1500</v>
      </c>
      <c r="K1406" t="s">
        <v>862</v>
      </c>
      <c r="L1406" t="s">
        <v>117</v>
      </c>
      <c r="M1406" t="s">
        <v>50</v>
      </c>
      <c r="N1406" t="b">
        <v>1</v>
      </c>
      <c r="O1406" t="s">
        <v>863</v>
      </c>
    </row>
    <row r="1407" spans="1:15" ht="15" customHeight="1">
      <c r="A1407" t="s">
        <v>1188</v>
      </c>
      <c r="B1407" t="s">
        <v>2001</v>
      </c>
      <c r="C1407" t="s">
        <v>75</v>
      </c>
      <c r="D1407" t="s">
        <v>69</v>
      </c>
      <c r="E1407">
        <v>10</v>
      </c>
      <c r="F1407">
        <v>5.5</v>
      </c>
      <c r="G1407">
        <v>0.55000000000000004</v>
      </c>
      <c r="H1407">
        <v>15</v>
      </c>
      <c r="I1407">
        <v>2000</v>
      </c>
      <c r="J1407">
        <v>1500</v>
      </c>
      <c r="K1407" t="s">
        <v>70</v>
      </c>
      <c r="L1407" t="s">
        <v>117</v>
      </c>
      <c r="M1407" t="s">
        <v>50</v>
      </c>
      <c r="N1407" t="b">
        <v>1</v>
      </c>
      <c r="O1407" t="s">
        <v>598</v>
      </c>
    </row>
    <row r="1408" spans="1:15" ht="15" customHeight="1">
      <c r="A1408" t="s">
        <v>961</v>
      </c>
      <c r="B1408" t="s">
        <v>2002</v>
      </c>
      <c r="C1408" t="s">
        <v>129</v>
      </c>
      <c r="D1408" t="s">
        <v>130</v>
      </c>
      <c r="E1408">
        <v>19</v>
      </c>
      <c r="F1408">
        <v>8.6999999999999993</v>
      </c>
      <c r="G1408">
        <v>0.46</v>
      </c>
      <c r="H1408">
        <v>26</v>
      </c>
      <c r="I1408">
        <v>5000</v>
      </c>
      <c r="J1408">
        <v>1000</v>
      </c>
      <c r="K1408" t="s">
        <v>203</v>
      </c>
      <c r="L1408" t="s">
        <v>100</v>
      </c>
      <c r="M1408" t="s">
        <v>42</v>
      </c>
      <c r="N1408" t="b">
        <v>0</v>
      </c>
      <c r="O1408" t="s">
        <v>623</v>
      </c>
    </row>
    <row r="1409" spans="1:15" ht="15" customHeight="1">
      <c r="A1409" t="s">
        <v>554</v>
      </c>
      <c r="B1409" t="s">
        <v>2003</v>
      </c>
      <c r="C1409" t="s">
        <v>149</v>
      </c>
      <c r="D1409" t="s">
        <v>69</v>
      </c>
      <c r="E1409">
        <v>11</v>
      </c>
      <c r="F1409">
        <v>7</v>
      </c>
      <c r="G1409">
        <v>0.64</v>
      </c>
      <c r="H1409">
        <v>29</v>
      </c>
      <c r="I1409">
        <v>3000</v>
      </c>
      <c r="J1409">
        <v>1000</v>
      </c>
      <c r="K1409" t="s">
        <v>303</v>
      </c>
      <c r="L1409" t="s">
        <v>71</v>
      </c>
      <c r="M1409" t="s">
        <v>40</v>
      </c>
      <c r="N1409" t="b">
        <v>0</v>
      </c>
      <c r="O1409" t="s">
        <v>323</v>
      </c>
    </row>
    <row r="1410" spans="1:15" ht="15" customHeight="1">
      <c r="A1410" t="s">
        <v>561</v>
      </c>
      <c r="B1410" t="s">
        <v>2004</v>
      </c>
      <c r="C1410" t="s">
        <v>75</v>
      </c>
      <c r="D1410" t="s">
        <v>69</v>
      </c>
      <c r="E1410">
        <v>9</v>
      </c>
      <c r="F1410">
        <v>5</v>
      </c>
      <c r="G1410">
        <v>0.56000000000000005</v>
      </c>
      <c r="H1410">
        <v>20</v>
      </c>
      <c r="I1410">
        <v>2000</v>
      </c>
      <c r="J1410">
        <v>1500</v>
      </c>
      <c r="K1410" t="s">
        <v>76</v>
      </c>
      <c r="L1410" t="s">
        <v>71</v>
      </c>
      <c r="M1410" t="s">
        <v>50</v>
      </c>
      <c r="N1410" t="b">
        <v>0</v>
      </c>
      <c r="O1410" t="s">
        <v>78</v>
      </c>
    </row>
    <row r="1411" spans="1:15" ht="15" customHeight="1">
      <c r="A1411" t="s">
        <v>152</v>
      </c>
      <c r="B1411" t="s">
        <v>2005</v>
      </c>
      <c r="C1411" t="s">
        <v>68</v>
      </c>
      <c r="D1411" t="s">
        <v>69</v>
      </c>
      <c r="E1411">
        <v>12</v>
      </c>
      <c r="F1411">
        <v>2</v>
      </c>
      <c r="G1411">
        <v>0.17</v>
      </c>
      <c r="H1411">
        <v>3</v>
      </c>
      <c r="I1411">
        <v>30000</v>
      </c>
      <c r="J1411">
        <v>5000</v>
      </c>
      <c r="K1411" t="s">
        <v>108</v>
      </c>
      <c r="L1411" t="s">
        <v>71</v>
      </c>
      <c r="M1411" t="s">
        <v>48</v>
      </c>
      <c r="N1411" t="b">
        <v>0</v>
      </c>
      <c r="O1411" t="s">
        <v>109</v>
      </c>
    </row>
    <row r="1412" spans="1:15" ht="15" customHeight="1">
      <c r="A1412" t="s">
        <v>1168</v>
      </c>
      <c r="B1412" t="s">
        <v>2006</v>
      </c>
      <c r="C1412" t="s">
        <v>129</v>
      </c>
      <c r="D1412" t="s">
        <v>130</v>
      </c>
      <c r="E1412">
        <v>13</v>
      </c>
      <c r="F1412">
        <v>9.3000000000000007</v>
      </c>
      <c r="G1412">
        <v>0.72</v>
      </c>
      <c r="H1412">
        <v>17</v>
      </c>
      <c r="I1412">
        <v>5000</v>
      </c>
      <c r="J1412">
        <v>1000</v>
      </c>
      <c r="K1412" t="s">
        <v>109</v>
      </c>
      <c r="L1412" t="s">
        <v>91</v>
      </c>
      <c r="M1412" t="s">
        <v>46</v>
      </c>
      <c r="N1412" t="b">
        <v>1</v>
      </c>
      <c r="O1412" t="s">
        <v>176</v>
      </c>
    </row>
    <row r="1413" spans="1:15" ht="15" customHeight="1">
      <c r="A1413" t="s">
        <v>756</v>
      </c>
      <c r="B1413" t="s">
        <v>2007</v>
      </c>
      <c r="C1413" t="s">
        <v>68</v>
      </c>
      <c r="D1413" t="s">
        <v>69</v>
      </c>
      <c r="E1413">
        <v>10</v>
      </c>
      <c r="F1413">
        <v>3.5</v>
      </c>
      <c r="G1413">
        <v>0.35</v>
      </c>
      <c r="H1413">
        <v>5</v>
      </c>
      <c r="I1413">
        <v>30000</v>
      </c>
      <c r="J1413">
        <v>5000</v>
      </c>
      <c r="K1413" t="s">
        <v>112</v>
      </c>
      <c r="L1413" t="s">
        <v>117</v>
      </c>
      <c r="M1413" t="s">
        <v>41</v>
      </c>
      <c r="N1413" t="b">
        <v>1</v>
      </c>
      <c r="O1413" t="s">
        <v>113</v>
      </c>
    </row>
    <row r="1414" spans="1:15" ht="15" customHeight="1">
      <c r="A1414" t="s">
        <v>277</v>
      </c>
      <c r="B1414" t="s">
        <v>2008</v>
      </c>
      <c r="C1414" t="s">
        <v>149</v>
      </c>
      <c r="D1414" t="s">
        <v>69</v>
      </c>
      <c r="E1414">
        <v>12</v>
      </c>
      <c r="F1414">
        <v>9.3000000000000007</v>
      </c>
      <c r="G1414">
        <v>0.78</v>
      </c>
      <c r="H1414">
        <v>32</v>
      </c>
      <c r="I1414">
        <v>3000</v>
      </c>
      <c r="J1414">
        <v>1000</v>
      </c>
      <c r="K1414" t="s">
        <v>576</v>
      </c>
      <c r="L1414" t="s">
        <v>104</v>
      </c>
      <c r="M1414" t="s">
        <v>43</v>
      </c>
      <c r="N1414" t="b">
        <v>0</v>
      </c>
      <c r="O1414" t="s">
        <v>336</v>
      </c>
    </row>
    <row r="1415" spans="1:15" ht="15" customHeight="1">
      <c r="A1415" t="s">
        <v>1224</v>
      </c>
      <c r="B1415" t="s">
        <v>2009</v>
      </c>
      <c r="C1415" t="s">
        <v>149</v>
      </c>
      <c r="D1415" t="s">
        <v>69</v>
      </c>
      <c r="E1415">
        <v>12</v>
      </c>
      <c r="F1415">
        <v>10.1</v>
      </c>
      <c r="G1415">
        <v>0.84</v>
      </c>
      <c r="H1415">
        <v>27</v>
      </c>
      <c r="I1415">
        <v>3000</v>
      </c>
      <c r="J1415">
        <v>1000</v>
      </c>
      <c r="K1415" t="s">
        <v>845</v>
      </c>
      <c r="L1415" t="s">
        <v>100</v>
      </c>
      <c r="M1415" t="s">
        <v>49</v>
      </c>
      <c r="N1415" t="b">
        <v>0</v>
      </c>
      <c r="O1415" t="s">
        <v>357</v>
      </c>
    </row>
    <row r="1416" spans="1:15" ht="15" customHeight="1">
      <c r="A1416" t="s">
        <v>227</v>
      </c>
      <c r="B1416" t="s">
        <v>2010</v>
      </c>
      <c r="C1416" t="s">
        <v>149</v>
      </c>
      <c r="D1416" t="s">
        <v>69</v>
      </c>
      <c r="E1416">
        <v>8</v>
      </c>
      <c r="F1416">
        <v>7.5</v>
      </c>
      <c r="G1416">
        <v>0.94</v>
      </c>
      <c r="H1416">
        <v>23</v>
      </c>
      <c r="I1416">
        <v>3000</v>
      </c>
      <c r="J1416">
        <v>1000</v>
      </c>
      <c r="K1416" t="s">
        <v>229</v>
      </c>
      <c r="L1416" t="s">
        <v>77</v>
      </c>
      <c r="M1416" t="s">
        <v>41</v>
      </c>
      <c r="N1416" t="b">
        <v>0</v>
      </c>
      <c r="O1416" t="s">
        <v>249</v>
      </c>
    </row>
    <row r="1417" spans="1:15" ht="15" customHeight="1">
      <c r="A1417" t="s">
        <v>668</v>
      </c>
      <c r="B1417" t="s">
        <v>2011</v>
      </c>
      <c r="C1417" t="s">
        <v>75</v>
      </c>
      <c r="D1417" t="s">
        <v>69</v>
      </c>
      <c r="E1417">
        <v>20</v>
      </c>
      <c r="F1417">
        <v>19.7</v>
      </c>
      <c r="G1417">
        <v>0.98</v>
      </c>
      <c r="H1417">
        <v>22</v>
      </c>
      <c r="I1417">
        <v>2000</v>
      </c>
      <c r="J1417">
        <v>1500</v>
      </c>
      <c r="K1417" t="s">
        <v>90</v>
      </c>
      <c r="L1417" t="s">
        <v>104</v>
      </c>
      <c r="M1417" t="s">
        <v>44</v>
      </c>
      <c r="N1417" t="b">
        <v>0</v>
      </c>
      <c r="O1417" t="s">
        <v>92</v>
      </c>
    </row>
    <row r="1418" spans="1:15" ht="15" customHeight="1">
      <c r="A1418" t="s">
        <v>542</v>
      </c>
      <c r="B1418" t="s">
        <v>2012</v>
      </c>
      <c r="C1418" t="s">
        <v>129</v>
      </c>
      <c r="D1418" t="s">
        <v>130</v>
      </c>
      <c r="E1418">
        <v>8</v>
      </c>
      <c r="F1418">
        <v>4.3</v>
      </c>
      <c r="G1418">
        <v>0.54</v>
      </c>
      <c r="H1418">
        <v>19</v>
      </c>
      <c r="I1418">
        <v>5000</v>
      </c>
      <c r="J1418">
        <v>1000</v>
      </c>
      <c r="K1418" t="s">
        <v>336</v>
      </c>
      <c r="L1418" t="s">
        <v>77</v>
      </c>
      <c r="M1418" t="s">
        <v>44</v>
      </c>
      <c r="N1418" t="b">
        <v>0</v>
      </c>
      <c r="O1418" t="s">
        <v>337</v>
      </c>
    </row>
    <row r="1419" spans="1:15" ht="15" customHeight="1">
      <c r="A1419" t="s">
        <v>522</v>
      </c>
      <c r="B1419" t="s">
        <v>2013</v>
      </c>
      <c r="C1419" t="s">
        <v>81</v>
      </c>
      <c r="D1419" t="s">
        <v>69</v>
      </c>
      <c r="E1419">
        <v>8</v>
      </c>
      <c r="F1419">
        <v>6.7</v>
      </c>
      <c r="G1419">
        <v>0.84</v>
      </c>
      <c r="H1419">
        <v>30</v>
      </c>
      <c r="I1419">
        <v>10000</v>
      </c>
      <c r="J1419">
        <v>3000</v>
      </c>
      <c r="K1419" t="s">
        <v>185</v>
      </c>
      <c r="L1419" t="s">
        <v>96</v>
      </c>
      <c r="M1419" t="s">
        <v>48</v>
      </c>
      <c r="N1419" t="b">
        <v>0</v>
      </c>
      <c r="O1419" t="s">
        <v>186</v>
      </c>
    </row>
    <row r="1420" spans="1:15" ht="15" customHeight="1">
      <c r="A1420" t="s">
        <v>568</v>
      </c>
      <c r="B1420" t="s">
        <v>2014</v>
      </c>
      <c r="C1420" t="s">
        <v>75</v>
      </c>
      <c r="D1420" t="s">
        <v>69</v>
      </c>
      <c r="E1420">
        <v>19</v>
      </c>
      <c r="F1420">
        <v>8.6999999999999993</v>
      </c>
      <c r="G1420">
        <v>0.46</v>
      </c>
      <c r="H1420">
        <v>28</v>
      </c>
      <c r="I1420">
        <v>2000</v>
      </c>
      <c r="J1420">
        <v>1500</v>
      </c>
      <c r="K1420" t="s">
        <v>262</v>
      </c>
      <c r="L1420" t="s">
        <v>77</v>
      </c>
      <c r="M1420" t="s">
        <v>41</v>
      </c>
      <c r="N1420" t="b">
        <v>0</v>
      </c>
      <c r="O1420" t="s">
        <v>289</v>
      </c>
    </row>
    <row r="1421" spans="1:15" ht="15" customHeight="1">
      <c r="A1421" t="s">
        <v>778</v>
      </c>
      <c r="B1421" t="s">
        <v>2015</v>
      </c>
      <c r="C1421" t="s">
        <v>68</v>
      </c>
      <c r="D1421" t="s">
        <v>69</v>
      </c>
      <c r="E1421">
        <v>15</v>
      </c>
      <c r="F1421">
        <v>3.2</v>
      </c>
      <c r="G1421">
        <v>0.21</v>
      </c>
      <c r="H1421">
        <v>4</v>
      </c>
      <c r="I1421">
        <v>30000</v>
      </c>
      <c r="J1421">
        <v>5000</v>
      </c>
      <c r="K1421" t="s">
        <v>95</v>
      </c>
      <c r="L1421" t="s">
        <v>91</v>
      </c>
      <c r="M1421" t="s">
        <v>50</v>
      </c>
      <c r="N1421" t="b">
        <v>1</v>
      </c>
      <c r="O1421" t="s">
        <v>97</v>
      </c>
    </row>
    <row r="1422" spans="1:15" ht="15" customHeight="1">
      <c r="A1422" t="s">
        <v>580</v>
      </c>
      <c r="B1422" t="s">
        <v>2016</v>
      </c>
      <c r="C1422" t="s">
        <v>81</v>
      </c>
      <c r="D1422" t="s">
        <v>69</v>
      </c>
      <c r="E1422">
        <v>11</v>
      </c>
      <c r="F1422">
        <v>7.6</v>
      </c>
      <c r="G1422">
        <v>0.69</v>
      </c>
      <c r="H1422">
        <v>8</v>
      </c>
      <c r="I1422">
        <v>10000</v>
      </c>
      <c r="J1422">
        <v>3000</v>
      </c>
      <c r="K1422" t="s">
        <v>357</v>
      </c>
      <c r="L1422" t="s">
        <v>96</v>
      </c>
      <c r="M1422" t="s">
        <v>43</v>
      </c>
      <c r="N1422" t="b">
        <v>0</v>
      </c>
      <c r="O1422" t="s">
        <v>295</v>
      </c>
    </row>
    <row r="1423" spans="1:15" ht="15" customHeight="1">
      <c r="A1423" t="s">
        <v>218</v>
      </c>
      <c r="B1423" t="s">
        <v>2017</v>
      </c>
      <c r="C1423" t="s">
        <v>149</v>
      </c>
      <c r="D1423" t="s">
        <v>69</v>
      </c>
      <c r="E1423">
        <v>12</v>
      </c>
      <c r="F1423">
        <v>7.9</v>
      </c>
      <c r="G1423">
        <v>0.66</v>
      </c>
      <c r="H1423">
        <v>34</v>
      </c>
      <c r="I1423">
        <v>3000</v>
      </c>
      <c r="J1423">
        <v>1000</v>
      </c>
      <c r="K1423" t="s">
        <v>433</v>
      </c>
      <c r="L1423" t="s">
        <v>77</v>
      </c>
      <c r="M1423" t="s">
        <v>45</v>
      </c>
      <c r="N1423" t="b">
        <v>0</v>
      </c>
      <c r="O1423" t="s">
        <v>434</v>
      </c>
    </row>
    <row r="1424" spans="1:15" ht="15" customHeight="1">
      <c r="A1424" t="s">
        <v>632</v>
      </c>
      <c r="B1424" t="s">
        <v>2018</v>
      </c>
      <c r="C1424" t="s">
        <v>149</v>
      </c>
      <c r="D1424" t="s">
        <v>69</v>
      </c>
      <c r="E1424">
        <v>8</v>
      </c>
      <c r="F1424">
        <v>7.7</v>
      </c>
      <c r="G1424">
        <v>0.96</v>
      </c>
      <c r="H1424">
        <v>30</v>
      </c>
      <c r="I1424">
        <v>3000</v>
      </c>
      <c r="J1424">
        <v>1000</v>
      </c>
      <c r="K1424" t="s">
        <v>108</v>
      </c>
      <c r="L1424" t="s">
        <v>117</v>
      </c>
      <c r="M1424" t="s">
        <v>41</v>
      </c>
      <c r="N1424" t="b">
        <v>1</v>
      </c>
      <c r="O1424" t="s">
        <v>166</v>
      </c>
    </row>
    <row r="1425" spans="1:15" ht="15" customHeight="1">
      <c r="A1425" t="s">
        <v>230</v>
      </c>
      <c r="B1425" t="s">
        <v>2019</v>
      </c>
      <c r="C1425" t="s">
        <v>75</v>
      </c>
      <c r="D1425" t="s">
        <v>69</v>
      </c>
      <c r="E1425">
        <v>11</v>
      </c>
      <c r="F1425">
        <v>4.0999999999999996</v>
      </c>
      <c r="G1425">
        <v>0.37</v>
      </c>
      <c r="H1425">
        <v>28</v>
      </c>
      <c r="I1425">
        <v>2000</v>
      </c>
      <c r="J1425">
        <v>1500</v>
      </c>
      <c r="K1425" t="s">
        <v>262</v>
      </c>
      <c r="L1425" t="s">
        <v>91</v>
      </c>
      <c r="M1425" t="s">
        <v>40</v>
      </c>
      <c r="N1425" t="b">
        <v>1</v>
      </c>
      <c r="O1425" t="s">
        <v>289</v>
      </c>
    </row>
    <row r="1426" spans="1:15" ht="15" customHeight="1">
      <c r="A1426" t="s">
        <v>1371</v>
      </c>
      <c r="B1426" t="s">
        <v>2020</v>
      </c>
      <c r="C1426" t="s">
        <v>149</v>
      </c>
      <c r="D1426" t="s">
        <v>69</v>
      </c>
      <c r="E1426">
        <v>11</v>
      </c>
      <c r="F1426">
        <v>11</v>
      </c>
      <c r="G1426">
        <v>1</v>
      </c>
      <c r="H1426">
        <v>17</v>
      </c>
      <c r="I1426">
        <v>3000</v>
      </c>
      <c r="J1426">
        <v>1000</v>
      </c>
      <c r="K1426" t="s">
        <v>634</v>
      </c>
      <c r="L1426" t="s">
        <v>104</v>
      </c>
      <c r="M1426" t="s">
        <v>43</v>
      </c>
      <c r="N1426" t="b">
        <v>0</v>
      </c>
      <c r="O1426" t="s">
        <v>158</v>
      </c>
    </row>
    <row r="1427" spans="1:15" ht="15" customHeight="1">
      <c r="A1427" t="s">
        <v>507</v>
      </c>
      <c r="B1427" t="s">
        <v>2021</v>
      </c>
      <c r="C1427" t="s">
        <v>149</v>
      </c>
      <c r="D1427" t="s">
        <v>69</v>
      </c>
      <c r="E1427">
        <v>9</v>
      </c>
      <c r="F1427">
        <v>6.3</v>
      </c>
      <c r="G1427">
        <v>0.7</v>
      </c>
      <c r="H1427">
        <v>30</v>
      </c>
      <c r="I1427">
        <v>3000</v>
      </c>
      <c r="J1427">
        <v>1000</v>
      </c>
      <c r="K1427" t="s">
        <v>108</v>
      </c>
      <c r="L1427" t="s">
        <v>104</v>
      </c>
      <c r="M1427" t="s">
        <v>40</v>
      </c>
      <c r="N1427" t="b">
        <v>0</v>
      </c>
      <c r="O1427" t="s">
        <v>166</v>
      </c>
    </row>
    <row r="1428" spans="1:15" ht="15" customHeight="1">
      <c r="A1428" t="s">
        <v>505</v>
      </c>
      <c r="B1428" t="s">
        <v>2022</v>
      </c>
      <c r="C1428" t="s">
        <v>81</v>
      </c>
      <c r="D1428" t="s">
        <v>69</v>
      </c>
      <c r="E1428">
        <v>14</v>
      </c>
      <c r="F1428">
        <v>6.8</v>
      </c>
      <c r="G1428">
        <v>0.49</v>
      </c>
      <c r="H1428">
        <v>7</v>
      </c>
      <c r="I1428">
        <v>10000</v>
      </c>
      <c r="J1428">
        <v>3000</v>
      </c>
      <c r="K1428" t="s">
        <v>82</v>
      </c>
      <c r="L1428" t="s">
        <v>100</v>
      </c>
      <c r="M1428" t="s">
        <v>51</v>
      </c>
      <c r="N1428" t="b">
        <v>0</v>
      </c>
      <c r="O1428" t="s">
        <v>83</v>
      </c>
    </row>
    <row r="1429" spans="1:15" ht="15" customHeight="1">
      <c r="A1429" t="s">
        <v>1365</v>
      </c>
      <c r="B1429" t="s">
        <v>2023</v>
      </c>
      <c r="C1429" t="s">
        <v>149</v>
      </c>
      <c r="D1429" t="s">
        <v>69</v>
      </c>
      <c r="E1429">
        <v>9</v>
      </c>
      <c r="F1429">
        <v>7</v>
      </c>
      <c r="G1429">
        <v>0.78</v>
      </c>
      <c r="H1429">
        <v>16</v>
      </c>
      <c r="I1429">
        <v>3000</v>
      </c>
      <c r="J1429">
        <v>1000</v>
      </c>
      <c r="K1429" t="s">
        <v>361</v>
      </c>
      <c r="L1429" t="s">
        <v>77</v>
      </c>
      <c r="M1429" t="s">
        <v>43</v>
      </c>
      <c r="N1429" t="b">
        <v>0</v>
      </c>
      <c r="O1429" t="s">
        <v>870</v>
      </c>
    </row>
    <row r="1430" spans="1:15" ht="15" customHeight="1">
      <c r="A1430" t="s">
        <v>156</v>
      </c>
      <c r="B1430" t="s">
        <v>2024</v>
      </c>
      <c r="C1430" t="s">
        <v>68</v>
      </c>
      <c r="D1430" t="s">
        <v>69</v>
      </c>
      <c r="E1430">
        <v>13</v>
      </c>
      <c r="F1430">
        <v>3.5</v>
      </c>
      <c r="G1430">
        <v>0.27</v>
      </c>
      <c r="H1430">
        <v>4</v>
      </c>
      <c r="I1430">
        <v>30000</v>
      </c>
      <c r="J1430">
        <v>5000</v>
      </c>
      <c r="K1430" t="s">
        <v>95</v>
      </c>
      <c r="L1430" t="s">
        <v>77</v>
      </c>
      <c r="M1430" t="s">
        <v>47</v>
      </c>
      <c r="N1430" t="b">
        <v>0</v>
      </c>
      <c r="O1430" t="s">
        <v>97</v>
      </c>
    </row>
    <row r="1431" spans="1:15" ht="15" customHeight="1">
      <c r="A1431" t="s">
        <v>1076</v>
      </c>
      <c r="B1431" t="s">
        <v>2025</v>
      </c>
      <c r="C1431" t="s">
        <v>75</v>
      </c>
      <c r="D1431" t="s">
        <v>69</v>
      </c>
      <c r="E1431">
        <v>14</v>
      </c>
      <c r="F1431">
        <v>9.8000000000000007</v>
      </c>
      <c r="G1431">
        <v>0.7</v>
      </c>
      <c r="H1431">
        <v>25</v>
      </c>
      <c r="I1431">
        <v>2000</v>
      </c>
      <c r="J1431">
        <v>1500</v>
      </c>
      <c r="K1431" t="s">
        <v>158</v>
      </c>
      <c r="L1431" t="s">
        <v>91</v>
      </c>
      <c r="M1431" t="s">
        <v>51</v>
      </c>
      <c r="N1431" t="b">
        <v>1</v>
      </c>
      <c r="O1431" t="s">
        <v>400</v>
      </c>
    </row>
    <row r="1432" spans="1:15" ht="15" customHeight="1">
      <c r="A1432" t="s">
        <v>1153</v>
      </c>
      <c r="B1432" t="s">
        <v>2026</v>
      </c>
      <c r="C1432" t="s">
        <v>149</v>
      </c>
      <c r="D1432" t="s">
        <v>69</v>
      </c>
      <c r="E1432">
        <v>9</v>
      </c>
      <c r="F1432">
        <v>8.9</v>
      </c>
      <c r="G1432">
        <v>0.99</v>
      </c>
      <c r="H1432">
        <v>16</v>
      </c>
      <c r="I1432">
        <v>3000</v>
      </c>
      <c r="J1432">
        <v>1000</v>
      </c>
      <c r="K1432" t="s">
        <v>361</v>
      </c>
      <c r="L1432" t="s">
        <v>104</v>
      </c>
      <c r="M1432" t="s">
        <v>40</v>
      </c>
      <c r="N1432" t="b">
        <v>0</v>
      </c>
      <c r="O1432" t="s">
        <v>870</v>
      </c>
    </row>
    <row r="1433" spans="1:15" ht="15" customHeight="1">
      <c r="A1433" t="s">
        <v>546</v>
      </c>
      <c r="B1433" t="s">
        <v>2027</v>
      </c>
      <c r="C1433" t="s">
        <v>68</v>
      </c>
      <c r="D1433" t="s">
        <v>69</v>
      </c>
      <c r="E1433">
        <v>11</v>
      </c>
      <c r="F1433">
        <v>1.4</v>
      </c>
      <c r="G1433">
        <v>0.13</v>
      </c>
      <c r="H1433">
        <v>5</v>
      </c>
      <c r="I1433">
        <v>30000</v>
      </c>
      <c r="J1433">
        <v>5000</v>
      </c>
      <c r="K1433" t="s">
        <v>112</v>
      </c>
      <c r="L1433" t="s">
        <v>100</v>
      </c>
      <c r="M1433" t="s">
        <v>45</v>
      </c>
      <c r="N1433" t="b">
        <v>0</v>
      </c>
      <c r="O1433" t="s">
        <v>113</v>
      </c>
    </row>
    <row r="1434" spans="1:15" ht="15" customHeight="1">
      <c r="A1434" t="s">
        <v>136</v>
      </c>
      <c r="B1434" t="s">
        <v>2028</v>
      </c>
      <c r="C1434" t="s">
        <v>149</v>
      </c>
      <c r="D1434" t="s">
        <v>69</v>
      </c>
      <c r="E1434">
        <v>11</v>
      </c>
      <c r="F1434">
        <v>8.4</v>
      </c>
      <c r="G1434">
        <v>0.76</v>
      </c>
      <c r="H1434">
        <v>40</v>
      </c>
      <c r="I1434">
        <v>3000</v>
      </c>
      <c r="J1434">
        <v>1000</v>
      </c>
      <c r="K1434" t="s">
        <v>95</v>
      </c>
      <c r="L1434" t="s">
        <v>96</v>
      </c>
      <c r="M1434" t="s">
        <v>41</v>
      </c>
      <c r="N1434" t="b">
        <v>0</v>
      </c>
      <c r="O1434" t="s">
        <v>217</v>
      </c>
    </row>
    <row r="1435" spans="1:15" ht="15" customHeight="1">
      <c r="A1435" t="s">
        <v>213</v>
      </c>
      <c r="B1435" t="s">
        <v>2029</v>
      </c>
      <c r="C1435" t="s">
        <v>81</v>
      </c>
      <c r="D1435" t="s">
        <v>69</v>
      </c>
      <c r="E1435">
        <v>12</v>
      </c>
      <c r="F1435">
        <v>6</v>
      </c>
      <c r="G1435">
        <v>0.5</v>
      </c>
      <c r="H1435">
        <v>23</v>
      </c>
      <c r="I1435">
        <v>10000</v>
      </c>
      <c r="J1435">
        <v>3000</v>
      </c>
      <c r="K1435" t="s">
        <v>626</v>
      </c>
      <c r="L1435" t="s">
        <v>71</v>
      </c>
      <c r="M1435" t="s">
        <v>47</v>
      </c>
      <c r="N1435" t="b">
        <v>0</v>
      </c>
      <c r="O1435" t="s">
        <v>627</v>
      </c>
    </row>
    <row r="1436" spans="1:15" ht="15" customHeight="1">
      <c r="A1436" t="s">
        <v>1442</v>
      </c>
      <c r="B1436" t="s">
        <v>2030</v>
      </c>
      <c r="C1436" t="s">
        <v>129</v>
      </c>
      <c r="D1436" t="s">
        <v>130</v>
      </c>
      <c r="E1436">
        <v>19</v>
      </c>
      <c r="F1436">
        <v>4.0999999999999996</v>
      </c>
      <c r="G1436">
        <v>0.22</v>
      </c>
      <c r="H1436">
        <v>19</v>
      </c>
      <c r="I1436">
        <v>5000</v>
      </c>
      <c r="J1436">
        <v>1000</v>
      </c>
      <c r="K1436" t="s">
        <v>336</v>
      </c>
      <c r="L1436" t="s">
        <v>104</v>
      </c>
      <c r="M1436" t="s">
        <v>47</v>
      </c>
      <c r="N1436" t="b">
        <v>0</v>
      </c>
      <c r="O1436" t="s">
        <v>337</v>
      </c>
    </row>
    <row r="1437" spans="1:15" ht="15" customHeight="1">
      <c r="A1437" t="s">
        <v>714</v>
      </c>
      <c r="B1437" t="s">
        <v>2031</v>
      </c>
      <c r="C1437" t="s">
        <v>68</v>
      </c>
      <c r="D1437" t="s">
        <v>69</v>
      </c>
      <c r="E1437">
        <v>9</v>
      </c>
      <c r="F1437">
        <v>1.2</v>
      </c>
      <c r="G1437">
        <v>0.13</v>
      </c>
      <c r="H1437">
        <v>3</v>
      </c>
      <c r="I1437">
        <v>30000</v>
      </c>
      <c r="J1437">
        <v>5000</v>
      </c>
      <c r="K1437" t="s">
        <v>108</v>
      </c>
      <c r="L1437" t="s">
        <v>91</v>
      </c>
      <c r="M1437" t="s">
        <v>44</v>
      </c>
      <c r="N1437" t="b">
        <v>1</v>
      </c>
      <c r="O1437" t="s">
        <v>109</v>
      </c>
    </row>
    <row r="1438" spans="1:15" ht="15" customHeight="1">
      <c r="A1438" t="s">
        <v>445</v>
      </c>
      <c r="B1438" t="s">
        <v>2032</v>
      </c>
      <c r="C1438" t="s">
        <v>75</v>
      </c>
      <c r="D1438" t="s">
        <v>69</v>
      </c>
      <c r="E1438">
        <v>19</v>
      </c>
      <c r="F1438">
        <v>15.2</v>
      </c>
      <c r="G1438">
        <v>0.8</v>
      </c>
      <c r="H1438">
        <v>16</v>
      </c>
      <c r="I1438">
        <v>2000</v>
      </c>
      <c r="J1438">
        <v>1500</v>
      </c>
      <c r="K1438" t="s">
        <v>938</v>
      </c>
      <c r="L1438" t="s">
        <v>117</v>
      </c>
      <c r="M1438" t="s">
        <v>45</v>
      </c>
      <c r="N1438" t="b">
        <v>1</v>
      </c>
      <c r="O1438" t="s">
        <v>939</v>
      </c>
    </row>
    <row r="1439" spans="1:15" ht="15" customHeight="1">
      <c r="A1439" t="s">
        <v>1159</v>
      </c>
      <c r="B1439" t="s">
        <v>2033</v>
      </c>
      <c r="C1439" t="s">
        <v>81</v>
      </c>
      <c r="D1439" t="s">
        <v>69</v>
      </c>
      <c r="E1439">
        <v>10</v>
      </c>
      <c r="F1439">
        <v>9.6999999999999993</v>
      </c>
      <c r="G1439">
        <v>0.97</v>
      </c>
      <c r="H1439">
        <v>25</v>
      </c>
      <c r="I1439">
        <v>10000</v>
      </c>
      <c r="J1439">
        <v>3000</v>
      </c>
      <c r="K1439" t="s">
        <v>138</v>
      </c>
      <c r="L1439" t="s">
        <v>100</v>
      </c>
      <c r="M1439" t="s">
        <v>48</v>
      </c>
      <c r="N1439" t="b">
        <v>0</v>
      </c>
      <c r="O1439" t="s">
        <v>139</v>
      </c>
    </row>
    <row r="1440" spans="1:15" ht="15" customHeight="1">
      <c r="A1440" t="s">
        <v>1211</v>
      </c>
      <c r="B1440" t="s">
        <v>2034</v>
      </c>
      <c r="C1440" t="s">
        <v>129</v>
      </c>
      <c r="D1440" t="s">
        <v>130</v>
      </c>
      <c r="E1440">
        <v>9</v>
      </c>
      <c r="F1440">
        <v>7</v>
      </c>
      <c r="G1440">
        <v>0.78</v>
      </c>
      <c r="H1440">
        <v>18</v>
      </c>
      <c r="I1440">
        <v>5000</v>
      </c>
      <c r="J1440">
        <v>1000</v>
      </c>
      <c r="K1440" t="s">
        <v>108</v>
      </c>
      <c r="L1440" t="s">
        <v>91</v>
      </c>
      <c r="M1440" t="s">
        <v>49</v>
      </c>
      <c r="N1440" t="b">
        <v>1</v>
      </c>
      <c r="O1440" t="s">
        <v>166</v>
      </c>
    </row>
    <row r="1441" spans="1:15" ht="15" customHeight="1">
      <c r="A1441" t="s">
        <v>583</v>
      </c>
      <c r="B1441" t="s">
        <v>2035</v>
      </c>
      <c r="C1441" t="s">
        <v>129</v>
      </c>
      <c r="D1441" t="s">
        <v>130</v>
      </c>
      <c r="E1441">
        <v>18</v>
      </c>
      <c r="F1441">
        <v>13.6</v>
      </c>
      <c r="G1441">
        <v>0.76</v>
      </c>
      <c r="H1441">
        <v>19</v>
      </c>
      <c r="I1441">
        <v>5000</v>
      </c>
      <c r="J1441">
        <v>1000</v>
      </c>
      <c r="K1441" t="s">
        <v>336</v>
      </c>
      <c r="L1441" t="s">
        <v>100</v>
      </c>
      <c r="M1441" t="s">
        <v>40</v>
      </c>
      <c r="N1441" t="b">
        <v>0</v>
      </c>
      <c r="O1441" t="s">
        <v>337</v>
      </c>
    </row>
    <row r="1442" spans="1:15" ht="15" customHeight="1">
      <c r="A1442" t="s">
        <v>2036</v>
      </c>
      <c r="B1442" t="s">
        <v>2037</v>
      </c>
      <c r="C1442" t="s">
        <v>75</v>
      </c>
      <c r="D1442" t="s">
        <v>69</v>
      </c>
      <c r="E1442">
        <v>17</v>
      </c>
      <c r="F1442">
        <v>14.1</v>
      </c>
      <c r="G1442">
        <v>0.83</v>
      </c>
      <c r="H1442">
        <v>27</v>
      </c>
      <c r="I1442">
        <v>2000</v>
      </c>
      <c r="J1442">
        <v>1500</v>
      </c>
      <c r="K1442" t="s">
        <v>150</v>
      </c>
      <c r="L1442" t="s">
        <v>117</v>
      </c>
      <c r="M1442" t="s">
        <v>48</v>
      </c>
      <c r="N1442" t="b">
        <v>1</v>
      </c>
      <c r="O1442" t="s">
        <v>528</v>
      </c>
    </row>
    <row r="1443" spans="1:15" ht="15" customHeight="1">
      <c r="A1443" t="s">
        <v>872</v>
      </c>
      <c r="B1443" t="s">
        <v>2038</v>
      </c>
      <c r="C1443" t="s">
        <v>129</v>
      </c>
      <c r="D1443" t="s">
        <v>130</v>
      </c>
      <c r="E1443">
        <v>10</v>
      </c>
      <c r="F1443">
        <v>6.4</v>
      </c>
      <c r="G1443">
        <v>0.64</v>
      </c>
      <c r="H1443">
        <v>6</v>
      </c>
      <c r="I1443">
        <v>5000</v>
      </c>
      <c r="J1443">
        <v>1000</v>
      </c>
      <c r="K1443" t="s">
        <v>70</v>
      </c>
      <c r="L1443" t="s">
        <v>100</v>
      </c>
      <c r="M1443" t="s">
        <v>43</v>
      </c>
      <c r="N1443" t="b">
        <v>0</v>
      </c>
      <c r="O1443" t="s">
        <v>331</v>
      </c>
    </row>
    <row r="1444" spans="1:15" ht="15" customHeight="1">
      <c r="A1444" t="s">
        <v>1657</v>
      </c>
      <c r="B1444" t="s">
        <v>2039</v>
      </c>
      <c r="C1444" t="s">
        <v>129</v>
      </c>
      <c r="D1444" t="s">
        <v>130</v>
      </c>
      <c r="E1444">
        <v>9</v>
      </c>
      <c r="F1444">
        <v>5.2</v>
      </c>
      <c r="G1444">
        <v>0.57999999999999996</v>
      </c>
      <c r="H1444">
        <v>16</v>
      </c>
      <c r="I1444">
        <v>5000</v>
      </c>
      <c r="J1444">
        <v>1000</v>
      </c>
      <c r="K1444" t="s">
        <v>357</v>
      </c>
      <c r="L1444" t="s">
        <v>91</v>
      </c>
      <c r="M1444" t="s">
        <v>46</v>
      </c>
      <c r="N1444" t="b">
        <v>1</v>
      </c>
      <c r="O1444" t="s">
        <v>456</v>
      </c>
    </row>
    <row r="1445" spans="1:15" ht="15" customHeight="1">
      <c r="A1445" t="s">
        <v>676</v>
      </c>
      <c r="B1445" t="s">
        <v>2040</v>
      </c>
      <c r="C1445" t="s">
        <v>75</v>
      </c>
      <c r="D1445" t="s">
        <v>69</v>
      </c>
      <c r="E1445">
        <v>16</v>
      </c>
      <c r="F1445">
        <v>15</v>
      </c>
      <c r="G1445">
        <v>0.94</v>
      </c>
      <c r="H1445">
        <v>14</v>
      </c>
      <c r="I1445">
        <v>2000</v>
      </c>
      <c r="J1445">
        <v>1500</v>
      </c>
      <c r="K1445" t="s">
        <v>396</v>
      </c>
      <c r="L1445" t="s">
        <v>71</v>
      </c>
      <c r="M1445" t="s">
        <v>49</v>
      </c>
      <c r="N1445" t="b">
        <v>0</v>
      </c>
      <c r="O1445" t="s">
        <v>397</v>
      </c>
    </row>
    <row r="1446" spans="1:15" ht="15" customHeight="1">
      <c r="A1446" t="s">
        <v>1126</v>
      </c>
      <c r="B1446" t="s">
        <v>2041</v>
      </c>
      <c r="C1446" t="s">
        <v>149</v>
      </c>
      <c r="D1446" t="s">
        <v>69</v>
      </c>
      <c r="E1446">
        <v>10</v>
      </c>
      <c r="F1446">
        <v>8.4</v>
      </c>
      <c r="G1446">
        <v>0.84</v>
      </c>
      <c r="H1446">
        <v>18</v>
      </c>
      <c r="I1446">
        <v>3000</v>
      </c>
      <c r="J1446">
        <v>1000</v>
      </c>
      <c r="K1446" t="s">
        <v>150</v>
      </c>
      <c r="L1446" t="s">
        <v>104</v>
      </c>
      <c r="M1446" t="s">
        <v>46</v>
      </c>
      <c r="N1446" t="b">
        <v>0</v>
      </c>
      <c r="O1446" t="s">
        <v>151</v>
      </c>
    </row>
    <row r="1447" spans="1:15" ht="15" customHeight="1">
      <c r="A1447" t="s">
        <v>1417</v>
      </c>
      <c r="B1447" t="s">
        <v>2042</v>
      </c>
      <c r="C1447" t="s">
        <v>75</v>
      </c>
      <c r="D1447" t="s">
        <v>69</v>
      </c>
      <c r="E1447">
        <v>16</v>
      </c>
      <c r="F1447">
        <v>11.8</v>
      </c>
      <c r="G1447">
        <v>0.74</v>
      </c>
      <c r="H1447">
        <v>9</v>
      </c>
      <c r="I1447">
        <v>2000</v>
      </c>
      <c r="J1447">
        <v>1500</v>
      </c>
      <c r="K1447" t="s">
        <v>740</v>
      </c>
      <c r="L1447" t="s">
        <v>91</v>
      </c>
      <c r="M1447" t="s">
        <v>50</v>
      </c>
      <c r="N1447" t="b">
        <v>1</v>
      </c>
      <c r="O1447" t="s">
        <v>741</v>
      </c>
    </row>
    <row r="1448" spans="1:15" ht="15" customHeight="1">
      <c r="A1448" t="s">
        <v>421</v>
      </c>
      <c r="B1448" t="s">
        <v>2043</v>
      </c>
      <c r="C1448" t="s">
        <v>81</v>
      </c>
      <c r="D1448" t="s">
        <v>69</v>
      </c>
      <c r="E1448">
        <v>20</v>
      </c>
      <c r="F1448">
        <v>11.4</v>
      </c>
      <c r="G1448">
        <v>0.56999999999999995</v>
      </c>
      <c r="H1448">
        <v>27</v>
      </c>
      <c r="I1448">
        <v>10000</v>
      </c>
      <c r="J1448">
        <v>3000</v>
      </c>
      <c r="K1448" t="s">
        <v>125</v>
      </c>
      <c r="L1448" t="s">
        <v>71</v>
      </c>
      <c r="M1448" t="s">
        <v>47</v>
      </c>
      <c r="N1448" t="b">
        <v>0</v>
      </c>
      <c r="O1448" t="s">
        <v>126</v>
      </c>
    </row>
    <row r="1449" spans="1:15" ht="15" customHeight="1">
      <c r="A1449" t="s">
        <v>66</v>
      </c>
      <c r="B1449" t="s">
        <v>2044</v>
      </c>
      <c r="C1449" t="s">
        <v>75</v>
      </c>
      <c r="D1449" t="s">
        <v>69</v>
      </c>
      <c r="E1449">
        <v>16</v>
      </c>
      <c r="F1449">
        <v>7</v>
      </c>
      <c r="G1449">
        <v>0.44</v>
      </c>
      <c r="H1449">
        <v>13</v>
      </c>
      <c r="I1449">
        <v>2000</v>
      </c>
      <c r="J1449">
        <v>1500</v>
      </c>
      <c r="K1449" t="s">
        <v>211</v>
      </c>
      <c r="L1449" t="s">
        <v>71</v>
      </c>
      <c r="M1449" t="s">
        <v>51</v>
      </c>
      <c r="N1449" t="b">
        <v>0</v>
      </c>
      <c r="O1449" t="s">
        <v>212</v>
      </c>
    </row>
    <row r="1450" spans="1:15" ht="15" customHeight="1">
      <c r="A1450" t="s">
        <v>464</v>
      </c>
      <c r="B1450" t="s">
        <v>2045</v>
      </c>
      <c r="C1450" t="s">
        <v>149</v>
      </c>
      <c r="D1450" t="s">
        <v>69</v>
      </c>
      <c r="E1450">
        <v>10</v>
      </c>
      <c r="F1450">
        <v>6.8</v>
      </c>
      <c r="G1450">
        <v>0.68</v>
      </c>
      <c r="H1450">
        <v>32</v>
      </c>
      <c r="I1450">
        <v>3000</v>
      </c>
      <c r="J1450">
        <v>1000</v>
      </c>
      <c r="K1450" t="s">
        <v>576</v>
      </c>
      <c r="L1450" t="s">
        <v>100</v>
      </c>
      <c r="M1450" t="s">
        <v>41</v>
      </c>
      <c r="N1450" t="b">
        <v>0</v>
      </c>
      <c r="O1450" t="s">
        <v>336</v>
      </c>
    </row>
    <row r="1451" spans="1:15" ht="15" customHeight="1">
      <c r="A1451" t="s">
        <v>445</v>
      </c>
      <c r="B1451" t="s">
        <v>2046</v>
      </c>
      <c r="C1451" t="s">
        <v>68</v>
      </c>
      <c r="D1451" t="s">
        <v>69</v>
      </c>
      <c r="E1451">
        <v>12</v>
      </c>
      <c r="F1451">
        <v>2.6</v>
      </c>
      <c r="G1451">
        <v>0.22</v>
      </c>
      <c r="H1451">
        <v>2</v>
      </c>
      <c r="I1451">
        <v>30000</v>
      </c>
      <c r="J1451">
        <v>5000</v>
      </c>
      <c r="K1451" t="s">
        <v>162</v>
      </c>
      <c r="L1451" t="s">
        <v>117</v>
      </c>
      <c r="M1451" t="s">
        <v>45</v>
      </c>
      <c r="N1451" t="b">
        <v>1</v>
      </c>
      <c r="O1451" t="s">
        <v>163</v>
      </c>
    </row>
    <row r="1452" spans="1:15" ht="15" customHeight="1">
      <c r="A1452" t="s">
        <v>247</v>
      </c>
      <c r="B1452" t="s">
        <v>2047</v>
      </c>
      <c r="C1452" t="s">
        <v>129</v>
      </c>
      <c r="D1452" t="s">
        <v>130</v>
      </c>
      <c r="E1452">
        <v>11</v>
      </c>
      <c r="F1452">
        <v>9.6</v>
      </c>
      <c r="G1452">
        <v>0.87</v>
      </c>
      <c r="H1452">
        <v>16</v>
      </c>
      <c r="I1452">
        <v>5000</v>
      </c>
      <c r="J1452">
        <v>1000</v>
      </c>
      <c r="K1452" t="s">
        <v>357</v>
      </c>
      <c r="L1452" t="s">
        <v>100</v>
      </c>
      <c r="M1452" t="s">
        <v>45</v>
      </c>
      <c r="N1452" t="b">
        <v>0</v>
      </c>
      <c r="O1452" t="s">
        <v>456</v>
      </c>
    </row>
    <row r="1453" spans="1:15" ht="15" customHeight="1">
      <c r="A1453" t="s">
        <v>468</v>
      </c>
      <c r="B1453" t="s">
        <v>2048</v>
      </c>
      <c r="C1453" t="s">
        <v>129</v>
      </c>
      <c r="D1453" t="s">
        <v>130</v>
      </c>
      <c r="E1453">
        <v>19</v>
      </c>
      <c r="F1453">
        <v>11.9</v>
      </c>
      <c r="G1453">
        <v>0.63</v>
      </c>
      <c r="H1453">
        <v>23</v>
      </c>
      <c r="I1453">
        <v>5000</v>
      </c>
      <c r="J1453">
        <v>1000</v>
      </c>
      <c r="K1453" t="s">
        <v>97</v>
      </c>
      <c r="L1453" t="s">
        <v>117</v>
      </c>
      <c r="M1453" t="s">
        <v>49</v>
      </c>
      <c r="N1453" t="b">
        <v>1</v>
      </c>
      <c r="O1453" t="s">
        <v>220</v>
      </c>
    </row>
    <row r="1454" spans="1:15" ht="15" customHeight="1">
      <c r="A1454" t="s">
        <v>227</v>
      </c>
      <c r="B1454" t="s">
        <v>2049</v>
      </c>
      <c r="C1454" t="s">
        <v>68</v>
      </c>
      <c r="D1454" t="s">
        <v>69</v>
      </c>
      <c r="E1454">
        <v>15</v>
      </c>
      <c r="F1454">
        <v>2.7</v>
      </c>
      <c r="G1454">
        <v>0.18</v>
      </c>
      <c r="H1454">
        <v>3</v>
      </c>
      <c r="I1454">
        <v>30000</v>
      </c>
      <c r="J1454">
        <v>5000</v>
      </c>
      <c r="K1454" t="s">
        <v>108</v>
      </c>
      <c r="L1454" t="s">
        <v>77</v>
      </c>
      <c r="M1454" t="s">
        <v>41</v>
      </c>
      <c r="N1454" t="b">
        <v>0</v>
      </c>
      <c r="O1454" t="s">
        <v>109</v>
      </c>
    </row>
    <row r="1455" spans="1:15" ht="15" customHeight="1">
      <c r="A1455" t="s">
        <v>616</v>
      </c>
      <c r="B1455" t="s">
        <v>2050</v>
      </c>
      <c r="C1455" t="s">
        <v>129</v>
      </c>
      <c r="D1455" t="s">
        <v>130</v>
      </c>
      <c r="E1455">
        <v>16</v>
      </c>
      <c r="F1455">
        <v>13.8</v>
      </c>
      <c r="G1455">
        <v>0.86</v>
      </c>
      <c r="H1455">
        <v>19</v>
      </c>
      <c r="I1455">
        <v>5000</v>
      </c>
      <c r="J1455">
        <v>1000</v>
      </c>
      <c r="K1455" t="s">
        <v>336</v>
      </c>
      <c r="L1455" t="s">
        <v>96</v>
      </c>
      <c r="M1455" t="s">
        <v>42</v>
      </c>
      <c r="N1455" t="b">
        <v>0</v>
      </c>
      <c r="O1455" t="s">
        <v>337</v>
      </c>
    </row>
    <row r="1456" spans="1:15" ht="15" customHeight="1">
      <c r="A1456" t="s">
        <v>193</v>
      </c>
      <c r="B1456" t="s">
        <v>2051</v>
      </c>
      <c r="C1456" t="s">
        <v>149</v>
      </c>
      <c r="D1456" t="s">
        <v>69</v>
      </c>
      <c r="E1456">
        <v>12</v>
      </c>
      <c r="F1456">
        <v>6.2</v>
      </c>
      <c r="G1456">
        <v>0.52</v>
      </c>
      <c r="H1456">
        <v>22</v>
      </c>
      <c r="I1456">
        <v>3000</v>
      </c>
      <c r="J1456">
        <v>1000</v>
      </c>
      <c r="K1456" t="s">
        <v>556</v>
      </c>
      <c r="L1456" t="s">
        <v>117</v>
      </c>
      <c r="M1456" t="s">
        <v>50</v>
      </c>
      <c r="N1456" t="b">
        <v>1</v>
      </c>
      <c r="O1456" t="s">
        <v>313</v>
      </c>
    </row>
    <row r="1457" spans="1:15" ht="15" customHeight="1">
      <c r="A1457" t="s">
        <v>332</v>
      </c>
      <c r="B1457" t="s">
        <v>2052</v>
      </c>
      <c r="C1457" t="s">
        <v>75</v>
      </c>
      <c r="D1457" t="s">
        <v>69</v>
      </c>
      <c r="E1457">
        <v>12</v>
      </c>
      <c r="F1457">
        <v>5.0999999999999996</v>
      </c>
      <c r="G1457">
        <v>0.42</v>
      </c>
      <c r="H1457">
        <v>27</v>
      </c>
      <c r="I1457">
        <v>2000</v>
      </c>
      <c r="J1457">
        <v>1500</v>
      </c>
      <c r="K1457" t="s">
        <v>150</v>
      </c>
      <c r="L1457" t="s">
        <v>96</v>
      </c>
      <c r="M1457" t="s">
        <v>42</v>
      </c>
      <c r="N1457" t="b">
        <v>0</v>
      </c>
      <c r="O1457" t="s">
        <v>528</v>
      </c>
    </row>
    <row r="1458" spans="1:15" ht="15" customHeight="1">
      <c r="A1458" t="s">
        <v>304</v>
      </c>
      <c r="B1458" t="s">
        <v>2053</v>
      </c>
      <c r="C1458" t="s">
        <v>81</v>
      </c>
      <c r="D1458" t="s">
        <v>69</v>
      </c>
      <c r="E1458">
        <v>16</v>
      </c>
      <c r="F1458">
        <v>13.3</v>
      </c>
      <c r="G1458">
        <v>0.83</v>
      </c>
      <c r="H1458">
        <v>30</v>
      </c>
      <c r="I1458">
        <v>10000</v>
      </c>
      <c r="J1458">
        <v>3000</v>
      </c>
      <c r="K1458" t="s">
        <v>185</v>
      </c>
      <c r="L1458" t="s">
        <v>104</v>
      </c>
      <c r="M1458" t="s">
        <v>45</v>
      </c>
      <c r="N1458" t="b">
        <v>0</v>
      </c>
      <c r="O1458" t="s">
        <v>186</v>
      </c>
    </row>
    <row r="1459" spans="1:15" ht="15" customHeight="1">
      <c r="A1459" t="s">
        <v>398</v>
      </c>
      <c r="B1459" t="s">
        <v>2054</v>
      </c>
      <c r="C1459" t="s">
        <v>68</v>
      </c>
      <c r="D1459" t="s">
        <v>69</v>
      </c>
      <c r="E1459">
        <v>15</v>
      </c>
      <c r="F1459">
        <v>1.6</v>
      </c>
      <c r="G1459">
        <v>0.11</v>
      </c>
      <c r="H1459">
        <v>5</v>
      </c>
      <c r="I1459">
        <v>30000</v>
      </c>
      <c r="J1459">
        <v>5000</v>
      </c>
      <c r="K1459" t="s">
        <v>112</v>
      </c>
      <c r="L1459" t="s">
        <v>117</v>
      </c>
      <c r="M1459" t="s">
        <v>43</v>
      </c>
      <c r="N1459" t="b">
        <v>1</v>
      </c>
      <c r="O1459" t="s">
        <v>113</v>
      </c>
    </row>
    <row r="1460" spans="1:15" ht="15" customHeight="1">
      <c r="A1460" t="s">
        <v>583</v>
      </c>
      <c r="B1460" t="s">
        <v>2055</v>
      </c>
      <c r="C1460" t="s">
        <v>81</v>
      </c>
      <c r="D1460" t="s">
        <v>69</v>
      </c>
      <c r="E1460">
        <v>10</v>
      </c>
      <c r="F1460">
        <v>10</v>
      </c>
      <c r="G1460">
        <v>1</v>
      </c>
      <c r="H1460">
        <v>23</v>
      </c>
      <c r="I1460">
        <v>10000</v>
      </c>
      <c r="J1460">
        <v>3000</v>
      </c>
      <c r="K1460" t="s">
        <v>626</v>
      </c>
      <c r="L1460" t="s">
        <v>100</v>
      </c>
      <c r="M1460" t="s">
        <v>40</v>
      </c>
      <c r="N1460" t="b">
        <v>0</v>
      </c>
      <c r="O1460" t="s">
        <v>627</v>
      </c>
    </row>
    <row r="1461" spans="1:15" ht="15" customHeight="1">
      <c r="A1461" t="s">
        <v>421</v>
      </c>
      <c r="B1461" t="s">
        <v>2056</v>
      </c>
      <c r="C1461" t="s">
        <v>149</v>
      </c>
      <c r="D1461" t="s">
        <v>69</v>
      </c>
      <c r="E1461">
        <v>12</v>
      </c>
      <c r="F1461">
        <v>10.1</v>
      </c>
      <c r="G1461">
        <v>0.84</v>
      </c>
      <c r="H1461">
        <v>24</v>
      </c>
      <c r="I1461">
        <v>3000</v>
      </c>
      <c r="J1461">
        <v>1000</v>
      </c>
      <c r="K1461" t="s">
        <v>490</v>
      </c>
      <c r="L1461" t="s">
        <v>71</v>
      </c>
      <c r="M1461" t="s">
        <v>47</v>
      </c>
      <c r="N1461" t="b">
        <v>0</v>
      </c>
      <c r="O1461" t="s">
        <v>491</v>
      </c>
    </row>
    <row r="1462" spans="1:15" ht="15" customHeight="1">
      <c r="A1462" t="s">
        <v>1106</v>
      </c>
      <c r="B1462" t="s">
        <v>2057</v>
      </c>
      <c r="C1462" t="s">
        <v>75</v>
      </c>
      <c r="D1462" t="s">
        <v>69</v>
      </c>
      <c r="E1462">
        <v>15</v>
      </c>
      <c r="F1462">
        <v>8</v>
      </c>
      <c r="G1462">
        <v>0.53</v>
      </c>
      <c r="H1462">
        <v>16</v>
      </c>
      <c r="I1462">
        <v>2000</v>
      </c>
      <c r="J1462">
        <v>1500</v>
      </c>
      <c r="K1462" t="s">
        <v>938</v>
      </c>
      <c r="L1462" t="s">
        <v>71</v>
      </c>
      <c r="M1462" t="s">
        <v>47</v>
      </c>
      <c r="N1462" t="b">
        <v>0</v>
      </c>
      <c r="O1462" t="s">
        <v>939</v>
      </c>
    </row>
    <row r="1463" spans="1:15" ht="15" customHeight="1">
      <c r="A1463" t="s">
        <v>621</v>
      </c>
      <c r="B1463" t="s">
        <v>2058</v>
      </c>
      <c r="C1463" t="s">
        <v>81</v>
      </c>
      <c r="D1463" t="s">
        <v>69</v>
      </c>
      <c r="E1463">
        <v>8</v>
      </c>
      <c r="F1463">
        <v>3.4</v>
      </c>
      <c r="G1463">
        <v>0.42</v>
      </c>
      <c r="H1463">
        <v>25</v>
      </c>
      <c r="I1463">
        <v>10000</v>
      </c>
      <c r="J1463">
        <v>3000</v>
      </c>
      <c r="K1463" t="s">
        <v>138</v>
      </c>
      <c r="L1463" t="s">
        <v>104</v>
      </c>
      <c r="M1463" t="s">
        <v>44</v>
      </c>
      <c r="N1463" t="b">
        <v>0</v>
      </c>
      <c r="O1463" t="s">
        <v>139</v>
      </c>
    </row>
    <row r="1464" spans="1:15" ht="15" customHeight="1">
      <c r="A1464" t="s">
        <v>746</v>
      </c>
      <c r="B1464" t="s">
        <v>2059</v>
      </c>
      <c r="C1464" t="s">
        <v>68</v>
      </c>
      <c r="D1464" t="s">
        <v>69</v>
      </c>
      <c r="E1464">
        <v>15</v>
      </c>
      <c r="F1464">
        <v>3.5</v>
      </c>
      <c r="G1464">
        <v>0.23</v>
      </c>
      <c r="H1464">
        <v>4</v>
      </c>
      <c r="I1464">
        <v>30000</v>
      </c>
      <c r="J1464">
        <v>5000</v>
      </c>
      <c r="K1464" t="s">
        <v>95</v>
      </c>
      <c r="L1464" t="s">
        <v>71</v>
      </c>
      <c r="M1464" t="s">
        <v>50</v>
      </c>
      <c r="N1464" t="b">
        <v>0</v>
      </c>
      <c r="O1464" t="s">
        <v>97</v>
      </c>
    </row>
    <row r="1465" spans="1:15" ht="15" customHeight="1">
      <c r="A1465" t="s">
        <v>1202</v>
      </c>
      <c r="B1465" t="s">
        <v>2060</v>
      </c>
      <c r="C1465" t="s">
        <v>75</v>
      </c>
      <c r="D1465" t="s">
        <v>69</v>
      </c>
      <c r="E1465">
        <v>8</v>
      </c>
      <c r="F1465">
        <v>5.9</v>
      </c>
      <c r="G1465">
        <v>0.74</v>
      </c>
      <c r="H1465">
        <v>10</v>
      </c>
      <c r="I1465">
        <v>2000</v>
      </c>
      <c r="J1465">
        <v>1500</v>
      </c>
      <c r="K1465" t="s">
        <v>418</v>
      </c>
      <c r="L1465" t="s">
        <v>100</v>
      </c>
      <c r="M1465" t="s">
        <v>45</v>
      </c>
      <c r="N1465" t="b">
        <v>0</v>
      </c>
      <c r="O1465" t="s">
        <v>419</v>
      </c>
    </row>
    <row r="1466" spans="1:15" ht="15" customHeight="1">
      <c r="A1466" t="s">
        <v>144</v>
      </c>
      <c r="B1466" t="s">
        <v>2061</v>
      </c>
      <c r="C1466" t="s">
        <v>81</v>
      </c>
      <c r="D1466" t="s">
        <v>69</v>
      </c>
      <c r="E1466">
        <v>20</v>
      </c>
      <c r="F1466">
        <v>17.3</v>
      </c>
      <c r="G1466">
        <v>0.86</v>
      </c>
      <c r="H1466">
        <v>8</v>
      </c>
      <c r="I1466">
        <v>10000</v>
      </c>
      <c r="J1466">
        <v>3000</v>
      </c>
      <c r="K1466" t="s">
        <v>357</v>
      </c>
      <c r="L1466" t="s">
        <v>100</v>
      </c>
      <c r="M1466" t="s">
        <v>44</v>
      </c>
      <c r="N1466" t="b">
        <v>0</v>
      </c>
      <c r="O1466" t="s">
        <v>295</v>
      </c>
    </row>
    <row r="1467" spans="1:15" ht="15" customHeight="1">
      <c r="A1467" t="s">
        <v>1809</v>
      </c>
      <c r="B1467" t="s">
        <v>2062</v>
      </c>
      <c r="C1467" t="s">
        <v>81</v>
      </c>
      <c r="D1467" t="s">
        <v>69</v>
      </c>
      <c r="E1467">
        <v>19</v>
      </c>
      <c r="F1467">
        <v>16.3</v>
      </c>
      <c r="G1467">
        <v>0.86</v>
      </c>
      <c r="H1467">
        <v>17</v>
      </c>
      <c r="I1467">
        <v>10000</v>
      </c>
      <c r="J1467">
        <v>3000</v>
      </c>
      <c r="K1467" t="s">
        <v>389</v>
      </c>
      <c r="L1467" t="s">
        <v>91</v>
      </c>
      <c r="M1467" t="s">
        <v>40</v>
      </c>
      <c r="N1467" t="b">
        <v>1</v>
      </c>
      <c r="O1467" t="s">
        <v>390</v>
      </c>
    </row>
    <row r="1468" spans="1:15" ht="15" customHeight="1">
      <c r="A1468" t="s">
        <v>1405</v>
      </c>
      <c r="B1468" t="s">
        <v>2063</v>
      </c>
      <c r="C1468" t="s">
        <v>68</v>
      </c>
      <c r="D1468" t="s">
        <v>69</v>
      </c>
      <c r="E1468">
        <v>8</v>
      </c>
      <c r="F1468">
        <v>0.6</v>
      </c>
      <c r="G1468">
        <v>7.0000000000000007E-2</v>
      </c>
      <c r="H1468">
        <v>1</v>
      </c>
      <c r="I1468">
        <v>30000</v>
      </c>
      <c r="J1468">
        <v>5000</v>
      </c>
      <c r="K1468" t="s">
        <v>70</v>
      </c>
      <c r="L1468" t="s">
        <v>100</v>
      </c>
      <c r="M1468" t="s">
        <v>42</v>
      </c>
      <c r="N1468" t="b">
        <v>0</v>
      </c>
      <c r="O1468" t="s">
        <v>72</v>
      </c>
    </row>
    <row r="1469" spans="1:15" ht="15" customHeight="1">
      <c r="A1469" t="s">
        <v>367</v>
      </c>
      <c r="B1469" t="s">
        <v>2064</v>
      </c>
      <c r="C1469" t="s">
        <v>149</v>
      </c>
      <c r="D1469" t="s">
        <v>69</v>
      </c>
      <c r="E1469">
        <v>11</v>
      </c>
      <c r="F1469">
        <v>8</v>
      </c>
      <c r="G1469">
        <v>0.73</v>
      </c>
      <c r="H1469">
        <v>29</v>
      </c>
      <c r="I1469">
        <v>3000</v>
      </c>
      <c r="J1469">
        <v>1000</v>
      </c>
      <c r="K1469" t="s">
        <v>303</v>
      </c>
      <c r="L1469" t="s">
        <v>71</v>
      </c>
      <c r="M1469" t="s">
        <v>51</v>
      </c>
      <c r="N1469" t="b">
        <v>0</v>
      </c>
      <c r="O1469" t="s">
        <v>323</v>
      </c>
    </row>
    <row r="1470" spans="1:15" ht="15" customHeight="1">
      <c r="A1470" t="s">
        <v>1518</v>
      </c>
      <c r="B1470" t="s">
        <v>2065</v>
      </c>
      <c r="C1470" t="s">
        <v>68</v>
      </c>
      <c r="D1470" t="s">
        <v>69</v>
      </c>
      <c r="E1470">
        <v>13</v>
      </c>
      <c r="F1470">
        <v>2.1</v>
      </c>
      <c r="G1470">
        <v>0.16</v>
      </c>
      <c r="H1470">
        <v>5</v>
      </c>
      <c r="I1470">
        <v>30000</v>
      </c>
      <c r="J1470">
        <v>5000</v>
      </c>
      <c r="K1470" t="s">
        <v>112</v>
      </c>
      <c r="L1470" t="s">
        <v>117</v>
      </c>
      <c r="M1470" t="s">
        <v>51</v>
      </c>
      <c r="N1470" t="b">
        <v>1</v>
      </c>
      <c r="O1470" t="s">
        <v>113</v>
      </c>
    </row>
    <row r="1471" spans="1:15" ht="15" customHeight="1">
      <c r="A1471" t="s">
        <v>1194</v>
      </c>
      <c r="B1471" t="s">
        <v>2066</v>
      </c>
      <c r="C1471" t="s">
        <v>129</v>
      </c>
      <c r="D1471" t="s">
        <v>130</v>
      </c>
      <c r="E1471">
        <v>17</v>
      </c>
      <c r="F1471">
        <v>15.5</v>
      </c>
      <c r="G1471">
        <v>0.91</v>
      </c>
      <c r="H1471">
        <v>14</v>
      </c>
      <c r="I1471">
        <v>5000</v>
      </c>
      <c r="J1471">
        <v>1000</v>
      </c>
      <c r="K1471" t="s">
        <v>82</v>
      </c>
      <c r="L1471" t="s">
        <v>104</v>
      </c>
      <c r="M1471" t="s">
        <v>50</v>
      </c>
      <c r="N1471" t="b">
        <v>0</v>
      </c>
      <c r="O1471" t="s">
        <v>229</v>
      </c>
    </row>
    <row r="1472" spans="1:15" ht="15" customHeight="1">
      <c r="A1472" t="s">
        <v>767</v>
      </c>
      <c r="B1472" t="s">
        <v>2067</v>
      </c>
      <c r="C1472" t="s">
        <v>129</v>
      </c>
      <c r="D1472" t="s">
        <v>130</v>
      </c>
      <c r="E1472">
        <v>15</v>
      </c>
      <c r="F1472">
        <v>12.7</v>
      </c>
      <c r="G1472">
        <v>0.85</v>
      </c>
      <c r="H1472">
        <v>20</v>
      </c>
      <c r="I1472">
        <v>5000</v>
      </c>
      <c r="J1472">
        <v>1000</v>
      </c>
      <c r="K1472" t="s">
        <v>103</v>
      </c>
      <c r="L1472" t="s">
        <v>104</v>
      </c>
      <c r="M1472" t="s">
        <v>48</v>
      </c>
      <c r="N1472" t="b">
        <v>0</v>
      </c>
      <c r="O1472" t="s">
        <v>169</v>
      </c>
    </row>
    <row r="1473" spans="1:15" ht="15" customHeight="1">
      <c r="A1473" t="s">
        <v>1133</v>
      </c>
      <c r="B1473" t="s">
        <v>2068</v>
      </c>
      <c r="C1473" t="s">
        <v>81</v>
      </c>
      <c r="D1473" t="s">
        <v>69</v>
      </c>
      <c r="E1473">
        <v>12</v>
      </c>
      <c r="F1473">
        <v>5.0999999999999996</v>
      </c>
      <c r="G1473">
        <v>0.42</v>
      </c>
      <c r="H1473">
        <v>19</v>
      </c>
      <c r="I1473">
        <v>10000</v>
      </c>
      <c r="J1473">
        <v>3000</v>
      </c>
      <c r="K1473" t="s">
        <v>309</v>
      </c>
      <c r="L1473" t="s">
        <v>96</v>
      </c>
      <c r="M1473" t="s">
        <v>49</v>
      </c>
      <c r="N1473" t="b">
        <v>0</v>
      </c>
      <c r="O1473" t="s">
        <v>310</v>
      </c>
    </row>
    <row r="1474" spans="1:15" ht="15" customHeight="1">
      <c r="A1474" t="s">
        <v>425</v>
      </c>
      <c r="B1474" t="s">
        <v>2069</v>
      </c>
      <c r="C1474" t="s">
        <v>68</v>
      </c>
      <c r="D1474" t="s">
        <v>69</v>
      </c>
      <c r="E1474">
        <v>8</v>
      </c>
      <c r="F1474">
        <v>0.6</v>
      </c>
      <c r="G1474">
        <v>7.0000000000000007E-2</v>
      </c>
      <c r="H1474">
        <v>4</v>
      </c>
      <c r="I1474">
        <v>30000</v>
      </c>
      <c r="J1474">
        <v>5000</v>
      </c>
      <c r="K1474" t="s">
        <v>95</v>
      </c>
      <c r="L1474" t="s">
        <v>96</v>
      </c>
      <c r="M1474" t="s">
        <v>40</v>
      </c>
      <c r="N1474" t="b">
        <v>0</v>
      </c>
      <c r="O1474" t="s">
        <v>97</v>
      </c>
    </row>
    <row r="1475" spans="1:15" ht="15" customHeight="1">
      <c r="A1475" t="s">
        <v>536</v>
      </c>
      <c r="B1475" t="s">
        <v>2070</v>
      </c>
      <c r="C1475" t="s">
        <v>129</v>
      </c>
      <c r="D1475" t="s">
        <v>130</v>
      </c>
      <c r="E1475">
        <v>10</v>
      </c>
      <c r="F1475">
        <v>6.9</v>
      </c>
      <c r="G1475">
        <v>0.69</v>
      </c>
      <c r="H1475">
        <v>11</v>
      </c>
      <c r="I1475">
        <v>5000</v>
      </c>
      <c r="J1475">
        <v>1000</v>
      </c>
      <c r="K1475" t="s">
        <v>163</v>
      </c>
      <c r="L1475" t="s">
        <v>104</v>
      </c>
      <c r="M1475" t="s">
        <v>44</v>
      </c>
      <c r="N1475" t="b">
        <v>0</v>
      </c>
      <c r="O1475" t="s">
        <v>150</v>
      </c>
    </row>
    <row r="1476" spans="1:15" ht="15" customHeight="1">
      <c r="A1476" t="s">
        <v>565</v>
      </c>
      <c r="B1476" t="s">
        <v>2071</v>
      </c>
      <c r="C1476" t="s">
        <v>75</v>
      </c>
      <c r="D1476" t="s">
        <v>69</v>
      </c>
      <c r="E1476">
        <v>20</v>
      </c>
      <c r="F1476">
        <v>10.1</v>
      </c>
      <c r="G1476">
        <v>0.51</v>
      </c>
      <c r="H1476">
        <v>22</v>
      </c>
      <c r="I1476">
        <v>2000</v>
      </c>
      <c r="J1476">
        <v>1500</v>
      </c>
      <c r="K1476" t="s">
        <v>90</v>
      </c>
      <c r="L1476" t="s">
        <v>96</v>
      </c>
      <c r="M1476" t="s">
        <v>42</v>
      </c>
      <c r="N1476" t="b">
        <v>0</v>
      </c>
      <c r="O1476" t="s">
        <v>92</v>
      </c>
    </row>
    <row r="1477" spans="1:15" ht="15" customHeight="1">
      <c r="A1477" t="s">
        <v>319</v>
      </c>
      <c r="B1477" t="s">
        <v>2072</v>
      </c>
      <c r="C1477" t="s">
        <v>129</v>
      </c>
      <c r="D1477" t="s">
        <v>130</v>
      </c>
      <c r="E1477">
        <v>13</v>
      </c>
      <c r="F1477">
        <v>4.2</v>
      </c>
      <c r="G1477">
        <v>0.32</v>
      </c>
      <c r="H1477">
        <v>6</v>
      </c>
      <c r="I1477">
        <v>5000</v>
      </c>
      <c r="J1477">
        <v>1000</v>
      </c>
      <c r="K1477" t="s">
        <v>70</v>
      </c>
      <c r="L1477" t="s">
        <v>96</v>
      </c>
      <c r="M1477" t="s">
        <v>51</v>
      </c>
      <c r="N1477" t="b">
        <v>0</v>
      </c>
      <c r="O1477" t="s">
        <v>331</v>
      </c>
    </row>
    <row r="1478" spans="1:15" ht="15" customHeight="1">
      <c r="A1478" t="s">
        <v>568</v>
      </c>
      <c r="B1478" t="s">
        <v>2073</v>
      </c>
      <c r="C1478" t="s">
        <v>149</v>
      </c>
      <c r="D1478" t="s">
        <v>69</v>
      </c>
      <c r="E1478">
        <v>9</v>
      </c>
      <c r="F1478">
        <v>6.1</v>
      </c>
      <c r="G1478">
        <v>0.68</v>
      </c>
      <c r="H1478">
        <v>16</v>
      </c>
      <c r="I1478">
        <v>3000</v>
      </c>
      <c r="J1478">
        <v>1000</v>
      </c>
      <c r="K1478" t="s">
        <v>361</v>
      </c>
      <c r="L1478" t="s">
        <v>77</v>
      </c>
      <c r="M1478" t="s">
        <v>41</v>
      </c>
      <c r="N1478" t="b">
        <v>0</v>
      </c>
      <c r="O1478" t="s">
        <v>870</v>
      </c>
    </row>
    <row r="1479" spans="1:15" ht="15" customHeight="1">
      <c r="A1479" t="s">
        <v>1194</v>
      </c>
      <c r="B1479" t="s">
        <v>2074</v>
      </c>
      <c r="C1479" t="s">
        <v>129</v>
      </c>
      <c r="D1479" t="s">
        <v>130</v>
      </c>
      <c r="E1479">
        <v>9</v>
      </c>
      <c r="F1479">
        <v>6</v>
      </c>
      <c r="G1479">
        <v>0.67</v>
      </c>
      <c r="H1479">
        <v>26</v>
      </c>
      <c r="I1479">
        <v>5000</v>
      </c>
      <c r="J1479">
        <v>1000</v>
      </c>
      <c r="K1479" t="s">
        <v>203</v>
      </c>
      <c r="L1479" t="s">
        <v>104</v>
      </c>
      <c r="M1479" t="s">
        <v>50</v>
      </c>
      <c r="N1479" t="b">
        <v>0</v>
      </c>
      <c r="O1479" t="s">
        <v>623</v>
      </c>
    </row>
    <row r="1480" spans="1:15" ht="15" customHeight="1">
      <c r="A1480" t="s">
        <v>301</v>
      </c>
      <c r="B1480" t="s">
        <v>2075</v>
      </c>
      <c r="C1480" t="s">
        <v>68</v>
      </c>
      <c r="D1480" t="s">
        <v>69</v>
      </c>
      <c r="E1480">
        <v>11</v>
      </c>
      <c r="F1480">
        <v>2.6</v>
      </c>
      <c r="G1480">
        <v>0.24</v>
      </c>
      <c r="H1480">
        <v>5</v>
      </c>
      <c r="I1480">
        <v>30000</v>
      </c>
      <c r="J1480">
        <v>5000</v>
      </c>
      <c r="K1480" t="s">
        <v>112</v>
      </c>
      <c r="L1480" t="s">
        <v>100</v>
      </c>
      <c r="M1480" t="s">
        <v>50</v>
      </c>
      <c r="N1480" t="b">
        <v>0</v>
      </c>
      <c r="O1480" t="s">
        <v>113</v>
      </c>
    </row>
    <row r="1481" spans="1:15" ht="15" customHeight="1">
      <c r="A1481" t="s">
        <v>787</v>
      </c>
      <c r="B1481" t="s">
        <v>2076</v>
      </c>
      <c r="C1481" t="s">
        <v>75</v>
      </c>
      <c r="D1481" t="s">
        <v>69</v>
      </c>
      <c r="E1481">
        <v>13</v>
      </c>
      <c r="F1481">
        <v>7.3</v>
      </c>
      <c r="G1481">
        <v>0.56000000000000005</v>
      </c>
      <c r="H1481">
        <v>29</v>
      </c>
      <c r="I1481">
        <v>2000</v>
      </c>
      <c r="J1481">
        <v>1500</v>
      </c>
      <c r="K1481" t="s">
        <v>519</v>
      </c>
      <c r="L1481" t="s">
        <v>96</v>
      </c>
      <c r="M1481" t="s">
        <v>43</v>
      </c>
      <c r="N1481" t="b">
        <v>0</v>
      </c>
      <c r="O1481" t="s">
        <v>520</v>
      </c>
    </row>
    <row r="1482" spans="1:15" ht="15" customHeight="1">
      <c r="A1482" t="s">
        <v>668</v>
      </c>
      <c r="B1482" t="s">
        <v>2077</v>
      </c>
      <c r="C1482" t="s">
        <v>149</v>
      </c>
      <c r="D1482" t="s">
        <v>69</v>
      </c>
      <c r="E1482">
        <v>12</v>
      </c>
      <c r="F1482">
        <v>11.1</v>
      </c>
      <c r="G1482">
        <v>0.92</v>
      </c>
      <c r="H1482">
        <v>20</v>
      </c>
      <c r="I1482">
        <v>3000</v>
      </c>
      <c r="J1482">
        <v>1000</v>
      </c>
      <c r="K1482" t="s">
        <v>162</v>
      </c>
      <c r="L1482" t="s">
        <v>104</v>
      </c>
      <c r="M1482" t="s">
        <v>44</v>
      </c>
      <c r="N1482" t="b">
        <v>0</v>
      </c>
      <c r="O1482" t="s">
        <v>180</v>
      </c>
    </row>
    <row r="1483" spans="1:15" ht="15" customHeight="1">
      <c r="A1483" t="s">
        <v>742</v>
      </c>
      <c r="B1483" t="s">
        <v>2078</v>
      </c>
      <c r="C1483" t="s">
        <v>129</v>
      </c>
      <c r="D1483" t="s">
        <v>130</v>
      </c>
      <c r="E1483">
        <v>13</v>
      </c>
      <c r="F1483">
        <v>9.6999999999999993</v>
      </c>
      <c r="G1483">
        <v>0.75</v>
      </c>
      <c r="H1483">
        <v>10</v>
      </c>
      <c r="I1483">
        <v>5000</v>
      </c>
      <c r="J1483">
        <v>1000</v>
      </c>
      <c r="K1483" t="s">
        <v>158</v>
      </c>
      <c r="L1483" t="s">
        <v>117</v>
      </c>
      <c r="M1483" t="s">
        <v>48</v>
      </c>
      <c r="N1483" t="b">
        <v>1</v>
      </c>
      <c r="O1483" t="s">
        <v>159</v>
      </c>
    </row>
    <row r="1484" spans="1:15" ht="15" customHeight="1">
      <c r="A1484" t="s">
        <v>1544</v>
      </c>
      <c r="B1484" t="s">
        <v>2079</v>
      </c>
      <c r="C1484" t="s">
        <v>149</v>
      </c>
      <c r="D1484" t="s">
        <v>69</v>
      </c>
      <c r="E1484">
        <v>10</v>
      </c>
      <c r="F1484">
        <v>7.2</v>
      </c>
      <c r="G1484">
        <v>0.72</v>
      </c>
      <c r="H1484">
        <v>34</v>
      </c>
      <c r="I1484">
        <v>3000</v>
      </c>
      <c r="J1484">
        <v>1000</v>
      </c>
      <c r="K1484" t="s">
        <v>433</v>
      </c>
      <c r="L1484" t="s">
        <v>100</v>
      </c>
      <c r="M1484" t="s">
        <v>42</v>
      </c>
      <c r="N1484" t="b">
        <v>0</v>
      </c>
      <c r="O1484" t="s">
        <v>434</v>
      </c>
    </row>
    <row r="1485" spans="1:15" ht="15" customHeight="1">
      <c r="A1485" t="s">
        <v>1012</v>
      </c>
      <c r="B1485" t="s">
        <v>2080</v>
      </c>
      <c r="C1485" t="s">
        <v>129</v>
      </c>
      <c r="D1485" t="s">
        <v>130</v>
      </c>
      <c r="E1485">
        <v>18</v>
      </c>
      <c r="F1485">
        <v>15</v>
      </c>
      <c r="G1485">
        <v>0.83</v>
      </c>
      <c r="H1485">
        <v>21</v>
      </c>
      <c r="I1485">
        <v>5000</v>
      </c>
      <c r="J1485">
        <v>1000</v>
      </c>
      <c r="K1485" t="s">
        <v>131</v>
      </c>
      <c r="L1485" t="s">
        <v>96</v>
      </c>
      <c r="M1485" t="s">
        <v>41</v>
      </c>
      <c r="N1485" t="b">
        <v>0</v>
      </c>
      <c r="O1485" t="s">
        <v>132</v>
      </c>
    </row>
    <row r="1486" spans="1:15" ht="15" customHeight="1">
      <c r="A1486" t="s">
        <v>1711</v>
      </c>
      <c r="B1486" t="s">
        <v>2081</v>
      </c>
      <c r="C1486" t="s">
        <v>81</v>
      </c>
      <c r="D1486" t="s">
        <v>69</v>
      </c>
      <c r="E1486">
        <v>8</v>
      </c>
      <c r="F1486">
        <v>5.7</v>
      </c>
      <c r="G1486">
        <v>0.71</v>
      </c>
      <c r="H1486">
        <v>13</v>
      </c>
      <c r="I1486">
        <v>10000</v>
      </c>
      <c r="J1486">
        <v>3000</v>
      </c>
      <c r="K1486" t="s">
        <v>203</v>
      </c>
      <c r="L1486" t="s">
        <v>96</v>
      </c>
      <c r="M1486" t="s">
        <v>47</v>
      </c>
      <c r="N1486" t="b">
        <v>0</v>
      </c>
      <c r="O1486" t="s">
        <v>204</v>
      </c>
    </row>
    <row r="1487" spans="1:15" ht="15" customHeight="1">
      <c r="A1487" t="s">
        <v>443</v>
      </c>
      <c r="B1487" t="s">
        <v>2082</v>
      </c>
      <c r="C1487" t="s">
        <v>75</v>
      </c>
      <c r="D1487" t="s">
        <v>69</v>
      </c>
      <c r="E1487">
        <v>10</v>
      </c>
      <c r="F1487">
        <v>4.5</v>
      </c>
      <c r="G1487">
        <v>0.45</v>
      </c>
      <c r="H1487">
        <v>15</v>
      </c>
      <c r="I1487">
        <v>2000</v>
      </c>
      <c r="J1487">
        <v>1500</v>
      </c>
      <c r="K1487" t="s">
        <v>70</v>
      </c>
      <c r="L1487" t="s">
        <v>91</v>
      </c>
      <c r="M1487" t="s">
        <v>49</v>
      </c>
      <c r="N1487" t="b">
        <v>1</v>
      </c>
      <c r="O1487" t="s">
        <v>598</v>
      </c>
    </row>
    <row r="1488" spans="1:15" ht="15" customHeight="1">
      <c r="A1488" t="s">
        <v>321</v>
      </c>
      <c r="B1488" t="s">
        <v>2083</v>
      </c>
      <c r="C1488" t="s">
        <v>68</v>
      </c>
      <c r="D1488" t="s">
        <v>69</v>
      </c>
      <c r="E1488">
        <v>11</v>
      </c>
      <c r="F1488">
        <v>1.8</v>
      </c>
      <c r="G1488">
        <v>0.16</v>
      </c>
      <c r="H1488">
        <v>1</v>
      </c>
      <c r="I1488">
        <v>30000</v>
      </c>
      <c r="J1488">
        <v>5000</v>
      </c>
      <c r="K1488" t="s">
        <v>70</v>
      </c>
      <c r="L1488" t="s">
        <v>91</v>
      </c>
      <c r="M1488" t="s">
        <v>50</v>
      </c>
      <c r="N1488" t="b">
        <v>1</v>
      </c>
      <c r="O1488" t="s">
        <v>72</v>
      </c>
    </row>
    <row r="1489" spans="1:15" ht="15" customHeight="1">
      <c r="A1489" t="s">
        <v>1254</v>
      </c>
      <c r="B1489" t="s">
        <v>2084</v>
      </c>
      <c r="C1489" t="s">
        <v>68</v>
      </c>
      <c r="D1489" t="s">
        <v>69</v>
      </c>
      <c r="E1489">
        <v>9</v>
      </c>
      <c r="F1489">
        <v>1.3</v>
      </c>
      <c r="G1489">
        <v>0.14000000000000001</v>
      </c>
      <c r="H1489">
        <v>2</v>
      </c>
      <c r="I1489">
        <v>30000</v>
      </c>
      <c r="J1489">
        <v>5000</v>
      </c>
      <c r="K1489" t="s">
        <v>162</v>
      </c>
      <c r="L1489" t="s">
        <v>77</v>
      </c>
      <c r="M1489" t="s">
        <v>40</v>
      </c>
      <c r="N1489" t="b">
        <v>0</v>
      </c>
      <c r="O1489" t="s">
        <v>163</v>
      </c>
    </row>
    <row r="1490" spans="1:15" ht="15" customHeight="1">
      <c r="A1490" t="s">
        <v>668</v>
      </c>
      <c r="B1490" t="s">
        <v>2085</v>
      </c>
      <c r="C1490" t="s">
        <v>68</v>
      </c>
      <c r="D1490" t="s">
        <v>69</v>
      </c>
      <c r="E1490">
        <v>15</v>
      </c>
      <c r="F1490">
        <v>3.1</v>
      </c>
      <c r="G1490">
        <v>0.21</v>
      </c>
      <c r="H1490">
        <v>4</v>
      </c>
      <c r="I1490">
        <v>30000</v>
      </c>
      <c r="J1490">
        <v>5000</v>
      </c>
      <c r="K1490" t="s">
        <v>95</v>
      </c>
      <c r="L1490" t="s">
        <v>104</v>
      </c>
      <c r="M1490" t="s">
        <v>44</v>
      </c>
      <c r="N1490" t="b">
        <v>0</v>
      </c>
      <c r="O1490" t="s">
        <v>97</v>
      </c>
    </row>
    <row r="1491" spans="1:15" ht="15" customHeight="1">
      <c r="A1491" t="s">
        <v>1711</v>
      </c>
      <c r="B1491" t="s">
        <v>2086</v>
      </c>
      <c r="C1491" t="s">
        <v>81</v>
      </c>
      <c r="D1491" t="s">
        <v>69</v>
      </c>
      <c r="E1491">
        <v>20</v>
      </c>
      <c r="F1491">
        <v>15.7</v>
      </c>
      <c r="G1491">
        <v>0.78</v>
      </c>
      <c r="H1491">
        <v>29</v>
      </c>
      <c r="I1491">
        <v>10000</v>
      </c>
      <c r="J1491">
        <v>3000</v>
      </c>
      <c r="K1491" t="s">
        <v>603</v>
      </c>
      <c r="L1491" t="s">
        <v>96</v>
      </c>
      <c r="M1491" t="s">
        <v>47</v>
      </c>
      <c r="N1491" t="b">
        <v>0</v>
      </c>
      <c r="O1491" t="s">
        <v>604</v>
      </c>
    </row>
    <row r="1492" spans="1:15" ht="15" customHeight="1">
      <c r="A1492" t="s">
        <v>1229</v>
      </c>
      <c r="B1492" t="s">
        <v>2087</v>
      </c>
      <c r="C1492" t="s">
        <v>68</v>
      </c>
      <c r="D1492" t="s">
        <v>69</v>
      </c>
      <c r="E1492">
        <v>16</v>
      </c>
      <c r="F1492">
        <v>1.9</v>
      </c>
      <c r="G1492">
        <v>0.12</v>
      </c>
      <c r="H1492">
        <v>3</v>
      </c>
      <c r="I1492">
        <v>30000</v>
      </c>
      <c r="J1492">
        <v>5000</v>
      </c>
      <c r="K1492" t="s">
        <v>108</v>
      </c>
      <c r="L1492" t="s">
        <v>104</v>
      </c>
      <c r="M1492" t="s">
        <v>44</v>
      </c>
      <c r="N1492" t="b">
        <v>0</v>
      </c>
      <c r="O1492" t="s">
        <v>109</v>
      </c>
    </row>
    <row r="1493" spans="1:15" ht="15" customHeight="1">
      <c r="A1493" t="s">
        <v>193</v>
      </c>
      <c r="B1493" t="s">
        <v>2088</v>
      </c>
      <c r="C1493" t="s">
        <v>81</v>
      </c>
      <c r="D1493" t="s">
        <v>69</v>
      </c>
      <c r="E1493">
        <v>20</v>
      </c>
      <c r="F1493">
        <v>11.5</v>
      </c>
      <c r="G1493">
        <v>0.56999999999999995</v>
      </c>
      <c r="H1493">
        <v>21</v>
      </c>
      <c r="I1493">
        <v>10000</v>
      </c>
      <c r="J1493">
        <v>3000</v>
      </c>
      <c r="K1493" t="s">
        <v>279</v>
      </c>
      <c r="L1493" t="s">
        <v>117</v>
      </c>
      <c r="M1493" t="s">
        <v>50</v>
      </c>
      <c r="N1493" t="b">
        <v>1</v>
      </c>
      <c r="O1493" t="s">
        <v>280</v>
      </c>
    </row>
    <row r="1494" spans="1:15" ht="15" customHeight="1">
      <c r="A1494" t="s">
        <v>170</v>
      </c>
      <c r="B1494" t="s">
        <v>2089</v>
      </c>
      <c r="C1494" t="s">
        <v>68</v>
      </c>
      <c r="D1494" t="s">
        <v>69</v>
      </c>
      <c r="E1494">
        <v>8</v>
      </c>
      <c r="F1494">
        <v>2.7</v>
      </c>
      <c r="G1494">
        <v>0.34</v>
      </c>
      <c r="H1494">
        <v>2</v>
      </c>
      <c r="I1494">
        <v>30000</v>
      </c>
      <c r="J1494">
        <v>5000</v>
      </c>
      <c r="K1494" t="s">
        <v>162</v>
      </c>
      <c r="L1494" t="s">
        <v>96</v>
      </c>
      <c r="M1494" t="s">
        <v>44</v>
      </c>
      <c r="N1494" t="b">
        <v>0</v>
      </c>
      <c r="O1494" t="s">
        <v>163</v>
      </c>
    </row>
    <row r="1495" spans="1:15" ht="15" customHeight="1">
      <c r="A1495" t="s">
        <v>1133</v>
      </c>
      <c r="B1495" t="s">
        <v>2090</v>
      </c>
      <c r="C1495" t="s">
        <v>75</v>
      </c>
      <c r="D1495" t="s">
        <v>69</v>
      </c>
      <c r="E1495">
        <v>13</v>
      </c>
      <c r="F1495">
        <v>7.4</v>
      </c>
      <c r="G1495">
        <v>0.56999999999999995</v>
      </c>
      <c r="H1495">
        <v>15</v>
      </c>
      <c r="I1495">
        <v>2000</v>
      </c>
      <c r="J1495">
        <v>1500</v>
      </c>
      <c r="K1495" t="s">
        <v>70</v>
      </c>
      <c r="L1495" t="s">
        <v>96</v>
      </c>
      <c r="M1495" t="s">
        <v>49</v>
      </c>
      <c r="N1495" t="b">
        <v>0</v>
      </c>
      <c r="O1495" t="s">
        <v>598</v>
      </c>
    </row>
    <row r="1496" spans="1:15" ht="15" customHeight="1">
      <c r="A1496" t="s">
        <v>957</v>
      </c>
      <c r="B1496" t="s">
        <v>2091</v>
      </c>
      <c r="C1496" t="s">
        <v>129</v>
      </c>
      <c r="D1496" t="s">
        <v>130</v>
      </c>
      <c r="E1496">
        <v>14</v>
      </c>
      <c r="F1496">
        <v>13</v>
      </c>
      <c r="G1496">
        <v>0.93</v>
      </c>
      <c r="H1496">
        <v>6</v>
      </c>
      <c r="I1496">
        <v>5000</v>
      </c>
      <c r="J1496">
        <v>1000</v>
      </c>
      <c r="K1496" t="s">
        <v>70</v>
      </c>
      <c r="L1496" t="s">
        <v>96</v>
      </c>
      <c r="M1496" t="s">
        <v>48</v>
      </c>
      <c r="N1496" t="b">
        <v>0</v>
      </c>
      <c r="O1496" t="s">
        <v>331</v>
      </c>
    </row>
    <row r="1497" spans="1:15" ht="15" customHeight="1">
      <c r="A1497" t="s">
        <v>621</v>
      </c>
      <c r="B1497" t="s">
        <v>2092</v>
      </c>
      <c r="C1497" t="s">
        <v>75</v>
      </c>
      <c r="D1497" t="s">
        <v>69</v>
      </c>
      <c r="E1497">
        <v>16</v>
      </c>
      <c r="F1497">
        <v>3.6</v>
      </c>
      <c r="G1497">
        <v>0.23</v>
      </c>
      <c r="H1497">
        <v>19</v>
      </c>
      <c r="I1497">
        <v>2000</v>
      </c>
      <c r="J1497">
        <v>1500</v>
      </c>
      <c r="K1497" t="s">
        <v>408</v>
      </c>
      <c r="L1497" t="s">
        <v>104</v>
      </c>
      <c r="M1497" t="s">
        <v>44</v>
      </c>
      <c r="N1497" t="b">
        <v>0</v>
      </c>
      <c r="O1497" t="s">
        <v>409</v>
      </c>
    </row>
    <row r="1498" spans="1:15" ht="15" customHeight="1">
      <c r="A1498" t="s">
        <v>1133</v>
      </c>
      <c r="B1498" t="s">
        <v>2093</v>
      </c>
      <c r="C1498" t="s">
        <v>81</v>
      </c>
      <c r="D1498" t="s">
        <v>69</v>
      </c>
      <c r="E1498">
        <v>17</v>
      </c>
      <c r="F1498">
        <v>9.8000000000000007</v>
      </c>
      <c r="G1498">
        <v>0.57999999999999996</v>
      </c>
      <c r="H1498">
        <v>9</v>
      </c>
      <c r="I1498">
        <v>10000</v>
      </c>
      <c r="J1498">
        <v>3000</v>
      </c>
      <c r="K1498" t="s">
        <v>108</v>
      </c>
      <c r="L1498" t="s">
        <v>96</v>
      </c>
      <c r="M1498" t="s">
        <v>49</v>
      </c>
      <c r="N1498" t="b">
        <v>0</v>
      </c>
      <c r="O1498" t="s">
        <v>303</v>
      </c>
    </row>
    <row r="1499" spans="1:15" ht="15" customHeight="1">
      <c r="A1499" t="s">
        <v>1839</v>
      </c>
      <c r="B1499" t="s">
        <v>2094</v>
      </c>
      <c r="C1499" t="s">
        <v>81</v>
      </c>
      <c r="D1499" t="s">
        <v>69</v>
      </c>
      <c r="E1499">
        <v>9</v>
      </c>
      <c r="F1499">
        <v>7.4</v>
      </c>
      <c r="G1499">
        <v>0.82</v>
      </c>
      <c r="H1499">
        <v>24</v>
      </c>
      <c r="I1499">
        <v>10000</v>
      </c>
      <c r="J1499">
        <v>3000</v>
      </c>
      <c r="K1499" t="s">
        <v>306</v>
      </c>
      <c r="L1499" t="s">
        <v>91</v>
      </c>
      <c r="M1499" t="s">
        <v>43</v>
      </c>
      <c r="N1499" t="b">
        <v>1</v>
      </c>
      <c r="O1499" t="s">
        <v>307</v>
      </c>
    </row>
    <row r="1500" spans="1:15" ht="15" customHeight="1">
      <c r="A1500" t="s">
        <v>349</v>
      </c>
      <c r="B1500" t="s">
        <v>2095</v>
      </c>
      <c r="C1500" t="s">
        <v>129</v>
      </c>
      <c r="D1500" t="s">
        <v>130</v>
      </c>
      <c r="E1500">
        <v>16</v>
      </c>
      <c r="F1500">
        <v>6.4</v>
      </c>
      <c r="G1500">
        <v>0.4</v>
      </c>
      <c r="H1500">
        <v>19</v>
      </c>
      <c r="I1500">
        <v>5000</v>
      </c>
      <c r="J1500">
        <v>1000</v>
      </c>
      <c r="K1500" t="s">
        <v>336</v>
      </c>
      <c r="L1500" t="s">
        <v>100</v>
      </c>
      <c r="M1500" t="s">
        <v>41</v>
      </c>
      <c r="N1500" t="b">
        <v>0</v>
      </c>
      <c r="O1500" t="s">
        <v>337</v>
      </c>
    </row>
    <row r="1501" spans="1:15" ht="15" customHeight="1">
      <c r="A1501" t="s">
        <v>1500</v>
      </c>
      <c r="B1501" t="s">
        <v>2096</v>
      </c>
      <c r="C1501" t="s">
        <v>68</v>
      </c>
      <c r="D1501" t="s">
        <v>69</v>
      </c>
      <c r="E1501">
        <v>9</v>
      </c>
      <c r="F1501">
        <v>3.1</v>
      </c>
      <c r="G1501">
        <v>0.34</v>
      </c>
      <c r="H1501">
        <v>4</v>
      </c>
      <c r="I1501">
        <v>30000</v>
      </c>
      <c r="J1501">
        <v>5000</v>
      </c>
      <c r="K1501" t="s">
        <v>95</v>
      </c>
      <c r="L1501" t="s">
        <v>117</v>
      </c>
      <c r="M1501" t="s">
        <v>51</v>
      </c>
      <c r="N1501" t="b">
        <v>1</v>
      </c>
      <c r="O1501" t="s">
        <v>97</v>
      </c>
    </row>
    <row r="1502" spans="1:15" ht="15" customHeight="1">
      <c r="A1502" t="s">
        <v>121</v>
      </c>
      <c r="B1502" t="s">
        <v>2097</v>
      </c>
      <c r="C1502" t="s">
        <v>68</v>
      </c>
      <c r="D1502" t="s">
        <v>69</v>
      </c>
      <c r="E1502">
        <v>11</v>
      </c>
      <c r="F1502">
        <v>0.8</v>
      </c>
      <c r="G1502">
        <v>7.0000000000000007E-2</v>
      </c>
      <c r="H1502">
        <v>3</v>
      </c>
      <c r="I1502">
        <v>30000</v>
      </c>
      <c r="J1502">
        <v>5000</v>
      </c>
      <c r="K1502" t="s">
        <v>108</v>
      </c>
      <c r="L1502" t="s">
        <v>91</v>
      </c>
      <c r="M1502" t="s">
        <v>47</v>
      </c>
      <c r="N1502" t="b">
        <v>1</v>
      </c>
      <c r="O1502" t="s">
        <v>109</v>
      </c>
    </row>
    <row r="1503" spans="1:15" ht="15" customHeight="1">
      <c r="A1503" t="s">
        <v>759</v>
      </c>
      <c r="B1503" t="s">
        <v>2098</v>
      </c>
      <c r="C1503" t="s">
        <v>129</v>
      </c>
      <c r="D1503" t="s">
        <v>130</v>
      </c>
      <c r="E1503">
        <v>10</v>
      </c>
      <c r="F1503">
        <v>9.8000000000000007</v>
      </c>
      <c r="G1503">
        <v>0.98</v>
      </c>
      <c r="H1503">
        <v>17</v>
      </c>
      <c r="I1503">
        <v>5000</v>
      </c>
      <c r="J1503">
        <v>1000</v>
      </c>
      <c r="K1503" t="s">
        <v>109</v>
      </c>
      <c r="L1503" t="s">
        <v>96</v>
      </c>
      <c r="M1503" t="s">
        <v>51</v>
      </c>
      <c r="N1503" t="b">
        <v>0</v>
      </c>
      <c r="O1503" t="s">
        <v>176</v>
      </c>
    </row>
    <row r="1504" spans="1:15" ht="15" customHeight="1">
      <c r="A1504" t="s">
        <v>349</v>
      </c>
      <c r="B1504" t="s">
        <v>2099</v>
      </c>
      <c r="C1504" t="s">
        <v>81</v>
      </c>
      <c r="D1504" t="s">
        <v>69</v>
      </c>
      <c r="E1504">
        <v>17</v>
      </c>
      <c r="F1504">
        <v>12</v>
      </c>
      <c r="G1504">
        <v>0.71</v>
      </c>
      <c r="H1504">
        <v>14</v>
      </c>
      <c r="I1504">
        <v>10000</v>
      </c>
      <c r="J1504">
        <v>3000</v>
      </c>
      <c r="K1504" t="s">
        <v>116</v>
      </c>
      <c r="L1504" t="s">
        <v>100</v>
      </c>
      <c r="M1504" t="s">
        <v>41</v>
      </c>
      <c r="N1504" t="b">
        <v>0</v>
      </c>
      <c r="O1504" t="s">
        <v>118</v>
      </c>
    </row>
    <row r="1505" spans="1:15" ht="15" customHeight="1">
      <c r="A1505" t="s">
        <v>332</v>
      </c>
      <c r="B1505" t="s">
        <v>2100</v>
      </c>
      <c r="C1505" t="s">
        <v>75</v>
      </c>
      <c r="D1505" t="s">
        <v>69</v>
      </c>
      <c r="E1505">
        <v>20</v>
      </c>
      <c r="F1505">
        <v>5</v>
      </c>
      <c r="G1505">
        <v>0.25</v>
      </c>
      <c r="H1505">
        <v>20</v>
      </c>
      <c r="I1505">
        <v>2000</v>
      </c>
      <c r="J1505">
        <v>1500</v>
      </c>
      <c r="K1505" t="s">
        <v>76</v>
      </c>
      <c r="L1505" t="s">
        <v>96</v>
      </c>
      <c r="M1505" t="s">
        <v>42</v>
      </c>
      <c r="N1505" t="b">
        <v>0</v>
      </c>
      <c r="O1505" t="s">
        <v>78</v>
      </c>
    </row>
    <row r="1506" spans="1:15" ht="15" customHeight="1">
      <c r="A1506" t="s">
        <v>828</v>
      </c>
      <c r="B1506" t="s">
        <v>2101</v>
      </c>
      <c r="C1506" t="s">
        <v>129</v>
      </c>
      <c r="D1506" t="s">
        <v>130</v>
      </c>
      <c r="E1506">
        <v>11</v>
      </c>
      <c r="F1506">
        <v>6</v>
      </c>
      <c r="G1506">
        <v>0.55000000000000004</v>
      </c>
      <c r="H1506">
        <v>7</v>
      </c>
      <c r="I1506">
        <v>5000</v>
      </c>
      <c r="J1506">
        <v>1000</v>
      </c>
      <c r="K1506" t="s">
        <v>1135</v>
      </c>
      <c r="L1506" t="s">
        <v>117</v>
      </c>
      <c r="M1506" t="s">
        <v>43</v>
      </c>
      <c r="N1506" t="b">
        <v>1</v>
      </c>
      <c r="O1506" t="s">
        <v>862</v>
      </c>
    </row>
    <row r="1507" spans="1:15" ht="15" customHeight="1">
      <c r="A1507" t="s">
        <v>736</v>
      </c>
      <c r="B1507" t="s">
        <v>2102</v>
      </c>
      <c r="C1507" t="s">
        <v>68</v>
      </c>
      <c r="D1507" t="s">
        <v>69</v>
      </c>
      <c r="E1507">
        <v>16</v>
      </c>
      <c r="F1507">
        <v>2.2999999999999998</v>
      </c>
      <c r="G1507">
        <v>0.14000000000000001</v>
      </c>
      <c r="H1507">
        <v>3</v>
      </c>
      <c r="I1507">
        <v>30000</v>
      </c>
      <c r="J1507">
        <v>5000</v>
      </c>
      <c r="K1507" t="s">
        <v>108</v>
      </c>
      <c r="L1507" t="s">
        <v>104</v>
      </c>
      <c r="M1507" t="s">
        <v>43</v>
      </c>
      <c r="N1507" t="b">
        <v>0</v>
      </c>
      <c r="O1507" t="s">
        <v>109</v>
      </c>
    </row>
    <row r="1508" spans="1:15" ht="15" customHeight="1">
      <c r="A1508" t="s">
        <v>877</v>
      </c>
      <c r="B1508" t="s">
        <v>2103</v>
      </c>
      <c r="C1508" t="s">
        <v>75</v>
      </c>
      <c r="D1508" t="s">
        <v>69</v>
      </c>
      <c r="E1508">
        <v>19</v>
      </c>
      <c r="F1508">
        <v>17.7</v>
      </c>
      <c r="G1508">
        <v>0.93</v>
      </c>
      <c r="H1508">
        <v>25</v>
      </c>
      <c r="I1508">
        <v>2000</v>
      </c>
      <c r="J1508">
        <v>1500</v>
      </c>
      <c r="K1508" t="s">
        <v>158</v>
      </c>
      <c r="L1508" t="s">
        <v>91</v>
      </c>
      <c r="M1508" t="s">
        <v>40</v>
      </c>
      <c r="N1508" t="b">
        <v>1</v>
      </c>
      <c r="O1508" t="s">
        <v>400</v>
      </c>
    </row>
    <row r="1509" spans="1:15" ht="15" customHeight="1">
      <c r="A1509" t="s">
        <v>794</v>
      </c>
      <c r="B1509" t="s">
        <v>2104</v>
      </c>
      <c r="C1509" t="s">
        <v>129</v>
      </c>
      <c r="D1509" t="s">
        <v>130</v>
      </c>
      <c r="E1509">
        <v>9</v>
      </c>
      <c r="F1509">
        <v>3.2</v>
      </c>
      <c r="G1509">
        <v>0.36</v>
      </c>
      <c r="H1509">
        <v>24</v>
      </c>
      <c r="I1509">
        <v>5000</v>
      </c>
      <c r="J1509">
        <v>1000</v>
      </c>
      <c r="K1509" t="s">
        <v>95</v>
      </c>
      <c r="L1509" t="s">
        <v>96</v>
      </c>
      <c r="M1509" t="s">
        <v>45</v>
      </c>
      <c r="N1509" t="b">
        <v>0</v>
      </c>
      <c r="O1509" t="s">
        <v>217</v>
      </c>
    </row>
    <row r="1510" spans="1:15" ht="15" customHeight="1">
      <c r="A1510" t="s">
        <v>988</v>
      </c>
      <c r="B1510" t="s">
        <v>2105</v>
      </c>
      <c r="C1510" t="s">
        <v>149</v>
      </c>
      <c r="D1510" t="s">
        <v>69</v>
      </c>
      <c r="E1510">
        <v>8</v>
      </c>
      <c r="F1510">
        <v>7.7</v>
      </c>
      <c r="G1510">
        <v>0.96</v>
      </c>
      <c r="H1510">
        <v>32</v>
      </c>
      <c r="I1510">
        <v>3000</v>
      </c>
      <c r="J1510">
        <v>1000</v>
      </c>
      <c r="K1510" t="s">
        <v>576</v>
      </c>
      <c r="L1510" t="s">
        <v>104</v>
      </c>
      <c r="M1510" t="s">
        <v>50</v>
      </c>
      <c r="N1510" t="b">
        <v>0</v>
      </c>
      <c r="O1510" t="s">
        <v>336</v>
      </c>
    </row>
    <row r="1511" spans="1:15" ht="15" customHeight="1">
      <c r="A1511" t="s">
        <v>952</v>
      </c>
      <c r="B1511" t="s">
        <v>2106</v>
      </c>
      <c r="C1511" t="s">
        <v>81</v>
      </c>
      <c r="D1511" t="s">
        <v>69</v>
      </c>
      <c r="E1511">
        <v>9</v>
      </c>
      <c r="F1511">
        <v>7.2</v>
      </c>
      <c r="G1511">
        <v>0.8</v>
      </c>
      <c r="H1511">
        <v>17</v>
      </c>
      <c r="I1511">
        <v>10000</v>
      </c>
      <c r="J1511">
        <v>3000</v>
      </c>
      <c r="K1511" t="s">
        <v>389</v>
      </c>
      <c r="L1511" t="s">
        <v>100</v>
      </c>
      <c r="M1511" t="s">
        <v>45</v>
      </c>
      <c r="N1511" t="b">
        <v>0</v>
      </c>
      <c r="O1511" t="s">
        <v>390</v>
      </c>
    </row>
    <row r="1512" spans="1:15" ht="15" customHeight="1">
      <c r="A1512" t="s">
        <v>599</v>
      </c>
      <c r="B1512" t="s">
        <v>2107</v>
      </c>
      <c r="C1512" t="s">
        <v>75</v>
      </c>
      <c r="D1512" t="s">
        <v>69</v>
      </c>
      <c r="E1512">
        <v>8</v>
      </c>
      <c r="F1512">
        <v>7.4</v>
      </c>
      <c r="G1512">
        <v>0.93</v>
      </c>
      <c r="H1512">
        <v>28</v>
      </c>
      <c r="I1512">
        <v>2000</v>
      </c>
      <c r="J1512">
        <v>1500</v>
      </c>
      <c r="K1512" t="s">
        <v>262</v>
      </c>
      <c r="L1512" t="s">
        <v>117</v>
      </c>
      <c r="M1512" t="s">
        <v>44</v>
      </c>
      <c r="N1512" t="b">
        <v>1</v>
      </c>
      <c r="O1512" t="s">
        <v>289</v>
      </c>
    </row>
    <row r="1513" spans="1:15" ht="15" customHeight="1">
      <c r="A1513" t="s">
        <v>263</v>
      </c>
      <c r="B1513" t="s">
        <v>2108</v>
      </c>
      <c r="C1513" t="s">
        <v>129</v>
      </c>
      <c r="D1513" t="s">
        <v>130</v>
      </c>
      <c r="E1513">
        <v>14</v>
      </c>
      <c r="F1513">
        <v>8.1</v>
      </c>
      <c r="G1513">
        <v>0.57999999999999996</v>
      </c>
      <c r="H1513">
        <v>30</v>
      </c>
      <c r="I1513">
        <v>5000</v>
      </c>
      <c r="J1513">
        <v>1000</v>
      </c>
      <c r="K1513" t="s">
        <v>112</v>
      </c>
      <c r="L1513" t="s">
        <v>96</v>
      </c>
      <c r="M1513" t="s">
        <v>44</v>
      </c>
      <c r="N1513" t="b">
        <v>0</v>
      </c>
      <c r="O1513" t="s">
        <v>195</v>
      </c>
    </row>
    <row r="1514" spans="1:15" ht="15" customHeight="1">
      <c r="A1514" t="s">
        <v>237</v>
      </c>
      <c r="B1514" t="s">
        <v>2109</v>
      </c>
      <c r="C1514" t="s">
        <v>129</v>
      </c>
      <c r="D1514" t="s">
        <v>130</v>
      </c>
      <c r="E1514">
        <v>10</v>
      </c>
      <c r="F1514">
        <v>8.3000000000000007</v>
      </c>
      <c r="G1514">
        <v>0.83</v>
      </c>
      <c r="H1514">
        <v>23</v>
      </c>
      <c r="I1514">
        <v>5000</v>
      </c>
      <c r="J1514">
        <v>1000</v>
      </c>
      <c r="K1514" t="s">
        <v>97</v>
      </c>
      <c r="L1514" t="s">
        <v>77</v>
      </c>
      <c r="M1514" t="s">
        <v>49</v>
      </c>
      <c r="N1514" t="b">
        <v>0</v>
      </c>
      <c r="O1514" t="s">
        <v>220</v>
      </c>
    </row>
    <row r="1515" spans="1:15" ht="15" customHeight="1">
      <c r="A1515" t="s">
        <v>961</v>
      </c>
      <c r="B1515" t="s">
        <v>2110</v>
      </c>
      <c r="C1515" t="s">
        <v>129</v>
      </c>
      <c r="D1515" t="s">
        <v>130</v>
      </c>
      <c r="E1515">
        <v>19</v>
      </c>
      <c r="F1515">
        <v>5.2</v>
      </c>
      <c r="G1515">
        <v>0.27</v>
      </c>
      <c r="H1515">
        <v>11</v>
      </c>
      <c r="I1515">
        <v>5000</v>
      </c>
      <c r="J1515">
        <v>1000</v>
      </c>
      <c r="K1515" t="s">
        <v>163</v>
      </c>
      <c r="L1515" t="s">
        <v>100</v>
      </c>
      <c r="M1515" t="s">
        <v>42</v>
      </c>
      <c r="N1515" t="b">
        <v>0</v>
      </c>
      <c r="O1515" t="s">
        <v>150</v>
      </c>
    </row>
    <row r="1516" spans="1:15" ht="15" customHeight="1">
      <c r="A1516" t="s">
        <v>277</v>
      </c>
      <c r="B1516" t="s">
        <v>2111</v>
      </c>
      <c r="C1516" t="s">
        <v>129</v>
      </c>
      <c r="D1516" t="s">
        <v>130</v>
      </c>
      <c r="E1516">
        <v>19</v>
      </c>
      <c r="F1516">
        <v>4</v>
      </c>
      <c r="G1516">
        <v>0.21</v>
      </c>
      <c r="H1516">
        <v>8</v>
      </c>
      <c r="I1516">
        <v>5000</v>
      </c>
      <c r="J1516">
        <v>1000</v>
      </c>
      <c r="K1516" t="s">
        <v>76</v>
      </c>
      <c r="L1516" t="s">
        <v>104</v>
      </c>
      <c r="M1516" t="s">
        <v>43</v>
      </c>
      <c r="N1516" t="b">
        <v>0</v>
      </c>
      <c r="O1516" t="s">
        <v>317</v>
      </c>
    </row>
    <row r="1517" spans="1:15" ht="15" customHeight="1">
      <c r="A1517" t="s">
        <v>738</v>
      </c>
      <c r="B1517" t="s">
        <v>2112</v>
      </c>
      <c r="C1517" t="s">
        <v>68</v>
      </c>
      <c r="D1517" t="s">
        <v>69</v>
      </c>
      <c r="E1517">
        <v>12</v>
      </c>
      <c r="F1517">
        <v>4</v>
      </c>
      <c r="G1517">
        <v>0.33</v>
      </c>
      <c r="H1517">
        <v>3</v>
      </c>
      <c r="I1517">
        <v>30000</v>
      </c>
      <c r="J1517">
        <v>5000</v>
      </c>
      <c r="K1517" t="s">
        <v>108</v>
      </c>
      <c r="L1517" t="s">
        <v>71</v>
      </c>
      <c r="M1517" t="s">
        <v>43</v>
      </c>
      <c r="N1517" t="b">
        <v>0</v>
      </c>
      <c r="O1517" t="s">
        <v>109</v>
      </c>
    </row>
    <row r="1518" spans="1:15" ht="15" customHeight="1">
      <c r="A1518" t="s">
        <v>638</v>
      </c>
      <c r="B1518" t="s">
        <v>2113</v>
      </c>
      <c r="C1518" t="s">
        <v>75</v>
      </c>
      <c r="D1518" t="s">
        <v>69</v>
      </c>
      <c r="E1518">
        <v>14</v>
      </c>
      <c r="F1518">
        <v>9.1999999999999993</v>
      </c>
      <c r="G1518">
        <v>0.66</v>
      </c>
      <c r="H1518">
        <v>30</v>
      </c>
      <c r="I1518">
        <v>2000</v>
      </c>
      <c r="J1518">
        <v>1500</v>
      </c>
      <c r="K1518" t="s">
        <v>162</v>
      </c>
      <c r="L1518" t="s">
        <v>77</v>
      </c>
      <c r="M1518" t="s">
        <v>48</v>
      </c>
      <c r="N1518" t="b">
        <v>0</v>
      </c>
      <c r="O1518" t="s">
        <v>510</v>
      </c>
    </row>
    <row r="1519" spans="1:15" ht="15" customHeight="1">
      <c r="A1519" t="s">
        <v>287</v>
      </c>
      <c r="B1519" t="s">
        <v>2114</v>
      </c>
      <c r="C1519" t="s">
        <v>129</v>
      </c>
      <c r="D1519" t="s">
        <v>130</v>
      </c>
      <c r="E1519">
        <v>16</v>
      </c>
      <c r="F1519">
        <v>13.7</v>
      </c>
      <c r="G1519">
        <v>0.86</v>
      </c>
      <c r="H1519">
        <v>24</v>
      </c>
      <c r="I1519">
        <v>5000</v>
      </c>
      <c r="J1519">
        <v>1000</v>
      </c>
      <c r="K1519" t="s">
        <v>95</v>
      </c>
      <c r="L1519" t="s">
        <v>104</v>
      </c>
      <c r="M1519" t="s">
        <v>41</v>
      </c>
      <c r="N1519" t="b">
        <v>0</v>
      </c>
      <c r="O1519" t="s">
        <v>217</v>
      </c>
    </row>
    <row r="1520" spans="1:15" ht="15" customHeight="1">
      <c r="A1520" t="s">
        <v>599</v>
      </c>
      <c r="B1520" t="s">
        <v>2115</v>
      </c>
      <c r="C1520" t="s">
        <v>149</v>
      </c>
      <c r="D1520" t="s">
        <v>69</v>
      </c>
      <c r="E1520">
        <v>12</v>
      </c>
      <c r="F1520">
        <v>7.7</v>
      </c>
      <c r="G1520">
        <v>0.64</v>
      </c>
      <c r="H1520">
        <v>33</v>
      </c>
      <c r="I1520">
        <v>3000</v>
      </c>
      <c r="J1520">
        <v>1000</v>
      </c>
      <c r="K1520" t="s">
        <v>169</v>
      </c>
      <c r="L1520" t="s">
        <v>117</v>
      </c>
      <c r="M1520" t="s">
        <v>44</v>
      </c>
      <c r="N1520" t="b">
        <v>1</v>
      </c>
      <c r="O1520" t="s">
        <v>702</v>
      </c>
    </row>
    <row r="1521" spans="1:15" ht="15" customHeight="1">
      <c r="A1521" t="s">
        <v>1051</v>
      </c>
      <c r="B1521" t="s">
        <v>2116</v>
      </c>
      <c r="C1521" t="s">
        <v>149</v>
      </c>
      <c r="D1521" t="s">
        <v>69</v>
      </c>
      <c r="E1521">
        <v>9</v>
      </c>
      <c r="F1521">
        <v>8.8000000000000007</v>
      </c>
      <c r="G1521">
        <v>0.98</v>
      </c>
      <c r="H1521">
        <v>25</v>
      </c>
      <c r="I1521">
        <v>3000</v>
      </c>
      <c r="J1521">
        <v>1000</v>
      </c>
      <c r="K1521" t="s">
        <v>479</v>
      </c>
      <c r="L1521" t="s">
        <v>117</v>
      </c>
      <c r="M1521" t="s">
        <v>41</v>
      </c>
      <c r="N1521" t="b">
        <v>1</v>
      </c>
      <c r="O1521" t="s">
        <v>480</v>
      </c>
    </row>
    <row r="1522" spans="1:15" ht="15" customHeight="1">
      <c r="A1522" t="s">
        <v>621</v>
      </c>
      <c r="B1522" t="s">
        <v>2117</v>
      </c>
      <c r="C1522" t="s">
        <v>129</v>
      </c>
      <c r="D1522" t="s">
        <v>130</v>
      </c>
      <c r="E1522">
        <v>15</v>
      </c>
      <c r="F1522">
        <v>9</v>
      </c>
      <c r="G1522">
        <v>0.6</v>
      </c>
      <c r="H1522">
        <v>30</v>
      </c>
      <c r="I1522">
        <v>5000</v>
      </c>
      <c r="J1522">
        <v>1000</v>
      </c>
      <c r="K1522" t="s">
        <v>112</v>
      </c>
      <c r="L1522" t="s">
        <v>104</v>
      </c>
      <c r="M1522" t="s">
        <v>44</v>
      </c>
      <c r="N1522" t="b">
        <v>0</v>
      </c>
      <c r="O1522" t="s">
        <v>195</v>
      </c>
    </row>
    <row r="1523" spans="1:15" ht="15" customHeight="1">
      <c r="A1523" t="s">
        <v>920</v>
      </c>
      <c r="B1523" t="s">
        <v>2118</v>
      </c>
      <c r="C1523" t="s">
        <v>129</v>
      </c>
      <c r="D1523" t="s">
        <v>130</v>
      </c>
      <c r="E1523">
        <v>13</v>
      </c>
      <c r="F1523">
        <v>12.9</v>
      </c>
      <c r="G1523">
        <v>0.99</v>
      </c>
      <c r="H1523">
        <v>11</v>
      </c>
      <c r="I1523">
        <v>5000</v>
      </c>
      <c r="J1523">
        <v>1000</v>
      </c>
      <c r="K1523" t="s">
        <v>163</v>
      </c>
      <c r="L1523" t="s">
        <v>96</v>
      </c>
      <c r="M1523" t="s">
        <v>51</v>
      </c>
      <c r="N1523" t="b">
        <v>0</v>
      </c>
      <c r="O1523" t="s">
        <v>150</v>
      </c>
    </row>
    <row r="1524" spans="1:15" ht="15" customHeight="1">
      <c r="A1524" t="s">
        <v>638</v>
      </c>
      <c r="B1524" t="s">
        <v>2119</v>
      </c>
      <c r="C1524" t="s">
        <v>129</v>
      </c>
      <c r="D1524" t="s">
        <v>130</v>
      </c>
      <c r="E1524">
        <v>19</v>
      </c>
      <c r="F1524">
        <v>7.1</v>
      </c>
      <c r="G1524">
        <v>0.37</v>
      </c>
      <c r="H1524">
        <v>25</v>
      </c>
      <c r="I1524">
        <v>5000</v>
      </c>
      <c r="J1524">
        <v>1000</v>
      </c>
      <c r="K1524" t="s">
        <v>245</v>
      </c>
      <c r="L1524" t="s">
        <v>77</v>
      </c>
      <c r="M1524" t="s">
        <v>48</v>
      </c>
      <c r="N1524" t="b">
        <v>0</v>
      </c>
      <c r="O1524" t="s">
        <v>246</v>
      </c>
    </row>
    <row r="1525" spans="1:15" ht="15" customHeight="1">
      <c r="A1525" t="s">
        <v>1133</v>
      </c>
      <c r="B1525" t="s">
        <v>2120</v>
      </c>
      <c r="C1525" t="s">
        <v>129</v>
      </c>
      <c r="D1525" t="s">
        <v>130</v>
      </c>
      <c r="E1525">
        <v>15</v>
      </c>
      <c r="F1525">
        <v>12.7</v>
      </c>
      <c r="G1525">
        <v>0.85</v>
      </c>
      <c r="H1525">
        <v>24</v>
      </c>
      <c r="I1525">
        <v>5000</v>
      </c>
      <c r="J1525">
        <v>1000</v>
      </c>
      <c r="K1525" t="s">
        <v>95</v>
      </c>
      <c r="L1525" t="s">
        <v>96</v>
      </c>
      <c r="M1525" t="s">
        <v>49</v>
      </c>
      <c r="N1525" t="b">
        <v>0</v>
      </c>
      <c r="O1525" t="s">
        <v>217</v>
      </c>
    </row>
    <row r="1526" spans="1:15" ht="15" customHeight="1">
      <c r="A1526" t="s">
        <v>1018</v>
      </c>
      <c r="B1526" t="s">
        <v>2121</v>
      </c>
      <c r="C1526" t="s">
        <v>129</v>
      </c>
      <c r="D1526" t="s">
        <v>130</v>
      </c>
      <c r="E1526">
        <v>19</v>
      </c>
      <c r="F1526">
        <v>10.7</v>
      </c>
      <c r="G1526">
        <v>0.56000000000000005</v>
      </c>
      <c r="H1526">
        <v>20</v>
      </c>
      <c r="I1526">
        <v>5000</v>
      </c>
      <c r="J1526">
        <v>1000</v>
      </c>
      <c r="K1526" t="s">
        <v>103</v>
      </c>
      <c r="L1526" t="s">
        <v>96</v>
      </c>
      <c r="M1526" t="s">
        <v>49</v>
      </c>
      <c r="N1526" t="b">
        <v>0</v>
      </c>
      <c r="O1526" t="s">
        <v>169</v>
      </c>
    </row>
    <row r="1527" spans="1:15" ht="15" customHeight="1">
      <c r="A1527" t="s">
        <v>471</v>
      </c>
      <c r="B1527" t="s">
        <v>2122</v>
      </c>
      <c r="C1527" t="s">
        <v>68</v>
      </c>
      <c r="D1527" t="s">
        <v>69</v>
      </c>
      <c r="E1527">
        <v>11</v>
      </c>
      <c r="F1527">
        <v>3.3</v>
      </c>
      <c r="G1527">
        <v>0.3</v>
      </c>
      <c r="H1527">
        <v>5</v>
      </c>
      <c r="I1527">
        <v>30000</v>
      </c>
      <c r="J1527">
        <v>5000</v>
      </c>
      <c r="K1527" t="s">
        <v>112</v>
      </c>
      <c r="L1527" t="s">
        <v>117</v>
      </c>
      <c r="M1527" t="s">
        <v>47</v>
      </c>
      <c r="N1527" t="b">
        <v>1</v>
      </c>
      <c r="O1527" t="s">
        <v>113</v>
      </c>
    </row>
    <row r="1528" spans="1:15" ht="15" customHeight="1">
      <c r="A1528" t="s">
        <v>1799</v>
      </c>
      <c r="B1528" t="s">
        <v>2123</v>
      </c>
      <c r="C1528" t="s">
        <v>68</v>
      </c>
      <c r="D1528" t="s">
        <v>69</v>
      </c>
      <c r="E1528">
        <v>10</v>
      </c>
      <c r="F1528">
        <v>2.8</v>
      </c>
      <c r="G1528">
        <v>0.28000000000000003</v>
      </c>
      <c r="H1528">
        <v>4</v>
      </c>
      <c r="I1528">
        <v>30000</v>
      </c>
      <c r="J1528">
        <v>5000</v>
      </c>
      <c r="K1528" t="s">
        <v>95</v>
      </c>
      <c r="L1528" t="s">
        <v>71</v>
      </c>
      <c r="M1528" t="s">
        <v>50</v>
      </c>
      <c r="N1528" t="b">
        <v>0</v>
      </c>
      <c r="O1528" t="s">
        <v>97</v>
      </c>
    </row>
    <row r="1529" spans="1:15" ht="15" customHeight="1">
      <c r="A1529" t="s">
        <v>924</v>
      </c>
      <c r="B1529" t="s">
        <v>2124</v>
      </c>
      <c r="C1529" t="s">
        <v>81</v>
      </c>
      <c r="D1529" t="s">
        <v>69</v>
      </c>
      <c r="E1529">
        <v>14</v>
      </c>
      <c r="F1529">
        <v>4.5</v>
      </c>
      <c r="G1529">
        <v>0.32</v>
      </c>
      <c r="H1529">
        <v>21</v>
      </c>
      <c r="I1529">
        <v>10000</v>
      </c>
      <c r="J1529">
        <v>3000</v>
      </c>
      <c r="K1529" t="s">
        <v>279</v>
      </c>
      <c r="L1529" t="s">
        <v>104</v>
      </c>
      <c r="M1529" t="s">
        <v>49</v>
      </c>
      <c r="N1529" t="b">
        <v>0</v>
      </c>
      <c r="O1529" t="s">
        <v>280</v>
      </c>
    </row>
    <row r="1530" spans="1:15" ht="15" customHeight="1">
      <c r="A1530" t="s">
        <v>517</v>
      </c>
      <c r="B1530" t="s">
        <v>2125</v>
      </c>
      <c r="C1530" t="s">
        <v>75</v>
      </c>
      <c r="D1530" t="s">
        <v>69</v>
      </c>
      <c r="E1530">
        <v>11</v>
      </c>
      <c r="F1530">
        <v>6.2</v>
      </c>
      <c r="G1530">
        <v>0.56000000000000005</v>
      </c>
      <c r="H1530">
        <v>13</v>
      </c>
      <c r="I1530">
        <v>2000</v>
      </c>
      <c r="J1530">
        <v>1500</v>
      </c>
      <c r="K1530" t="s">
        <v>211</v>
      </c>
      <c r="L1530" t="s">
        <v>100</v>
      </c>
      <c r="M1530" t="s">
        <v>46</v>
      </c>
      <c r="N1530" t="b">
        <v>0</v>
      </c>
      <c r="O1530" t="s">
        <v>212</v>
      </c>
    </row>
    <row r="1531" spans="1:15" ht="15" customHeight="1">
      <c r="A1531" t="s">
        <v>621</v>
      </c>
      <c r="B1531" t="s">
        <v>2126</v>
      </c>
      <c r="C1531" t="s">
        <v>81</v>
      </c>
      <c r="D1531" t="s">
        <v>69</v>
      </c>
      <c r="E1531">
        <v>20</v>
      </c>
      <c r="F1531">
        <v>7.7</v>
      </c>
      <c r="G1531">
        <v>0.39</v>
      </c>
      <c r="H1531">
        <v>30</v>
      </c>
      <c r="I1531">
        <v>10000</v>
      </c>
      <c r="J1531">
        <v>3000</v>
      </c>
      <c r="K1531" t="s">
        <v>185</v>
      </c>
      <c r="L1531" t="s">
        <v>104</v>
      </c>
      <c r="M1531" t="s">
        <v>44</v>
      </c>
      <c r="N1531" t="b">
        <v>0</v>
      </c>
      <c r="O1531" t="s">
        <v>186</v>
      </c>
    </row>
    <row r="1532" spans="1:15" ht="15" customHeight="1">
      <c r="A1532" t="s">
        <v>1500</v>
      </c>
      <c r="B1532" t="s">
        <v>2127</v>
      </c>
      <c r="C1532" t="s">
        <v>68</v>
      </c>
      <c r="D1532" t="s">
        <v>69</v>
      </c>
      <c r="E1532">
        <v>11</v>
      </c>
      <c r="F1532">
        <v>2.6</v>
      </c>
      <c r="G1532">
        <v>0.24</v>
      </c>
      <c r="H1532">
        <v>5</v>
      </c>
      <c r="I1532">
        <v>30000</v>
      </c>
      <c r="J1532">
        <v>5000</v>
      </c>
      <c r="K1532" t="s">
        <v>112</v>
      </c>
      <c r="L1532" t="s">
        <v>117</v>
      </c>
      <c r="M1532" t="s">
        <v>51</v>
      </c>
      <c r="N1532" t="b">
        <v>1</v>
      </c>
      <c r="O1532" t="s">
        <v>113</v>
      </c>
    </row>
    <row r="1533" spans="1:15" ht="15" customHeight="1">
      <c r="A1533" t="s">
        <v>164</v>
      </c>
      <c r="B1533" t="s">
        <v>2128</v>
      </c>
      <c r="C1533" t="s">
        <v>75</v>
      </c>
      <c r="D1533" t="s">
        <v>69</v>
      </c>
      <c r="E1533">
        <v>10</v>
      </c>
      <c r="F1533">
        <v>5.6</v>
      </c>
      <c r="G1533">
        <v>0.56000000000000005</v>
      </c>
      <c r="H1533">
        <v>8</v>
      </c>
      <c r="I1533">
        <v>2000</v>
      </c>
      <c r="J1533">
        <v>1500</v>
      </c>
      <c r="K1533" t="s">
        <v>275</v>
      </c>
      <c r="L1533" t="s">
        <v>71</v>
      </c>
      <c r="M1533" t="s">
        <v>51</v>
      </c>
      <c r="N1533" t="b">
        <v>0</v>
      </c>
      <c r="O1533" t="s">
        <v>276</v>
      </c>
    </row>
    <row r="1534" spans="1:15" ht="15" customHeight="1">
      <c r="A1534" t="s">
        <v>144</v>
      </c>
      <c r="B1534" t="s">
        <v>2129</v>
      </c>
      <c r="C1534" t="s">
        <v>75</v>
      </c>
      <c r="D1534" t="s">
        <v>69</v>
      </c>
      <c r="E1534">
        <v>15</v>
      </c>
      <c r="F1534">
        <v>9.6999999999999993</v>
      </c>
      <c r="G1534">
        <v>0.65</v>
      </c>
      <c r="H1534">
        <v>25</v>
      </c>
      <c r="I1534">
        <v>2000</v>
      </c>
      <c r="J1534">
        <v>1500</v>
      </c>
      <c r="K1534" t="s">
        <v>158</v>
      </c>
      <c r="L1534" t="s">
        <v>100</v>
      </c>
      <c r="M1534" t="s">
        <v>44</v>
      </c>
      <c r="N1534" t="b">
        <v>0</v>
      </c>
      <c r="O1534" t="s">
        <v>400</v>
      </c>
    </row>
    <row r="1535" spans="1:15" ht="15" customHeight="1">
      <c r="A1535" t="s">
        <v>1250</v>
      </c>
      <c r="B1535" t="s">
        <v>2130</v>
      </c>
      <c r="C1535" t="s">
        <v>149</v>
      </c>
      <c r="D1535" t="s">
        <v>69</v>
      </c>
      <c r="E1535">
        <v>8</v>
      </c>
      <c r="F1535">
        <v>6.3</v>
      </c>
      <c r="G1535">
        <v>0.79</v>
      </c>
      <c r="H1535">
        <v>26</v>
      </c>
      <c r="I1535">
        <v>3000</v>
      </c>
      <c r="J1535">
        <v>1000</v>
      </c>
      <c r="K1535" t="s">
        <v>294</v>
      </c>
      <c r="L1535" t="s">
        <v>96</v>
      </c>
      <c r="M1535" t="s">
        <v>41</v>
      </c>
      <c r="N1535" t="b">
        <v>0</v>
      </c>
      <c r="O1535" t="s">
        <v>295</v>
      </c>
    </row>
    <row r="1536" spans="1:15" ht="15" customHeight="1">
      <c r="A1536" t="s">
        <v>554</v>
      </c>
      <c r="B1536" t="s">
        <v>2131</v>
      </c>
      <c r="C1536" t="s">
        <v>75</v>
      </c>
      <c r="D1536" t="s">
        <v>69</v>
      </c>
      <c r="E1536">
        <v>19</v>
      </c>
      <c r="F1536">
        <v>5.7</v>
      </c>
      <c r="G1536">
        <v>0.3</v>
      </c>
      <c r="H1536">
        <v>13</v>
      </c>
      <c r="I1536">
        <v>2000</v>
      </c>
      <c r="J1536">
        <v>1500</v>
      </c>
      <c r="K1536" t="s">
        <v>211</v>
      </c>
      <c r="L1536" t="s">
        <v>71</v>
      </c>
      <c r="M1536" t="s">
        <v>40</v>
      </c>
      <c r="N1536" t="b">
        <v>0</v>
      </c>
      <c r="O1536" t="s">
        <v>212</v>
      </c>
    </row>
    <row r="1537" spans="1:15" ht="15" customHeight="1">
      <c r="A1537" t="s">
        <v>2132</v>
      </c>
      <c r="B1537" t="s">
        <v>2133</v>
      </c>
      <c r="C1537" t="s">
        <v>68</v>
      </c>
      <c r="D1537" t="s">
        <v>69</v>
      </c>
      <c r="E1537">
        <v>16</v>
      </c>
      <c r="F1537">
        <v>2.9</v>
      </c>
      <c r="G1537">
        <v>0.18</v>
      </c>
      <c r="H1537">
        <v>4</v>
      </c>
      <c r="I1537">
        <v>30000</v>
      </c>
      <c r="J1537">
        <v>5000</v>
      </c>
      <c r="K1537" t="s">
        <v>95</v>
      </c>
      <c r="L1537" t="s">
        <v>100</v>
      </c>
      <c r="M1537" t="s">
        <v>46</v>
      </c>
      <c r="N1537" t="b">
        <v>0</v>
      </c>
      <c r="O1537" t="s">
        <v>97</v>
      </c>
    </row>
    <row r="1538" spans="1:15" ht="15" customHeight="1">
      <c r="A1538" t="s">
        <v>636</v>
      </c>
      <c r="B1538" t="s">
        <v>2134</v>
      </c>
      <c r="C1538" t="s">
        <v>68</v>
      </c>
      <c r="D1538" t="s">
        <v>69</v>
      </c>
      <c r="E1538">
        <v>9</v>
      </c>
      <c r="F1538">
        <v>2.5</v>
      </c>
      <c r="G1538">
        <v>0.28000000000000003</v>
      </c>
      <c r="H1538">
        <v>3</v>
      </c>
      <c r="I1538">
        <v>30000</v>
      </c>
      <c r="J1538">
        <v>5000</v>
      </c>
      <c r="K1538" t="s">
        <v>108</v>
      </c>
      <c r="L1538" t="s">
        <v>77</v>
      </c>
      <c r="M1538" t="s">
        <v>46</v>
      </c>
      <c r="N1538" t="b">
        <v>0</v>
      </c>
      <c r="O1538" t="s">
        <v>109</v>
      </c>
    </row>
    <row r="1539" spans="1:15" ht="15" customHeight="1">
      <c r="A1539" t="s">
        <v>321</v>
      </c>
      <c r="B1539" t="s">
        <v>2135</v>
      </c>
      <c r="C1539" t="s">
        <v>129</v>
      </c>
      <c r="D1539" t="s">
        <v>130</v>
      </c>
      <c r="E1539">
        <v>11</v>
      </c>
      <c r="F1539">
        <v>8.1</v>
      </c>
      <c r="G1539">
        <v>0.74</v>
      </c>
      <c r="H1539">
        <v>17</v>
      </c>
      <c r="I1539">
        <v>5000</v>
      </c>
      <c r="J1539">
        <v>1000</v>
      </c>
      <c r="K1539" t="s">
        <v>109</v>
      </c>
      <c r="L1539" t="s">
        <v>91</v>
      </c>
      <c r="M1539" t="s">
        <v>50</v>
      </c>
      <c r="N1539" t="b">
        <v>1</v>
      </c>
      <c r="O1539" t="s">
        <v>176</v>
      </c>
    </row>
    <row r="1540" spans="1:15" ht="15" customHeight="1">
      <c r="A1540" t="s">
        <v>628</v>
      </c>
      <c r="B1540" t="s">
        <v>2136</v>
      </c>
      <c r="C1540" t="s">
        <v>129</v>
      </c>
      <c r="D1540" t="s">
        <v>130</v>
      </c>
      <c r="E1540">
        <v>16</v>
      </c>
      <c r="F1540">
        <v>11.6</v>
      </c>
      <c r="G1540">
        <v>0.72</v>
      </c>
      <c r="H1540">
        <v>18</v>
      </c>
      <c r="I1540">
        <v>5000</v>
      </c>
      <c r="J1540">
        <v>1000</v>
      </c>
      <c r="K1540" t="s">
        <v>108</v>
      </c>
      <c r="L1540" t="s">
        <v>96</v>
      </c>
      <c r="M1540" t="s">
        <v>40</v>
      </c>
      <c r="N1540" t="b">
        <v>0</v>
      </c>
      <c r="O1540" t="s">
        <v>166</v>
      </c>
    </row>
    <row r="1541" spans="1:15" ht="15" customHeight="1">
      <c r="A1541" t="s">
        <v>503</v>
      </c>
      <c r="B1541" t="s">
        <v>2137</v>
      </c>
      <c r="C1541" t="s">
        <v>75</v>
      </c>
      <c r="D1541" t="s">
        <v>69</v>
      </c>
      <c r="E1541">
        <v>13</v>
      </c>
      <c r="F1541">
        <v>7.2</v>
      </c>
      <c r="G1541">
        <v>0.55000000000000004</v>
      </c>
      <c r="H1541">
        <v>15</v>
      </c>
      <c r="I1541">
        <v>2000</v>
      </c>
      <c r="J1541">
        <v>1500</v>
      </c>
      <c r="K1541" t="s">
        <v>70</v>
      </c>
      <c r="L1541" t="s">
        <v>91</v>
      </c>
      <c r="M1541" t="s">
        <v>43</v>
      </c>
      <c r="N1541" t="b">
        <v>1</v>
      </c>
      <c r="O1541" t="s">
        <v>598</v>
      </c>
    </row>
    <row r="1542" spans="1:15" ht="15" customHeight="1">
      <c r="A1542" t="s">
        <v>1012</v>
      </c>
      <c r="B1542" t="s">
        <v>2138</v>
      </c>
      <c r="C1542" t="s">
        <v>129</v>
      </c>
      <c r="D1542" t="s">
        <v>130</v>
      </c>
      <c r="E1542">
        <v>17</v>
      </c>
      <c r="F1542">
        <v>4.0999999999999996</v>
      </c>
      <c r="G1542">
        <v>0.24</v>
      </c>
      <c r="H1542">
        <v>19</v>
      </c>
      <c r="I1542">
        <v>5000</v>
      </c>
      <c r="J1542">
        <v>1000</v>
      </c>
      <c r="K1542" t="s">
        <v>336</v>
      </c>
      <c r="L1542" t="s">
        <v>96</v>
      </c>
      <c r="M1542" t="s">
        <v>41</v>
      </c>
      <c r="N1542" t="b">
        <v>0</v>
      </c>
      <c r="O1542" t="s">
        <v>337</v>
      </c>
    </row>
    <row r="1543" spans="1:15" ht="15" customHeight="1">
      <c r="A1543" t="s">
        <v>685</v>
      </c>
      <c r="B1543" t="s">
        <v>2139</v>
      </c>
      <c r="C1543" t="s">
        <v>81</v>
      </c>
      <c r="D1543" t="s">
        <v>69</v>
      </c>
      <c r="E1543">
        <v>19</v>
      </c>
      <c r="F1543">
        <v>17.899999999999999</v>
      </c>
      <c r="G1543">
        <v>0.94</v>
      </c>
      <c r="H1543">
        <v>7</v>
      </c>
      <c r="I1543">
        <v>10000</v>
      </c>
      <c r="J1543">
        <v>3000</v>
      </c>
      <c r="K1543" t="s">
        <v>82</v>
      </c>
      <c r="L1543" t="s">
        <v>71</v>
      </c>
      <c r="M1543" t="s">
        <v>47</v>
      </c>
      <c r="N1543" t="b">
        <v>0</v>
      </c>
      <c r="O1543" t="s">
        <v>83</v>
      </c>
    </row>
    <row r="1544" spans="1:15" ht="15" customHeight="1">
      <c r="A1544" t="s">
        <v>110</v>
      </c>
      <c r="B1544" t="s">
        <v>2140</v>
      </c>
      <c r="C1544" t="s">
        <v>81</v>
      </c>
      <c r="D1544" t="s">
        <v>69</v>
      </c>
      <c r="E1544">
        <v>8</v>
      </c>
      <c r="F1544">
        <v>7.4</v>
      </c>
      <c r="G1544">
        <v>0.93</v>
      </c>
      <c r="H1544">
        <v>20</v>
      </c>
      <c r="I1544">
        <v>10000</v>
      </c>
      <c r="J1544">
        <v>3000</v>
      </c>
      <c r="K1544" t="s">
        <v>86</v>
      </c>
      <c r="L1544" t="s">
        <v>100</v>
      </c>
      <c r="M1544" t="s">
        <v>43</v>
      </c>
      <c r="N1544" t="b">
        <v>0</v>
      </c>
      <c r="O1544" t="s">
        <v>87</v>
      </c>
    </row>
    <row r="1545" spans="1:15" ht="15" customHeight="1">
      <c r="A1545" t="s">
        <v>355</v>
      </c>
      <c r="B1545" t="s">
        <v>2141</v>
      </c>
      <c r="C1545" t="s">
        <v>149</v>
      </c>
      <c r="D1545" t="s">
        <v>69</v>
      </c>
      <c r="E1545">
        <v>9</v>
      </c>
      <c r="F1545">
        <v>8.3000000000000007</v>
      </c>
      <c r="G1545">
        <v>0.92</v>
      </c>
      <c r="H1545">
        <v>20</v>
      </c>
      <c r="I1545">
        <v>3000</v>
      </c>
      <c r="J1545">
        <v>1000</v>
      </c>
      <c r="K1545" t="s">
        <v>162</v>
      </c>
      <c r="L1545" t="s">
        <v>104</v>
      </c>
      <c r="M1545" t="s">
        <v>51</v>
      </c>
      <c r="N1545" t="b">
        <v>0</v>
      </c>
      <c r="O1545" t="s">
        <v>180</v>
      </c>
    </row>
    <row r="1546" spans="1:15" ht="15" customHeight="1">
      <c r="A1546" t="s">
        <v>534</v>
      </c>
      <c r="B1546" t="s">
        <v>2142</v>
      </c>
      <c r="C1546" t="s">
        <v>129</v>
      </c>
      <c r="D1546" t="s">
        <v>130</v>
      </c>
      <c r="E1546">
        <v>16</v>
      </c>
      <c r="F1546">
        <v>9.8000000000000007</v>
      </c>
      <c r="G1546">
        <v>0.61</v>
      </c>
      <c r="H1546">
        <v>6</v>
      </c>
      <c r="I1546">
        <v>5000</v>
      </c>
      <c r="J1546">
        <v>1000</v>
      </c>
      <c r="K1546" t="s">
        <v>70</v>
      </c>
      <c r="L1546" t="s">
        <v>71</v>
      </c>
      <c r="M1546" t="s">
        <v>51</v>
      </c>
      <c r="N1546" t="b">
        <v>0</v>
      </c>
      <c r="O1546" t="s">
        <v>331</v>
      </c>
    </row>
    <row r="1547" spans="1:15" ht="15" customHeight="1">
      <c r="A1547" t="s">
        <v>1012</v>
      </c>
      <c r="B1547" t="s">
        <v>2143</v>
      </c>
      <c r="C1547" t="s">
        <v>149</v>
      </c>
      <c r="D1547" t="s">
        <v>69</v>
      </c>
      <c r="E1547">
        <v>10</v>
      </c>
      <c r="F1547">
        <v>6.5</v>
      </c>
      <c r="G1547">
        <v>0.65</v>
      </c>
      <c r="H1547">
        <v>30</v>
      </c>
      <c r="I1547">
        <v>3000</v>
      </c>
      <c r="J1547">
        <v>1000</v>
      </c>
      <c r="K1547" t="s">
        <v>108</v>
      </c>
      <c r="L1547" t="s">
        <v>96</v>
      </c>
      <c r="M1547" t="s">
        <v>41</v>
      </c>
      <c r="N1547" t="b">
        <v>0</v>
      </c>
      <c r="O1547" t="s">
        <v>166</v>
      </c>
    </row>
    <row r="1548" spans="1:15" ht="15" customHeight="1">
      <c r="A1548" t="s">
        <v>1004</v>
      </c>
      <c r="B1548" t="s">
        <v>2144</v>
      </c>
      <c r="C1548" t="s">
        <v>68</v>
      </c>
      <c r="D1548" t="s">
        <v>69</v>
      </c>
      <c r="E1548">
        <v>15</v>
      </c>
      <c r="F1548">
        <v>1.6</v>
      </c>
      <c r="G1548">
        <v>0.11</v>
      </c>
      <c r="H1548">
        <v>5</v>
      </c>
      <c r="I1548">
        <v>30000</v>
      </c>
      <c r="J1548">
        <v>5000</v>
      </c>
      <c r="K1548" t="s">
        <v>112</v>
      </c>
      <c r="L1548" t="s">
        <v>77</v>
      </c>
      <c r="M1548" t="s">
        <v>43</v>
      </c>
      <c r="N1548" t="b">
        <v>0</v>
      </c>
      <c r="O1548" t="s">
        <v>113</v>
      </c>
    </row>
    <row r="1549" spans="1:15" ht="15" customHeight="1">
      <c r="A1549" t="s">
        <v>561</v>
      </c>
      <c r="B1549" t="s">
        <v>2145</v>
      </c>
      <c r="C1549" t="s">
        <v>75</v>
      </c>
      <c r="D1549" t="s">
        <v>69</v>
      </c>
      <c r="E1549">
        <v>14</v>
      </c>
      <c r="F1549">
        <v>3.8</v>
      </c>
      <c r="G1549">
        <v>0.27</v>
      </c>
      <c r="H1549">
        <v>26</v>
      </c>
      <c r="I1549">
        <v>2000</v>
      </c>
      <c r="J1549">
        <v>1500</v>
      </c>
      <c r="K1549" t="s">
        <v>298</v>
      </c>
      <c r="L1549" t="s">
        <v>71</v>
      </c>
      <c r="M1549" t="s">
        <v>50</v>
      </c>
      <c r="N1549" t="b">
        <v>0</v>
      </c>
      <c r="O1549" t="s">
        <v>299</v>
      </c>
    </row>
    <row r="1550" spans="1:15" ht="15" customHeight="1">
      <c r="A1550" t="s">
        <v>884</v>
      </c>
      <c r="B1550" t="s">
        <v>2146</v>
      </c>
      <c r="C1550" t="s">
        <v>75</v>
      </c>
      <c r="D1550" t="s">
        <v>69</v>
      </c>
      <c r="E1550">
        <v>11</v>
      </c>
      <c r="F1550">
        <v>6.5</v>
      </c>
      <c r="G1550">
        <v>0.59</v>
      </c>
      <c r="H1550">
        <v>21</v>
      </c>
      <c r="I1550">
        <v>2000</v>
      </c>
      <c r="J1550">
        <v>1500</v>
      </c>
      <c r="K1550" t="s">
        <v>365</v>
      </c>
      <c r="L1550" t="s">
        <v>77</v>
      </c>
      <c r="M1550" t="s">
        <v>47</v>
      </c>
      <c r="N1550" t="b">
        <v>0</v>
      </c>
      <c r="O1550" t="s">
        <v>366</v>
      </c>
    </row>
    <row r="1551" spans="1:15" ht="15" customHeight="1">
      <c r="A1551" t="s">
        <v>936</v>
      </c>
      <c r="B1551" t="s">
        <v>2147</v>
      </c>
      <c r="C1551" t="s">
        <v>75</v>
      </c>
      <c r="D1551" t="s">
        <v>69</v>
      </c>
      <c r="E1551">
        <v>10</v>
      </c>
      <c r="F1551">
        <v>9.1</v>
      </c>
      <c r="G1551">
        <v>0.91</v>
      </c>
      <c r="H1551">
        <v>10</v>
      </c>
      <c r="I1551">
        <v>2000</v>
      </c>
      <c r="J1551">
        <v>1500</v>
      </c>
      <c r="K1551" t="s">
        <v>418</v>
      </c>
      <c r="L1551" t="s">
        <v>100</v>
      </c>
      <c r="M1551" t="s">
        <v>47</v>
      </c>
      <c r="N1551" t="b">
        <v>0</v>
      </c>
      <c r="O1551" t="s">
        <v>419</v>
      </c>
    </row>
    <row r="1552" spans="1:15" ht="15" customHeight="1">
      <c r="A1552" t="s">
        <v>1711</v>
      </c>
      <c r="B1552" t="s">
        <v>2148</v>
      </c>
      <c r="C1552" t="s">
        <v>129</v>
      </c>
      <c r="D1552" t="s">
        <v>130</v>
      </c>
      <c r="E1552">
        <v>19</v>
      </c>
      <c r="F1552">
        <v>17.600000000000001</v>
      </c>
      <c r="G1552">
        <v>0.93</v>
      </c>
      <c r="H1552">
        <v>7</v>
      </c>
      <c r="I1552">
        <v>5000</v>
      </c>
      <c r="J1552">
        <v>1000</v>
      </c>
      <c r="K1552" t="s">
        <v>1135</v>
      </c>
      <c r="L1552" t="s">
        <v>96</v>
      </c>
      <c r="M1552" t="s">
        <v>47</v>
      </c>
      <c r="N1552" t="b">
        <v>0</v>
      </c>
      <c r="O1552" t="s">
        <v>862</v>
      </c>
    </row>
    <row r="1553" spans="1:15" ht="15" customHeight="1">
      <c r="A1553" t="s">
        <v>517</v>
      </c>
      <c r="B1553" t="s">
        <v>2149</v>
      </c>
      <c r="C1553" t="s">
        <v>129</v>
      </c>
      <c r="D1553" t="s">
        <v>130</v>
      </c>
      <c r="E1553">
        <v>11</v>
      </c>
      <c r="F1553">
        <v>9.9</v>
      </c>
      <c r="G1553">
        <v>0.9</v>
      </c>
      <c r="H1553">
        <v>10</v>
      </c>
      <c r="I1553">
        <v>5000</v>
      </c>
      <c r="J1553">
        <v>1000</v>
      </c>
      <c r="K1553" t="s">
        <v>158</v>
      </c>
      <c r="L1553" t="s">
        <v>100</v>
      </c>
      <c r="M1553" t="s">
        <v>46</v>
      </c>
      <c r="N1553" t="b">
        <v>0</v>
      </c>
      <c r="O1553" t="s">
        <v>159</v>
      </c>
    </row>
    <row r="1554" spans="1:15" ht="15" customHeight="1">
      <c r="A1554" t="s">
        <v>340</v>
      </c>
      <c r="B1554" t="s">
        <v>2150</v>
      </c>
      <c r="C1554" t="s">
        <v>81</v>
      </c>
      <c r="D1554" t="s">
        <v>69</v>
      </c>
      <c r="E1554">
        <v>15</v>
      </c>
      <c r="F1554">
        <v>13.4</v>
      </c>
      <c r="G1554">
        <v>0.89</v>
      </c>
      <c r="H1554">
        <v>11</v>
      </c>
      <c r="I1554">
        <v>10000</v>
      </c>
      <c r="J1554">
        <v>3000</v>
      </c>
      <c r="K1554" t="s">
        <v>134</v>
      </c>
      <c r="L1554" t="s">
        <v>117</v>
      </c>
      <c r="M1554" t="s">
        <v>45</v>
      </c>
      <c r="N1554" t="b">
        <v>1</v>
      </c>
      <c r="O1554" t="s">
        <v>155</v>
      </c>
    </row>
    <row r="1555" spans="1:15" ht="15" customHeight="1">
      <c r="A1555" t="s">
        <v>1672</v>
      </c>
      <c r="B1555" t="s">
        <v>2151</v>
      </c>
      <c r="C1555" t="s">
        <v>149</v>
      </c>
      <c r="D1555" t="s">
        <v>69</v>
      </c>
      <c r="E1555">
        <v>12</v>
      </c>
      <c r="F1555">
        <v>6.9</v>
      </c>
      <c r="G1555">
        <v>0.57999999999999996</v>
      </c>
      <c r="H1555">
        <v>28</v>
      </c>
      <c r="I1555">
        <v>3000</v>
      </c>
      <c r="J1555">
        <v>1000</v>
      </c>
      <c r="K1555" t="s">
        <v>176</v>
      </c>
      <c r="L1555" t="s">
        <v>117</v>
      </c>
      <c r="M1555" t="s">
        <v>43</v>
      </c>
      <c r="N1555" t="b">
        <v>1</v>
      </c>
      <c r="O1555" t="s">
        <v>177</v>
      </c>
    </row>
    <row r="1556" spans="1:15" ht="15" customHeight="1">
      <c r="A1556" t="s">
        <v>616</v>
      </c>
      <c r="B1556" t="s">
        <v>2152</v>
      </c>
      <c r="C1556" t="s">
        <v>81</v>
      </c>
      <c r="D1556" t="s">
        <v>69</v>
      </c>
      <c r="E1556">
        <v>19</v>
      </c>
      <c r="F1556">
        <v>5</v>
      </c>
      <c r="G1556">
        <v>0.26</v>
      </c>
      <c r="H1556">
        <v>20</v>
      </c>
      <c r="I1556">
        <v>10000</v>
      </c>
      <c r="J1556">
        <v>3000</v>
      </c>
      <c r="K1556" t="s">
        <v>86</v>
      </c>
      <c r="L1556" t="s">
        <v>96</v>
      </c>
      <c r="M1556" t="s">
        <v>42</v>
      </c>
      <c r="N1556" t="b">
        <v>0</v>
      </c>
      <c r="O1556" t="s">
        <v>87</v>
      </c>
    </row>
    <row r="1557" spans="1:15" ht="15" customHeight="1">
      <c r="A1557" t="s">
        <v>485</v>
      </c>
      <c r="B1557" t="s">
        <v>2153</v>
      </c>
      <c r="C1557" t="s">
        <v>81</v>
      </c>
      <c r="D1557" t="s">
        <v>69</v>
      </c>
      <c r="E1557">
        <v>20</v>
      </c>
      <c r="F1557">
        <v>10.7</v>
      </c>
      <c r="G1557">
        <v>0.53</v>
      </c>
      <c r="H1557">
        <v>20</v>
      </c>
      <c r="I1557">
        <v>10000</v>
      </c>
      <c r="J1557">
        <v>3000</v>
      </c>
      <c r="K1557" t="s">
        <v>86</v>
      </c>
      <c r="L1557" t="s">
        <v>100</v>
      </c>
      <c r="M1557" t="s">
        <v>50</v>
      </c>
      <c r="N1557" t="b">
        <v>0</v>
      </c>
      <c r="O1557" t="s">
        <v>87</v>
      </c>
    </row>
    <row r="1558" spans="1:15" ht="15" customHeight="1">
      <c r="A1558" t="s">
        <v>167</v>
      </c>
      <c r="B1558" t="s">
        <v>2154</v>
      </c>
      <c r="C1558" t="s">
        <v>129</v>
      </c>
      <c r="D1558" t="s">
        <v>130</v>
      </c>
      <c r="E1558">
        <v>14</v>
      </c>
      <c r="F1558">
        <v>5.0999999999999996</v>
      </c>
      <c r="G1558">
        <v>0.36</v>
      </c>
      <c r="H1558">
        <v>19</v>
      </c>
      <c r="I1558">
        <v>5000</v>
      </c>
      <c r="J1558">
        <v>1000</v>
      </c>
      <c r="K1558" t="s">
        <v>336</v>
      </c>
      <c r="L1558" t="s">
        <v>104</v>
      </c>
      <c r="M1558" t="s">
        <v>49</v>
      </c>
      <c r="N1558" t="b">
        <v>0</v>
      </c>
      <c r="O1558" t="s">
        <v>337</v>
      </c>
    </row>
    <row r="1559" spans="1:15" ht="15" customHeight="1">
      <c r="A1559" t="s">
        <v>734</v>
      </c>
      <c r="B1559" t="s">
        <v>2155</v>
      </c>
      <c r="C1559" t="s">
        <v>81</v>
      </c>
      <c r="D1559" t="s">
        <v>69</v>
      </c>
      <c r="E1559">
        <v>10</v>
      </c>
      <c r="F1559">
        <v>9.6999999999999993</v>
      </c>
      <c r="G1559">
        <v>0.97</v>
      </c>
      <c r="H1559">
        <v>20</v>
      </c>
      <c r="I1559">
        <v>10000</v>
      </c>
      <c r="J1559">
        <v>3000</v>
      </c>
      <c r="K1559" t="s">
        <v>86</v>
      </c>
      <c r="L1559" t="s">
        <v>100</v>
      </c>
      <c r="M1559" t="s">
        <v>48</v>
      </c>
      <c r="N1559" t="b">
        <v>0</v>
      </c>
      <c r="O1559" t="s">
        <v>87</v>
      </c>
    </row>
    <row r="1560" spans="1:15" ht="15" customHeight="1">
      <c r="A1560" t="s">
        <v>641</v>
      </c>
      <c r="B1560" t="s">
        <v>2156</v>
      </c>
      <c r="C1560" t="s">
        <v>81</v>
      </c>
      <c r="D1560" t="s">
        <v>69</v>
      </c>
      <c r="E1560">
        <v>17</v>
      </c>
      <c r="F1560">
        <v>12.2</v>
      </c>
      <c r="G1560">
        <v>0.72</v>
      </c>
      <c r="H1560">
        <v>15</v>
      </c>
      <c r="I1560">
        <v>10000</v>
      </c>
      <c r="J1560">
        <v>3000</v>
      </c>
      <c r="K1560" t="s">
        <v>112</v>
      </c>
      <c r="L1560" t="s">
        <v>77</v>
      </c>
      <c r="M1560" t="s">
        <v>45</v>
      </c>
      <c r="N1560" t="b">
        <v>0</v>
      </c>
      <c r="O1560" t="s">
        <v>234</v>
      </c>
    </row>
    <row r="1561" spans="1:15" ht="15" customHeight="1">
      <c r="A1561" t="s">
        <v>765</v>
      </c>
      <c r="B1561" t="s">
        <v>2157</v>
      </c>
      <c r="C1561" t="s">
        <v>129</v>
      </c>
      <c r="D1561" t="s">
        <v>130</v>
      </c>
      <c r="E1561">
        <v>10</v>
      </c>
      <c r="F1561">
        <v>9.1999999999999993</v>
      </c>
      <c r="G1561">
        <v>0.92</v>
      </c>
      <c r="H1561">
        <v>23</v>
      </c>
      <c r="I1561">
        <v>5000</v>
      </c>
      <c r="J1561">
        <v>1000</v>
      </c>
      <c r="K1561" t="s">
        <v>97</v>
      </c>
      <c r="L1561" t="s">
        <v>71</v>
      </c>
      <c r="M1561" t="s">
        <v>42</v>
      </c>
      <c r="N1561" t="b">
        <v>0</v>
      </c>
      <c r="O1561" t="s">
        <v>220</v>
      </c>
    </row>
    <row r="1562" spans="1:15" ht="15" customHeight="1">
      <c r="A1562" t="s">
        <v>920</v>
      </c>
      <c r="B1562" t="s">
        <v>2158</v>
      </c>
      <c r="C1562" t="s">
        <v>129</v>
      </c>
      <c r="D1562" t="s">
        <v>130</v>
      </c>
      <c r="E1562">
        <v>8</v>
      </c>
      <c r="F1562">
        <v>5.4</v>
      </c>
      <c r="G1562">
        <v>0.68</v>
      </c>
      <c r="H1562">
        <v>19</v>
      </c>
      <c r="I1562">
        <v>5000</v>
      </c>
      <c r="J1562">
        <v>1000</v>
      </c>
      <c r="K1562" t="s">
        <v>336</v>
      </c>
      <c r="L1562" t="s">
        <v>96</v>
      </c>
      <c r="M1562" t="s">
        <v>51</v>
      </c>
      <c r="N1562" t="b">
        <v>0</v>
      </c>
      <c r="O1562" t="s">
        <v>337</v>
      </c>
    </row>
    <row r="1563" spans="1:15" ht="15" customHeight="1">
      <c r="A1563" t="s">
        <v>301</v>
      </c>
      <c r="B1563" t="s">
        <v>2159</v>
      </c>
      <c r="C1563" t="s">
        <v>149</v>
      </c>
      <c r="D1563" t="s">
        <v>69</v>
      </c>
      <c r="E1563">
        <v>10</v>
      </c>
      <c r="F1563">
        <v>8.6</v>
      </c>
      <c r="G1563">
        <v>0.86</v>
      </c>
      <c r="H1563">
        <v>36</v>
      </c>
      <c r="I1563">
        <v>3000</v>
      </c>
      <c r="J1563">
        <v>1000</v>
      </c>
      <c r="K1563" t="s">
        <v>154</v>
      </c>
      <c r="L1563" t="s">
        <v>100</v>
      </c>
      <c r="M1563" t="s">
        <v>50</v>
      </c>
      <c r="N1563" t="b">
        <v>0</v>
      </c>
      <c r="O1563" t="s">
        <v>155</v>
      </c>
    </row>
    <row r="1564" spans="1:15" ht="15" customHeight="1">
      <c r="A1564" t="s">
        <v>344</v>
      </c>
      <c r="B1564" t="s">
        <v>2160</v>
      </c>
      <c r="C1564" t="s">
        <v>129</v>
      </c>
      <c r="D1564" t="s">
        <v>130</v>
      </c>
      <c r="E1564">
        <v>20</v>
      </c>
      <c r="F1564">
        <v>7.6</v>
      </c>
      <c r="G1564">
        <v>0.38</v>
      </c>
      <c r="H1564">
        <v>23</v>
      </c>
      <c r="I1564">
        <v>5000</v>
      </c>
      <c r="J1564">
        <v>1000</v>
      </c>
      <c r="K1564" t="s">
        <v>97</v>
      </c>
      <c r="L1564" t="s">
        <v>100</v>
      </c>
      <c r="M1564" t="s">
        <v>50</v>
      </c>
      <c r="N1564" t="b">
        <v>0</v>
      </c>
      <c r="O1564" t="s">
        <v>220</v>
      </c>
    </row>
    <row r="1565" spans="1:15" ht="15" customHeight="1">
      <c r="A1565" t="s">
        <v>1544</v>
      </c>
      <c r="B1565" t="s">
        <v>2161</v>
      </c>
      <c r="C1565" t="s">
        <v>149</v>
      </c>
      <c r="D1565" t="s">
        <v>69</v>
      </c>
      <c r="E1565">
        <v>12</v>
      </c>
      <c r="F1565">
        <v>9.1999999999999993</v>
      </c>
      <c r="G1565">
        <v>0.77</v>
      </c>
      <c r="H1565">
        <v>26</v>
      </c>
      <c r="I1565">
        <v>3000</v>
      </c>
      <c r="J1565">
        <v>1000</v>
      </c>
      <c r="K1565" t="s">
        <v>294</v>
      </c>
      <c r="L1565" t="s">
        <v>100</v>
      </c>
      <c r="M1565" t="s">
        <v>42</v>
      </c>
      <c r="N1565" t="b">
        <v>0</v>
      </c>
      <c r="O1565" t="s">
        <v>295</v>
      </c>
    </row>
    <row r="1566" spans="1:15" ht="15" customHeight="1">
      <c r="A1566" t="s">
        <v>517</v>
      </c>
      <c r="B1566" t="s">
        <v>2162</v>
      </c>
      <c r="C1566" t="s">
        <v>68</v>
      </c>
      <c r="D1566" t="s">
        <v>69</v>
      </c>
      <c r="E1566">
        <v>13</v>
      </c>
      <c r="F1566">
        <v>0.9</v>
      </c>
      <c r="G1566">
        <v>7.0000000000000007E-2</v>
      </c>
      <c r="H1566">
        <v>2</v>
      </c>
      <c r="I1566">
        <v>30000</v>
      </c>
      <c r="J1566">
        <v>5000</v>
      </c>
      <c r="K1566" t="s">
        <v>162</v>
      </c>
      <c r="L1566" t="s">
        <v>100</v>
      </c>
      <c r="M1566" t="s">
        <v>46</v>
      </c>
      <c r="N1566" t="b">
        <v>0</v>
      </c>
      <c r="O1566" t="s">
        <v>163</v>
      </c>
    </row>
    <row r="1567" spans="1:15" ht="15" customHeight="1">
      <c r="A1567" t="s">
        <v>685</v>
      </c>
      <c r="B1567" t="s">
        <v>2163</v>
      </c>
      <c r="C1567" t="s">
        <v>68</v>
      </c>
      <c r="D1567" t="s">
        <v>69</v>
      </c>
      <c r="E1567">
        <v>16</v>
      </c>
      <c r="F1567">
        <v>1.7</v>
      </c>
      <c r="G1567">
        <v>0.11</v>
      </c>
      <c r="H1567">
        <v>3</v>
      </c>
      <c r="I1567">
        <v>30000</v>
      </c>
      <c r="J1567">
        <v>5000</v>
      </c>
      <c r="K1567" t="s">
        <v>108</v>
      </c>
      <c r="L1567" t="s">
        <v>71</v>
      </c>
      <c r="M1567" t="s">
        <v>47</v>
      </c>
      <c r="N1567" t="b">
        <v>0</v>
      </c>
      <c r="O1567" t="s">
        <v>109</v>
      </c>
    </row>
    <row r="1568" spans="1:15" ht="15" customHeight="1">
      <c r="A1568" t="s">
        <v>532</v>
      </c>
      <c r="B1568" t="s">
        <v>2164</v>
      </c>
      <c r="C1568" t="s">
        <v>149</v>
      </c>
      <c r="D1568" t="s">
        <v>69</v>
      </c>
      <c r="E1568">
        <v>11</v>
      </c>
      <c r="F1568">
        <v>8.6</v>
      </c>
      <c r="G1568">
        <v>0.78</v>
      </c>
      <c r="H1568">
        <v>26</v>
      </c>
      <c r="I1568">
        <v>3000</v>
      </c>
      <c r="J1568">
        <v>1000</v>
      </c>
      <c r="K1568" t="s">
        <v>294</v>
      </c>
      <c r="L1568" t="s">
        <v>71</v>
      </c>
      <c r="M1568" t="s">
        <v>43</v>
      </c>
      <c r="N1568" t="b">
        <v>0</v>
      </c>
      <c r="O1568" t="s">
        <v>295</v>
      </c>
    </row>
    <row r="1569" spans="1:15" ht="15" customHeight="1">
      <c r="A1569" t="s">
        <v>1839</v>
      </c>
      <c r="B1569" t="s">
        <v>2165</v>
      </c>
      <c r="C1569" t="s">
        <v>68</v>
      </c>
      <c r="D1569" t="s">
        <v>69</v>
      </c>
      <c r="E1569">
        <v>16</v>
      </c>
      <c r="F1569">
        <v>2.1</v>
      </c>
      <c r="G1569">
        <v>0.13</v>
      </c>
      <c r="H1569">
        <v>3</v>
      </c>
      <c r="I1569">
        <v>30000</v>
      </c>
      <c r="J1569">
        <v>5000</v>
      </c>
      <c r="K1569" t="s">
        <v>108</v>
      </c>
      <c r="L1569" t="s">
        <v>91</v>
      </c>
      <c r="M1569" t="s">
        <v>43</v>
      </c>
      <c r="N1569" t="b">
        <v>1</v>
      </c>
      <c r="O1569" t="s">
        <v>109</v>
      </c>
    </row>
    <row r="1570" spans="1:15" ht="15" customHeight="1">
      <c r="A1570" t="s">
        <v>199</v>
      </c>
      <c r="B1570" t="s">
        <v>2166</v>
      </c>
      <c r="C1570" t="s">
        <v>75</v>
      </c>
      <c r="D1570" t="s">
        <v>69</v>
      </c>
      <c r="E1570">
        <v>13</v>
      </c>
      <c r="F1570">
        <v>3.5</v>
      </c>
      <c r="G1570">
        <v>0.27</v>
      </c>
      <c r="H1570">
        <v>23</v>
      </c>
      <c r="I1570">
        <v>2000</v>
      </c>
      <c r="J1570">
        <v>1500</v>
      </c>
      <c r="K1570" t="s">
        <v>207</v>
      </c>
      <c r="L1570" t="s">
        <v>100</v>
      </c>
      <c r="M1570" t="s">
        <v>44</v>
      </c>
      <c r="N1570" t="b">
        <v>0</v>
      </c>
      <c r="O1570" t="s">
        <v>208</v>
      </c>
    </row>
    <row r="1571" spans="1:15" ht="15" customHeight="1">
      <c r="A1571" t="s">
        <v>1442</v>
      </c>
      <c r="B1571" t="s">
        <v>2167</v>
      </c>
      <c r="C1571" t="s">
        <v>68</v>
      </c>
      <c r="D1571" t="s">
        <v>69</v>
      </c>
      <c r="E1571">
        <v>12</v>
      </c>
      <c r="F1571">
        <v>1.7</v>
      </c>
      <c r="G1571">
        <v>0.14000000000000001</v>
      </c>
      <c r="H1571">
        <v>4</v>
      </c>
      <c r="I1571">
        <v>30000</v>
      </c>
      <c r="J1571">
        <v>5000</v>
      </c>
      <c r="K1571" t="s">
        <v>95</v>
      </c>
      <c r="L1571" t="s">
        <v>104</v>
      </c>
      <c r="M1571" t="s">
        <v>47</v>
      </c>
      <c r="N1571" t="b">
        <v>0</v>
      </c>
      <c r="O1571" t="s">
        <v>97</v>
      </c>
    </row>
    <row r="1572" spans="1:15" ht="15" customHeight="1">
      <c r="A1572" t="s">
        <v>1101</v>
      </c>
      <c r="B1572" t="s">
        <v>2168</v>
      </c>
      <c r="C1572" t="s">
        <v>149</v>
      </c>
      <c r="D1572" t="s">
        <v>69</v>
      </c>
      <c r="E1572">
        <v>9</v>
      </c>
      <c r="F1572">
        <v>8.3000000000000007</v>
      </c>
      <c r="G1572">
        <v>0.92</v>
      </c>
      <c r="H1572">
        <v>16</v>
      </c>
      <c r="I1572">
        <v>3000</v>
      </c>
      <c r="J1572">
        <v>1000</v>
      </c>
      <c r="K1572" t="s">
        <v>361</v>
      </c>
      <c r="L1572" t="s">
        <v>77</v>
      </c>
      <c r="M1572" t="s">
        <v>49</v>
      </c>
      <c r="N1572" t="b">
        <v>0</v>
      </c>
      <c r="O1572" t="s">
        <v>870</v>
      </c>
    </row>
    <row r="1573" spans="1:15" ht="15" customHeight="1">
      <c r="A1573" t="s">
        <v>1352</v>
      </c>
      <c r="B1573" t="s">
        <v>2169</v>
      </c>
      <c r="C1573" t="s">
        <v>129</v>
      </c>
      <c r="D1573" t="s">
        <v>130</v>
      </c>
      <c r="E1573">
        <v>16</v>
      </c>
      <c r="F1573">
        <v>10.4</v>
      </c>
      <c r="G1573">
        <v>0.65</v>
      </c>
      <c r="H1573">
        <v>18</v>
      </c>
      <c r="I1573">
        <v>5000</v>
      </c>
      <c r="J1573">
        <v>1000</v>
      </c>
      <c r="K1573" t="s">
        <v>108</v>
      </c>
      <c r="L1573" t="s">
        <v>91</v>
      </c>
      <c r="M1573" t="s">
        <v>49</v>
      </c>
      <c r="N1573" t="b">
        <v>1</v>
      </c>
      <c r="O1573" t="s">
        <v>166</v>
      </c>
    </row>
    <row r="1574" spans="1:15" ht="15" customHeight="1">
      <c r="A1574" t="s">
        <v>332</v>
      </c>
      <c r="B1574" t="s">
        <v>2170</v>
      </c>
      <c r="C1574" t="s">
        <v>81</v>
      </c>
      <c r="D1574" t="s">
        <v>69</v>
      </c>
      <c r="E1574">
        <v>10</v>
      </c>
      <c r="F1574">
        <v>5.7</v>
      </c>
      <c r="G1574">
        <v>0.56999999999999995</v>
      </c>
      <c r="H1574">
        <v>16</v>
      </c>
      <c r="I1574">
        <v>10000</v>
      </c>
      <c r="J1574">
        <v>3000</v>
      </c>
      <c r="K1574" t="s">
        <v>283</v>
      </c>
      <c r="L1574" t="s">
        <v>96</v>
      </c>
      <c r="M1574" t="s">
        <v>42</v>
      </c>
      <c r="N1574" t="b">
        <v>0</v>
      </c>
      <c r="O1574" t="s">
        <v>284</v>
      </c>
    </row>
    <row r="1575" spans="1:15" ht="15" customHeight="1">
      <c r="A1575" t="s">
        <v>88</v>
      </c>
      <c r="B1575" t="s">
        <v>2171</v>
      </c>
      <c r="C1575" t="s">
        <v>75</v>
      </c>
      <c r="D1575" t="s">
        <v>69</v>
      </c>
      <c r="E1575">
        <v>12</v>
      </c>
      <c r="F1575">
        <v>8.9</v>
      </c>
      <c r="G1575">
        <v>0.74</v>
      </c>
      <c r="H1575">
        <v>7</v>
      </c>
      <c r="I1575">
        <v>2000</v>
      </c>
      <c r="J1575">
        <v>1500</v>
      </c>
      <c r="K1575" t="s">
        <v>241</v>
      </c>
      <c r="L1575" t="s">
        <v>91</v>
      </c>
      <c r="M1575" t="s">
        <v>51</v>
      </c>
      <c r="N1575" t="b">
        <v>1</v>
      </c>
      <c r="O1575" t="s">
        <v>242</v>
      </c>
    </row>
    <row r="1576" spans="1:15" ht="15" customHeight="1">
      <c r="A1576" t="s">
        <v>321</v>
      </c>
      <c r="B1576" t="s">
        <v>2172</v>
      </c>
      <c r="C1576" t="s">
        <v>149</v>
      </c>
      <c r="D1576" t="s">
        <v>69</v>
      </c>
      <c r="E1576">
        <v>10</v>
      </c>
      <c r="F1576">
        <v>9.6</v>
      </c>
      <c r="G1576">
        <v>0.96</v>
      </c>
      <c r="H1576">
        <v>21</v>
      </c>
      <c r="I1576">
        <v>3000</v>
      </c>
      <c r="J1576">
        <v>1000</v>
      </c>
      <c r="K1576" t="s">
        <v>380</v>
      </c>
      <c r="L1576" t="s">
        <v>91</v>
      </c>
      <c r="M1576" t="s">
        <v>50</v>
      </c>
      <c r="N1576" t="b">
        <v>1</v>
      </c>
      <c r="O1576" t="s">
        <v>381</v>
      </c>
    </row>
    <row r="1577" spans="1:15" ht="15" customHeight="1">
      <c r="A1577" t="s">
        <v>1310</v>
      </c>
      <c r="B1577" t="s">
        <v>2173</v>
      </c>
      <c r="C1577" t="s">
        <v>81</v>
      </c>
      <c r="D1577" t="s">
        <v>69</v>
      </c>
      <c r="E1577">
        <v>9</v>
      </c>
      <c r="F1577">
        <v>3.2</v>
      </c>
      <c r="G1577">
        <v>0.36</v>
      </c>
      <c r="H1577">
        <v>14</v>
      </c>
      <c r="I1577">
        <v>10000</v>
      </c>
      <c r="J1577">
        <v>3000</v>
      </c>
      <c r="K1577" t="s">
        <v>116</v>
      </c>
      <c r="L1577" t="s">
        <v>117</v>
      </c>
      <c r="M1577" t="s">
        <v>47</v>
      </c>
      <c r="N1577" t="b">
        <v>1</v>
      </c>
      <c r="O1577" t="s">
        <v>118</v>
      </c>
    </row>
    <row r="1578" spans="1:15" ht="15" customHeight="1">
      <c r="A1578" t="s">
        <v>79</v>
      </c>
      <c r="B1578" t="s">
        <v>2174</v>
      </c>
      <c r="C1578" t="s">
        <v>68</v>
      </c>
      <c r="D1578" t="s">
        <v>69</v>
      </c>
      <c r="E1578">
        <v>13</v>
      </c>
      <c r="F1578">
        <v>0.8</v>
      </c>
      <c r="G1578">
        <v>0.06</v>
      </c>
      <c r="H1578">
        <v>3</v>
      </c>
      <c r="I1578">
        <v>30000</v>
      </c>
      <c r="J1578">
        <v>5000</v>
      </c>
      <c r="K1578" t="s">
        <v>108</v>
      </c>
      <c r="L1578" t="s">
        <v>77</v>
      </c>
      <c r="M1578" t="s">
        <v>51</v>
      </c>
      <c r="N1578" t="b">
        <v>0</v>
      </c>
      <c r="O1578" t="s">
        <v>109</v>
      </c>
    </row>
    <row r="1579" spans="1:15" ht="15" customHeight="1">
      <c r="A1579" t="s">
        <v>334</v>
      </c>
      <c r="B1579" t="s">
        <v>2175</v>
      </c>
      <c r="C1579" t="s">
        <v>68</v>
      </c>
      <c r="D1579" t="s">
        <v>69</v>
      </c>
      <c r="E1579">
        <v>8</v>
      </c>
      <c r="F1579">
        <v>1.7</v>
      </c>
      <c r="G1579">
        <v>0.21</v>
      </c>
      <c r="H1579">
        <v>3</v>
      </c>
      <c r="I1579">
        <v>30000</v>
      </c>
      <c r="J1579">
        <v>5000</v>
      </c>
      <c r="K1579" t="s">
        <v>108</v>
      </c>
      <c r="L1579" t="s">
        <v>77</v>
      </c>
      <c r="M1579" t="s">
        <v>43</v>
      </c>
      <c r="N1579" t="b">
        <v>0</v>
      </c>
      <c r="O1579" t="s">
        <v>109</v>
      </c>
    </row>
    <row r="1580" spans="1:15" ht="15" customHeight="1">
      <c r="A1580" t="s">
        <v>183</v>
      </c>
      <c r="B1580" t="s">
        <v>2176</v>
      </c>
      <c r="C1580" t="s">
        <v>68</v>
      </c>
      <c r="D1580" t="s">
        <v>69</v>
      </c>
      <c r="E1580">
        <v>16</v>
      </c>
      <c r="F1580">
        <v>1.1000000000000001</v>
      </c>
      <c r="G1580">
        <v>7.0000000000000007E-2</v>
      </c>
      <c r="H1580">
        <v>1</v>
      </c>
      <c r="I1580">
        <v>30000</v>
      </c>
      <c r="J1580">
        <v>5000</v>
      </c>
      <c r="K1580" t="s">
        <v>70</v>
      </c>
      <c r="L1580" t="s">
        <v>100</v>
      </c>
      <c r="M1580" t="s">
        <v>51</v>
      </c>
      <c r="N1580" t="b">
        <v>0</v>
      </c>
      <c r="O1580" t="s">
        <v>72</v>
      </c>
    </row>
    <row r="1581" spans="1:15" ht="15" customHeight="1">
      <c r="A1581" t="s">
        <v>687</v>
      </c>
      <c r="B1581" t="s">
        <v>2177</v>
      </c>
      <c r="C1581" t="s">
        <v>68</v>
      </c>
      <c r="D1581" t="s">
        <v>69</v>
      </c>
      <c r="E1581">
        <v>15</v>
      </c>
      <c r="F1581">
        <v>2.7</v>
      </c>
      <c r="G1581">
        <v>0.18</v>
      </c>
      <c r="H1581">
        <v>2</v>
      </c>
      <c r="I1581">
        <v>30000</v>
      </c>
      <c r="J1581">
        <v>5000</v>
      </c>
      <c r="K1581" t="s">
        <v>162</v>
      </c>
      <c r="L1581" t="s">
        <v>96</v>
      </c>
      <c r="M1581" t="s">
        <v>45</v>
      </c>
      <c r="N1581" t="b">
        <v>0</v>
      </c>
      <c r="O1581" t="s">
        <v>163</v>
      </c>
    </row>
    <row r="1582" spans="1:15" ht="15" customHeight="1">
      <c r="A1582" t="s">
        <v>511</v>
      </c>
      <c r="B1582" t="s">
        <v>2178</v>
      </c>
      <c r="C1582" t="s">
        <v>68</v>
      </c>
      <c r="D1582" t="s">
        <v>69</v>
      </c>
      <c r="E1582">
        <v>15</v>
      </c>
      <c r="F1582">
        <v>1</v>
      </c>
      <c r="G1582">
        <v>7.0000000000000007E-2</v>
      </c>
      <c r="H1582">
        <v>2</v>
      </c>
      <c r="I1582">
        <v>30000</v>
      </c>
      <c r="J1582">
        <v>5000</v>
      </c>
      <c r="K1582" t="s">
        <v>162</v>
      </c>
      <c r="L1582" t="s">
        <v>104</v>
      </c>
      <c r="M1582" t="s">
        <v>50</v>
      </c>
      <c r="N1582" t="b">
        <v>0</v>
      </c>
      <c r="O1582" t="s">
        <v>163</v>
      </c>
    </row>
    <row r="1583" spans="1:15" ht="15" customHeight="1">
      <c r="A1583" t="s">
        <v>213</v>
      </c>
      <c r="B1583" t="s">
        <v>2179</v>
      </c>
      <c r="C1583" t="s">
        <v>75</v>
      </c>
      <c r="D1583" t="s">
        <v>69</v>
      </c>
      <c r="E1583">
        <v>11</v>
      </c>
      <c r="F1583">
        <v>9</v>
      </c>
      <c r="G1583">
        <v>0.82</v>
      </c>
      <c r="H1583">
        <v>19</v>
      </c>
      <c r="I1583">
        <v>2000</v>
      </c>
      <c r="J1583">
        <v>1500</v>
      </c>
      <c r="K1583" t="s">
        <v>408</v>
      </c>
      <c r="L1583" t="s">
        <v>71</v>
      </c>
      <c r="M1583" t="s">
        <v>47</v>
      </c>
      <c r="N1583" t="b">
        <v>0</v>
      </c>
      <c r="O1583" t="s">
        <v>409</v>
      </c>
    </row>
    <row r="1584" spans="1:15" ht="15" customHeight="1">
      <c r="A1584" t="s">
        <v>522</v>
      </c>
      <c r="B1584" t="s">
        <v>2180</v>
      </c>
      <c r="C1584" t="s">
        <v>81</v>
      </c>
      <c r="D1584" t="s">
        <v>69</v>
      </c>
      <c r="E1584">
        <v>12</v>
      </c>
      <c r="F1584">
        <v>5.8</v>
      </c>
      <c r="G1584">
        <v>0.48</v>
      </c>
      <c r="H1584">
        <v>21</v>
      </c>
      <c r="I1584">
        <v>10000</v>
      </c>
      <c r="J1584">
        <v>3000</v>
      </c>
      <c r="K1584" t="s">
        <v>279</v>
      </c>
      <c r="L1584" t="s">
        <v>96</v>
      </c>
      <c r="M1584" t="s">
        <v>48</v>
      </c>
      <c r="N1584" t="b">
        <v>0</v>
      </c>
      <c r="O1584" t="s">
        <v>280</v>
      </c>
    </row>
    <row r="1585" spans="1:15" ht="15" customHeight="1">
      <c r="A1585" t="s">
        <v>1166</v>
      </c>
      <c r="B1585" t="s">
        <v>2181</v>
      </c>
      <c r="C1585" t="s">
        <v>68</v>
      </c>
      <c r="D1585" t="s">
        <v>69</v>
      </c>
      <c r="E1585">
        <v>11</v>
      </c>
      <c r="F1585">
        <v>1.6</v>
      </c>
      <c r="G1585">
        <v>0.15</v>
      </c>
      <c r="H1585">
        <v>1</v>
      </c>
      <c r="I1585">
        <v>30000</v>
      </c>
      <c r="J1585">
        <v>5000</v>
      </c>
      <c r="K1585" t="s">
        <v>70</v>
      </c>
      <c r="L1585" t="s">
        <v>96</v>
      </c>
      <c r="M1585" t="s">
        <v>46</v>
      </c>
      <c r="N1585" t="b">
        <v>0</v>
      </c>
      <c r="O1585" t="s">
        <v>72</v>
      </c>
    </row>
    <row r="1586" spans="1:15" ht="15" customHeight="1">
      <c r="A1586" t="s">
        <v>794</v>
      </c>
      <c r="B1586" t="s">
        <v>2182</v>
      </c>
      <c r="C1586" t="s">
        <v>75</v>
      </c>
      <c r="D1586" t="s">
        <v>69</v>
      </c>
      <c r="E1586">
        <v>14</v>
      </c>
      <c r="F1586">
        <v>4</v>
      </c>
      <c r="G1586">
        <v>0.28999999999999998</v>
      </c>
      <c r="H1586">
        <v>18</v>
      </c>
      <c r="I1586">
        <v>2000</v>
      </c>
      <c r="J1586">
        <v>1500</v>
      </c>
      <c r="K1586" t="s">
        <v>225</v>
      </c>
      <c r="L1586" t="s">
        <v>96</v>
      </c>
      <c r="M1586" t="s">
        <v>45</v>
      </c>
      <c r="N1586" t="b">
        <v>0</v>
      </c>
      <c r="O1586" t="s">
        <v>226</v>
      </c>
    </row>
    <row r="1587" spans="1:15" ht="15" customHeight="1">
      <c r="A1587" t="s">
        <v>568</v>
      </c>
      <c r="B1587" t="s">
        <v>2183</v>
      </c>
      <c r="C1587" t="s">
        <v>81</v>
      </c>
      <c r="D1587" t="s">
        <v>69</v>
      </c>
      <c r="E1587">
        <v>10</v>
      </c>
      <c r="F1587">
        <v>6.4</v>
      </c>
      <c r="G1587">
        <v>0.64</v>
      </c>
      <c r="H1587">
        <v>15</v>
      </c>
      <c r="I1587">
        <v>10000</v>
      </c>
      <c r="J1587">
        <v>3000</v>
      </c>
      <c r="K1587" t="s">
        <v>112</v>
      </c>
      <c r="L1587" t="s">
        <v>77</v>
      </c>
      <c r="M1587" t="s">
        <v>41</v>
      </c>
      <c r="N1587" t="b">
        <v>0</v>
      </c>
      <c r="O1587" t="s">
        <v>234</v>
      </c>
    </row>
    <row r="1588" spans="1:15" ht="15" customHeight="1">
      <c r="A1588" t="s">
        <v>218</v>
      </c>
      <c r="B1588" t="s">
        <v>2184</v>
      </c>
      <c r="C1588" t="s">
        <v>75</v>
      </c>
      <c r="D1588" t="s">
        <v>69</v>
      </c>
      <c r="E1588">
        <v>11</v>
      </c>
      <c r="F1588">
        <v>4.0999999999999996</v>
      </c>
      <c r="G1588">
        <v>0.37</v>
      </c>
      <c r="H1588">
        <v>26</v>
      </c>
      <c r="I1588">
        <v>2000</v>
      </c>
      <c r="J1588">
        <v>1500</v>
      </c>
      <c r="K1588" t="s">
        <v>298</v>
      </c>
      <c r="L1588" t="s">
        <v>77</v>
      </c>
      <c r="M1588" t="s">
        <v>45</v>
      </c>
      <c r="N1588" t="b">
        <v>0</v>
      </c>
      <c r="O1588" t="s">
        <v>299</v>
      </c>
    </row>
    <row r="1589" spans="1:15" ht="15" customHeight="1">
      <c r="A1589" t="s">
        <v>1009</v>
      </c>
      <c r="B1589" t="s">
        <v>2185</v>
      </c>
      <c r="C1589" t="s">
        <v>75</v>
      </c>
      <c r="D1589" t="s">
        <v>69</v>
      </c>
      <c r="E1589">
        <v>19</v>
      </c>
      <c r="F1589">
        <v>11.7</v>
      </c>
      <c r="G1589">
        <v>0.62</v>
      </c>
      <c r="H1589">
        <v>17</v>
      </c>
      <c r="I1589">
        <v>2000</v>
      </c>
      <c r="J1589">
        <v>1500</v>
      </c>
      <c r="K1589" t="s">
        <v>862</v>
      </c>
      <c r="L1589" t="s">
        <v>117</v>
      </c>
      <c r="M1589" t="s">
        <v>42</v>
      </c>
      <c r="N1589" t="b">
        <v>1</v>
      </c>
      <c r="O1589" t="s">
        <v>863</v>
      </c>
    </row>
    <row r="1590" spans="1:15" ht="15" customHeight="1">
      <c r="A1590" t="s">
        <v>1504</v>
      </c>
      <c r="B1590" t="s">
        <v>2186</v>
      </c>
      <c r="C1590" t="s">
        <v>68</v>
      </c>
      <c r="D1590" t="s">
        <v>69</v>
      </c>
      <c r="E1590">
        <v>9</v>
      </c>
      <c r="F1590">
        <v>3.4</v>
      </c>
      <c r="G1590">
        <v>0.38</v>
      </c>
      <c r="H1590">
        <v>3</v>
      </c>
      <c r="I1590">
        <v>30000</v>
      </c>
      <c r="J1590">
        <v>5000</v>
      </c>
      <c r="K1590" t="s">
        <v>108</v>
      </c>
      <c r="L1590" t="s">
        <v>104</v>
      </c>
      <c r="M1590" t="s">
        <v>46</v>
      </c>
      <c r="N1590" t="b">
        <v>0</v>
      </c>
      <c r="O1590" t="s">
        <v>109</v>
      </c>
    </row>
    <row r="1591" spans="1:15" ht="15" customHeight="1">
      <c r="A1591" t="s">
        <v>1250</v>
      </c>
      <c r="B1591" t="s">
        <v>2187</v>
      </c>
      <c r="C1591" t="s">
        <v>129</v>
      </c>
      <c r="D1591" t="s">
        <v>130</v>
      </c>
      <c r="E1591">
        <v>20</v>
      </c>
      <c r="F1591">
        <v>18.5</v>
      </c>
      <c r="G1591">
        <v>0.93</v>
      </c>
      <c r="H1591">
        <v>27</v>
      </c>
      <c r="I1591">
        <v>5000</v>
      </c>
      <c r="J1591">
        <v>1000</v>
      </c>
      <c r="K1591" t="s">
        <v>172</v>
      </c>
      <c r="L1591" t="s">
        <v>96</v>
      </c>
      <c r="M1591" t="s">
        <v>41</v>
      </c>
      <c r="N1591" t="b">
        <v>0</v>
      </c>
      <c r="O1591" t="s">
        <v>173</v>
      </c>
    </row>
    <row r="1592" spans="1:15" ht="15" customHeight="1">
      <c r="A1592" t="s">
        <v>160</v>
      </c>
      <c r="B1592" t="s">
        <v>2188</v>
      </c>
      <c r="C1592" t="s">
        <v>149</v>
      </c>
      <c r="D1592" t="s">
        <v>69</v>
      </c>
      <c r="E1592">
        <v>11</v>
      </c>
      <c r="F1592">
        <v>7.9</v>
      </c>
      <c r="G1592">
        <v>0.72</v>
      </c>
      <c r="H1592">
        <v>15</v>
      </c>
      <c r="I1592">
        <v>3000</v>
      </c>
      <c r="J1592">
        <v>1000</v>
      </c>
      <c r="K1592" t="s">
        <v>438</v>
      </c>
      <c r="L1592" t="s">
        <v>71</v>
      </c>
      <c r="M1592" t="s">
        <v>45</v>
      </c>
      <c r="N1592" t="b">
        <v>0</v>
      </c>
      <c r="O1592" t="s">
        <v>90</v>
      </c>
    </row>
    <row r="1593" spans="1:15" ht="15" customHeight="1">
      <c r="A1593" t="s">
        <v>1352</v>
      </c>
      <c r="B1593" t="s">
        <v>2189</v>
      </c>
      <c r="C1593" t="s">
        <v>68</v>
      </c>
      <c r="D1593" t="s">
        <v>69</v>
      </c>
      <c r="E1593">
        <v>11</v>
      </c>
      <c r="F1593">
        <v>2.7</v>
      </c>
      <c r="G1593">
        <v>0.25</v>
      </c>
      <c r="H1593">
        <v>5</v>
      </c>
      <c r="I1593">
        <v>30000</v>
      </c>
      <c r="J1593">
        <v>5000</v>
      </c>
      <c r="K1593" t="s">
        <v>112</v>
      </c>
      <c r="L1593" t="s">
        <v>91</v>
      </c>
      <c r="M1593" t="s">
        <v>49</v>
      </c>
      <c r="N1593" t="b">
        <v>1</v>
      </c>
      <c r="O1593" t="s">
        <v>113</v>
      </c>
    </row>
    <row r="1594" spans="1:15" ht="15" customHeight="1">
      <c r="A1594" t="s">
        <v>897</v>
      </c>
      <c r="B1594" t="s">
        <v>2190</v>
      </c>
      <c r="C1594" t="s">
        <v>81</v>
      </c>
      <c r="D1594" t="s">
        <v>69</v>
      </c>
      <c r="E1594">
        <v>11</v>
      </c>
      <c r="F1594">
        <v>4.7</v>
      </c>
      <c r="G1594">
        <v>0.43</v>
      </c>
      <c r="H1594">
        <v>15</v>
      </c>
      <c r="I1594">
        <v>10000</v>
      </c>
      <c r="J1594">
        <v>3000</v>
      </c>
      <c r="K1594" t="s">
        <v>112</v>
      </c>
      <c r="L1594" t="s">
        <v>104</v>
      </c>
      <c r="M1594" t="s">
        <v>49</v>
      </c>
      <c r="N1594" t="b">
        <v>0</v>
      </c>
      <c r="O1594" t="s">
        <v>234</v>
      </c>
    </row>
    <row r="1595" spans="1:15" ht="15" customHeight="1">
      <c r="A1595" t="s">
        <v>391</v>
      </c>
      <c r="B1595" t="s">
        <v>2191</v>
      </c>
      <c r="C1595" t="s">
        <v>149</v>
      </c>
      <c r="D1595" t="s">
        <v>69</v>
      </c>
      <c r="E1595">
        <v>12</v>
      </c>
      <c r="F1595">
        <v>9.8000000000000007</v>
      </c>
      <c r="G1595">
        <v>0.82</v>
      </c>
      <c r="H1595">
        <v>27</v>
      </c>
      <c r="I1595">
        <v>3000</v>
      </c>
      <c r="J1595">
        <v>1000</v>
      </c>
      <c r="K1595" t="s">
        <v>845</v>
      </c>
      <c r="L1595" t="s">
        <v>71</v>
      </c>
      <c r="M1595" t="s">
        <v>46</v>
      </c>
      <c r="N1595" t="b">
        <v>0</v>
      </c>
      <c r="O1595" t="s">
        <v>357</v>
      </c>
    </row>
    <row r="1596" spans="1:15" ht="15" customHeight="1">
      <c r="A1596" t="s">
        <v>1026</v>
      </c>
      <c r="B1596" t="s">
        <v>2192</v>
      </c>
      <c r="C1596" t="s">
        <v>68</v>
      </c>
      <c r="D1596" t="s">
        <v>69</v>
      </c>
      <c r="E1596">
        <v>11</v>
      </c>
      <c r="F1596">
        <v>3.3</v>
      </c>
      <c r="G1596">
        <v>0.3</v>
      </c>
      <c r="H1596">
        <v>1</v>
      </c>
      <c r="I1596">
        <v>30000</v>
      </c>
      <c r="J1596">
        <v>5000</v>
      </c>
      <c r="K1596" t="s">
        <v>70</v>
      </c>
      <c r="L1596" t="s">
        <v>96</v>
      </c>
      <c r="M1596" t="s">
        <v>50</v>
      </c>
      <c r="N1596" t="b">
        <v>0</v>
      </c>
      <c r="O1596" t="s">
        <v>72</v>
      </c>
    </row>
    <row r="1597" spans="1:15" ht="15" customHeight="1">
      <c r="A1597" t="s">
        <v>1084</v>
      </c>
      <c r="B1597" t="s">
        <v>2193</v>
      </c>
      <c r="C1597" t="s">
        <v>81</v>
      </c>
      <c r="D1597" t="s">
        <v>69</v>
      </c>
      <c r="E1597">
        <v>9</v>
      </c>
      <c r="F1597">
        <v>8.6999999999999993</v>
      </c>
      <c r="G1597">
        <v>0.97</v>
      </c>
      <c r="H1597">
        <v>19</v>
      </c>
      <c r="I1597">
        <v>10000</v>
      </c>
      <c r="J1597">
        <v>3000</v>
      </c>
      <c r="K1597" t="s">
        <v>309</v>
      </c>
      <c r="L1597" t="s">
        <v>77</v>
      </c>
      <c r="M1597" t="s">
        <v>44</v>
      </c>
      <c r="N1597" t="b">
        <v>0</v>
      </c>
      <c r="O1597" t="s">
        <v>310</v>
      </c>
    </row>
    <row r="1598" spans="1:15" ht="15" customHeight="1">
      <c r="A1598" t="s">
        <v>1515</v>
      </c>
      <c r="B1598" t="s">
        <v>2194</v>
      </c>
      <c r="C1598" t="s">
        <v>81</v>
      </c>
      <c r="D1598" t="s">
        <v>69</v>
      </c>
      <c r="E1598">
        <v>13</v>
      </c>
      <c r="F1598">
        <v>11.9</v>
      </c>
      <c r="G1598">
        <v>0.92</v>
      </c>
      <c r="H1598">
        <v>10</v>
      </c>
      <c r="I1598">
        <v>10000</v>
      </c>
      <c r="J1598">
        <v>3000</v>
      </c>
      <c r="K1598" t="s">
        <v>103</v>
      </c>
      <c r="L1598" t="s">
        <v>104</v>
      </c>
      <c r="M1598" t="s">
        <v>51</v>
      </c>
      <c r="N1598" t="b">
        <v>0</v>
      </c>
      <c r="O1598" t="s">
        <v>105</v>
      </c>
    </row>
    <row r="1599" spans="1:15" ht="15" customHeight="1">
      <c r="A1599" t="s">
        <v>2195</v>
      </c>
      <c r="B1599" t="s">
        <v>2196</v>
      </c>
      <c r="C1599" t="s">
        <v>68</v>
      </c>
      <c r="D1599" t="s">
        <v>69</v>
      </c>
      <c r="E1599">
        <v>10</v>
      </c>
      <c r="F1599">
        <v>1.6</v>
      </c>
      <c r="G1599">
        <v>0.16</v>
      </c>
      <c r="H1599">
        <v>4</v>
      </c>
      <c r="I1599">
        <v>30000</v>
      </c>
      <c r="J1599">
        <v>5000</v>
      </c>
      <c r="K1599" t="s">
        <v>95</v>
      </c>
      <c r="L1599" t="s">
        <v>91</v>
      </c>
      <c r="M1599" t="s">
        <v>49</v>
      </c>
      <c r="N1599" t="b">
        <v>1</v>
      </c>
      <c r="O1599" t="s">
        <v>97</v>
      </c>
    </row>
    <row r="1600" spans="1:15" ht="15" customHeight="1">
      <c r="A1600" t="s">
        <v>1518</v>
      </c>
      <c r="B1600" t="s">
        <v>2197</v>
      </c>
      <c r="C1600" t="s">
        <v>68</v>
      </c>
      <c r="D1600" t="s">
        <v>69</v>
      </c>
      <c r="E1600">
        <v>16</v>
      </c>
      <c r="F1600">
        <v>1.9</v>
      </c>
      <c r="G1600">
        <v>0.12</v>
      </c>
      <c r="H1600">
        <v>1</v>
      </c>
      <c r="I1600">
        <v>30000</v>
      </c>
      <c r="J1600">
        <v>5000</v>
      </c>
      <c r="K1600" t="s">
        <v>70</v>
      </c>
      <c r="L1600" t="s">
        <v>117</v>
      </c>
      <c r="M1600" t="s">
        <v>51</v>
      </c>
      <c r="N1600" t="b">
        <v>1</v>
      </c>
      <c r="O1600" t="s">
        <v>72</v>
      </c>
    </row>
    <row r="1601" spans="1:15" ht="15" customHeight="1">
      <c r="A1601" t="s">
        <v>1411</v>
      </c>
      <c r="B1601" t="s">
        <v>2198</v>
      </c>
      <c r="C1601" t="s">
        <v>75</v>
      </c>
      <c r="D1601" t="s">
        <v>69</v>
      </c>
      <c r="E1601">
        <v>17</v>
      </c>
      <c r="F1601">
        <v>7.9</v>
      </c>
      <c r="G1601">
        <v>0.46</v>
      </c>
      <c r="H1601">
        <v>27</v>
      </c>
      <c r="I1601">
        <v>2000</v>
      </c>
      <c r="J1601">
        <v>1500</v>
      </c>
      <c r="K1601" t="s">
        <v>150</v>
      </c>
      <c r="L1601" t="s">
        <v>77</v>
      </c>
      <c r="M1601" t="s">
        <v>48</v>
      </c>
      <c r="N1601" t="b">
        <v>0</v>
      </c>
      <c r="O1601" t="s">
        <v>528</v>
      </c>
    </row>
    <row r="1602" spans="1:15" ht="15" customHeight="1">
      <c r="A1602" t="s">
        <v>834</v>
      </c>
      <c r="B1602" t="s">
        <v>2199</v>
      </c>
      <c r="C1602" t="s">
        <v>68</v>
      </c>
      <c r="D1602" t="s">
        <v>69</v>
      </c>
      <c r="E1602">
        <v>10</v>
      </c>
      <c r="F1602">
        <v>1.8</v>
      </c>
      <c r="G1602">
        <v>0.18</v>
      </c>
      <c r="H1602">
        <v>5</v>
      </c>
      <c r="I1602">
        <v>30000</v>
      </c>
      <c r="J1602">
        <v>5000</v>
      </c>
      <c r="K1602" t="s">
        <v>112</v>
      </c>
      <c r="L1602" t="s">
        <v>117</v>
      </c>
      <c r="M1602" t="s">
        <v>41</v>
      </c>
      <c r="N1602" t="b">
        <v>1</v>
      </c>
      <c r="O1602" t="s">
        <v>113</v>
      </c>
    </row>
    <row r="1603" spans="1:15" ht="15" customHeight="1">
      <c r="A1603" t="s">
        <v>1188</v>
      </c>
      <c r="B1603" t="s">
        <v>2200</v>
      </c>
      <c r="C1603" t="s">
        <v>149</v>
      </c>
      <c r="D1603" t="s">
        <v>69</v>
      </c>
      <c r="E1603">
        <v>12</v>
      </c>
      <c r="F1603">
        <v>7.4</v>
      </c>
      <c r="G1603">
        <v>0.62</v>
      </c>
      <c r="H1603">
        <v>18</v>
      </c>
      <c r="I1603">
        <v>3000</v>
      </c>
      <c r="J1603">
        <v>1000</v>
      </c>
      <c r="K1603" t="s">
        <v>150</v>
      </c>
      <c r="L1603" t="s">
        <v>117</v>
      </c>
      <c r="M1603" t="s">
        <v>50</v>
      </c>
      <c r="N1603" t="b">
        <v>1</v>
      </c>
      <c r="O1603" t="s">
        <v>151</v>
      </c>
    </row>
    <row r="1604" spans="1:15" ht="15" customHeight="1">
      <c r="A1604" t="s">
        <v>127</v>
      </c>
      <c r="B1604" t="s">
        <v>2201</v>
      </c>
      <c r="C1604" t="s">
        <v>68</v>
      </c>
      <c r="D1604" t="s">
        <v>69</v>
      </c>
      <c r="E1604">
        <v>8</v>
      </c>
      <c r="F1604">
        <v>0.6</v>
      </c>
      <c r="G1604">
        <v>7.0000000000000007E-2</v>
      </c>
      <c r="H1604">
        <v>1</v>
      </c>
      <c r="I1604">
        <v>30000</v>
      </c>
      <c r="J1604">
        <v>5000</v>
      </c>
      <c r="K1604" t="s">
        <v>70</v>
      </c>
      <c r="L1604" t="s">
        <v>117</v>
      </c>
      <c r="M1604" t="s">
        <v>44</v>
      </c>
      <c r="N1604" t="b">
        <v>1</v>
      </c>
      <c r="O1604" t="s">
        <v>72</v>
      </c>
    </row>
    <row r="1605" spans="1:15" ht="15" customHeight="1">
      <c r="A1605" t="s">
        <v>1705</v>
      </c>
      <c r="B1605" t="s">
        <v>2202</v>
      </c>
      <c r="C1605" t="s">
        <v>129</v>
      </c>
      <c r="D1605" t="s">
        <v>130</v>
      </c>
      <c r="E1605">
        <v>15</v>
      </c>
      <c r="F1605">
        <v>10</v>
      </c>
      <c r="G1605">
        <v>0.67</v>
      </c>
      <c r="H1605">
        <v>11</v>
      </c>
      <c r="I1605">
        <v>5000</v>
      </c>
      <c r="J1605">
        <v>1000</v>
      </c>
      <c r="K1605" t="s">
        <v>163</v>
      </c>
      <c r="L1605" t="s">
        <v>100</v>
      </c>
      <c r="M1605" t="s">
        <v>43</v>
      </c>
      <c r="N1605" t="b">
        <v>0</v>
      </c>
      <c r="O1605" t="s">
        <v>150</v>
      </c>
    </row>
    <row r="1606" spans="1:15" ht="15" customHeight="1">
      <c r="A1606" t="s">
        <v>848</v>
      </c>
      <c r="B1606" t="s">
        <v>2203</v>
      </c>
      <c r="C1606" t="s">
        <v>75</v>
      </c>
      <c r="D1606" t="s">
        <v>69</v>
      </c>
      <c r="E1606">
        <v>9</v>
      </c>
      <c r="F1606">
        <v>4.5</v>
      </c>
      <c r="G1606">
        <v>0.5</v>
      </c>
      <c r="H1606">
        <v>15</v>
      </c>
      <c r="I1606">
        <v>2000</v>
      </c>
      <c r="J1606">
        <v>1500</v>
      </c>
      <c r="K1606" t="s">
        <v>70</v>
      </c>
      <c r="L1606" t="s">
        <v>117</v>
      </c>
      <c r="M1606" t="s">
        <v>48</v>
      </c>
      <c r="N1606" t="b">
        <v>1</v>
      </c>
      <c r="O1606" t="s">
        <v>598</v>
      </c>
    </row>
    <row r="1607" spans="1:15" ht="15" customHeight="1">
      <c r="A1607" t="s">
        <v>371</v>
      </c>
      <c r="B1607" t="s">
        <v>2204</v>
      </c>
      <c r="C1607" t="s">
        <v>81</v>
      </c>
      <c r="D1607" t="s">
        <v>69</v>
      </c>
      <c r="E1607">
        <v>17</v>
      </c>
      <c r="F1607">
        <v>4</v>
      </c>
      <c r="G1607">
        <v>0.24</v>
      </c>
      <c r="H1607">
        <v>28</v>
      </c>
      <c r="I1607">
        <v>10000</v>
      </c>
      <c r="J1607">
        <v>3000</v>
      </c>
      <c r="K1607" t="s">
        <v>966</v>
      </c>
      <c r="L1607" t="s">
        <v>100</v>
      </c>
      <c r="M1607" t="s">
        <v>47</v>
      </c>
      <c r="N1607" t="b">
        <v>0</v>
      </c>
      <c r="O1607" t="s">
        <v>967</v>
      </c>
    </row>
    <row r="1608" spans="1:15" ht="15" customHeight="1">
      <c r="A1608" t="s">
        <v>846</v>
      </c>
      <c r="B1608" t="s">
        <v>2205</v>
      </c>
      <c r="C1608" t="s">
        <v>75</v>
      </c>
      <c r="D1608" t="s">
        <v>69</v>
      </c>
      <c r="E1608">
        <v>15</v>
      </c>
      <c r="F1608">
        <v>4.5</v>
      </c>
      <c r="G1608">
        <v>0.3</v>
      </c>
      <c r="H1608">
        <v>13</v>
      </c>
      <c r="I1608">
        <v>2000</v>
      </c>
      <c r="J1608">
        <v>1500</v>
      </c>
      <c r="K1608" t="s">
        <v>211</v>
      </c>
      <c r="L1608" t="s">
        <v>104</v>
      </c>
      <c r="M1608" t="s">
        <v>45</v>
      </c>
      <c r="N1608" t="b">
        <v>0</v>
      </c>
      <c r="O1608" t="s">
        <v>212</v>
      </c>
    </row>
    <row r="1609" spans="1:15" ht="15" customHeight="1">
      <c r="A1609" t="s">
        <v>334</v>
      </c>
      <c r="B1609" t="s">
        <v>2206</v>
      </c>
      <c r="C1609" t="s">
        <v>68</v>
      </c>
      <c r="D1609" t="s">
        <v>69</v>
      </c>
      <c r="E1609">
        <v>11</v>
      </c>
      <c r="F1609">
        <v>2.2999999999999998</v>
      </c>
      <c r="G1609">
        <v>0.21</v>
      </c>
      <c r="H1609">
        <v>3</v>
      </c>
      <c r="I1609">
        <v>30000</v>
      </c>
      <c r="J1609">
        <v>5000</v>
      </c>
      <c r="K1609" t="s">
        <v>108</v>
      </c>
      <c r="L1609" t="s">
        <v>77</v>
      </c>
      <c r="M1609" t="s">
        <v>43</v>
      </c>
      <c r="N1609" t="b">
        <v>0</v>
      </c>
      <c r="O1609" t="s">
        <v>109</v>
      </c>
    </row>
    <row r="1610" spans="1:15" ht="15" customHeight="1">
      <c r="A1610" t="s">
        <v>98</v>
      </c>
      <c r="B1610" t="s">
        <v>2207</v>
      </c>
      <c r="C1610" t="s">
        <v>68</v>
      </c>
      <c r="D1610" t="s">
        <v>69</v>
      </c>
      <c r="E1610">
        <v>9</v>
      </c>
      <c r="F1610">
        <v>1.9</v>
      </c>
      <c r="G1610">
        <v>0.21</v>
      </c>
      <c r="H1610">
        <v>1</v>
      </c>
      <c r="I1610">
        <v>30000</v>
      </c>
      <c r="J1610">
        <v>5000</v>
      </c>
      <c r="K1610" t="s">
        <v>70</v>
      </c>
      <c r="L1610" t="s">
        <v>100</v>
      </c>
      <c r="M1610" t="s">
        <v>47</v>
      </c>
      <c r="N1610" t="b">
        <v>0</v>
      </c>
      <c r="O1610" t="s">
        <v>72</v>
      </c>
    </row>
    <row r="1611" spans="1:15" ht="15" customHeight="1">
      <c r="A1611" t="s">
        <v>832</v>
      </c>
      <c r="B1611" t="s">
        <v>2208</v>
      </c>
      <c r="C1611" t="s">
        <v>129</v>
      </c>
      <c r="D1611" t="s">
        <v>130</v>
      </c>
      <c r="E1611">
        <v>19</v>
      </c>
      <c r="F1611">
        <v>15.8</v>
      </c>
      <c r="G1611">
        <v>0.83</v>
      </c>
      <c r="H1611">
        <v>23</v>
      </c>
      <c r="I1611">
        <v>5000</v>
      </c>
      <c r="J1611">
        <v>1000</v>
      </c>
      <c r="K1611" t="s">
        <v>97</v>
      </c>
      <c r="L1611" t="s">
        <v>117</v>
      </c>
      <c r="M1611" t="s">
        <v>50</v>
      </c>
      <c r="N1611" t="b">
        <v>1</v>
      </c>
      <c r="O1611" t="s">
        <v>220</v>
      </c>
    </row>
    <row r="1612" spans="1:15" ht="15" customHeight="1">
      <c r="A1612" t="s">
        <v>794</v>
      </c>
      <c r="B1612" t="s">
        <v>2209</v>
      </c>
      <c r="C1612" t="s">
        <v>81</v>
      </c>
      <c r="D1612" t="s">
        <v>69</v>
      </c>
      <c r="E1612">
        <v>13</v>
      </c>
      <c r="F1612">
        <v>11.8</v>
      </c>
      <c r="G1612">
        <v>0.91</v>
      </c>
      <c r="H1612">
        <v>11</v>
      </c>
      <c r="I1612">
        <v>10000</v>
      </c>
      <c r="J1612">
        <v>3000</v>
      </c>
      <c r="K1612" t="s">
        <v>134</v>
      </c>
      <c r="L1612" t="s">
        <v>96</v>
      </c>
      <c r="M1612" t="s">
        <v>45</v>
      </c>
      <c r="N1612" t="b">
        <v>0</v>
      </c>
      <c r="O1612" t="s">
        <v>155</v>
      </c>
    </row>
    <row r="1613" spans="1:15" ht="15" customHeight="1">
      <c r="A1613" t="s">
        <v>347</v>
      </c>
      <c r="B1613" t="s">
        <v>2210</v>
      </c>
      <c r="C1613" t="s">
        <v>129</v>
      </c>
      <c r="D1613" t="s">
        <v>130</v>
      </c>
      <c r="E1613">
        <v>10</v>
      </c>
      <c r="F1613">
        <v>9.5</v>
      </c>
      <c r="G1613">
        <v>0.95</v>
      </c>
      <c r="H1613">
        <v>15</v>
      </c>
      <c r="I1613">
        <v>5000</v>
      </c>
      <c r="J1613">
        <v>1000</v>
      </c>
      <c r="K1613" t="s">
        <v>479</v>
      </c>
      <c r="L1613" t="s">
        <v>104</v>
      </c>
      <c r="M1613" t="s">
        <v>42</v>
      </c>
      <c r="N1613" t="b">
        <v>0</v>
      </c>
      <c r="O1613" t="s">
        <v>480</v>
      </c>
    </row>
    <row r="1614" spans="1:15" ht="15" customHeight="1">
      <c r="A1614" t="s">
        <v>1153</v>
      </c>
      <c r="B1614" t="s">
        <v>2211</v>
      </c>
      <c r="C1614" t="s">
        <v>75</v>
      </c>
      <c r="D1614" t="s">
        <v>69</v>
      </c>
      <c r="E1614">
        <v>11</v>
      </c>
      <c r="F1614">
        <v>7.8</v>
      </c>
      <c r="G1614">
        <v>0.71</v>
      </c>
      <c r="H1614">
        <v>22</v>
      </c>
      <c r="I1614">
        <v>2000</v>
      </c>
      <c r="J1614">
        <v>1500</v>
      </c>
      <c r="K1614" t="s">
        <v>90</v>
      </c>
      <c r="L1614" t="s">
        <v>104</v>
      </c>
      <c r="M1614" t="s">
        <v>40</v>
      </c>
      <c r="N1614" t="b">
        <v>0</v>
      </c>
      <c r="O1614" t="s">
        <v>92</v>
      </c>
    </row>
    <row r="1615" spans="1:15" ht="15" customHeight="1">
      <c r="A1615" t="s">
        <v>127</v>
      </c>
      <c r="B1615" t="s">
        <v>2212</v>
      </c>
      <c r="C1615" t="s">
        <v>149</v>
      </c>
      <c r="D1615" t="s">
        <v>69</v>
      </c>
      <c r="E1615">
        <v>12</v>
      </c>
      <c r="F1615">
        <v>9.1</v>
      </c>
      <c r="G1615">
        <v>0.76</v>
      </c>
      <c r="H1615">
        <v>24</v>
      </c>
      <c r="I1615">
        <v>3000</v>
      </c>
      <c r="J1615">
        <v>1000</v>
      </c>
      <c r="K1615" t="s">
        <v>490</v>
      </c>
      <c r="L1615" t="s">
        <v>117</v>
      </c>
      <c r="M1615" t="s">
        <v>44</v>
      </c>
      <c r="N1615" t="b">
        <v>1</v>
      </c>
      <c r="O1615" t="s">
        <v>491</v>
      </c>
    </row>
    <row r="1616" spans="1:15" ht="15" customHeight="1">
      <c r="A1616" t="s">
        <v>877</v>
      </c>
      <c r="B1616" t="s">
        <v>2213</v>
      </c>
      <c r="C1616" t="s">
        <v>68</v>
      </c>
      <c r="D1616" t="s">
        <v>69</v>
      </c>
      <c r="E1616">
        <v>8</v>
      </c>
      <c r="F1616">
        <v>0.9</v>
      </c>
      <c r="G1616">
        <v>0.11</v>
      </c>
      <c r="H1616">
        <v>1</v>
      </c>
      <c r="I1616">
        <v>30000</v>
      </c>
      <c r="J1616">
        <v>5000</v>
      </c>
      <c r="K1616" t="s">
        <v>70</v>
      </c>
      <c r="L1616" t="s">
        <v>91</v>
      </c>
      <c r="M1616" t="s">
        <v>40</v>
      </c>
      <c r="N1616" t="b">
        <v>1</v>
      </c>
      <c r="O1616" t="s">
        <v>72</v>
      </c>
    </row>
    <row r="1617" spans="1:15" ht="15" customHeight="1">
      <c r="A1617" t="s">
        <v>218</v>
      </c>
      <c r="B1617" t="s">
        <v>2214</v>
      </c>
      <c r="C1617" t="s">
        <v>68</v>
      </c>
      <c r="D1617" t="s">
        <v>69</v>
      </c>
      <c r="E1617">
        <v>16</v>
      </c>
      <c r="F1617">
        <v>1.9</v>
      </c>
      <c r="G1617">
        <v>0.12</v>
      </c>
      <c r="H1617">
        <v>2</v>
      </c>
      <c r="I1617">
        <v>30000</v>
      </c>
      <c r="J1617">
        <v>5000</v>
      </c>
      <c r="K1617" t="s">
        <v>162</v>
      </c>
      <c r="L1617" t="s">
        <v>77</v>
      </c>
      <c r="M1617" t="s">
        <v>45</v>
      </c>
      <c r="N1617" t="b">
        <v>0</v>
      </c>
      <c r="O1617" t="s">
        <v>163</v>
      </c>
    </row>
    <row r="1618" spans="1:15" ht="15" customHeight="1">
      <c r="A1618" t="s">
        <v>416</v>
      </c>
      <c r="B1618" t="s">
        <v>2215</v>
      </c>
      <c r="C1618" t="s">
        <v>129</v>
      </c>
      <c r="D1618" t="s">
        <v>130</v>
      </c>
      <c r="E1618">
        <v>12</v>
      </c>
      <c r="F1618">
        <v>3.2</v>
      </c>
      <c r="G1618">
        <v>0.27</v>
      </c>
      <c r="H1618">
        <v>26</v>
      </c>
      <c r="I1618">
        <v>5000</v>
      </c>
      <c r="J1618">
        <v>1000</v>
      </c>
      <c r="K1618" t="s">
        <v>203</v>
      </c>
      <c r="L1618" t="s">
        <v>77</v>
      </c>
      <c r="M1618" t="s">
        <v>44</v>
      </c>
      <c r="N1618" t="b">
        <v>0</v>
      </c>
      <c r="O1618" t="s">
        <v>623</v>
      </c>
    </row>
    <row r="1619" spans="1:15" ht="15" customHeight="1">
      <c r="A1619" t="s">
        <v>462</v>
      </c>
      <c r="B1619" t="s">
        <v>2216</v>
      </c>
      <c r="C1619" t="s">
        <v>68</v>
      </c>
      <c r="D1619" t="s">
        <v>69</v>
      </c>
      <c r="E1619">
        <v>16</v>
      </c>
      <c r="F1619">
        <v>3.4</v>
      </c>
      <c r="G1619">
        <v>0.21</v>
      </c>
      <c r="H1619">
        <v>1</v>
      </c>
      <c r="I1619">
        <v>30000</v>
      </c>
      <c r="J1619">
        <v>5000</v>
      </c>
      <c r="K1619" t="s">
        <v>70</v>
      </c>
      <c r="L1619" t="s">
        <v>71</v>
      </c>
      <c r="M1619" t="s">
        <v>43</v>
      </c>
      <c r="N1619" t="b">
        <v>0</v>
      </c>
      <c r="O1619" t="s">
        <v>72</v>
      </c>
    </row>
    <row r="1620" spans="1:15" ht="15" customHeight="1">
      <c r="A1620" t="s">
        <v>1018</v>
      </c>
      <c r="B1620" t="s">
        <v>2217</v>
      </c>
      <c r="C1620" t="s">
        <v>81</v>
      </c>
      <c r="D1620" t="s">
        <v>69</v>
      </c>
      <c r="E1620">
        <v>11</v>
      </c>
      <c r="F1620">
        <v>7.7</v>
      </c>
      <c r="G1620">
        <v>0.7</v>
      </c>
      <c r="H1620">
        <v>23</v>
      </c>
      <c r="I1620">
        <v>10000</v>
      </c>
      <c r="J1620">
        <v>3000</v>
      </c>
      <c r="K1620" t="s">
        <v>626</v>
      </c>
      <c r="L1620" t="s">
        <v>96</v>
      </c>
      <c r="M1620" t="s">
        <v>49</v>
      </c>
      <c r="N1620" t="b">
        <v>0</v>
      </c>
      <c r="O1620" t="s">
        <v>627</v>
      </c>
    </row>
    <row r="1621" spans="1:15" ht="15" customHeight="1">
      <c r="A1621" t="s">
        <v>93</v>
      </c>
      <c r="B1621" t="s">
        <v>2218</v>
      </c>
      <c r="C1621" t="s">
        <v>149</v>
      </c>
      <c r="D1621" t="s">
        <v>69</v>
      </c>
      <c r="E1621">
        <v>12</v>
      </c>
      <c r="F1621">
        <v>11.6</v>
      </c>
      <c r="G1621">
        <v>0.97</v>
      </c>
      <c r="H1621">
        <v>39</v>
      </c>
      <c r="I1621">
        <v>3000</v>
      </c>
      <c r="J1621">
        <v>1000</v>
      </c>
      <c r="K1621" t="s">
        <v>257</v>
      </c>
      <c r="L1621" t="s">
        <v>96</v>
      </c>
      <c r="M1621" t="s">
        <v>40</v>
      </c>
      <c r="N1621" t="b">
        <v>0</v>
      </c>
      <c r="O1621" t="s">
        <v>258</v>
      </c>
    </row>
    <row r="1622" spans="1:15" ht="15" customHeight="1">
      <c r="A1622" t="s">
        <v>1317</v>
      </c>
      <c r="B1622" t="s">
        <v>2219</v>
      </c>
      <c r="C1622" t="s">
        <v>149</v>
      </c>
      <c r="D1622" t="s">
        <v>69</v>
      </c>
      <c r="E1622">
        <v>12</v>
      </c>
      <c r="F1622">
        <v>8.9</v>
      </c>
      <c r="G1622">
        <v>0.74</v>
      </c>
      <c r="H1622">
        <v>21</v>
      </c>
      <c r="I1622">
        <v>3000</v>
      </c>
      <c r="J1622">
        <v>1000</v>
      </c>
      <c r="K1622" t="s">
        <v>380</v>
      </c>
      <c r="L1622" t="s">
        <v>71</v>
      </c>
      <c r="M1622" t="s">
        <v>40</v>
      </c>
      <c r="N1622" t="b">
        <v>0</v>
      </c>
      <c r="O1622" t="s">
        <v>381</v>
      </c>
    </row>
    <row r="1623" spans="1:15" ht="15" customHeight="1">
      <c r="A1623" t="s">
        <v>632</v>
      </c>
      <c r="B1623" t="s">
        <v>2220</v>
      </c>
      <c r="C1623" t="s">
        <v>129</v>
      </c>
      <c r="D1623" t="s">
        <v>130</v>
      </c>
      <c r="E1623">
        <v>18</v>
      </c>
      <c r="F1623">
        <v>8.5</v>
      </c>
      <c r="G1623">
        <v>0.47</v>
      </c>
      <c r="H1623">
        <v>13</v>
      </c>
      <c r="I1623">
        <v>5000</v>
      </c>
      <c r="J1623">
        <v>1000</v>
      </c>
      <c r="K1623" t="s">
        <v>313</v>
      </c>
      <c r="L1623" t="s">
        <v>117</v>
      </c>
      <c r="M1623" t="s">
        <v>41</v>
      </c>
      <c r="N1623" t="b">
        <v>1</v>
      </c>
      <c r="O1623" t="s">
        <v>314</v>
      </c>
    </row>
    <row r="1624" spans="1:15" ht="15" customHeight="1">
      <c r="A1624" t="s">
        <v>926</v>
      </c>
      <c r="B1624" t="s">
        <v>2221</v>
      </c>
      <c r="C1624" t="s">
        <v>81</v>
      </c>
      <c r="D1624" t="s">
        <v>69</v>
      </c>
      <c r="E1624">
        <v>8</v>
      </c>
      <c r="F1624">
        <v>3.8</v>
      </c>
      <c r="G1624">
        <v>0.47</v>
      </c>
      <c r="H1624">
        <v>8</v>
      </c>
      <c r="I1624">
        <v>10000</v>
      </c>
      <c r="J1624">
        <v>3000</v>
      </c>
      <c r="K1624" t="s">
        <v>357</v>
      </c>
      <c r="L1624" t="s">
        <v>91</v>
      </c>
      <c r="M1624" t="s">
        <v>41</v>
      </c>
      <c r="N1624" t="b">
        <v>1</v>
      </c>
      <c r="O1624" t="s">
        <v>295</v>
      </c>
    </row>
    <row r="1625" spans="1:15" ht="15" customHeight="1">
      <c r="A1625" t="s">
        <v>1711</v>
      </c>
      <c r="B1625" t="s">
        <v>2222</v>
      </c>
      <c r="C1625" t="s">
        <v>81</v>
      </c>
      <c r="D1625" t="s">
        <v>69</v>
      </c>
      <c r="E1625">
        <v>12</v>
      </c>
      <c r="F1625">
        <v>9.4</v>
      </c>
      <c r="G1625">
        <v>0.78</v>
      </c>
      <c r="H1625">
        <v>21</v>
      </c>
      <c r="I1625">
        <v>10000</v>
      </c>
      <c r="J1625">
        <v>3000</v>
      </c>
      <c r="K1625" t="s">
        <v>279</v>
      </c>
      <c r="L1625" t="s">
        <v>96</v>
      </c>
      <c r="M1625" t="s">
        <v>47</v>
      </c>
      <c r="N1625" t="b">
        <v>0</v>
      </c>
      <c r="O1625" t="s">
        <v>280</v>
      </c>
    </row>
    <row r="1626" spans="1:15" ht="15" customHeight="1">
      <c r="A1626" t="s">
        <v>636</v>
      </c>
      <c r="B1626" t="s">
        <v>2223</v>
      </c>
      <c r="C1626" t="s">
        <v>149</v>
      </c>
      <c r="D1626" t="s">
        <v>69</v>
      </c>
      <c r="E1626">
        <v>8</v>
      </c>
      <c r="F1626">
        <v>7.5</v>
      </c>
      <c r="G1626">
        <v>0.94</v>
      </c>
      <c r="H1626">
        <v>17</v>
      </c>
      <c r="I1626">
        <v>3000</v>
      </c>
      <c r="J1626">
        <v>1000</v>
      </c>
      <c r="K1626" t="s">
        <v>634</v>
      </c>
      <c r="L1626" t="s">
        <v>77</v>
      </c>
      <c r="M1626" t="s">
        <v>46</v>
      </c>
      <c r="N1626" t="b">
        <v>0</v>
      </c>
      <c r="O1626" t="s">
        <v>158</v>
      </c>
    </row>
    <row r="1627" spans="1:15" ht="15" customHeight="1">
      <c r="A1627" t="s">
        <v>127</v>
      </c>
      <c r="B1627" t="s">
        <v>2224</v>
      </c>
      <c r="C1627" t="s">
        <v>81</v>
      </c>
      <c r="D1627" t="s">
        <v>69</v>
      </c>
      <c r="E1627">
        <v>20</v>
      </c>
      <c r="F1627">
        <v>13.7</v>
      </c>
      <c r="G1627">
        <v>0.68</v>
      </c>
      <c r="H1627">
        <v>26</v>
      </c>
      <c r="I1627">
        <v>10000</v>
      </c>
      <c r="J1627">
        <v>3000</v>
      </c>
      <c r="K1627" t="s">
        <v>525</v>
      </c>
      <c r="L1627" t="s">
        <v>117</v>
      </c>
      <c r="M1627" t="s">
        <v>44</v>
      </c>
      <c r="N1627" t="b">
        <v>1</v>
      </c>
      <c r="O1627" t="s">
        <v>526</v>
      </c>
    </row>
    <row r="1628" spans="1:15" ht="15" customHeight="1">
      <c r="A1628" t="s">
        <v>628</v>
      </c>
      <c r="B1628" t="s">
        <v>2225</v>
      </c>
      <c r="C1628" t="s">
        <v>129</v>
      </c>
      <c r="D1628" t="s">
        <v>130</v>
      </c>
      <c r="E1628">
        <v>18</v>
      </c>
      <c r="F1628">
        <v>9.4</v>
      </c>
      <c r="G1628">
        <v>0.52</v>
      </c>
      <c r="H1628">
        <v>16</v>
      </c>
      <c r="I1628">
        <v>5000</v>
      </c>
      <c r="J1628">
        <v>1000</v>
      </c>
      <c r="K1628" t="s">
        <v>357</v>
      </c>
      <c r="L1628" t="s">
        <v>96</v>
      </c>
      <c r="M1628" t="s">
        <v>40</v>
      </c>
      <c r="N1628" t="b">
        <v>0</v>
      </c>
      <c r="O1628" t="s">
        <v>456</v>
      </c>
    </row>
    <row r="1629" spans="1:15" ht="15" customHeight="1">
      <c r="A1629" t="s">
        <v>592</v>
      </c>
      <c r="B1629" t="s">
        <v>2226</v>
      </c>
      <c r="C1629" t="s">
        <v>75</v>
      </c>
      <c r="D1629" t="s">
        <v>69</v>
      </c>
      <c r="E1629">
        <v>13</v>
      </c>
      <c r="F1629">
        <v>13</v>
      </c>
      <c r="G1629">
        <v>1</v>
      </c>
      <c r="H1629">
        <v>27</v>
      </c>
      <c r="I1629">
        <v>2000</v>
      </c>
      <c r="J1629">
        <v>1500</v>
      </c>
      <c r="K1629" t="s">
        <v>150</v>
      </c>
      <c r="L1629" t="s">
        <v>91</v>
      </c>
      <c r="M1629" t="s">
        <v>51</v>
      </c>
      <c r="N1629" t="b">
        <v>1</v>
      </c>
      <c r="O1629" t="s">
        <v>528</v>
      </c>
    </row>
    <row r="1630" spans="1:15" ht="15" customHeight="1">
      <c r="A1630" t="s">
        <v>532</v>
      </c>
      <c r="B1630" t="s">
        <v>2227</v>
      </c>
      <c r="C1630" t="s">
        <v>68</v>
      </c>
      <c r="D1630" t="s">
        <v>69</v>
      </c>
      <c r="E1630">
        <v>11</v>
      </c>
      <c r="F1630">
        <v>1.7</v>
      </c>
      <c r="G1630">
        <v>0.15</v>
      </c>
      <c r="H1630">
        <v>3</v>
      </c>
      <c r="I1630">
        <v>30000</v>
      </c>
      <c r="J1630">
        <v>5000</v>
      </c>
      <c r="K1630" t="s">
        <v>108</v>
      </c>
      <c r="L1630" t="s">
        <v>71</v>
      </c>
      <c r="M1630" t="s">
        <v>43</v>
      </c>
      <c r="N1630" t="b">
        <v>0</v>
      </c>
      <c r="O1630" t="s">
        <v>109</v>
      </c>
    </row>
    <row r="1631" spans="1:15" ht="15" customHeight="1">
      <c r="A1631" t="s">
        <v>857</v>
      </c>
      <c r="B1631" t="s">
        <v>2228</v>
      </c>
      <c r="C1631" t="s">
        <v>68</v>
      </c>
      <c r="D1631" t="s">
        <v>69</v>
      </c>
      <c r="E1631">
        <v>10</v>
      </c>
      <c r="F1631">
        <v>2.1</v>
      </c>
      <c r="G1631">
        <v>0.21</v>
      </c>
      <c r="H1631">
        <v>2</v>
      </c>
      <c r="I1631">
        <v>30000</v>
      </c>
      <c r="J1631">
        <v>5000</v>
      </c>
      <c r="K1631" t="s">
        <v>162</v>
      </c>
      <c r="L1631" t="s">
        <v>91</v>
      </c>
      <c r="M1631" t="s">
        <v>48</v>
      </c>
      <c r="N1631" t="b">
        <v>1</v>
      </c>
      <c r="O1631" t="s">
        <v>163</v>
      </c>
    </row>
    <row r="1632" spans="1:15" ht="15" customHeight="1">
      <c r="A1632" t="s">
        <v>466</v>
      </c>
      <c r="B1632" t="s">
        <v>2229</v>
      </c>
      <c r="C1632" t="s">
        <v>129</v>
      </c>
      <c r="D1632" t="s">
        <v>130</v>
      </c>
      <c r="E1632">
        <v>17</v>
      </c>
      <c r="F1632">
        <v>16</v>
      </c>
      <c r="G1632">
        <v>0.94</v>
      </c>
      <c r="H1632">
        <v>30</v>
      </c>
      <c r="I1632">
        <v>5000</v>
      </c>
      <c r="J1632">
        <v>1000</v>
      </c>
      <c r="K1632" t="s">
        <v>112</v>
      </c>
      <c r="L1632" t="s">
        <v>96</v>
      </c>
      <c r="M1632" t="s">
        <v>48</v>
      </c>
      <c r="N1632" t="b">
        <v>0</v>
      </c>
      <c r="O1632" t="s">
        <v>195</v>
      </c>
    </row>
    <row r="1633" spans="1:15" ht="15" customHeight="1">
      <c r="A1633" t="s">
        <v>428</v>
      </c>
      <c r="B1633" t="s">
        <v>2230</v>
      </c>
      <c r="C1633" t="s">
        <v>81</v>
      </c>
      <c r="D1633" t="s">
        <v>69</v>
      </c>
      <c r="E1633">
        <v>17</v>
      </c>
      <c r="F1633">
        <v>8.4</v>
      </c>
      <c r="G1633">
        <v>0.49</v>
      </c>
      <c r="H1633">
        <v>8</v>
      </c>
      <c r="I1633">
        <v>10000</v>
      </c>
      <c r="J1633">
        <v>3000</v>
      </c>
      <c r="K1633" t="s">
        <v>357</v>
      </c>
      <c r="L1633" t="s">
        <v>104</v>
      </c>
      <c r="M1633" t="s">
        <v>46</v>
      </c>
      <c r="N1633" t="b">
        <v>0</v>
      </c>
      <c r="O1633" t="s">
        <v>295</v>
      </c>
    </row>
    <row r="1634" spans="1:15" ht="15" customHeight="1">
      <c r="A1634" t="s">
        <v>1044</v>
      </c>
      <c r="B1634" t="s">
        <v>2231</v>
      </c>
      <c r="C1634" t="s">
        <v>75</v>
      </c>
      <c r="D1634" t="s">
        <v>69</v>
      </c>
      <c r="E1634">
        <v>19</v>
      </c>
      <c r="F1634">
        <v>14</v>
      </c>
      <c r="G1634">
        <v>0.74</v>
      </c>
      <c r="H1634">
        <v>11</v>
      </c>
      <c r="I1634">
        <v>2000</v>
      </c>
      <c r="J1634">
        <v>1500</v>
      </c>
      <c r="K1634" t="s">
        <v>689</v>
      </c>
      <c r="L1634" t="s">
        <v>71</v>
      </c>
      <c r="M1634" t="s">
        <v>48</v>
      </c>
      <c r="N1634" t="b">
        <v>0</v>
      </c>
      <c r="O1634" t="s">
        <v>690</v>
      </c>
    </row>
    <row r="1635" spans="1:15" ht="15" customHeight="1">
      <c r="A1635" t="s">
        <v>441</v>
      </c>
      <c r="B1635" t="s">
        <v>2232</v>
      </c>
      <c r="C1635" t="s">
        <v>149</v>
      </c>
      <c r="D1635" t="s">
        <v>69</v>
      </c>
      <c r="E1635">
        <v>11</v>
      </c>
      <c r="F1635">
        <v>6.3</v>
      </c>
      <c r="G1635">
        <v>0.56999999999999995</v>
      </c>
      <c r="H1635">
        <v>18</v>
      </c>
      <c r="I1635">
        <v>3000</v>
      </c>
      <c r="J1635">
        <v>1000</v>
      </c>
      <c r="K1635" t="s">
        <v>150</v>
      </c>
      <c r="L1635" t="s">
        <v>77</v>
      </c>
      <c r="M1635" t="s">
        <v>43</v>
      </c>
      <c r="N1635" t="b">
        <v>0</v>
      </c>
      <c r="O1635" t="s">
        <v>151</v>
      </c>
    </row>
    <row r="1636" spans="1:15" ht="15" customHeight="1">
      <c r="A1636" t="s">
        <v>273</v>
      </c>
      <c r="B1636" t="s">
        <v>2233</v>
      </c>
      <c r="C1636" t="s">
        <v>129</v>
      </c>
      <c r="D1636" t="s">
        <v>130</v>
      </c>
      <c r="E1636">
        <v>10</v>
      </c>
      <c r="F1636">
        <v>5.2</v>
      </c>
      <c r="G1636">
        <v>0.52</v>
      </c>
      <c r="H1636">
        <v>27</v>
      </c>
      <c r="I1636">
        <v>5000</v>
      </c>
      <c r="J1636">
        <v>1000</v>
      </c>
      <c r="K1636" t="s">
        <v>172</v>
      </c>
      <c r="L1636" t="s">
        <v>96</v>
      </c>
      <c r="M1636" t="s">
        <v>50</v>
      </c>
      <c r="N1636" t="b">
        <v>0</v>
      </c>
      <c r="O1636" t="s">
        <v>173</v>
      </c>
    </row>
    <row r="1637" spans="1:15" ht="15" customHeight="1">
      <c r="A1637" t="s">
        <v>473</v>
      </c>
      <c r="B1637" t="s">
        <v>2234</v>
      </c>
      <c r="C1637" t="s">
        <v>149</v>
      </c>
      <c r="D1637" t="s">
        <v>69</v>
      </c>
      <c r="E1637">
        <v>9</v>
      </c>
      <c r="F1637">
        <v>8.3000000000000007</v>
      </c>
      <c r="G1637">
        <v>0.92</v>
      </c>
      <c r="H1637">
        <v>29</v>
      </c>
      <c r="I1637">
        <v>3000</v>
      </c>
      <c r="J1637">
        <v>1000</v>
      </c>
      <c r="K1637" t="s">
        <v>303</v>
      </c>
      <c r="L1637" t="s">
        <v>77</v>
      </c>
      <c r="M1637" t="s">
        <v>42</v>
      </c>
      <c r="N1637" t="b">
        <v>0</v>
      </c>
      <c r="O1637" t="s">
        <v>323</v>
      </c>
    </row>
    <row r="1638" spans="1:15" ht="15" customHeight="1">
      <c r="A1638" t="s">
        <v>235</v>
      </c>
      <c r="B1638" t="s">
        <v>2235</v>
      </c>
      <c r="C1638" t="s">
        <v>68</v>
      </c>
      <c r="D1638" t="s">
        <v>69</v>
      </c>
      <c r="E1638">
        <v>12</v>
      </c>
      <c r="F1638">
        <v>3.1</v>
      </c>
      <c r="G1638">
        <v>0.26</v>
      </c>
      <c r="H1638">
        <v>3</v>
      </c>
      <c r="I1638">
        <v>30000</v>
      </c>
      <c r="J1638">
        <v>5000</v>
      </c>
      <c r="K1638" t="s">
        <v>108</v>
      </c>
      <c r="L1638" t="s">
        <v>91</v>
      </c>
      <c r="M1638" t="s">
        <v>45</v>
      </c>
      <c r="N1638" t="b">
        <v>1</v>
      </c>
      <c r="O1638" t="s">
        <v>109</v>
      </c>
    </row>
    <row r="1639" spans="1:15" ht="15" customHeight="1">
      <c r="A1639" t="s">
        <v>1258</v>
      </c>
      <c r="B1639" t="s">
        <v>2236</v>
      </c>
      <c r="C1639" t="s">
        <v>149</v>
      </c>
      <c r="D1639" t="s">
        <v>69</v>
      </c>
      <c r="E1639">
        <v>11</v>
      </c>
      <c r="F1639">
        <v>6.7</v>
      </c>
      <c r="G1639">
        <v>0.61</v>
      </c>
      <c r="H1639">
        <v>24</v>
      </c>
      <c r="I1639">
        <v>3000</v>
      </c>
      <c r="J1639">
        <v>1000</v>
      </c>
      <c r="K1639" t="s">
        <v>490</v>
      </c>
      <c r="L1639" t="s">
        <v>91</v>
      </c>
      <c r="M1639" t="s">
        <v>48</v>
      </c>
      <c r="N1639" t="b">
        <v>1</v>
      </c>
      <c r="O1639" t="s">
        <v>491</v>
      </c>
    </row>
    <row r="1640" spans="1:15" ht="15" customHeight="1">
      <c r="A1640" t="s">
        <v>1133</v>
      </c>
      <c r="B1640" t="s">
        <v>2237</v>
      </c>
      <c r="C1640" t="s">
        <v>75</v>
      </c>
      <c r="D1640" t="s">
        <v>69</v>
      </c>
      <c r="E1640">
        <v>12</v>
      </c>
      <c r="F1640">
        <v>3.3</v>
      </c>
      <c r="G1640">
        <v>0.27</v>
      </c>
      <c r="H1640">
        <v>22</v>
      </c>
      <c r="I1640">
        <v>2000</v>
      </c>
      <c r="J1640">
        <v>1500</v>
      </c>
      <c r="K1640" t="s">
        <v>90</v>
      </c>
      <c r="L1640" t="s">
        <v>96</v>
      </c>
      <c r="M1640" t="s">
        <v>49</v>
      </c>
      <c r="N1640" t="b">
        <v>0</v>
      </c>
      <c r="O1640" t="s">
        <v>92</v>
      </c>
    </row>
    <row r="1641" spans="1:15" ht="15" customHeight="1">
      <c r="A1641" t="s">
        <v>1816</v>
      </c>
      <c r="B1641" t="s">
        <v>2238</v>
      </c>
      <c r="C1641" t="s">
        <v>81</v>
      </c>
      <c r="D1641" t="s">
        <v>69</v>
      </c>
      <c r="E1641">
        <v>12</v>
      </c>
      <c r="F1641">
        <v>3.5</v>
      </c>
      <c r="G1641">
        <v>0.28999999999999998</v>
      </c>
      <c r="H1641">
        <v>6</v>
      </c>
      <c r="I1641">
        <v>10000</v>
      </c>
      <c r="J1641">
        <v>3000</v>
      </c>
      <c r="K1641" t="s">
        <v>162</v>
      </c>
      <c r="L1641" t="s">
        <v>91</v>
      </c>
      <c r="M1641" t="s">
        <v>41</v>
      </c>
      <c r="N1641" t="b">
        <v>1</v>
      </c>
      <c r="O1641" t="s">
        <v>198</v>
      </c>
    </row>
    <row r="1642" spans="1:15" ht="15" customHeight="1">
      <c r="A1642" t="s">
        <v>1518</v>
      </c>
      <c r="B1642" t="s">
        <v>2239</v>
      </c>
      <c r="C1642" t="s">
        <v>149</v>
      </c>
      <c r="D1642" t="s">
        <v>69</v>
      </c>
      <c r="E1642">
        <v>8</v>
      </c>
      <c r="F1642">
        <v>6.2</v>
      </c>
      <c r="G1642">
        <v>0.78</v>
      </c>
      <c r="H1642">
        <v>20</v>
      </c>
      <c r="I1642">
        <v>3000</v>
      </c>
      <c r="J1642">
        <v>1000</v>
      </c>
      <c r="K1642" t="s">
        <v>162</v>
      </c>
      <c r="L1642" t="s">
        <v>117</v>
      </c>
      <c r="M1642" t="s">
        <v>51</v>
      </c>
      <c r="N1642" t="b">
        <v>1</v>
      </c>
      <c r="O1642" t="s">
        <v>180</v>
      </c>
    </row>
    <row r="1643" spans="1:15" ht="15" customHeight="1">
      <c r="A1643" t="s">
        <v>1405</v>
      </c>
      <c r="B1643" t="s">
        <v>2240</v>
      </c>
      <c r="C1643" t="s">
        <v>129</v>
      </c>
      <c r="D1643" t="s">
        <v>130</v>
      </c>
      <c r="E1643">
        <v>10</v>
      </c>
      <c r="F1643">
        <v>7.8</v>
      </c>
      <c r="G1643">
        <v>0.78</v>
      </c>
      <c r="H1643">
        <v>12</v>
      </c>
      <c r="I1643">
        <v>5000</v>
      </c>
      <c r="J1643">
        <v>1000</v>
      </c>
      <c r="K1643" t="s">
        <v>162</v>
      </c>
      <c r="L1643" t="s">
        <v>100</v>
      </c>
      <c r="M1643" t="s">
        <v>42</v>
      </c>
      <c r="N1643" t="b">
        <v>0</v>
      </c>
      <c r="O1643" t="s">
        <v>180</v>
      </c>
    </row>
    <row r="1644" spans="1:15" ht="15" customHeight="1">
      <c r="A1644" t="s">
        <v>970</v>
      </c>
      <c r="B1644" t="s">
        <v>2241</v>
      </c>
      <c r="C1644" t="s">
        <v>68</v>
      </c>
      <c r="D1644" t="s">
        <v>69</v>
      </c>
      <c r="E1644">
        <v>8</v>
      </c>
      <c r="F1644">
        <v>2.1</v>
      </c>
      <c r="G1644">
        <v>0.26</v>
      </c>
      <c r="H1644">
        <v>1</v>
      </c>
      <c r="I1644">
        <v>30000</v>
      </c>
      <c r="J1644">
        <v>5000</v>
      </c>
      <c r="K1644" t="s">
        <v>70</v>
      </c>
      <c r="L1644" t="s">
        <v>117</v>
      </c>
      <c r="M1644" t="s">
        <v>46</v>
      </c>
      <c r="N1644" t="b">
        <v>1</v>
      </c>
      <c r="O1644" t="s">
        <v>72</v>
      </c>
    </row>
    <row r="1645" spans="1:15" ht="15" customHeight="1">
      <c r="A1645" t="s">
        <v>1074</v>
      </c>
      <c r="B1645" t="s">
        <v>2242</v>
      </c>
      <c r="C1645" t="s">
        <v>75</v>
      </c>
      <c r="D1645" t="s">
        <v>69</v>
      </c>
      <c r="E1645">
        <v>19</v>
      </c>
      <c r="F1645">
        <v>3.6</v>
      </c>
      <c r="G1645">
        <v>0.19</v>
      </c>
      <c r="H1645">
        <v>27</v>
      </c>
      <c r="I1645">
        <v>2000</v>
      </c>
      <c r="J1645">
        <v>1500</v>
      </c>
      <c r="K1645" t="s">
        <v>150</v>
      </c>
      <c r="L1645" t="s">
        <v>71</v>
      </c>
      <c r="M1645" t="s">
        <v>42</v>
      </c>
      <c r="N1645" t="b">
        <v>0</v>
      </c>
      <c r="O1645" t="s">
        <v>528</v>
      </c>
    </row>
    <row r="1646" spans="1:15" ht="15" customHeight="1">
      <c r="A1646" t="s">
        <v>329</v>
      </c>
      <c r="B1646" t="s">
        <v>2243</v>
      </c>
      <c r="C1646" t="s">
        <v>75</v>
      </c>
      <c r="D1646" t="s">
        <v>69</v>
      </c>
      <c r="E1646">
        <v>15</v>
      </c>
      <c r="F1646">
        <v>13.7</v>
      </c>
      <c r="G1646">
        <v>0.91</v>
      </c>
      <c r="H1646">
        <v>10</v>
      </c>
      <c r="I1646">
        <v>2000</v>
      </c>
      <c r="J1646">
        <v>1500</v>
      </c>
      <c r="K1646" t="s">
        <v>418</v>
      </c>
      <c r="L1646" t="s">
        <v>96</v>
      </c>
      <c r="M1646" t="s">
        <v>49</v>
      </c>
      <c r="N1646" t="b">
        <v>0</v>
      </c>
      <c r="O1646" t="s">
        <v>419</v>
      </c>
    </row>
    <row r="1647" spans="1:15" ht="15" customHeight="1">
      <c r="A1647" t="s">
        <v>592</v>
      </c>
      <c r="B1647" t="s">
        <v>2244</v>
      </c>
      <c r="C1647" t="s">
        <v>81</v>
      </c>
      <c r="D1647" t="s">
        <v>69</v>
      </c>
      <c r="E1647">
        <v>8</v>
      </c>
      <c r="F1647">
        <v>5.7</v>
      </c>
      <c r="G1647">
        <v>0.71</v>
      </c>
      <c r="H1647">
        <v>11</v>
      </c>
      <c r="I1647">
        <v>10000</v>
      </c>
      <c r="J1647">
        <v>3000</v>
      </c>
      <c r="K1647" t="s">
        <v>134</v>
      </c>
      <c r="L1647" t="s">
        <v>91</v>
      </c>
      <c r="M1647" t="s">
        <v>51</v>
      </c>
      <c r="N1647" t="b">
        <v>1</v>
      </c>
      <c r="O1647" t="s">
        <v>155</v>
      </c>
    </row>
    <row r="1648" spans="1:15" ht="15" customHeight="1">
      <c r="A1648" t="s">
        <v>1515</v>
      </c>
      <c r="B1648" t="s">
        <v>2245</v>
      </c>
      <c r="C1648" t="s">
        <v>75</v>
      </c>
      <c r="D1648" t="s">
        <v>69</v>
      </c>
      <c r="E1648">
        <v>18</v>
      </c>
      <c r="F1648">
        <v>4.8</v>
      </c>
      <c r="G1648">
        <v>0.27</v>
      </c>
      <c r="H1648">
        <v>15</v>
      </c>
      <c r="I1648">
        <v>2000</v>
      </c>
      <c r="J1648">
        <v>1500</v>
      </c>
      <c r="K1648" t="s">
        <v>70</v>
      </c>
      <c r="L1648" t="s">
        <v>104</v>
      </c>
      <c r="M1648" t="s">
        <v>51</v>
      </c>
      <c r="N1648" t="b">
        <v>0</v>
      </c>
      <c r="O1648" t="s">
        <v>598</v>
      </c>
    </row>
    <row r="1649" spans="1:15" ht="15" customHeight="1">
      <c r="A1649" t="s">
        <v>235</v>
      </c>
      <c r="B1649" t="s">
        <v>2246</v>
      </c>
      <c r="C1649" t="s">
        <v>75</v>
      </c>
      <c r="D1649" t="s">
        <v>69</v>
      </c>
      <c r="E1649">
        <v>13</v>
      </c>
      <c r="F1649">
        <v>12.7</v>
      </c>
      <c r="G1649">
        <v>0.98</v>
      </c>
      <c r="H1649">
        <v>12</v>
      </c>
      <c r="I1649">
        <v>2000</v>
      </c>
      <c r="J1649">
        <v>1500</v>
      </c>
      <c r="K1649" t="s">
        <v>265</v>
      </c>
      <c r="L1649" t="s">
        <v>91</v>
      </c>
      <c r="M1649" t="s">
        <v>45</v>
      </c>
      <c r="N1649" t="b">
        <v>1</v>
      </c>
      <c r="O1649" t="s">
        <v>266</v>
      </c>
    </row>
    <row r="1650" spans="1:15" ht="15" customHeight="1">
      <c r="A1650" t="s">
        <v>1018</v>
      </c>
      <c r="B1650" t="s">
        <v>2247</v>
      </c>
      <c r="C1650" t="s">
        <v>129</v>
      </c>
      <c r="D1650" t="s">
        <v>130</v>
      </c>
      <c r="E1650">
        <v>14</v>
      </c>
      <c r="F1650">
        <v>10.5</v>
      </c>
      <c r="G1650">
        <v>0.75</v>
      </c>
      <c r="H1650">
        <v>15</v>
      </c>
      <c r="I1650">
        <v>5000</v>
      </c>
      <c r="J1650">
        <v>1000</v>
      </c>
      <c r="K1650" t="s">
        <v>479</v>
      </c>
      <c r="L1650" t="s">
        <v>96</v>
      </c>
      <c r="M1650" t="s">
        <v>49</v>
      </c>
      <c r="N1650" t="b">
        <v>0</v>
      </c>
      <c r="O1650" t="s">
        <v>480</v>
      </c>
    </row>
    <row r="1651" spans="1:15" ht="15" customHeight="1">
      <c r="A1651" t="s">
        <v>500</v>
      </c>
      <c r="B1651" t="s">
        <v>2248</v>
      </c>
      <c r="C1651" t="s">
        <v>129</v>
      </c>
      <c r="D1651" t="s">
        <v>130</v>
      </c>
      <c r="E1651">
        <v>14</v>
      </c>
      <c r="F1651">
        <v>7.6</v>
      </c>
      <c r="G1651">
        <v>0.54</v>
      </c>
      <c r="H1651">
        <v>8</v>
      </c>
      <c r="I1651">
        <v>5000</v>
      </c>
      <c r="J1651">
        <v>1000</v>
      </c>
      <c r="K1651" t="s">
        <v>76</v>
      </c>
      <c r="L1651" t="s">
        <v>77</v>
      </c>
      <c r="M1651" t="s">
        <v>47</v>
      </c>
      <c r="N1651" t="b">
        <v>0</v>
      </c>
      <c r="O1651" t="s">
        <v>317</v>
      </c>
    </row>
    <row r="1652" spans="1:15" ht="15" customHeight="1">
      <c r="A1652" t="s">
        <v>834</v>
      </c>
      <c r="B1652" t="s">
        <v>2249</v>
      </c>
      <c r="C1652" t="s">
        <v>75</v>
      </c>
      <c r="D1652" t="s">
        <v>69</v>
      </c>
      <c r="E1652">
        <v>8</v>
      </c>
      <c r="F1652">
        <v>3.5</v>
      </c>
      <c r="G1652">
        <v>0.44</v>
      </c>
      <c r="H1652">
        <v>24</v>
      </c>
      <c r="I1652">
        <v>2000</v>
      </c>
      <c r="J1652">
        <v>1500</v>
      </c>
      <c r="K1652" t="s">
        <v>361</v>
      </c>
      <c r="L1652" t="s">
        <v>117</v>
      </c>
      <c r="M1652" t="s">
        <v>41</v>
      </c>
      <c r="N1652" t="b">
        <v>1</v>
      </c>
      <c r="O1652" t="s">
        <v>362</v>
      </c>
    </row>
    <row r="1653" spans="1:15" ht="15" customHeight="1">
      <c r="A1653" t="s">
        <v>954</v>
      </c>
      <c r="B1653" t="s">
        <v>2250</v>
      </c>
      <c r="C1653" t="s">
        <v>129</v>
      </c>
      <c r="D1653" t="s">
        <v>130</v>
      </c>
      <c r="E1653">
        <v>19</v>
      </c>
      <c r="F1653">
        <v>12</v>
      </c>
      <c r="G1653">
        <v>0.63</v>
      </c>
      <c r="H1653">
        <v>13</v>
      </c>
      <c r="I1653">
        <v>5000</v>
      </c>
      <c r="J1653">
        <v>1000</v>
      </c>
      <c r="K1653" t="s">
        <v>313</v>
      </c>
      <c r="L1653" t="s">
        <v>104</v>
      </c>
      <c r="M1653" t="s">
        <v>46</v>
      </c>
      <c r="N1653" t="b">
        <v>0</v>
      </c>
      <c r="O1653" t="s">
        <v>314</v>
      </c>
    </row>
    <row r="1654" spans="1:15" ht="15" customHeight="1">
      <c r="A1654" t="s">
        <v>986</v>
      </c>
      <c r="B1654" t="s">
        <v>2251</v>
      </c>
      <c r="C1654" t="s">
        <v>68</v>
      </c>
      <c r="D1654" t="s">
        <v>69</v>
      </c>
      <c r="E1654">
        <v>12</v>
      </c>
      <c r="F1654">
        <v>0.8</v>
      </c>
      <c r="G1654">
        <v>7.0000000000000007E-2</v>
      </c>
      <c r="H1654">
        <v>2</v>
      </c>
      <c r="I1654">
        <v>30000</v>
      </c>
      <c r="J1654">
        <v>5000</v>
      </c>
      <c r="K1654" t="s">
        <v>162</v>
      </c>
      <c r="L1654" t="s">
        <v>104</v>
      </c>
      <c r="M1654" t="s">
        <v>47</v>
      </c>
      <c r="N1654" t="b">
        <v>0</v>
      </c>
      <c r="O1654" t="s">
        <v>163</v>
      </c>
    </row>
    <row r="1655" spans="1:15" ht="15" customHeight="1">
      <c r="A1655" t="s">
        <v>828</v>
      </c>
      <c r="B1655" t="s">
        <v>2252</v>
      </c>
      <c r="C1655" t="s">
        <v>129</v>
      </c>
      <c r="D1655" t="s">
        <v>130</v>
      </c>
      <c r="E1655">
        <v>16</v>
      </c>
      <c r="F1655">
        <v>14.3</v>
      </c>
      <c r="G1655">
        <v>0.89</v>
      </c>
      <c r="H1655">
        <v>20</v>
      </c>
      <c r="I1655">
        <v>5000</v>
      </c>
      <c r="J1655">
        <v>1000</v>
      </c>
      <c r="K1655" t="s">
        <v>103</v>
      </c>
      <c r="L1655" t="s">
        <v>117</v>
      </c>
      <c r="M1655" t="s">
        <v>43</v>
      </c>
      <c r="N1655" t="b">
        <v>1</v>
      </c>
      <c r="O1655" t="s">
        <v>169</v>
      </c>
    </row>
    <row r="1656" spans="1:15" ht="15" customHeight="1">
      <c r="A1656" t="s">
        <v>458</v>
      </c>
      <c r="B1656" t="s">
        <v>2253</v>
      </c>
      <c r="C1656" t="s">
        <v>68</v>
      </c>
      <c r="D1656" t="s">
        <v>69</v>
      </c>
      <c r="E1656">
        <v>12</v>
      </c>
      <c r="F1656">
        <v>2.7</v>
      </c>
      <c r="G1656">
        <v>0.23</v>
      </c>
      <c r="H1656">
        <v>4</v>
      </c>
      <c r="I1656">
        <v>30000</v>
      </c>
      <c r="J1656">
        <v>5000</v>
      </c>
      <c r="K1656" t="s">
        <v>95</v>
      </c>
      <c r="L1656" t="s">
        <v>77</v>
      </c>
      <c r="M1656" t="s">
        <v>41</v>
      </c>
      <c r="N1656" t="b">
        <v>0</v>
      </c>
      <c r="O1656" t="s">
        <v>97</v>
      </c>
    </row>
    <row r="1657" spans="1:15" ht="15" customHeight="1">
      <c r="A1657" t="s">
        <v>699</v>
      </c>
      <c r="B1657" t="s">
        <v>2254</v>
      </c>
      <c r="C1657" t="s">
        <v>149</v>
      </c>
      <c r="D1657" t="s">
        <v>69</v>
      </c>
      <c r="E1657">
        <v>11</v>
      </c>
      <c r="F1657">
        <v>8.1999999999999993</v>
      </c>
      <c r="G1657">
        <v>0.75</v>
      </c>
      <c r="H1657">
        <v>32</v>
      </c>
      <c r="I1657">
        <v>3000</v>
      </c>
      <c r="J1657">
        <v>1000</v>
      </c>
      <c r="K1657" t="s">
        <v>576</v>
      </c>
      <c r="L1657" t="s">
        <v>77</v>
      </c>
      <c r="M1657" t="s">
        <v>40</v>
      </c>
      <c r="N1657" t="b">
        <v>0</v>
      </c>
      <c r="O1657" t="s">
        <v>336</v>
      </c>
    </row>
    <row r="1658" spans="1:15" ht="15" customHeight="1">
      <c r="A1658" t="s">
        <v>1436</v>
      </c>
      <c r="B1658" t="s">
        <v>2255</v>
      </c>
      <c r="C1658" t="s">
        <v>129</v>
      </c>
      <c r="D1658" t="s">
        <v>130</v>
      </c>
      <c r="E1658">
        <v>17</v>
      </c>
      <c r="F1658">
        <v>8.4</v>
      </c>
      <c r="G1658">
        <v>0.49</v>
      </c>
      <c r="H1658">
        <v>10</v>
      </c>
      <c r="I1658">
        <v>5000</v>
      </c>
      <c r="J1658">
        <v>1000</v>
      </c>
      <c r="K1658" t="s">
        <v>158</v>
      </c>
      <c r="L1658" t="s">
        <v>91</v>
      </c>
      <c r="M1658" t="s">
        <v>48</v>
      </c>
      <c r="N1658" t="b">
        <v>1</v>
      </c>
      <c r="O1658" t="s">
        <v>159</v>
      </c>
    </row>
    <row r="1659" spans="1:15" ht="15" customHeight="1">
      <c r="A1659" t="s">
        <v>1436</v>
      </c>
      <c r="B1659" t="s">
        <v>2256</v>
      </c>
      <c r="C1659" t="s">
        <v>149</v>
      </c>
      <c r="D1659" t="s">
        <v>69</v>
      </c>
      <c r="E1659">
        <v>9</v>
      </c>
      <c r="F1659">
        <v>6.6</v>
      </c>
      <c r="G1659">
        <v>0.73</v>
      </c>
      <c r="H1659">
        <v>34</v>
      </c>
      <c r="I1659">
        <v>3000</v>
      </c>
      <c r="J1659">
        <v>1000</v>
      </c>
      <c r="K1659" t="s">
        <v>433</v>
      </c>
      <c r="L1659" t="s">
        <v>91</v>
      </c>
      <c r="M1659" t="s">
        <v>48</v>
      </c>
      <c r="N1659" t="b">
        <v>1</v>
      </c>
      <c r="O1659" t="s">
        <v>434</v>
      </c>
    </row>
    <row r="1660" spans="1:15" ht="15" customHeight="1">
      <c r="A1660" t="s">
        <v>93</v>
      </c>
      <c r="B1660" t="s">
        <v>2257</v>
      </c>
      <c r="C1660" t="s">
        <v>75</v>
      </c>
      <c r="D1660" t="s">
        <v>69</v>
      </c>
      <c r="E1660">
        <v>16</v>
      </c>
      <c r="F1660">
        <v>13.5</v>
      </c>
      <c r="G1660">
        <v>0.84</v>
      </c>
      <c r="H1660">
        <v>6</v>
      </c>
      <c r="I1660">
        <v>2000</v>
      </c>
      <c r="J1660">
        <v>1500</v>
      </c>
      <c r="K1660" t="s">
        <v>269</v>
      </c>
      <c r="L1660" t="s">
        <v>96</v>
      </c>
      <c r="M1660" t="s">
        <v>40</v>
      </c>
      <c r="N1660" t="b">
        <v>0</v>
      </c>
      <c r="O1660" t="s">
        <v>270</v>
      </c>
    </row>
    <row r="1661" spans="1:15" ht="15" customHeight="1">
      <c r="A1661" t="s">
        <v>414</v>
      </c>
      <c r="B1661" t="s">
        <v>2258</v>
      </c>
      <c r="C1661" t="s">
        <v>68</v>
      </c>
      <c r="D1661" t="s">
        <v>69</v>
      </c>
      <c r="E1661">
        <v>14</v>
      </c>
      <c r="F1661">
        <v>1.2</v>
      </c>
      <c r="G1661">
        <v>0.09</v>
      </c>
      <c r="H1661">
        <v>4</v>
      </c>
      <c r="I1661">
        <v>30000</v>
      </c>
      <c r="J1661">
        <v>5000</v>
      </c>
      <c r="K1661" t="s">
        <v>95</v>
      </c>
      <c r="L1661" t="s">
        <v>117</v>
      </c>
      <c r="M1661" t="s">
        <v>46</v>
      </c>
      <c r="N1661" t="b">
        <v>1</v>
      </c>
      <c r="O1661" t="s">
        <v>97</v>
      </c>
    </row>
    <row r="1662" spans="1:15" ht="15" customHeight="1">
      <c r="A1662" t="s">
        <v>1308</v>
      </c>
      <c r="B1662" t="s">
        <v>2259</v>
      </c>
      <c r="C1662" t="s">
        <v>68</v>
      </c>
      <c r="D1662" t="s">
        <v>69</v>
      </c>
      <c r="E1662">
        <v>10</v>
      </c>
      <c r="F1662">
        <v>0.8</v>
      </c>
      <c r="G1662">
        <v>0.08</v>
      </c>
      <c r="H1662">
        <v>5</v>
      </c>
      <c r="I1662">
        <v>30000</v>
      </c>
      <c r="J1662">
        <v>5000</v>
      </c>
      <c r="K1662" t="s">
        <v>112</v>
      </c>
      <c r="L1662" t="s">
        <v>91</v>
      </c>
      <c r="M1662" t="s">
        <v>44</v>
      </c>
      <c r="N1662" t="b">
        <v>1</v>
      </c>
      <c r="O1662" t="s">
        <v>113</v>
      </c>
    </row>
    <row r="1663" spans="1:15" ht="15" customHeight="1">
      <c r="A1663" t="s">
        <v>462</v>
      </c>
      <c r="B1663" t="s">
        <v>2260</v>
      </c>
      <c r="C1663" t="s">
        <v>68</v>
      </c>
      <c r="D1663" t="s">
        <v>69</v>
      </c>
      <c r="E1663">
        <v>8</v>
      </c>
      <c r="F1663">
        <v>1.4</v>
      </c>
      <c r="G1663">
        <v>0.17</v>
      </c>
      <c r="H1663">
        <v>1</v>
      </c>
      <c r="I1663">
        <v>30000</v>
      </c>
      <c r="J1663">
        <v>5000</v>
      </c>
      <c r="K1663" t="s">
        <v>70</v>
      </c>
      <c r="L1663" t="s">
        <v>71</v>
      </c>
      <c r="M1663" t="s">
        <v>43</v>
      </c>
      <c r="N1663" t="b">
        <v>0</v>
      </c>
      <c r="O1663" t="s">
        <v>72</v>
      </c>
    </row>
    <row r="1664" spans="1:15" ht="15" customHeight="1">
      <c r="A1664" t="s">
        <v>1442</v>
      </c>
      <c r="B1664" t="s">
        <v>2261</v>
      </c>
      <c r="C1664" t="s">
        <v>68</v>
      </c>
      <c r="D1664" t="s">
        <v>69</v>
      </c>
      <c r="E1664">
        <v>14</v>
      </c>
      <c r="F1664">
        <v>0.8</v>
      </c>
      <c r="G1664">
        <v>0.06</v>
      </c>
      <c r="H1664">
        <v>5</v>
      </c>
      <c r="I1664">
        <v>30000</v>
      </c>
      <c r="J1664">
        <v>5000</v>
      </c>
      <c r="K1664" t="s">
        <v>112</v>
      </c>
      <c r="L1664" t="s">
        <v>104</v>
      </c>
      <c r="M1664" t="s">
        <v>47</v>
      </c>
      <c r="N1664" t="b">
        <v>0</v>
      </c>
      <c r="O1664" t="s">
        <v>113</v>
      </c>
    </row>
    <row r="1665" spans="1:15" ht="15" customHeight="1">
      <c r="A1665" t="s">
        <v>1371</v>
      </c>
      <c r="B1665" t="s">
        <v>2262</v>
      </c>
      <c r="C1665" t="s">
        <v>129</v>
      </c>
      <c r="D1665" t="s">
        <v>130</v>
      </c>
      <c r="E1665">
        <v>20</v>
      </c>
      <c r="F1665">
        <v>14.6</v>
      </c>
      <c r="G1665">
        <v>0.73</v>
      </c>
      <c r="H1665">
        <v>20</v>
      </c>
      <c r="I1665">
        <v>5000</v>
      </c>
      <c r="J1665">
        <v>1000</v>
      </c>
      <c r="K1665" t="s">
        <v>103</v>
      </c>
      <c r="L1665" t="s">
        <v>104</v>
      </c>
      <c r="M1665" t="s">
        <v>43</v>
      </c>
      <c r="N1665" t="b">
        <v>0</v>
      </c>
      <c r="O1665" t="s">
        <v>169</v>
      </c>
    </row>
    <row r="1666" spans="1:15" ht="15" customHeight="1">
      <c r="A1666" t="s">
        <v>552</v>
      </c>
      <c r="B1666" t="s">
        <v>2263</v>
      </c>
      <c r="C1666" t="s">
        <v>149</v>
      </c>
      <c r="D1666" t="s">
        <v>69</v>
      </c>
      <c r="E1666">
        <v>10</v>
      </c>
      <c r="F1666">
        <v>7.1</v>
      </c>
      <c r="G1666">
        <v>0.71</v>
      </c>
      <c r="H1666">
        <v>32</v>
      </c>
      <c r="I1666">
        <v>3000</v>
      </c>
      <c r="J1666">
        <v>1000</v>
      </c>
      <c r="K1666" t="s">
        <v>576</v>
      </c>
      <c r="L1666" t="s">
        <v>71</v>
      </c>
      <c r="M1666" t="s">
        <v>45</v>
      </c>
      <c r="N1666" t="b">
        <v>0</v>
      </c>
      <c r="O1666" t="s">
        <v>336</v>
      </c>
    </row>
    <row r="1667" spans="1:15" ht="15" customHeight="1">
      <c r="A1667" t="s">
        <v>1553</v>
      </c>
      <c r="B1667" t="s">
        <v>2264</v>
      </c>
      <c r="C1667" t="s">
        <v>149</v>
      </c>
      <c r="D1667" t="s">
        <v>69</v>
      </c>
      <c r="E1667">
        <v>11</v>
      </c>
      <c r="F1667">
        <v>10.9</v>
      </c>
      <c r="G1667">
        <v>0.99</v>
      </c>
      <c r="H1667">
        <v>19</v>
      </c>
      <c r="I1667">
        <v>3000</v>
      </c>
      <c r="J1667">
        <v>1000</v>
      </c>
      <c r="K1667" t="s">
        <v>198</v>
      </c>
      <c r="L1667" t="s">
        <v>71</v>
      </c>
      <c r="M1667" t="s">
        <v>44</v>
      </c>
      <c r="N1667" t="b">
        <v>0</v>
      </c>
      <c r="O1667" t="s">
        <v>262</v>
      </c>
    </row>
    <row r="1668" spans="1:15" ht="15" customHeight="1">
      <c r="A1668" t="s">
        <v>1672</v>
      </c>
      <c r="B1668" t="s">
        <v>2265</v>
      </c>
      <c r="C1668" t="s">
        <v>129</v>
      </c>
      <c r="D1668" t="s">
        <v>130</v>
      </c>
      <c r="E1668">
        <v>9</v>
      </c>
      <c r="F1668">
        <v>8</v>
      </c>
      <c r="G1668">
        <v>0.89</v>
      </c>
      <c r="H1668">
        <v>12</v>
      </c>
      <c r="I1668">
        <v>5000</v>
      </c>
      <c r="J1668">
        <v>1000</v>
      </c>
      <c r="K1668" t="s">
        <v>162</v>
      </c>
      <c r="L1668" t="s">
        <v>117</v>
      </c>
      <c r="M1668" t="s">
        <v>43</v>
      </c>
      <c r="N1668" t="b">
        <v>1</v>
      </c>
      <c r="O1668" t="s">
        <v>180</v>
      </c>
    </row>
    <row r="1669" spans="1:15" ht="15" customHeight="1">
      <c r="A1669" t="s">
        <v>1004</v>
      </c>
      <c r="B1669" t="s">
        <v>2266</v>
      </c>
      <c r="C1669" t="s">
        <v>149</v>
      </c>
      <c r="D1669" t="s">
        <v>69</v>
      </c>
      <c r="E1669">
        <v>11</v>
      </c>
      <c r="F1669">
        <v>7.5</v>
      </c>
      <c r="G1669">
        <v>0.68</v>
      </c>
      <c r="H1669">
        <v>38</v>
      </c>
      <c r="I1669">
        <v>3000</v>
      </c>
      <c r="J1669">
        <v>1000</v>
      </c>
      <c r="K1669" t="s">
        <v>220</v>
      </c>
      <c r="L1669" t="s">
        <v>77</v>
      </c>
      <c r="M1669" t="s">
        <v>43</v>
      </c>
      <c r="N1669" t="b">
        <v>0</v>
      </c>
      <c r="O1669" t="s">
        <v>785</v>
      </c>
    </row>
    <row r="1670" spans="1:15" ht="15" customHeight="1">
      <c r="A1670" t="s">
        <v>751</v>
      </c>
      <c r="B1670" t="s">
        <v>2267</v>
      </c>
      <c r="C1670" t="s">
        <v>129</v>
      </c>
      <c r="D1670" t="s">
        <v>130</v>
      </c>
      <c r="E1670">
        <v>18</v>
      </c>
      <c r="F1670">
        <v>11.9</v>
      </c>
      <c r="G1670">
        <v>0.66</v>
      </c>
      <c r="H1670">
        <v>18</v>
      </c>
      <c r="I1670">
        <v>5000</v>
      </c>
      <c r="J1670">
        <v>1000</v>
      </c>
      <c r="K1670" t="s">
        <v>108</v>
      </c>
      <c r="L1670" t="s">
        <v>100</v>
      </c>
      <c r="M1670" t="s">
        <v>41</v>
      </c>
      <c r="N1670" t="b">
        <v>0</v>
      </c>
      <c r="O1670" t="s">
        <v>166</v>
      </c>
    </row>
    <row r="1671" spans="1:15" ht="15" customHeight="1">
      <c r="A1671" t="s">
        <v>1026</v>
      </c>
      <c r="B1671" t="s">
        <v>2268</v>
      </c>
      <c r="C1671" t="s">
        <v>149</v>
      </c>
      <c r="D1671" t="s">
        <v>69</v>
      </c>
      <c r="E1671">
        <v>9</v>
      </c>
      <c r="F1671">
        <v>6.7</v>
      </c>
      <c r="G1671">
        <v>0.74</v>
      </c>
      <c r="H1671">
        <v>31</v>
      </c>
      <c r="I1671">
        <v>3000</v>
      </c>
      <c r="J1671">
        <v>1000</v>
      </c>
      <c r="K1671" t="s">
        <v>530</v>
      </c>
      <c r="L1671" t="s">
        <v>96</v>
      </c>
      <c r="M1671" t="s">
        <v>50</v>
      </c>
      <c r="N1671" t="b">
        <v>0</v>
      </c>
      <c r="O1671" t="s">
        <v>531</v>
      </c>
    </row>
    <row r="1672" spans="1:15" ht="15" customHeight="1">
      <c r="A1672" t="s">
        <v>201</v>
      </c>
      <c r="B1672" t="s">
        <v>2269</v>
      </c>
      <c r="C1672" t="s">
        <v>81</v>
      </c>
      <c r="D1672" t="s">
        <v>69</v>
      </c>
      <c r="E1672">
        <v>14</v>
      </c>
      <c r="F1672">
        <v>5.5</v>
      </c>
      <c r="G1672">
        <v>0.39</v>
      </c>
      <c r="H1672">
        <v>6</v>
      </c>
      <c r="I1672">
        <v>10000</v>
      </c>
      <c r="J1672">
        <v>3000</v>
      </c>
      <c r="K1672" t="s">
        <v>162</v>
      </c>
      <c r="L1672" t="s">
        <v>77</v>
      </c>
      <c r="M1672" t="s">
        <v>50</v>
      </c>
      <c r="N1672" t="b">
        <v>0</v>
      </c>
      <c r="O1672" t="s">
        <v>198</v>
      </c>
    </row>
    <row r="1673" spans="1:15" ht="15" customHeight="1">
      <c r="A1673" t="s">
        <v>1202</v>
      </c>
      <c r="B1673" t="s">
        <v>2270</v>
      </c>
      <c r="C1673" t="s">
        <v>75</v>
      </c>
      <c r="D1673" t="s">
        <v>69</v>
      </c>
      <c r="E1673">
        <v>16</v>
      </c>
      <c r="F1673">
        <v>9.6999999999999993</v>
      </c>
      <c r="G1673">
        <v>0.61</v>
      </c>
      <c r="H1673">
        <v>22</v>
      </c>
      <c r="I1673">
        <v>2000</v>
      </c>
      <c r="J1673">
        <v>1500</v>
      </c>
      <c r="K1673" t="s">
        <v>90</v>
      </c>
      <c r="L1673" t="s">
        <v>100</v>
      </c>
      <c r="M1673" t="s">
        <v>45</v>
      </c>
      <c r="N1673" t="b">
        <v>0</v>
      </c>
      <c r="O1673" t="s">
        <v>92</v>
      </c>
    </row>
    <row r="1674" spans="1:15" ht="15" customHeight="1">
      <c r="A1674" t="s">
        <v>106</v>
      </c>
      <c r="B1674" t="s">
        <v>2271</v>
      </c>
      <c r="C1674" t="s">
        <v>149</v>
      </c>
      <c r="D1674" t="s">
        <v>69</v>
      </c>
      <c r="E1674">
        <v>12</v>
      </c>
      <c r="F1674">
        <v>6.9</v>
      </c>
      <c r="G1674">
        <v>0.57999999999999996</v>
      </c>
      <c r="H1674">
        <v>24</v>
      </c>
      <c r="I1674">
        <v>3000</v>
      </c>
      <c r="J1674">
        <v>1000</v>
      </c>
      <c r="K1674" t="s">
        <v>490</v>
      </c>
      <c r="L1674" t="s">
        <v>71</v>
      </c>
      <c r="M1674" t="s">
        <v>49</v>
      </c>
      <c r="N1674" t="b">
        <v>0</v>
      </c>
      <c r="O1674" t="s">
        <v>491</v>
      </c>
    </row>
    <row r="1675" spans="1:15" ht="15" customHeight="1">
      <c r="A1675" t="s">
        <v>355</v>
      </c>
      <c r="B1675" t="s">
        <v>2272</v>
      </c>
      <c r="C1675" t="s">
        <v>68</v>
      </c>
      <c r="D1675" t="s">
        <v>69</v>
      </c>
      <c r="E1675">
        <v>8</v>
      </c>
      <c r="F1675">
        <v>0.5</v>
      </c>
      <c r="G1675">
        <v>0.06</v>
      </c>
      <c r="H1675">
        <v>4</v>
      </c>
      <c r="I1675">
        <v>30000</v>
      </c>
      <c r="J1675">
        <v>5000</v>
      </c>
      <c r="K1675" t="s">
        <v>95</v>
      </c>
      <c r="L1675" t="s">
        <v>104</v>
      </c>
      <c r="M1675" t="s">
        <v>51</v>
      </c>
      <c r="N1675" t="b">
        <v>0</v>
      </c>
      <c r="O1675" t="s">
        <v>97</v>
      </c>
    </row>
    <row r="1676" spans="1:15" ht="15" customHeight="1">
      <c r="A1676" t="s">
        <v>287</v>
      </c>
      <c r="B1676" t="s">
        <v>2273</v>
      </c>
      <c r="C1676" t="s">
        <v>149</v>
      </c>
      <c r="D1676" t="s">
        <v>69</v>
      </c>
      <c r="E1676">
        <v>12</v>
      </c>
      <c r="F1676">
        <v>10</v>
      </c>
      <c r="G1676">
        <v>0.83</v>
      </c>
      <c r="H1676">
        <v>28</v>
      </c>
      <c r="I1676">
        <v>3000</v>
      </c>
      <c r="J1676">
        <v>1000</v>
      </c>
      <c r="K1676" t="s">
        <v>176</v>
      </c>
      <c r="L1676" t="s">
        <v>104</v>
      </c>
      <c r="M1676" t="s">
        <v>41</v>
      </c>
      <c r="N1676" t="b">
        <v>0</v>
      </c>
      <c r="O1676" t="s">
        <v>177</v>
      </c>
    </row>
    <row r="1677" spans="1:15" ht="15" customHeight="1">
      <c r="A1677" t="s">
        <v>721</v>
      </c>
      <c r="B1677" t="s">
        <v>2274</v>
      </c>
      <c r="C1677" t="s">
        <v>149</v>
      </c>
      <c r="D1677" t="s">
        <v>69</v>
      </c>
      <c r="E1677">
        <v>9</v>
      </c>
      <c r="F1677">
        <v>6.2</v>
      </c>
      <c r="G1677">
        <v>0.69</v>
      </c>
      <c r="H1677">
        <v>17</v>
      </c>
      <c r="I1677">
        <v>3000</v>
      </c>
      <c r="J1677">
        <v>1000</v>
      </c>
      <c r="K1677" t="s">
        <v>634</v>
      </c>
      <c r="L1677" t="s">
        <v>100</v>
      </c>
      <c r="M1677" t="s">
        <v>49</v>
      </c>
      <c r="N1677" t="b">
        <v>0</v>
      </c>
      <c r="O1677" t="s">
        <v>158</v>
      </c>
    </row>
    <row r="1678" spans="1:15" ht="15" customHeight="1">
      <c r="A1678" t="s">
        <v>199</v>
      </c>
      <c r="B1678" t="s">
        <v>2275</v>
      </c>
      <c r="C1678" t="s">
        <v>68</v>
      </c>
      <c r="D1678" t="s">
        <v>69</v>
      </c>
      <c r="E1678">
        <v>13</v>
      </c>
      <c r="F1678">
        <v>1.6</v>
      </c>
      <c r="G1678">
        <v>0.12</v>
      </c>
      <c r="H1678">
        <v>1</v>
      </c>
      <c r="I1678">
        <v>30000</v>
      </c>
      <c r="J1678">
        <v>5000</v>
      </c>
      <c r="K1678" t="s">
        <v>70</v>
      </c>
      <c r="L1678" t="s">
        <v>100</v>
      </c>
      <c r="M1678" t="s">
        <v>44</v>
      </c>
      <c r="N1678" t="b">
        <v>0</v>
      </c>
      <c r="O1678" t="s">
        <v>72</v>
      </c>
    </row>
    <row r="1679" spans="1:15" ht="15" customHeight="1">
      <c r="A1679" t="s">
        <v>311</v>
      </c>
      <c r="B1679" t="s">
        <v>2276</v>
      </c>
      <c r="C1679" t="s">
        <v>75</v>
      </c>
      <c r="D1679" t="s">
        <v>69</v>
      </c>
      <c r="E1679">
        <v>13</v>
      </c>
      <c r="F1679">
        <v>11.6</v>
      </c>
      <c r="G1679">
        <v>0.89</v>
      </c>
      <c r="H1679">
        <v>28</v>
      </c>
      <c r="I1679">
        <v>2000</v>
      </c>
      <c r="J1679">
        <v>1500</v>
      </c>
      <c r="K1679" t="s">
        <v>262</v>
      </c>
      <c r="L1679" t="s">
        <v>91</v>
      </c>
      <c r="M1679" t="s">
        <v>41</v>
      </c>
      <c r="N1679" t="b">
        <v>1</v>
      </c>
      <c r="O1679" t="s">
        <v>289</v>
      </c>
    </row>
    <row r="1680" spans="1:15" ht="15" customHeight="1">
      <c r="A1680" t="s">
        <v>1455</v>
      </c>
      <c r="B1680" t="s">
        <v>2277</v>
      </c>
      <c r="C1680" t="s">
        <v>81</v>
      </c>
      <c r="D1680" t="s">
        <v>69</v>
      </c>
      <c r="E1680">
        <v>14</v>
      </c>
      <c r="F1680">
        <v>5</v>
      </c>
      <c r="G1680">
        <v>0.36</v>
      </c>
      <c r="H1680">
        <v>17</v>
      </c>
      <c r="I1680">
        <v>10000</v>
      </c>
      <c r="J1680">
        <v>3000</v>
      </c>
      <c r="K1680" t="s">
        <v>389</v>
      </c>
      <c r="L1680" t="s">
        <v>117</v>
      </c>
      <c r="M1680" t="s">
        <v>46</v>
      </c>
      <c r="N1680" t="b">
        <v>1</v>
      </c>
      <c r="O1680" t="s">
        <v>390</v>
      </c>
    </row>
    <row r="1681" spans="1:15" ht="15" customHeight="1">
      <c r="A1681" t="s">
        <v>742</v>
      </c>
      <c r="B1681" t="s">
        <v>2278</v>
      </c>
      <c r="C1681" t="s">
        <v>129</v>
      </c>
      <c r="D1681" t="s">
        <v>130</v>
      </c>
      <c r="E1681">
        <v>18</v>
      </c>
      <c r="F1681">
        <v>11.8</v>
      </c>
      <c r="G1681">
        <v>0.66</v>
      </c>
      <c r="H1681">
        <v>27</v>
      </c>
      <c r="I1681">
        <v>5000</v>
      </c>
      <c r="J1681">
        <v>1000</v>
      </c>
      <c r="K1681" t="s">
        <v>172</v>
      </c>
      <c r="L1681" t="s">
        <v>117</v>
      </c>
      <c r="M1681" t="s">
        <v>48</v>
      </c>
      <c r="N1681" t="b">
        <v>1</v>
      </c>
      <c r="O1681" t="s">
        <v>173</v>
      </c>
    </row>
    <row r="1682" spans="1:15" ht="15" customHeight="1">
      <c r="A1682" t="s">
        <v>607</v>
      </c>
      <c r="B1682" t="s">
        <v>2279</v>
      </c>
      <c r="C1682" t="s">
        <v>81</v>
      </c>
      <c r="D1682" t="s">
        <v>69</v>
      </c>
      <c r="E1682">
        <v>18</v>
      </c>
      <c r="F1682">
        <v>17.2</v>
      </c>
      <c r="G1682">
        <v>0.96</v>
      </c>
      <c r="H1682">
        <v>24</v>
      </c>
      <c r="I1682">
        <v>10000</v>
      </c>
      <c r="J1682">
        <v>3000</v>
      </c>
      <c r="K1682" t="s">
        <v>306</v>
      </c>
      <c r="L1682" t="s">
        <v>100</v>
      </c>
      <c r="M1682" t="s">
        <v>42</v>
      </c>
      <c r="N1682" t="b">
        <v>0</v>
      </c>
      <c r="O1682" t="s">
        <v>307</v>
      </c>
    </row>
    <row r="1683" spans="1:15" ht="15" customHeight="1">
      <c r="A1683" t="s">
        <v>650</v>
      </c>
      <c r="B1683" t="s">
        <v>2280</v>
      </c>
      <c r="C1683" t="s">
        <v>129</v>
      </c>
      <c r="D1683" t="s">
        <v>130</v>
      </c>
      <c r="E1683">
        <v>19</v>
      </c>
      <c r="F1683">
        <v>14.2</v>
      </c>
      <c r="G1683">
        <v>0.75</v>
      </c>
      <c r="H1683">
        <v>19</v>
      </c>
      <c r="I1683">
        <v>5000</v>
      </c>
      <c r="J1683">
        <v>1000</v>
      </c>
      <c r="K1683" t="s">
        <v>336</v>
      </c>
      <c r="L1683" t="s">
        <v>100</v>
      </c>
      <c r="M1683" t="s">
        <v>46</v>
      </c>
      <c r="N1683" t="b">
        <v>0</v>
      </c>
      <c r="O1683" t="s">
        <v>337</v>
      </c>
    </row>
    <row r="1684" spans="1:15" ht="15" customHeight="1">
      <c r="A1684" t="s">
        <v>574</v>
      </c>
      <c r="B1684" t="s">
        <v>2281</v>
      </c>
      <c r="C1684" t="s">
        <v>149</v>
      </c>
      <c r="D1684" t="s">
        <v>69</v>
      </c>
      <c r="E1684">
        <v>9</v>
      </c>
      <c r="F1684">
        <v>6.4</v>
      </c>
      <c r="G1684">
        <v>0.71</v>
      </c>
      <c r="H1684">
        <v>19</v>
      </c>
      <c r="I1684">
        <v>3000</v>
      </c>
      <c r="J1684">
        <v>1000</v>
      </c>
      <c r="K1684" t="s">
        <v>198</v>
      </c>
      <c r="L1684" t="s">
        <v>77</v>
      </c>
      <c r="M1684" t="s">
        <v>51</v>
      </c>
      <c r="N1684" t="b">
        <v>0</v>
      </c>
      <c r="O1684" t="s">
        <v>262</v>
      </c>
    </row>
    <row r="1685" spans="1:15" ht="15" customHeight="1">
      <c r="A1685" t="s">
        <v>1084</v>
      </c>
      <c r="B1685" t="s">
        <v>2282</v>
      </c>
      <c r="C1685" t="s">
        <v>149</v>
      </c>
      <c r="D1685" t="s">
        <v>69</v>
      </c>
      <c r="E1685">
        <v>9</v>
      </c>
      <c r="F1685">
        <v>9</v>
      </c>
      <c r="G1685">
        <v>1</v>
      </c>
      <c r="H1685">
        <v>40</v>
      </c>
      <c r="I1685">
        <v>3000</v>
      </c>
      <c r="J1685">
        <v>1000</v>
      </c>
      <c r="K1685" t="s">
        <v>95</v>
      </c>
      <c r="L1685" t="s">
        <v>77</v>
      </c>
      <c r="M1685" t="s">
        <v>44</v>
      </c>
      <c r="N1685" t="b">
        <v>0</v>
      </c>
      <c r="O1685" t="s">
        <v>217</v>
      </c>
    </row>
    <row r="1686" spans="1:15" ht="15" customHeight="1">
      <c r="A1686" t="s">
        <v>542</v>
      </c>
      <c r="B1686" t="s">
        <v>2283</v>
      </c>
      <c r="C1686" t="s">
        <v>149</v>
      </c>
      <c r="D1686" t="s">
        <v>69</v>
      </c>
      <c r="E1686">
        <v>10</v>
      </c>
      <c r="F1686">
        <v>9.6</v>
      </c>
      <c r="G1686">
        <v>0.96</v>
      </c>
      <c r="H1686">
        <v>23</v>
      </c>
      <c r="I1686">
        <v>3000</v>
      </c>
      <c r="J1686">
        <v>1000</v>
      </c>
      <c r="K1686" t="s">
        <v>229</v>
      </c>
      <c r="L1686" t="s">
        <v>77</v>
      </c>
      <c r="M1686" t="s">
        <v>44</v>
      </c>
      <c r="N1686" t="b">
        <v>0</v>
      </c>
      <c r="O1686" t="s">
        <v>249</v>
      </c>
    </row>
    <row r="1687" spans="1:15" ht="15" customHeight="1">
      <c r="A1687" t="s">
        <v>1411</v>
      </c>
      <c r="B1687" t="s">
        <v>2284</v>
      </c>
      <c r="C1687" t="s">
        <v>81</v>
      </c>
      <c r="D1687" t="s">
        <v>69</v>
      </c>
      <c r="E1687">
        <v>14</v>
      </c>
      <c r="F1687">
        <v>10.4</v>
      </c>
      <c r="G1687">
        <v>0.74</v>
      </c>
      <c r="H1687">
        <v>26</v>
      </c>
      <c r="I1687">
        <v>10000</v>
      </c>
      <c r="J1687">
        <v>3000</v>
      </c>
      <c r="K1687" t="s">
        <v>525</v>
      </c>
      <c r="L1687" t="s">
        <v>77</v>
      </c>
      <c r="M1687" t="s">
        <v>48</v>
      </c>
      <c r="N1687" t="b">
        <v>0</v>
      </c>
      <c r="O1687" t="s">
        <v>526</v>
      </c>
    </row>
    <row r="1688" spans="1:15" ht="15" customHeight="1">
      <c r="A1688" t="s">
        <v>79</v>
      </c>
      <c r="B1688" t="s">
        <v>2285</v>
      </c>
      <c r="C1688" t="s">
        <v>149</v>
      </c>
      <c r="D1688" t="s">
        <v>69</v>
      </c>
      <c r="E1688">
        <v>9</v>
      </c>
      <c r="F1688">
        <v>8.6999999999999993</v>
      </c>
      <c r="G1688">
        <v>0.97</v>
      </c>
      <c r="H1688">
        <v>24</v>
      </c>
      <c r="I1688">
        <v>3000</v>
      </c>
      <c r="J1688">
        <v>1000</v>
      </c>
      <c r="K1688" t="s">
        <v>490</v>
      </c>
      <c r="L1688" t="s">
        <v>77</v>
      </c>
      <c r="M1688" t="s">
        <v>51</v>
      </c>
      <c r="N1688" t="b">
        <v>0</v>
      </c>
      <c r="O1688" t="s">
        <v>491</v>
      </c>
    </row>
    <row r="1689" spans="1:15" ht="15" customHeight="1">
      <c r="A1689" t="s">
        <v>369</v>
      </c>
      <c r="B1689" t="s">
        <v>2286</v>
      </c>
      <c r="C1689" t="s">
        <v>129</v>
      </c>
      <c r="D1689" t="s">
        <v>130</v>
      </c>
      <c r="E1689">
        <v>11</v>
      </c>
      <c r="F1689">
        <v>6.7</v>
      </c>
      <c r="G1689">
        <v>0.61</v>
      </c>
      <c r="H1689">
        <v>24</v>
      </c>
      <c r="I1689">
        <v>5000</v>
      </c>
      <c r="J1689">
        <v>1000</v>
      </c>
      <c r="K1689" t="s">
        <v>95</v>
      </c>
      <c r="L1689" t="s">
        <v>77</v>
      </c>
      <c r="M1689" t="s">
        <v>46</v>
      </c>
      <c r="N1689" t="b">
        <v>0</v>
      </c>
      <c r="O1689" t="s">
        <v>217</v>
      </c>
    </row>
    <row r="1690" spans="1:15" ht="15" customHeight="1">
      <c r="A1690" t="s">
        <v>119</v>
      </c>
      <c r="B1690" t="s">
        <v>2287</v>
      </c>
      <c r="C1690" t="s">
        <v>149</v>
      </c>
      <c r="D1690" t="s">
        <v>69</v>
      </c>
      <c r="E1690">
        <v>11</v>
      </c>
      <c r="F1690">
        <v>6.1</v>
      </c>
      <c r="G1690">
        <v>0.55000000000000004</v>
      </c>
      <c r="H1690">
        <v>32</v>
      </c>
      <c r="I1690">
        <v>3000</v>
      </c>
      <c r="J1690">
        <v>1000</v>
      </c>
      <c r="K1690" t="s">
        <v>576</v>
      </c>
      <c r="L1690" t="s">
        <v>71</v>
      </c>
      <c r="M1690" t="s">
        <v>45</v>
      </c>
      <c r="N1690" t="b">
        <v>0</v>
      </c>
      <c r="O1690" t="s">
        <v>336</v>
      </c>
    </row>
    <row r="1691" spans="1:15" ht="15" customHeight="1">
      <c r="A1691" t="s">
        <v>565</v>
      </c>
      <c r="B1691" t="s">
        <v>2288</v>
      </c>
      <c r="C1691" t="s">
        <v>81</v>
      </c>
      <c r="D1691" t="s">
        <v>69</v>
      </c>
      <c r="E1691">
        <v>19</v>
      </c>
      <c r="F1691">
        <v>7.3</v>
      </c>
      <c r="G1691">
        <v>0.38</v>
      </c>
      <c r="H1691">
        <v>6</v>
      </c>
      <c r="I1691">
        <v>10000</v>
      </c>
      <c r="J1691">
        <v>3000</v>
      </c>
      <c r="K1691" t="s">
        <v>162</v>
      </c>
      <c r="L1691" t="s">
        <v>96</v>
      </c>
      <c r="M1691" t="s">
        <v>42</v>
      </c>
      <c r="N1691" t="b">
        <v>0</v>
      </c>
      <c r="O1691" t="s">
        <v>198</v>
      </c>
    </row>
    <row r="1692" spans="1:15" ht="15" customHeight="1">
      <c r="A1692" t="s">
        <v>324</v>
      </c>
      <c r="B1692" t="s">
        <v>2289</v>
      </c>
      <c r="C1692" t="s">
        <v>75</v>
      </c>
      <c r="D1692" t="s">
        <v>69</v>
      </c>
      <c r="E1692">
        <v>8</v>
      </c>
      <c r="F1692">
        <v>7.9</v>
      </c>
      <c r="G1692">
        <v>0.99</v>
      </c>
      <c r="H1692">
        <v>17</v>
      </c>
      <c r="I1692">
        <v>2000</v>
      </c>
      <c r="J1692">
        <v>1500</v>
      </c>
      <c r="K1692" t="s">
        <v>862</v>
      </c>
      <c r="L1692" t="s">
        <v>91</v>
      </c>
      <c r="M1692" t="s">
        <v>48</v>
      </c>
      <c r="N1692" t="b">
        <v>1</v>
      </c>
      <c r="O1692" t="s">
        <v>863</v>
      </c>
    </row>
    <row r="1693" spans="1:15" ht="15" customHeight="1">
      <c r="A1693" t="s">
        <v>734</v>
      </c>
      <c r="B1693" t="s">
        <v>2290</v>
      </c>
      <c r="C1693" t="s">
        <v>81</v>
      </c>
      <c r="D1693" t="s">
        <v>69</v>
      </c>
      <c r="E1693">
        <v>19</v>
      </c>
      <c r="F1693">
        <v>13.3</v>
      </c>
      <c r="G1693">
        <v>0.7</v>
      </c>
      <c r="H1693">
        <v>10</v>
      </c>
      <c r="I1693">
        <v>10000</v>
      </c>
      <c r="J1693">
        <v>3000</v>
      </c>
      <c r="K1693" t="s">
        <v>103</v>
      </c>
      <c r="L1693" t="s">
        <v>100</v>
      </c>
      <c r="M1693" t="s">
        <v>48</v>
      </c>
      <c r="N1693" t="b">
        <v>0</v>
      </c>
      <c r="O1693" t="s">
        <v>105</v>
      </c>
    </row>
    <row r="1694" spans="1:15" ht="15" customHeight="1">
      <c r="A1694" t="s">
        <v>691</v>
      </c>
      <c r="B1694" t="s">
        <v>2291</v>
      </c>
      <c r="C1694" t="s">
        <v>68</v>
      </c>
      <c r="D1694" t="s">
        <v>69</v>
      </c>
      <c r="E1694">
        <v>13</v>
      </c>
      <c r="F1694">
        <v>1</v>
      </c>
      <c r="G1694">
        <v>0.08</v>
      </c>
      <c r="H1694">
        <v>1</v>
      </c>
      <c r="I1694">
        <v>30000</v>
      </c>
      <c r="J1694">
        <v>5000</v>
      </c>
      <c r="K1694" t="s">
        <v>70</v>
      </c>
      <c r="L1694" t="s">
        <v>100</v>
      </c>
      <c r="M1694" t="s">
        <v>47</v>
      </c>
      <c r="N1694" t="b">
        <v>0</v>
      </c>
      <c r="O1694" t="s">
        <v>72</v>
      </c>
    </row>
    <row r="1695" spans="1:15" ht="15" customHeight="1">
      <c r="A1695" t="s">
        <v>554</v>
      </c>
      <c r="B1695" t="s">
        <v>2292</v>
      </c>
      <c r="C1695" t="s">
        <v>68</v>
      </c>
      <c r="D1695" t="s">
        <v>69</v>
      </c>
      <c r="E1695">
        <v>15</v>
      </c>
      <c r="F1695">
        <v>2</v>
      </c>
      <c r="G1695">
        <v>0.13</v>
      </c>
      <c r="H1695">
        <v>1</v>
      </c>
      <c r="I1695">
        <v>30000</v>
      </c>
      <c r="J1695">
        <v>5000</v>
      </c>
      <c r="K1695" t="s">
        <v>70</v>
      </c>
      <c r="L1695" t="s">
        <v>71</v>
      </c>
      <c r="M1695" t="s">
        <v>40</v>
      </c>
      <c r="N1695" t="b">
        <v>0</v>
      </c>
      <c r="O1695" t="s">
        <v>72</v>
      </c>
    </row>
    <row r="1696" spans="1:15" ht="15" customHeight="1">
      <c r="A1696" t="s">
        <v>315</v>
      </c>
      <c r="B1696" t="s">
        <v>2293</v>
      </c>
      <c r="C1696" t="s">
        <v>149</v>
      </c>
      <c r="D1696" t="s">
        <v>69</v>
      </c>
      <c r="E1696">
        <v>11</v>
      </c>
      <c r="F1696">
        <v>8.6</v>
      </c>
      <c r="G1696">
        <v>0.78</v>
      </c>
      <c r="H1696">
        <v>16</v>
      </c>
      <c r="I1696">
        <v>3000</v>
      </c>
      <c r="J1696">
        <v>1000</v>
      </c>
      <c r="K1696" t="s">
        <v>361</v>
      </c>
      <c r="L1696" t="s">
        <v>104</v>
      </c>
      <c r="M1696" t="s">
        <v>50</v>
      </c>
      <c r="N1696" t="b">
        <v>0</v>
      </c>
      <c r="O1696" t="s">
        <v>870</v>
      </c>
    </row>
    <row r="1697" spans="1:15" ht="15" customHeight="1">
      <c r="A1697" t="s">
        <v>759</v>
      </c>
      <c r="B1697" t="s">
        <v>2294</v>
      </c>
      <c r="C1697" t="s">
        <v>129</v>
      </c>
      <c r="D1697" t="s">
        <v>130</v>
      </c>
      <c r="E1697">
        <v>13</v>
      </c>
      <c r="F1697">
        <v>10.7</v>
      </c>
      <c r="G1697">
        <v>0.82</v>
      </c>
      <c r="H1697">
        <v>6</v>
      </c>
      <c r="I1697">
        <v>5000</v>
      </c>
      <c r="J1697">
        <v>1000</v>
      </c>
      <c r="K1697" t="s">
        <v>70</v>
      </c>
      <c r="L1697" t="s">
        <v>96</v>
      </c>
      <c r="M1697" t="s">
        <v>51</v>
      </c>
      <c r="N1697" t="b">
        <v>0</v>
      </c>
      <c r="O1697" t="s">
        <v>331</v>
      </c>
    </row>
    <row r="1698" spans="1:15" ht="15" customHeight="1">
      <c r="A1698" t="s">
        <v>1159</v>
      </c>
      <c r="B1698" t="s">
        <v>2295</v>
      </c>
      <c r="C1698" t="s">
        <v>75</v>
      </c>
      <c r="D1698" t="s">
        <v>69</v>
      </c>
      <c r="E1698">
        <v>8</v>
      </c>
      <c r="F1698">
        <v>3.3</v>
      </c>
      <c r="G1698">
        <v>0.41</v>
      </c>
      <c r="H1698">
        <v>8</v>
      </c>
      <c r="I1698">
        <v>2000</v>
      </c>
      <c r="J1698">
        <v>1500</v>
      </c>
      <c r="K1698" t="s">
        <v>275</v>
      </c>
      <c r="L1698" t="s">
        <v>100</v>
      </c>
      <c r="M1698" t="s">
        <v>48</v>
      </c>
      <c r="N1698" t="b">
        <v>0</v>
      </c>
      <c r="O1698" t="s">
        <v>276</v>
      </c>
    </row>
    <row r="1699" spans="1:15" ht="15" customHeight="1">
      <c r="A1699" t="s">
        <v>590</v>
      </c>
      <c r="B1699" t="s">
        <v>2296</v>
      </c>
      <c r="C1699" t="s">
        <v>75</v>
      </c>
      <c r="D1699" t="s">
        <v>69</v>
      </c>
      <c r="E1699">
        <v>14</v>
      </c>
      <c r="F1699">
        <v>8.3000000000000007</v>
      </c>
      <c r="G1699">
        <v>0.59</v>
      </c>
      <c r="H1699">
        <v>6</v>
      </c>
      <c r="I1699">
        <v>2000</v>
      </c>
      <c r="J1699">
        <v>1500</v>
      </c>
      <c r="K1699" t="s">
        <v>269</v>
      </c>
      <c r="L1699" t="s">
        <v>77</v>
      </c>
      <c r="M1699" t="s">
        <v>49</v>
      </c>
      <c r="N1699" t="b">
        <v>0</v>
      </c>
      <c r="O1699" t="s">
        <v>270</v>
      </c>
    </row>
    <row r="1700" spans="1:15" ht="15" customHeight="1">
      <c r="A1700" t="s">
        <v>1711</v>
      </c>
      <c r="B1700" t="s">
        <v>2297</v>
      </c>
      <c r="C1700" t="s">
        <v>129</v>
      </c>
      <c r="D1700" t="s">
        <v>130</v>
      </c>
      <c r="E1700">
        <v>8</v>
      </c>
      <c r="F1700">
        <v>7</v>
      </c>
      <c r="G1700">
        <v>0.88</v>
      </c>
      <c r="H1700">
        <v>10</v>
      </c>
      <c r="I1700">
        <v>5000</v>
      </c>
      <c r="J1700">
        <v>1000</v>
      </c>
      <c r="K1700" t="s">
        <v>158</v>
      </c>
      <c r="L1700" t="s">
        <v>96</v>
      </c>
      <c r="M1700" t="s">
        <v>47</v>
      </c>
      <c r="N1700" t="b">
        <v>0</v>
      </c>
      <c r="O1700" t="s">
        <v>159</v>
      </c>
    </row>
    <row r="1701" spans="1:15" ht="15" customHeight="1">
      <c r="A1701" t="s">
        <v>374</v>
      </c>
      <c r="B1701" t="s">
        <v>2298</v>
      </c>
      <c r="C1701" t="s">
        <v>129</v>
      </c>
      <c r="D1701" t="s">
        <v>130</v>
      </c>
      <c r="E1701">
        <v>11</v>
      </c>
      <c r="F1701">
        <v>4</v>
      </c>
      <c r="G1701">
        <v>0.36</v>
      </c>
      <c r="H1701">
        <v>26</v>
      </c>
      <c r="I1701">
        <v>5000</v>
      </c>
      <c r="J1701">
        <v>1000</v>
      </c>
      <c r="K1701" t="s">
        <v>203</v>
      </c>
      <c r="L1701" t="s">
        <v>104</v>
      </c>
      <c r="M1701" t="s">
        <v>42</v>
      </c>
      <c r="N1701" t="b">
        <v>0</v>
      </c>
      <c r="O1701" t="s">
        <v>623</v>
      </c>
    </row>
    <row r="1702" spans="1:15" ht="15" customHeight="1">
      <c r="A1702" t="s">
        <v>445</v>
      </c>
      <c r="B1702" t="s">
        <v>2299</v>
      </c>
      <c r="C1702" t="s">
        <v>149</v>
      </c>
      <c r="D1702" t="s">
        <v>69</v>
      </c>
      <c r="E1702">
        <v>11</v>
      </c>
      <c r="F1702">
        <v>8.1</v>
      </c>
      <c r="G1702">
        <v>0.74</v>
      </c>
      <c r="H1702">
        <v>34</v>
      </c>
      <c r="I1702">
        <v>3000</v>
      </c>
      <c r="J1702">
        <v>1000</v>
      </c>
      <c r="K1702" t="s">
        <v>433</v>
      </c>
      <c r="L1702" t="s">
        <v>117</v>
      </c>
      <c r="M1702" t="s">
        <v>45</v>
      </c>
      <c r="N1702" t="b">
        <v>1</v>
      </c>
      <c r="O1702" t="s">
        <v>434</v>
      </c>
    </row>
    <row r="1703" spans="1:15" ht="15" customHeight="1">
      <c r="A1703" t="s">
        <v>353</v>
      </c>
      <c r="B1703" t="s">
        <v>2300</v>
      </c>
      <c r="C1703" t="s">
        <v>68</v>
      </c>
      <c r="D1703" t="s">
        <v>69</v>
      </c>
      <c r="E1703">
        <v>11</v>
      </c>
      <c r="F1703">
        <v>3.2</v>
      </c>
      <c r="G1703">
        <v>0.28999999999999998</v>
      </c>
      <c r="H1703">
        <v>3</v>
      </c>
      <c r="I1703">
        <v>30000</v>
      </c>
      <c r="J1703">
        <v>5000</v>
      </c>
      <c r="K1703" t="s">
        <v>108</v>
      </c>
      <c r="L1703" t="s">
        <v>117</v>
      </c>
      <c r="M1703" t="s">
        <v>47</v>
      </c>
      <c r="N1703" t="b">
        <v>1</v>
      </c>
      <c r="O1703" t="s">
        <v>109</v>
      </c>
    </row>
    <row r="1704" spans="1:15" ht="15" customHeight="1">
      <c r="A1704" t="s">
        <v>338</v>
      </c>
      <c r="B1704" t="s">
        <v>2301</v>
      </c>
      <c r="C1704" t="s">
        <v>149</v>
      </c>
      <c r="D1704" t="s">
        <v>69</v>
      </c>
      <c r="E1704">
        <v>10</v>
      </c>
      <c r="F1704">
        <v>6.7</v>
      </c>
      <c r="G1704">
        <v>0.67</v>
      </c>
      <c r="H1704">
        <v>20</v>
      </c>
      <c r="I1704">
        <v>3000</v>
      </c>
      <c r="J1704">
        <v>1000</v>
      </c>
      <c r="K1704" t="s">
        <v>162</v>
      </c>
      <c r="L1704" t="s">
        <v>117</v>
      </c>
      <c r="M1704" t="s">
        <v>40</v>
      </c>
      <c r="N1704" t="b">
        <v>1</v>
      </c>
      <c r="O1704" t="s">
        <v>180</v>
      </c>
    </row>
    <row r="1705" spans="1:15" ht="15" customHeight="1">
      <c r="A1705" t="s">
        <v>402</v>
      </c>
      <c r="B1705" t="s">
        <v>2302</v>
      </c>
      <c r="C1705" t="s">
        <v>149</v>
      </c>
      <c r="D1705" t="s">
        <v>69</v>
      </c>
      <c r="E1705">
        <v>12</v>
      </c>
      <c r="F1705">
        <v>6.5</v>
      </c>
      <c r="G1705">
        <v>0.54</v>
      </c>
      <c r="H1705">
        <v>21</v>
      </c>
      <c r="I1705">
        <v>3000</v>
      </c>
      <c r="J1705">
        <v>1000</v>
      </c>
      <c r="K1705" t="s">
        <v>380</v>
      </c>
      <c r="L1705" t="s">
        <v>71</v>
      </c>
      <c r="M1705" t="s">
        <v>41</v>
      </c>
      <c r="N1705" t="b">
        <v>0</v>
      </c>
      <c r="O1705" t="s">
        <v>381</v>
      </c>
    </row>
    <row r="1706" spans="1:15" ht="15" customHeight="1">
      <c r="A1706" t="s">
        <v>765</v>
      </c>
      <c r="B1706" t="s">
        <v>2303</v>
      </c>
      <c r="C1706" t="s">
        <v>129</v>
      </c>
      <c r="D1706" t="s">
        <v>130</v>
      </c>
      <c r="E1706">
        <v>20</v>
      </c>
      <c r="F1706">
        <v>7</v>
      </c>
      <c r="G1706">
        <v>0.35</v>
      </c>
      <c r="H1706">
        <v>15</v>
      </c>
      <c r="I1706">
        <v>5000</v>
      </c>
      <c r="J1706">
        <v>1000</v>
      </c>
      <c r="K1706" t="s">
        <v>479</v>
      </c>
      <c r="L1706" t="s">
        <v>71</v>
      </c>
      <c r="M1706" t="s">
        <v>42</v>
      </c>
      <c r="N1706" t="b">
        <v>0</v>
      </c>
      <c r="O1706" t="s">
        <v>480</v>
      </c>
    </row>
    <row r="1707" spans="1:15" ht="15" customHeight="1">
      <c r="A1707" t="s">
        <v>1657</v>
      </c>
      <c r="B1707" t="s">
        <v>2304</v>
      </c>
      <c r="C1707" t="s">
        <v>75</v>
      </c>
      <c r="D1707" t="s">
        <v>69</v>
      </c>
      <c r="E1707">
        <v>11</v>
      </c>
      <c r="F1707">
        <v>6.5</v>
      </c>
      <c r="G1707">
        <v>0.59</v>
      </c>
      <c r="H1707">
        <v>21</v>
      </c>
      <c r="I1707">
        <v>2000</v>
      </c>
      <c r="J1707">
        <v>1500</v>
      </c>
      <c r="K1707" t="s">
        <v>365</v>
      </c>
      <c r="L1707" t="s">
        <v>91</v>
      </c>
      <c r="M1707" t="s">
        <v>46</v>
      </c>
      <c r="N1707" t="b">
        <v>1</v>
      </c>
      <c r="O1707" t="s">
        <v>366</v>
      </c>
    </row>
    <row r="1708" spans="1:15" ht="15" customHeight="1">
      <c r="A1708" t="s">
        <v>1159</v>
      </c>
      <c r="B1708" t="s">
        <v>2305</v>
      </c>
      <c r="C1708" t="s">
        <v>149</v>
      </c>
      <c r="D1708" t="s">
        <v>69</v>
      </c>
      <c r="E1708">
        <v>11</v>
      </c>
      <c r="F1708">
        <v>7.9</v>
      </c>
      <c r="G1708">
        <v>0.72</v>
      </c>
      <c r="H1708">
        <v>27</v>
      </c>
      <c r="I1708">
        <v>3000</v>
      </c>
      <c r="J1708">
        <v>1000</v>
      </c>
      <c r="K1708" t="s">
        <v>845</v>
      </c>
      <c r="L1708" t="s">
        <v>100</v>
      </c>
      <c r="M1708" t="s">
        <v>48</v>
      </c>
      <c r="N1708" t="b">
        <v>0</v>
      </c>
      <c r="O1708" t="s">
        <v>357</v>
      </c>
    </row>
    <row r="1709" spans="1:15" ht="15" customHeight="1">
      <c r="A1709" t="s">
        <v>485</v>
      </c>
      <c r="B1709" t="s">
        <v>2306</v>
      </c>
      <c r="C1709" t="s">
        <v>81</v>
      </c>
      <c r="D1709" t="s">
        <v>69</v>
      </c>
      <c r="E1709">
        <v>9</v>
      </c>
      <c r="F1709">
        <v>3.7</v>
      </c>
      <c r="G1709">
        <v>0.41</v>
      </c>
      <c r="H1709">
        <v>21</v>
      </c>
      <c r="I1709">
        <v>10000</v>
      </c>
      <c r="J1709">
        <v>3000</v>
      </c>
      <c r="K1709" t="s">
        <v>279</v>
      </c>
      <c r="L1709" t="s">
        <v>100</v>
      </c>
      <c r="M1709" t="s">
        <v>50</v>
      </c>
      <c r="N1709" t="b">
        <v>0</v>
      </c>
      <c r="O1709" t="s">
        <v>280</v>
      </c>
    </row>
    <row r="1710" spans="1:15" ht="15" customHeight="1">
      <c r="A1710" t="s">
        <v>877</v>
      </c>
      <c r="B1710" t="s">
        <v>2307</v>
      </c>
      <c r="C1710" t="s">
        <v>149</v>
      </c>
      <c r="D1710" t="s">
        <v>69</v>
      </c>
      <c r="E1710">
        <v>8</v>
      </c>
      <c r="F1710">
        <v>6.6</v>
      </c>
      <c r="G1710">
        <v>0.82</v>
      </c>
      <c r="H1710">
        <v>39</v>
      </c>
      <c r="I1710">
        <v>3000</v>
      </c>
      <c r="J1710">
        <v>1000</v>
      </c>
      <c r="K1710" t="s">
        <v>257</v>
      </c>
      <c r="L1710" t="s">
        <v>91</v>
      </c>
      <c r="M1710" t="s">
        <v>40</v>
      </c>
      <c r="N1710" t="b">
        <v>1</v>
      </c>
      <c r="O1710" t="s">
        <v>258</v>
      </c>
    </row>
    <row r="1711" spans="1:15" ht="15" customHeight="1">
      <c r="A1711" t="s">
        <v>191</v>
      </c>
      <c r="B1711" t="s">
        <v>2308</v>
      </c>
      <c r="C1711" t="s">
        <v>81</v>
      </c>
      <c r="D1711" t="s">
        <v>69</v>
      </c>
      <c r="E1711">
        <v>10</v>
      </c>
      <c r="F1711">
        <v>6.9</v>
      </c>
      <c r="G1711">
        <v>0.69</v>
      </c>
      <c r="H1711">
        <v>30</v>
      </c>
      <c r="I1711">
        <v>10000</v>
      </c>
      <c r="J1711">
        <v>3000</v>
      </c>
      <c r="K1711" t="s">
        <v>185</v>
      </c>
      <c r="L1711" t="s">
        <v>71</v>
      </c>
      <c r="M1711" t="s">
        <v>49</v>
      </c>
      <c r="N1711" t="b">
        <v>0</v>
      </c>
      <c r="O1711" t="s">
        <v>186</v>
      </c>
    </row>
    <row r="1712" spans="1:15" ht="15" customHeight="1">
      <c r="A1712" t="s">
        <v>445</v>
      </c>
      <c r="B1712" t="s">
        <v>2309</v>
      </c>
      <c r="C1712" t="s">
        <v>68</v>
      </c>
      <c r="D1712" t="s">
        <v>69</v>
      </c>
      <c r="E1712">
        <v>16</v>
      </c>
      <c r="F1712">
        <v>3.7</v>
      </c>
      <c r="G1712">
        <v>0.23</v>
      </c>
      <c r="H1712">
        <v>5</v>
      </c>
      <c r="I1712">
        <v>30000</v>
      </c>
      <c r="J1712">
        <v>5000</v>
      </c>
      <c r="K1712" t="s">
        <v>112</v>
      </c>
      <c r="L1712" t="s">
        <v>117</v>
      </c>
      <c r="M1712" t="s">
        <v>45</v>
      </c>
      <c r="N1712" t="b">
        <v>1</v>
      </c>
      <c r="O1712" t="s">
        <v>113</v>
      </c>
    </row>
    <row r="1713" spans="1:15" ht="15" customHeight="1">
      <c r="A1713" t="s">
        <v>1012</v>
      </c>
      <c r="B1713" t="s">
        <v>2310</v>
      </c>
      <c r="C1713" t="s">
        <v>149</v>
      </c>
      <c r="D1713" t="s">
        <v>69</v>
      </c>
      <c r="E1713">
        <v>9</v>
      </c>
      <c r="F1713">
        <v>8.6999999999999993</v>
      </c>
      <c r="G1713">
        <v>0.97</v>
      </c>
      <c r="H1713">
        <v>22</v>
      </c>
      <c r="I1713">
        <v>3000</v>
      </c>
      <c r="J1713">
        <v>1000</v>
      </c>
      <c r="K1713" t="s">
        <v>556</v>
      </c>
      <c r="L1713" t="s">
        <v>96</v>
      </c>
      <c r="M1713" t="s">
        <v>41</v>
      </c>
      <c r="N1713" t="b">
        <v>0</v>
      </c>
      <c r="O1713" t="s">
        <v>313</v>
      </c>
    </row>
    <row r="1714" spans="1:15" ht="15" customHeight="1">
      <c r="A1714" t="s">
        <v>1389</v>
      </c>
      <c r="B1714" t="s">
        <v>2311</v>
      </c>
      <c r="C1714" t="s">
        <v>149</v>
      </c>
      <c r="D1714" t="s">
        <v>69</v>
      </c>
      <c r="E1714">
        <v>8</v>
      </c>
      <c r="F1714">
        <v>7.9</v>
      </c>
      <c r="G1714">
        <v>0.99</v>
      </c>
      <c r="H1714">
        <v>18</v>
      </c>
      <c r="I1714">
        <v>3000</v>
      </c>
      <c r="J1714">
        <v>1000</v>
      </c>
      <c r="K1714" t="s">
        <v>150</v>
      </c>
      <c r="L1714" t="s">
        <v>91</v>
      </c>
      <c r="M1714" t="s">
        <v>44</v>
      </c>
      <c r="N1714" t="b">
        <v>1</v>
      </c>
      <c r="O1714" t="s">
        <v>151</v>
      </c>
    </row>
    <row r="1715" spans="1:15" ht="15" customHeight="1">
      <c r="A1715" t="s">
        <v>1248</v>
      </c>
      <c r="B1715" t="s">
        <v>2312</v>
      </c>
      <c r="C1715" t="s">
        <v>81</v>
      </c>
      <c r="D1715" t="s">
        <v>69</v>
      </c>
      <c r="E1715">
        <v>17</v>
      </c>
      <c r="F1715">
        <v>4.5</v>
      </c>
      <c r="G1715">
        <v>0.26</v>
      </c>
      <c r="H1715">
        <v>24</v>
      </c>
      <c r="I1715">
        <v>10000</v>
      </c>
      <c r="J1715">
        <v>3000</v>
      </c>
      <c r="K1715" t="s">
        <v>306</v>
      </c>
      <c r="L1715" t="s">
        <v>96</v>
      </c>
      <c r="M1715" t="s">
        <v>50</v>
      </c>
      <c r="N1715" t="b">
        <v>0</v>
      </c>
      <c r="O1715" t="s">
        <v>307</v>
      </c>
    </row>
    <row r="1716" spans="1:15" ht="15" customHeight="1">
      <c r="A1716" t="s">
        <v>247</v>
      </c>
      <c r="B1716" t="s">
        <v>2313</v>
      </c>
      <c r="C1716" t="s">
        <v>68</v>
      </c>
      <c r="D1716" t="s">
        <v>69</v>
      </c>
      <c r="E1716">
        <v>9</v>
      </c>
      <c r="F1716">
        <v>0.5</v>
      </c>
      <c r="G1716">
        <v>0.06</v>
      </c>
      <c r="H1716">
        <v>1</v>
      </c>
      <c r="I1716">
        <v>30000</v>
      </c>
      <c r="J1716">
        <v>5000</v>
      </c>
      <c r="K1716" t="s">
        <v>70</v>
      </c>
      <c r="L1716" t="s">
        <v>100</v>
      </c>
      <c r="M1716" t="s">
        <v>45</v>
      </c>
      <c r="N1716" t="b">
        <v>0</v>
      </c>
      <c r="O1716" t="s">
        <v>72</v>
      </c>
    </row>
    <row r="1717" spans="1:15" ht="15" customHeight="1">
      <c r="A1717" t="s">
        <v>1039</v>
      </c>
      <c r="B1717" t="s">
        <v>2314</v>
      </c>
      <c r="C1717" t="s">
        <v>149</v>
      </c>
      <c r="D1717" t="s">
        <v>69</v>
      </c>
      <c r="E1717">
        <v>12</v>
      </c>
      <c r="F1717">
        <v>10.3</v>
      </c>
      <c r="G1717">
        <v>0.86</v>
      </c>
      <c r="H1717">
        <v>22</v>
      </c>
      <c r="I1717">
        <v>3000</v>
      </c>
      <c r="J1717">
        <v>1000</v>
      </c>
      <c r="K1717" t="s">
        <v>556</v>
      </c>
      <c r="L1717" t="s">
        <v>104</v>
      </c>
      <c r="M1717" t="s">
        <v>49</v>
      </c>
      <c r="N1717" t="b">
        <v>0</v>
      </c>
      <c r="O1717" t="s">
        <v>313</v>
      </c>
    </row>
    <row r="1718" spans="1:15" ht="15" customHeight="1">
      <c r="A1718" t="s">
        <v>410</v>
      </c>
      <c r="B1718" t="s">
        <v>2315</v>
      </c>
      <c r="C1718" t="s">
        <v>149</v>
      </c>
      <c r="D1718" t="s">
        <v>69</v>
      </c>
      <c r="E1718">
        <v>12</v>
      </c>
      <c r="F1718">
        <v>10.6</v>
      </c>
      <c r="G1718">
        <v>0.88</v>
      </c>
      <c r="H1718">
        <v>26</v>
      </c>
      <c r="I1718">
        <v>3000</v>
      </c>
      <c r="J1718">
        <v>1000</v>
      </c>
      <c r="K1718" t="s">
        <v>294</v>
      </c>
      <c r="L1718" t="s">
        <v>96</v>
      </c>
      <c r="M1718" t="s">
        <v>46</v>
      </c>
      <c r="N1718" t="b">
        <v>0</v>
      </c>
      <c r="O1718" t="s">
        <v>295</v>
      </c>
    </row>
    <row r="1719" spans="1:15" ht="15" customHeight="1">
      <c r="A1719" t="s">
        <v>590</v>
      </c>
      <c r="B1719" t="s">
        <v>2316</v>
      </c>
      <c r="C1719" t="s">
        <v>129</v>
      </c>
      <c r="D1719" t="s">
        <v>130</v>
      </c>
      <c r="E1719">
        <v>12</v>
      </c>
      <c r="F1719">
        <v>11.2</v>
      </c>
      <c r="G1719">
        <v>0.93</v>
      </c>
      <c r="H1719">
        <v>17</v>
      </c>
      <c r="I1719">
        <v>5000</v>
      </c>
      <c r="J1719">
        <v>1000</v>
      </c>
      <c r="K1719" t="s">
        <v>109</v>
      </c>
      <c r="L1719" t="s">
        <v>77</v>
      </c>
      <c r="M1719" t="s">
        <v>49</v>
      </c>
      <c r="N1719" t="b">
        <v>0</v>
      </c>
      <c r="O1719" t="s">
        <v>176</v>
      </c>
    </row>
    <row r="1720" spans="1:15" ht="15" customHeight="1">
      <c r="A1720" t="s">
        <v>705</v>
      </c>
      <c r="B1720" t="s">
        <v>2317</v>
      </c>
      <c r="C1720" t="s">
        <v>75</v>
      </c>
      <c r="D1720" t="s">
        <v>69</v>
      </c>
      <c r="E1720">
        <v>13</v>
      </c>
      <c r="F1720">
        <v>6.4</v>
      </c>
      <c r="G1720">
        <v>0.49</v>
      </c>
      <c r="H1720">
        <v>10</v>
      </c>
      <c r="I1720">
        <v>2000</v>
      </c>
      <c r="J1720">
        <v>1500</v>
      </c>
      <c r="K1720" t="s">
        <v>418</v>
      </c>
      <c r="L1720" t="s">
        <v>71</v>
      </c>
      <c r="M1720" t="s">
        <v>41</v>
      </c>
      <c r="N1720" t="b">
        <v>0</v>
      </c>
      <c r="O1720" t="s">
        <v>419</v>
      </c>
    </row>
    <row r="1721" spans="1:15" ht="15" customHeight="1">
      <c r="A1721" t="s">
        <v>884</v>
      </c>
      <c r="B1721" t="s">
        <v>2318</v>
      </c>
      <c r="C1721" t="s">
        <v>81</v>
      </c>
      <c r="D1721" t="s">
        <v>69</v>
      </c>
      <c r="E1721">
        <v>11</v>
      </c>
      <c r="F1721">
        <v>9.9</v>
      </c>
      <c r="G1721">
        <v>0.9</v>
      </c>
      <c r="H1721">
        <v>28</v>
      </c>
      <c r="I1721">
        <v>10000</v>
      </c>
      <c r="J1721">
        <v>3000</v>
      </c>
      <c r="K1721" t="s">
        <v>966</v>
      </c>
      <c r="L1721" t="s">
        <v>77</v>
      </c>
      <c r="M1721" t="s">
        <v>47</v>
      </c>
      <c r="N1721" t="b">
        <v>0</v>
      </c>
      <c r="O1721" t="s">
        <v>967</v>
      </c>
    </row>
    <row r="1722" spans="1:15" ht="15" customHeight="1">
      <c r="A1722" t="s">
        <v>421</v>
      </c>
      <c r="B1722" t="s">
        <v>2319</v>
      </c>
      <c r="C1722" t="s">
        <v>129</v>
      </c>
      <c r="D1722" t="s">
        <v>130</v>
      </c>
      <c r="E1722">
        <v>9</v>
      </c>
      <c r="F1722">
        <v>6.5</v>
      </c>
      <c r="G1722">
        <v>0.72</v>
      </c>
      <c r="H1722">
        <v>14</v>
      </c>
      <c r="I1722">
        <v>5000</v>
      </c>
      <c r="J1722">
        <v>1000</v>
      </c>
      <c r="K1722" t="s">
        <v>82</v>
      </c>
      <c r="L1722" t="s">
        <v>71</v>
      </c>
      <c r="M1722" t="s">
        <v>47</v>
      </c>
      <c r="N1722" t="b">
        <v>0</v>
      </c>
      <c r="O1722" t="s">
        <v>229</v>
      </c>
    </row>
    <row r="1723" spans="1:15" ht="15" customHeight="1">
      <c r="A1723" t="s">
        <v>654</v>
      </c>
      <c r="B1723" t="s">
        <v>2320</v>
      </c>
      <c r="C1723" t="s">
        <v>81</v>
      </c>
      <c r="D1723" t="s">
        <v>69</v>
      </c>
      <c r="E1723">
        <v>17</v>
      </c>
      <c r="F1723">
        <v>9.8000000000000007</v>
      </c>
      <c r="G1723">
        <v>0.57999999999999996</v>
      </c>
      <c r="H1723">
        <v>27</v>
      </c>
      <c r="I1723">
        <v>10000</v>
      </c>
      <c r="J1723">
        <v>3000</v>
      </c>
      <c r="K1723" t="s">
        <v>125</v>
      </c>
      <c r="L1723" t="s">
        <v>117</v>
      </c>
      <c r="M1723" t="s">
        <v>48</v>
      </c>
      <c r="N1723" t="b">
        <v>1</v>
      </c>
      <c r="O1723" t="s">
        <v>126</v>
      </c>
    </row>
    <row r="1724" spans="1:15" ht="15" customHeight="1">
      <c r="A1724" t="s">
        <v>1442</v>
      </c>
      <c r="B1724" t="s">
        <v>2321</v>
      </c>
      <c r="C1724" t="s">
        <v>68</v>
      </c>
      <c r="D1724" t="s">
        <v>69</v>
      </c>
      <c r="E1724">
        <v>13</v>
      </c>
      <c r="F1724">
        <v>1.7</v>
      </c>
      <c r="G1724">
        <v>0.13</v>
      </c>
      <c r="H1724">
        <v>1</v>
      </c>
      <c r="I1724">
        <v>30000</v>
      </c>
      <c r="J1724">
        <v>5000</v>
      </c>
      <c r="K1724" t="s">
        <v>70</v>
      </c>
      <c r="L1724" t="s">
        <v>104</v>
      </c>
      <c r="M1724" t="s">
        <v>47</v>
      </c>
      <c r="N1724" t="b">
        <v>0</v>
      </c>
      <c r="O1724" t="s">
        <v>72</v>
      </c>
    </row>
    <row r="1725" spans="1:15" ht="15" customHeight="1">
      <c r="A1725" t="s">
        <v>616</v>
      </c>
      <c r="B1725" t="s">
        <v>2322</v>
      </c>
      <c r="C1725" t="s">
        <v>68</v>
      </c>
      <c r="D1725" t="s">
        <v>69</v>
      </c>
      <c r="E1725">
        <v>14</v>
      </c>
      <c r="F1725">
        <v>3.8</v>
      </c>
      <c r="G1725">
        <v>0.27</v>
      </c>
      <c r="H1725">
        <v>3</v>
      </c>
      <c r="I1725">
        <v>30000</v>
      </c>
      <c r="J1725">
        <v>5000</v>
      </c>
      <c r="K1725" t="s">
        <v>108</v>
      </c>
      <c r="L1725" t="s">
        <v>96</v>
      </c>
      <c r="M1725" t="s">
        <v>42</v>
      </c>
      <c r="N1725" t="b">
        <v>0</v>
      </c>
      <c r="O1725" t="s">
        <v>109</v>
      </c>
    </row>
    <row r="1726" spans="1:15" ht="15" customHeight="1">
      <c r="A1726" t="s">
        <v>1126</v>
      </c>
      <c r="B1726" t="s">
        <v>2323</v>
      </c>
      <c r="C1726" t="s">
        <v>81</v>
      </c>
      <c r="D1726" t="s">
        <v>69</v>
      </c>
      <c r="E1726">
        <v>12</v>
      </c>
      <c r="F1726">
        <v>9.1999999999999993</v>
      </c>
      <c r="G1726">
        <v>0.77</v>
      </c>
      <c r="H1726">
        <v>22</v>
      </c>
      <c r="I1726">
        <v>10000</v>
      </c>
      <c r="J1726">
        <v>3000</v>
      </c>
      <c r="K1726" t="s">
        <v>548</v>
      </c>
      <c r="L1726" t="s">
        <v>104</v>
      </c>
      <c r="M1726" t="s">
        <v>46</v>
      </c>
      <c r="N1726" t="b">
        <v>0</v>
      </c>
      <c r="O1726" t="s">
        <v>549</v>
      </c>
    </row>
    <row r="1727" spans="1:15" ht="15" customHeight="1">
      <c r="A1727" t="s">
        <v>590</v>
      </c>
      <c r="B1727" t="s">
        <v>2324</v>
      </c>
      <c r="C1727" t="s">
        <v>75</v>
      </c>
      <c r="D1727" t="s">
        <v>69</v>
      </c>
      <c r="E1727">
        <v>12</v>
      </c>
      <c r="F1727">
        <v>6.1</v>
      </c>
      <c r="G1727">
        <v>0.51</v>
      </c>
      <c r="H1727">
        <v>15</v>
      </c>
      <c r="I1727">
        <v>2000</v>
      </c>
      <c r="J1727">
        <v>1500</v>
      </c>
      <c r="K1727" t="s">
        <v>70</v>
      </c>
      <c r="L1727" t="s">
        <v>77</v>
      </c>
      <c r="M1727" t="s">
        <v>49</v>
      </c>
      <c r="N1727" t="b">
        <v>0</v>
      </c>
      <c r="O1727" t="s">
        <v>598</v>
      </c>
    </row>
    <row r="1728" spans="1:15" ht="15" customHeight="1">
      <c r="A1728" t="s">
        <v>1101</v>
      </c>
      <c r="B1728" t="s">
        <v>2325</v>
      </c>
      <c r="C1728" t="s">
        <v>75</v>
      </c>
      <c r="D1728" t="s">
        <v>69</v>
      </c>
      <c r="E1728">
        <v>13</v>
      </c>
      <c r="F1728">
        <v>11.1</v>
      </c>
      <c r="G1728">
        <v>0.85</v>
      </c>
      <c r="H1728">
        <v>21</v>
      </c>
      <c r="I1728">
        <v>2000</v>
      </c>
      <c r="J1728">
        <v>1500</v>
      </c>
      <c r="K1728" t="s">
        <v>365</v>
      </c>
      <c r="L1728" t="s">
        <v>77</v>
      </c>
      <c r="M1728" t="s">
        <v>49</v>
      </c>
      <c r="N1728" t="b">
        <v>0</v>
      </c>
      <c r="O1728" t="s">
        <v>366</v>
      </c>
    </row>
    <row r="1729" spans="1:15" ht="15" customHeight="1">
      <c r="A1729" t="s">
        <v>568</v>
      </c>
      <c r="B1729" t="s">
        <v>2326</v>
      </c>
      <c r="C1729" t="s">
        <v>129</v>
      </c>
      <c r="D1729" t="s">
        <v>130</v>
      </c>
      <c r="E1729">
        <v>11</v>
      </c>
      <c r="F1729">
        <v>7.8</v>
      </c>
      <c r="G1729">
        <v>0.71</v>
      </c>
      <c r="H1729">
        <v>23</v>
      </c>
      <c r="I1729">
        <v>5000</v>
      </c>
      <c r="J1729">
        <v>1000</v>
      </c>
      <c r="K1729" t="s">
        <v>97</v>
      </c>
      <c r="L1729" t="s">
        <v>77</v>
      </c>
      <c r="M1729" t="s">
        <v>41</v>
      </c>
      <c r="N1729" t="b">
        <v>0</v>
      </c>
      <c r="O1729" t="s">
        <v>220</v>
      </c>
    </row>
    <row r="1730" spans="1:15" ht="15" customHeight="1">
      <c r="A1730" t="s">
        <v>421</v>
      </c>
      <c r="B1730" t="s">
        <v>2327</v>
      </c>
      <c r="C1730" t="s">
        <v>129</v>
      </c>
      <c r="D1730" t="s">
        <v>130</v>
      </c>
      <c r="E1730">
        <v>12</v>
      </c>
      <c r="F1730">
        <v>10.7</v>
      </c>
      <c r="G1730">
        <v>0.89</v>
      </c>
      <c r="H1730">
        <v>23</v>
      </c>
      <c r="I1730">
        <v>5000</v>
      </c>
      <c r="J1730">
        <v>1000</v>
      </c>
      <c r="K1730" t="s">
        <v>97</v>
      </c>
      <c r="L1730" t="s">
        <v>71</v>
      </c>
      <c r="M1730" t="s">
        <v>47</v>
      </c>
      <c r="N1730" t="b">
        <v>0</v>
      </c>
      <c r="O1730" t="s">
        <v>220</v>
      </c>
    </row>
    <row r="1731" spans="1:15" ht="15" customHeight="1">
      <c r="A1731" t="s">
        <v>209</v>
      </c>
      <c r="B1731" t="s">
        <v>2328</v>
      </c>
      <c r="C1731" t="s">
        <v>129</v>
      </c>
      <c r="D1731" t="s">
        <v>130</v>
      </c>
      <c r="E1731">
        <v>8</v>
      </c>
      <c r="F1731">
        <v>4.0999999999999996</v>
      </c>
      <c r="G1731">
        <v>0.51</v>
      </c>
      <c r="H1731">
        <v>26</v>
      </c>
      <c r="I1731">
        <v>5000</v>
      </c>
      <c r="J1731">
        <v>1000</v>
      </c>
      <c r="K1731" t="s">
        <v>203</v>
      </c>
      <c r="L1731" t="s">
        <v>104</v>
      </c>
      <c r="M1731" t="s">
        <v>49</v>
      </c>
      <c r="N1731" t="b">
        <v>0</v>
      </c>
      <c r="O1731" t="s">
        <v>623</v>
      </c>
    </row>
    <row r="1732" spans="1:15" ht="15" customHeight="1">
      <c r="A1732" t="s">
        <v>1110</v>
      </c>
      <c r="B1732" t="s">
        <v>2329</v>
      </c>
      <c r="C1732" t="s">
        <v>75</v>
      </c>
      <c r="D1732" t="s">
        <v>69</v>
      </c>
      <c r="E1732">
        <v>20</v>
      </c>
      <c r="F1732">
        <v>12.7</v>
      </c>
      <c r="G1732">
        <v>0.64</v>
      </c>
      <c r="H1732">
        <v>8</v>
      </c>
      <c r="I1732">
        <v>2000</v>
      </c>
      <c r="J1732">
        <v>1500</v>
      </c>
      <c r="K1732" t="s">
        <v>275</v>
      </c>
      <c r="L1732" t="s">
        <v>96</v>
      </c>
      <c r="M1732" t="s">
        <v>45</v>
      </c>
      <c r="N1732" t="b">
        <v>0</v>
      </c>
      <c r="O1732" t="s">
        <v>276</v>
      </c>
    </row>
    <row r="1733" spans="1:15" ht="15" customHeight="1">
      <c r="A1733" t="s">
        <v>618</v>
      </c>
      <c r="B1733" t="s">
        <v>2330</v>
      </c>
      <c r="C1733" t="s">
        <v>129</v>
      </c>
      <c r="D1733" t="s">
        <v>130</v>
      </c>
      <c r="E1733">
        <v>8</v>
      </c>
      <c r="F1733">
        <v>3.2</v>
      </c>
      <c r="G1733">
        <v>0.4</v>
      </c>
      <c r="H1733">
        <v>15</v>
      </c>
      <c r="I1733">
        <v>5000</v>
      </c>
      <c r="J1733">
        <v>1000</v>
      </c>
      <c r="K1733" t="s">
        <v>479</v>
      </c>
      <c r="L1733" t="s">
        <v>117</v>
      </c>
      <c r="M1733" t="s">
        <v>46</v>
      </c>
      <c r="N1733" t="b">
        <v>1</v>
      </c>
      <c r="O1733" t="s">
        <v>480</v>
      </c>
    </row>
    <row r="1734" spans="1:15" ht="15" customHeight="1">
      <c r="A1734" t="s">
        <v>98</v>
      </c>
      <c r="B1734" t="s">
        <v>2331</v>
      </c>
      <c r="C1734" t="s">
        <v>81</v>
      </c>
      <c r="D1734" t="s">
        <v>69</v>
      </c>
      <c r="E1734">
        <v>17</v>
      </c>
      <c r="F1734">
        <v>15.5</v>
      </c>
      <c r="G1734">
        <v>0.91</v>
      </c>
      <c r="H1734">
        <v>16</v>
      </c>
      <c r="I1734">
        <v>10000</v>
      </c>
      <c r="J1734">
        <v>3000</v>
      </c>
      <c r="K1734" t="s">
        <v>283</v>
      </c>
      <c r="L1734" t="s">
        <v>100</v>
      </c>
      <c r="M1734" t="s">
        <v>47</v>
      </c>
      <c r="N1734" t="b">
        <v>0</v>
      </c>
      <c r="O1734" t="s">
        <v>284</v>
      </c>
    </row>
    <row r="1735" spans="1:15" ht="15" customHeight="1">
      <c r="A1735" t="s">
        <v>1194</v>
      </c>
      <c r="B1735" t="s">
        <v>2332</v>
      </c>
      <c r="C1735" t="s">
        <v>149</v>
      </c>
      <c r="D1735" t="s">
        <v>69</v>
      </c>
      <c r="E1735">
        <v>10</v>
      </c>
      <c r="F1735">
        <v>8.6</v>
      </c>
      <c r="G1735">
        <v>0.86</v>
      </c>
      <c r="H1735">
        <v>28</v>
      </c>
      <c r="I1735">
        <v>3000</v>
      </c>
      <c r="J1735">
        <v>1000</v>
      </c>
      <c r="K1735" t="s">
        <v>176</v>
      </c>
      <c r="L1735" t="s">
        <v>104</v>
      </c>
      <c r="M1735" t="s">
        <v>50</v>
      </c>
      <c r="N1735" t="b">
        <v>0</v>
      </c>
      <c r="O1735" t="s">
        <v>177</v>
      </c>
    </row>
    <row r="1736" spans="1:15" ht="15" customHeight="1">
      <c r="A1736" t="s">
        <v>1048</v>
      </c>
      <c r="B1736" t="s">
        <v>2333</v>
      </c>
      <c r="C1736" t="s">
        <v>68</v>
      </c>
      <c r="D1736" t="s">
        <v>69</v>
      </c>
      <c r="E1736">
        <v>11</v>
      </c>
      <c r="F1736">
        <v>2</v>
      </c>
      <c r="G1736">
        <v>0.18</v>
      </c>
      <c r="H1736">
        <v>4</v>
      </c>
      <c r="I1736">
        <v>30000</v>
      </c>
      <c r="J1736">
        <v>5000</v>
      </c>
      <c r="K1736" t="s">
        <v>95</v>
      </c>
      <c r="L1736" t="s">
        <v>91</v>
      </c>
      <c r="M1736" t="s">
        <v>47</v>
      </c>
      <c r="N1736" t="b">
        <v>1</v>
      </c>
      <c r="O1736" t="s">
        <v>97</v>
      </c>
    </row>
    <row r="1737" spans="1:15" ht="15" customHeight="1">
      <c r="A1737" t="s">
        <v>860</v>
      </c>
      <c r="B1737" t="s">
        <v>2334</v>
      </c>
      <c r="C1737" t="s">
        <v>149</v>
      </c>
      <c r="D1737" t="s">
        <v>69</v>
      </c>
      <c r="E1737">
        <v>10</v>
      </c>
      <c r="F1737">
        <v>8.6999999999999993</v>
      </c>
      <c r="G1737">
        <v>0.87</v>
      </c>
      <c r="H1737">
        <v>23</v>
      </c>
      <c r="I1737">
        <v>3000</v>
      </c>
      <c r="J1737">
        <v>1000</v>
      </c>
      <c r="K1737" t="s">
        <v>229</v>
      </c>
      <c r="L1737" t="s">
        <v>96</v>
      </c>
      <c r="M1737" t="s">
        <v>42</v>
      </c>
      <c r="N1737" t="b">
        <v>0</v>
      </c>
      <c r="O1737" t="s">
        <v>249</v>
      </c>
    </row>
    <row r="1738" spans="1:15" ht="15" customHeight="1">
      <c r="A1738" t="s">
        <v>554</v>
      </c>
      <c r="B1738" t="s">
        <v>2335</v>
      </c>
      <c r="C1738" t="s">
        <v>81</v>
      </c>
      <c r="D1738" t="s">
        <v>69</v>
      </c>
      <c r="E1738">
        <v>12</v>
      </c>
      <c r="F1738">
        <v>8.5</v>
      </c>
      <c r="G1738">
        <v>0.71</v>
      </c>
      <c r="H1738">
        <v>24</v>
      </c>
      <c r="I1738">
        <v>10000</v>
      </c>
      <c r="J1738">
        <v>3000</v>
      </c>
      <c r="K1738" t="s">
        <v>306</v>
      </c>
      <c r="L1738" t="s">
        <v>71</v>
      </c>
      <c r="M1738" t="s">
        <v>40</v>
      </c>
      <c r="N1738" t="b">
        <v>0</v>
      </c>
      <c r="O1738" t="s">
        <v>307</v>
      </c>
    </row>
    <row r="1739" spans="1:15" ht="15" customHeight="1">
      <c r="A1739" t="s">
        <v>1705</v>
      </c>
      <c r="B1739" t="s">
        <v>2336</v>
      </c>
      <c r="C1739" t="s">
        <v>129</v>
      </c>
      <c r="D1739" t="s">
        <v>130</v>
      </c>
      <c r="E1739">
        <v>17</v>
      </c>
      <c r="F1739">
        <v>15.3</v>
      </c>
      <c r="G1739">
        <v>0.9</v>
      </c>
      <c r="H1739">
        <v>8</v>
      </c>
      <c r="I1739">
        <v>5000</v>
      </c>
      <c r="J1739">
        <v>1000</v>
      </c>
      <c r="K1739" t="s">
        <v>76</v>
      </c>
      <c r="L1739" t="s">
        <v>100</v>
      </c>
      <c r="M1739" t="s">
        <v>43</v>
      </c>
      <c r="N1739" t="b">
        <v>0</v>
      </c>
      <c r="O1739" t="s">
        <v>317</v>
      </c>
    </row>
    <row r="1740" spans="1:15" ht="15" customHeight="1">
      <c r="A1740" t="s">
        <v>954</v>
      </c>
      <c r="B1740" t="s">
        <v>2337</v>
      </c>
      <c r="C1740" t="s">
        <v>75</v>
      </c>
      <c r="D1740" t="s">
        <v>69</v>
      </c>
      <c r="E1740">
        <v>9</v>
      </c>
      <c r="F1740">
        <v>6.7</v>
      </c>
      <c r="G1740">
        <v>0.74</v>
      </c>
      <c r="H1740">
        <v>10</v>
      </c>
      <c r="I1740">
        <v>2000</v>
      </c>
      <c r="J1740">
        <v>1500</v>
      </c>
      <c r="K1740" t="s">
        <v>418</v>
      </c>
      <c r="L1740" t="s">
        <v>104</v>
      </c>
      <c r="M1740" t="s">
        <v>46</v>
      </c>
      <c r="N1740" t="b">
        <v>0</v>
      </c>
      <c r="O1740" t="s">
        <v>419</v>
      </c>
    </row>
    <row r="1741" spans="1:15" ht="15" customHeight="1">
      <c r="A1741" t="s">
        <v>624</v>
      </c>
      <c r="B1741" t="s">
        <v>2338</v>
      </c>
      <c r="C1741" t="s">
        <v>149</v>
      </c>
      <c r="D1741" t="s">
        <v>69</v>
      </c>
      <c r="E1741">
        <v>11</v>
      </c>
      <c r="F1741">
        <v>7.8</v>
      </c>
      <c r="G1741">
        <v>0.71</v>
      </c>
      <c r="H1741">
        <v>20</v>
      </c>
      <c r="I1741">
        <v>3000</v>
      </c>
      <c r="J1741">
        <v>1000</v>
      </c>
      <c r="K1741" t="s">
        <v>162</v>
      </c>
      <c r="L1741" t="s">
        <v>91</v>
      </c>
      <c r="M1741" t="s">
        <v>45</v>
      </c>
      <c r="N1741" t="b">
        <v>1</v>
      </c>
      <c r="O1741" t="s">
        <v>180</v>
      </c>
    </row>
    <row r="1742" spans="1:15" ht="15" customHeight="1">
      <c r="A1742" t="s">
        <v>804</v>
      </c>
      <c r="B1742" t="s">
        <v>2339</v>
      </c>
      <c r="C1742" t="s">
        <v>75</v>
      </c>
      <c r="D1742" t="s">
        <v>69</v>
      </c>
      <c r="E1742">
        <v>8</v>
      </c>
      <c r="F1742">
        <v>7.3</v>
      </c>
      <c r="G1742">
        <v>0.91</v>
      </c>
      <c r="H1742">
        <v>23</v>
      </c>
      <c r="I1742">
        <v>2000</v>
      </c>
      <c r="J1742">
        <v>1500</v>
      </c>
      <c r="K1742" t="s">
        <v>207</v>
      </c>
      <c r="L1742" t="s">
        <v>104</v>
      </c>
      <c r="M1742" t="s">
        <v>40</v>
      </c>
      <c r="N1742" t="b">
        <v>0</v>
      </c>
      <c r="O1742" t="s">
        <v>208</v>
      </c>
    </row>
    <row r="1743" spans="1:15" ht="15" customHeight="1">
      <c r="A1743" t="s">
        <v>738</v>
      </c>
      <c r="B1743" t="s">
        <v>2340</v>
      </c>
      <c r="C1743" t="s">
        <v>75</v>
      </c>
      <c r="D1743" t="s">
        <v>69</v>
      </c>
      <c r="E1743">
        <v>15</v>
      </c>
      <c r="F1743">
        <v>4.0999999999999996</v>
      </c>
      <c r="G1743">
        <v>0.27</v>
      </c>
      <c r="H1743">
        <v>7</v>
      </c>
      <c r="I1743">
        <v>2000</v>
      </c>
      <c r="J1743">
        <v>1500</v>
      </c>
      <c r="K1743" t="s">
        <v>241</v>
      </c>
      <c r="L1743" t="s">
        <v>71</v>
      </c>
      <c r="M1743" t="s">
        <v>43</v>
      </c>
      <c r="N1743" t="b">
        <v>0</v>
      </c>
      <c r="O1743" t="s">
        <v>242</v>
      </c>
    </row>
    <row r="1744" spans="1:15" ht="15" customHeight="1">
      <c r="A1744" t="s">
        <v>580</v>
      </c>
      <c r="B1744" t="s">
        <v>2341</v>
      </c>
      <c r="C1744" t="s">
        <v>75</v>
      </c>
      <c r="D1744" t="s">
        <v>69</v>
      </c>
      <c r="E1744">
        <v>10</v>
      </c>
      <c r="F1744">
        <v>8</v>
      </c>
      <c r="G1744">
        <v>0.8</v>
      </c>
      <c r="H1744">
        <v>7</v>
      </c>
      <c r="I1744">
        <v>2000</v>
      </c>
      <c r="J1744">
        <v>1500</v>
      </c>
      <c r="K1744" t="s">
        <v>241</v>
      </c>
      <c r="L1744" t="s">
        <v>96</v>
      </c>
      <c r="M1744" t="s">
        <v>43</v>
      </c>
      <c r="N1744" t="b">
        <v>0</v>
      </c>
      <c r="O1744" t="s">
        <v>242</v>
      </c>
    </row>
    <row r="1745" spans="1:15" ht="15" customHeight="1">
      <c r="A1745" t="s">
        <v>1188</v>
      </c>
      <c r="B1745" t="s">
        <v>2342</v>
      </c>
      <c r="C1745" t="s">
        <v>81</v>
      </c>
      <c r="D1745" t="s">
        <v>69</v>
      </c>
      <c r="E1745">
        <v>15</v>
      </c>
      <c r="F1745">
        <v>4.9000000000000004</v>
      </c>
      <c r="G1745">
        <v>0.33</v>
      </c>
      <c r="H1745">
        <v>12</v>
      </c>
      <c r="I1745">
        <v>10000</v>
      </c>
      <c r="J1745">
        <v>3000</v>
      </c>
      <c r="K1745" t="s">
        <v>95</v>
      </c>
      <c r="L1745" t="s">
        <v>117</v>
      </c>
      <c r="M1745" t="s">
        <v>50</v>
      </c>
      <c r="N1745" t="b">
        <v>1</v>
      </c>
      <c r="O1745" t="s">
        <v>257</v>
      </c>
    </row>
    <row r="1746" spans="1:15" ht="15" customHeight="1">
      <c r="A1746" t="s">
        <v>1705</v>
      </c>
      <c r="B1746" t="s">
        <v>2343</v>
      </c>
      <c r="C1746" t="s">
        <v>129</v>
      </c>
      <c r="D1746" t="s">
        <v>130</v>
      </c>
      <c r="E1746">
        <v>19</v>
      </c>
      <c r="F1746">
        <v>16.399999999999999</v>
      </c>
      <c r="G1746">
        <v>0.86</v>
      </c>
      <c r="H1746">
        <v>22</v>
      </c>
      <c r="I1746">
        <v>5000</v>
      </c>
      <c r="J1746">
        <v>1000</v>
      </c>
      <c r="K1746" t="s">
        <v>134</v>
      </c>
      <c r="L1746" t="s">
        <v>100</v>
      </c>
      <c r="M1746" t="s">
        <v>43</v>
      </c>
      <c r="N1746" t="b">
        <v>0</v>
      </c>
      <c r="O1746" t="s">
        <v>135</v>
      </c>
    </row>
    <row r="1747" spans="1:15" ht="15" customHeight="1">
      <c r="A1747" t="s">
        <v>1553</v>
      </c>
      <c r="B1747" t="s">
        <v>2344</v>
      </c>
      <c r="C1747" t="s">
        <v>68</v>
      </c>
      <c r="D1747" t="s">
        <v>69</v>
      </c>
      <c r="E1747">
        <v>8</v>
      </c>
      <c r="F1747">
        <v>2.9</v>
      </c>
      <c r="G1747">
        <v>0.36</v>
      </c>
      <c r="H1747">
        <v>3</v>
      </c>
      <c r="I1747">
        <v>30000</v>
      </c>
      <c r="J1747">
        <v>5000</v>
      </c>
      <c r="K1747" t="s">
        <v>108</v>
      </c>
      <c r="L1747" t="s">
        <v>71</v>
      </c>
      <c r="M1747" t="s">
        <v>44</v>
      </c>
      <c r="N1747" t="b">
        <v>0</v>
      </c>
      <c r="O1747" t="s">
        <v>109</v>
      </c>
    </row>
    <row r="1748" spans="1:15" ht="15" customHeight="1">
      <c r="A1748" t="s">
        <v>441</v>
      </c>
      <c r="B1748" t="s">
        <v>2345</v>
      </c>
      <c r="C1748" t="s">
        <v>68</v>
      </c>
      <c r="D1748" t="s">
        <v>69</v>
      </c>
      <c r="E1748">
        <v>13</v>
      </c>
      <c r="F1748">
        <v>3.1</v>
      </c>
      <c r="G1748">
        <v>0.24</v>
      </c>
      <c r="H1748">
        <v>1</v>
      </c>
      <c r="I1748">
        <v>30000</v>
      </c>
      <c r="J1748">
        <v>5000</v>
      </c>
      <c r="K1748" t="s">
        <v>70</v>
      </c>
      <c r="L1748" t="s">
        <v>77</v>
      </c>
      <c r="M1748" t="s">
        <v>43</v>
      </c>
      <c r="N1748" t="b">
        <v>0</v>
      </c>
      <c r="O1748" t="s">
        <v>72</v>
      </c>
    </row>
    <row r="1749" spans="1:15" ht="15" customHeight="1">
      <c r="A1749" t="s">
        <v>572</v>
      </c>
      <c r="B1749" t="s">
        <v>2346</v>
      </c>
      <c r="C1749" t="s">
        <v>68</v>
      </c>
      <c r="D1749" t="s">
        <v>69</v>
      </c>
      <c r="E1749">
        <v>16</v>
      </c>
      <c r="F1749">
        <v>1.5</v>
      </c>
      <c r="G1749">
        <v>0.09</v>
      </c>
      <c r="H1749">
        <v>1</v>
      </c>
      <c r="I1749">
        <v>30000</v>
      </c>
      <c r="J1749">
        <v>5000</v>
      </c>
      <c r="K1749" t="s">
        <v>70</v>
      </c>
      <c r="L1749" t="s">
        <v>100</v>
      </c>
      <c r="M1749" t="s">
        <v>46</v>
      </c>
      <c r="N1749" t="b">
        <v>0</v>
      </c>
      <c r="O1749" t="s">
        <v>72</v>
      </c>
    </row>
    <row r="1750" spans="1:15" ht="15" customHeight="1">
      <c r="A1750" t="s">
        <v>342</v>
      </c>
      <c r="B1750" t="s">
        <v>2347</v>
      </c>
      <c r="C1750" t="s">
        <v>68</v>
      </c>
      <c r="D1750" t="s">
        <v>69</v>
      </c>
      <c r="E1750">
        <v>15</v>
      </c>
      <c r="F1750">
        <v>1</v>
      </c>
      <c r="G1750">
        <v>7.0000000000000007E-2</v>
      </c>
      <c r="H1750">
        <v>1</v>
      </c>
      <c r="I1750">
        <v>30000</v>
      </c>
      <c r="J1750">
        <v>5000</v>
      </c>
      <c r="K1750" t="s">
        <v>70</v>
      </c>
      <c r="L1750" t="s">
        <v>71</v>
      </c>
      <c r="M1750" t="s">
        <v>46</v>
      </c>
      <c r="N1750" t="b">
        <v>0</v>
      </c>
      <c r="O1750" t="s">
        <v>72</v>
      </c>
    </row>
    <row r="1751" spans="1:15" ht="15" customHeight="1">
      <c r="A1751" t="s">
        <v>239</v>
      </c>
      <c r="B1751" t="s">
        <v>2348</v>
      </c>
      <c r="C1751" t="s">
        <v>81</v>
      </c>
      <c r="D1751" t="s">
        <v>69</v>
      </c>
      <c r="E1751">
        <v>9</v>
      </c>
      <c r="F1751">
        <v>4.7</v>
      </c>
      <c r="G1751">
        <v>0.52</v>
      </c>
      <c r="H1751">
        <v>15</v>
      </c>
      <c r="I1751">
        <v>10000</v>
      </c>
      <c r="J1751">
        <v>3000</v>
      </c>
      <c r="K1751" t="s">
        <v>112</v>
      </c>
      <c r="L1751" t="s">
        <v>71</v>
      </c>
      <c r="M1751" t="s">
        <v>51</v>
      </c>
      <c r="N1751" t="b">
        <v>0</v>
      </c>
      <c r="O1751" t="s">
        <v>234</v>
      </c>
    </row>
    <row r="1752" spans="1:15" ht="15" customHeight="1">
      <c r="A1752" t="s">
        <v>430</v>
      </c>
      <c r="B1752" t="s">
        <v>2349</v>
      </c>
      <c r="C1752" t="s">
        <v>129</v>
      </c>
      <c r="D1752" t="s">
        <v>130</v>
      </c>
      <c r="E1752">
        <v>8</v>
      </c>
      <c r="F1752">
        <v>3.8</v>
      </c>
      <c r="G1752">
        <v>0.47</v>
      </c>
      <c r="H1752">
        <v>12</v>
      </c>
      <c r="I1752">
        <v>5000</v>
      </c>
      <c r="J1752">
        <v>1000</v>
      </c>
      <c r="K1752" t="s">
        <v>162</v>
      </c>
      <c r="L1752" t="s">
        <v>104</v>
      </c>
      <c r="M1752" t="s">
        <v>42</v>
      </c>
      <c r="N1752" t="b">
        <v>0</v>
      </c>
      <c r="O1752" t="s">
        <v>180</v>
      </c>
    </row>
    <row r="1753" spans="1:15" ht="15" customHeight="1">
      <c r="A1753" t="s">
        <v>416</v>
      </c>
      <c r="B1753" t="s">
        <v>2350</v>
      </c>
      <c r="C1753" t="s">
        <v>81</v>
      </c>
      <c r="D1753" t="s">
        <v>69</v>
      </c>
      <c r="E1753">
        <v>10</v>
      </c>
      <c r="F1753">
        <v>3.1</v>
      </c>
      <c r="G1753">
        <v>0.31</v>
      </c>
      <c r="H1753">
        <v>7</v>
      </c>
      <c r="I1753">
        <v>10000</v>
      </c>
      <c r="J1753">
        <v>3000</v>
      </c>
      <c r="K1753" t="s">
        <v>82</v>
      </c>
      <c r="L1753" t="s">
        <v>77</v>
      </c>
      <c r="M1753" t="s">
        <v>44</v>
      </c>
      <c r="N1753" t="b">
        <v>0</v>
      </c>
      <c r="O1753" t="s">
        <v>83</v>
      </c>
    </row>
    <row r="1754" spans="1:15" ht="15" customHeight="1">
      <c r="A1754" t="s">
        <v>748</v>
      </c>
      <c r="B1754" t="s">
        <v>2351</v>
      </c>
      <c r="C1754" t="s">
        <v>75</v>
      </c>
      <c r="D1754" t="s">
        <v>69</v>
      </c>
      <c r="E1754">
        <v>12</v>
      </c>
      <c r="F1754">
        <v>8.1999999999999993</v>
      </c>
      <c r="G1754">
        <v>0.68</v>
      </c>
      <c r="H1754">
        <v>8</v>
      </c>
      <c r="I1754">
        <v>2000</v>
      </c>
      <c r="J1754">
        <v>1500</v>
      </c>
      <c r="K1754" t="s">
        <v>275</v>
      </c>
      <c r="L1754" t="s">
        <v>117</v>
      </c>
      <c r="M1754" t="s">
        <v>42</v>
      </c>
      <c r="N1754" t="b">
        <v>1</v>
      </c>
      <c r="O1754" t="s">
        <v>276</v>
      </c>
    </row>
    <row r="1755" spans="1:15" ht="15" customHeight="1">
      <c r="A1755" t="s">
        <v>2352</v>
      </c>
      <c r="B1755" t="s">
        <v>2353</v>
      </c>
      <c r="C1755" t="s">
        <v>68</v>
      </c>
      <c r="D1755" t="s">
        <v>69</v>
      </c>
      <c r="E1755">
        <v>12</v>
      </c>
      <c r="F1755">
        <v>3.7</v>
      </c>
      <c r="G1755">
        <v>0.31</v>
      </c>
      <c r="H1755">
        <v>4</v>
      </c>
      <c r="I1755">
        <v>30000</v>
      </c>
      <c r="J1755">
        <v>5000</v>
      </c>
      <c r="K1755" t="s">
        <v>95</v>
      </c>
      <c r="L1755" t="s">
        <v>77</v>
      </c>
      <c r="M1755" t="s">
        <v>48</v>
      </c>
      <c r="N1755" t="b">
        <v>0</v>
      </c>
      <c r="O1755" t="s">
        <v>97</v>
      </c>
    </row>
    <row r="1756" spans="1:15" ht="15" customHeight="1">
      <c r="A1756" t="s">
        <v>712</v>
      </c>
      <c r="B1756" t="s">
        <v>2354</v>
      </c>
      <c r="C1756" t="s">
        <v>68</v>
      </c>
      <c r="D1756" t="s">
        <v>69</v>
      </c>
      <c r="E1756">
        <v>13</v>
      </c>
      <c r="F1756">
        <v>1.3</v>
      </c>
      <c r="G1756">
        <v>0.1</v>
      </c>
      <c r="H1756">
        <v>4</v>
      </c>
      <c r="I1756">
        <v>30000</v>
      </c>
      <c r="J1756">
        <v>5000</v>
      </c>
      <c r="K1756" t="s">
        <v>95</v>
      </c>
      <c r="L1756" t="s">
        <v>71</v>
      </c>
      <c r="M1756" t="s">
        <v>41</v>
      </c>
      <c r="N1756" t="b">
        <v>0</v>
      </c>
      <c r="O1756" t="s">
        <v>97</v>
      </c>
    </row>
    <row r="1757" spans="1:15" ht="15" customHeight="1">
      <c r="A1757" t="s">
        <v>714</v>
      </c>
      <c r="B1757" t="s">
        <v>2355</v>
      </c>
      <c r="C1757" t="s">
        <v>68</v>
      </c>
      <c r="D1757" t="s">
        <v>69</v>
      </c>
      <c r="E1757">
        <v>13</v>
      </c>
      <c r="F1757">
        <v>3.7</v>
      </c>
      <c r="G1757">
        <v>0.28000000000000003</v>
      </c>
      <c r="H1757">
        <v>1</v>
      </c>
      <c r="I1757">
        <v>30000</v>
      </c>
      <c r="J1757">
        <v>5000</v>
      </c>
      <c r="K1757" t="s">
        <v>70</v>
      </c>
      <c r="L1757" t="s">
        <v>91</v>
      </c>
      <c r="M1757" t="s">
        <v>44</v>
      </c>
      <c r="N1757" t="b">
        <v>1</v>
      </c>
      <c r="O1757" t="s">
        <v>72</v>
      </c>
    </row>
    <row r="1758" spans="1:15" ht="15" customHeight="1">
      <c r="A1758" t="s">
        <v>1258</v>
      </c>
      <c r="B1758" t="s">
        <v>2356</v>
      </c>
      <c r="C1758" t="s">
        <v>129</v>
      </c>
      <c r="D1758" t="s">
        <v>130</v>
      </c>
      <c r="E1758">
        <v>12</v>
      </c>
      <c r="F1758">
        <v>8.4</v>
      </c>
      <c r="G1758">
        <v>0.7</v>
      </c>
      <c r="H1758">
        <v>11</v>
      </c>
      <c r="I1758">
        <v>5000</v>
      </c>
      <c r="J1758">
        <v>1000</v>
      </c>
      <c r="K1758" t="s">
        <v>163</v>
      </c>
      <c r="L1758" t="s">
        <v>91</v>
      </c>
      <c r="M1758" t="s">
        <v>48</v>
      </c>
      <c r="N1758" t="b">
        <v>1</v>
      </c>
      <c r="O1758" t="s">
        <v>150</v>
      </c>
    </row>
    <row r="1759" spans="1:15" ht="15" customHeight="1">
      <c r="A1759" t="s">
        <v>1308</v>
      </c>
      <c r="B1759" t="s">
        <v>2357</v>
      </c>
      <c r="C1759" t="s">
        <v>129</v>
      </c>
      <c r="D1759" t="s">
        <v>130</v>
      </c>
      <c r="E1759">
        <v>9</v>
      </c>
      <c r="F1759">
        <v>5.3</v>
      </c>
      <c r="G1759">
        <v>0.59</v>
      </c>
      <c r="H1759">
        <v>27</v>
      </c>
      <c r="I1759">
        <v>5000</v>
      </c>
      <c r="J1759">
        <v>1000</v>
      </c>
      <c r="K1759" t="s">
        <v>172</v>
      </c>
      <c r="L1759" t="s">
        <v>91</v>
      </c>
      <c r="M1759" t="s">
        <v>44</v>
      </c>
      <c r="N1759" t="b">
        <v>1</v>
      </c>
      <c r="O1759" t="s">
        <v>173</v>
      </c>
    </row>
    <row r="1760" spans="1:15" ht="15" customHeight="1">
      <c r="A1760" t="s">
        <v>636</v>
      </c>
      <c r="B1760" t="s">
        <v>2358</v>
      </c>
      <c r="C1760" t="s">
        <v>75</v>
      </c>
      <c r="D1760" t="s">
        <v>69</v>
      </c>
      <c r="E1760">
        <v>11</v>
      </c>
      <c r="F1760">
        <v>9.8000000000000007</v>
      </c>
      <c r="G1760">
        <v>0.89</v>
      </c>
      <c r="H1760">
        <v>17</v>
      </c>
      <c r="I1760">
        <v>2000</v>
      </c>
      <c r="J1760">
        <v>1500</v>
      </c>
      <c r="K1760" t="s">
        <v>862</v>
      </c>
      <c r="L1760" t="s">
        <v>77</v>
      </c>
      <c r="M1760" t="s">
        <v>46</v>
      </c>
      <c r="N1760" t="b">
        <v>0</v>
      </c>
      <c r="O1760" t="s">
        <v>863</v>
      </c>
    </row>
    <row r="1761" spans="1:15" ht="15" customHeight="1">
      <c r="A1761" t="s">
        <v>1084</v>
      </c>
      <c r="B1761" t="s">
        <v>2359</v>
      </c>
      <c r="C1761" t="s">
        <v>68</v>
      </c>
      <c r="D1761" t="s">
        <v>69</v>
      </c>
      <c r="E1761">
        <v>11</v>
      </c>
      <c r="F1761">
        <v>2.7</v>
      </c>
      <c r="G1761">
        <v>0.25</v>
      </c>
      <c r="H1761">
        <v>4</v>
      </c>
      <c r="I1761">
        <v>30000</v>
      </c>
      <c r="J1761">
        <v>5000</v>
      </c>
      <c r="K1761" t="s">
        <v>95</v>
      </c>
      <c r="L1761" t="s">
        <v>77</v>
      </c>
      <c r="M1761" t="s">
        <v>44</v>
      </c>
      <c r="N1761" t="b">
        <v>0</v>
      </c>
      <c r="O1761" t="s">
        <v>97</v>
      </c>
    </row>
    <row r="1762" spans="1:15" ht="15" customHeight="1">
      <c r="A1762" t="s">
        <v>1208</v>
      </c>
      <c r="B1762" t="s">
        <v>2360</v>
      </c>
      <c r="C1762" t="s">
        <v>129</v>
      </c>
      <c r="D1762" t="s">
        <v>130</v>
      </c>
      <c r="E1762">
        <v>10</v>
      </c>
      <c r="F1762">
        <v>6.6</v>
      </c>
      <c r="G1762">
        <v>0.66</v>
      </c>
      <c r="H1762">
        <v>13</v>
      </c>
      <c r="I1762">
        <v>5000</v>
      </c>
      <c r="J1762">
        <v>1000</v>
      </c>
      <c r="K1762" t="s">
        <v>313</v>
      </c>
      <c r="L1762" t="s">
        <v>117</v>
      </c>
      <c r="M1762" t="s">
        <v>43</v>
      </c>
      <c r="N1762" t="b">
        <v>1</v>
      </c>
      <c r="O1762" t="s">
        <v>314</v>
      </c>
    </row>
    <row r="1763" spans="1:15" ht="15" customHeight="1">
      <c r="A1763" t="s">
        <v>121</v>
      </c>
      <c r="B1763" t="s">
        <v>2361</v>
      </c>
      <c r="C1763" t="s">
        <v>81</v>
      </c>
      <c r="D1763" t="s">
        <v>69</v>
      </c>
      <c r="E1763">
        <v>8</v>
      </c>
      <c r="F1763">
        <v>4.5999999999999996</v>
      </c>
      <c r="G1763">
        <v>0.56999999999999995</v>
      </c>
      <c r="H1763">
        <v>14</v>
      </c>
      <c r="I1763">
        <v>10000</v>
      </c>
      <c r="J1763">
        <v>3000</v>
      </c>
      <c r="K1763" t="s">
        <v>116</v>
      </c>
      <c r="L1763" t="s">
        <v>91</v>
      </c>
      <c r="M1763" t="s">
        <v>47</v>
      </c>
      <c r="N1763" t="b">
        <v>1</v>
      </c>
      <c r="O1763" t="s">
        <v>118</v>
      </c>
    </row>
    <row r="1764" spans="1:15" ht="15" customHeight="1">
      <c r="A1764" t="s">
        <v>538</v>
      </c>
      <c r="B1764" t="s">
        <v>2362</v>
      </c>
      <c r="C1764" t="s">
        <v>81</v>
      </c>
      <c r="D1764" t="s">
        <v>69</v>
      </c>
      <c r="E1764">
        <v>15</v>
      </c>
      <c r="F1764">
        <v>6.4</v>
      </c>
      <c r="G1764">
        <v>0.43</v>
      </c>
      <c r="H1764">
        <v>26</v>
      </c>
      <c r="I1764">
        <v>10000</v>
      </c>
      <c r="J1764">
        <v>3000</v>
      </c>
      <c r="K1764" t="s">
        <v>525</v>
      </c>
      <c r="L1764" t="s">
        <v>96</v>
      </c>
      <c r="M1764" t="s">
        <v>50</v>
      </c>
      <c r="N1764" t="b">
        <v>0</v>
      </c>
      <c r="O1764" t="s">
        <v>526</v>
      </c>
    </row>
    <row r="1765" spans="1:15" ht="15" customHeight="1">
      <c r="A1765" t="s">
        <v>304</v>
      </c>
      <c r="B1765" t="s">
        <v>2363</v>
      </c>
      <c r="C1765" t="s">
        <v>149</v>
      </c>
      <c r="D1765" t="s">
        <v>69</v>
      </c>
      <c r="E1765">
        <v>12</v>
      </c>
      <c r="F1765">
        <v>10.7</v>
      </c>
      <c r="G1765">
        <v>0.89</v>
      </c>
      <c r="H1765">
        <v>35</v>
      </c>
      <c r="I1765">
        <v>3000</v>
      </c>
      <c r="J1765">
        <v>1000</v>
      </c>
      <c r="K1765" t="s">
        <v>131</v>
      </c>
      <c r="L1765" t="s">
        <v>104</v>
      </c>
      <c r="M1765" t="s">
        <v>45</v>
      </c>
      <c r="N1765" t="b">
        <v>0</v>
      </c>
      <c r="O1765" t="s">
        <v>132</v>
      </c>
    </row>
    <row r="1766" spans="1:15" ht="15" customHeight="1">
      <c r="A1766" t="s">
        <v>680</v>
      </c>
      <c r="B1766" t="s">
        <v>2364</v>
      </c>
      <c r="C1766" t="s">
        <v>129</v>
      </c>
      <c r="D1766" t="s">
        <v>130</v>
      </c>
      <c r="E1766">
        <v>20</v>
      </c>
      <c r="F1766">
        <v>5.7</v>
      </c>
      <c r="G1766">
        <v>0.28999999999999998</v>
      </c>
      <c r="H1766">
        <v>28</v>
      </c>
      <c r="I1766">
        <v>5000</v>
      </c>
      <c r="J1766">
        <v>1000</v>
      </c>
      <c r="K1766" t="s">
        <v>116</v>
      </c>
      <c r="L1766" t="s">
        <v>100</v>
      </c>
      <c r="M1766" t="s">
        <v>40</v>
      </c>
      <c r="N1766" t="b">
        <v>0</v>
      </c>
      <c r="O1766" t="s">
        <v>470</v>
      </c>
    </row>
    <row r="1767" spans="1:15" ht="15" customHeight="1">
      <c r="A1767" t="s">
        <v>227</v>
      </c>
      <c r="B1767" t="s">
        <v>2365</v>
      </c>
      <c r="C1767" t="s">
        <v>81</v>
      </c>
      <c r="D1767" t="s">
        <v>69</v>
      </c>
      <c r="E1767">
        <v>19</v>
      </c>
      <c r="F1767">
        <v>15.5</v>
      </c>
      <c r="G1767">
        <v>0.82</v>
      </c>
      <c r="H1767">
        <v>20</v>
      </c>
      <c r="I1767">
        <v>10000</v>
      </c>
      <c r="J1767">
        <v>3000</v>
      </c>
      <c r="K1767" t="s">
        <v>86</v>
      </c>
      <c r="L1767" t="s">
        <v>77</v>
      </c>
      <c r="M1767" t="s">
        <v>41</v>
      </c>
      <c r="N1767" t="b">
        <v>0</v>
      </c>
      <c r="O1767" t="s">
        <v>87</v>
      </c>
    </row>
    <row r="1768" spans="1:15" ht="15" customHeight="1">
      <c r="A1768" t="s">
        <v>285</v>
      </c>
      <c r="B1768" t="s">
        <v>2366</v>
      </c>
      <c r="C1768" t="s">
        <v>81</v>
      </c>
      <c r="D1768" t="s">
        <v>69</v>
      </c>
      <c r="E1768">
        <v>11</v>
      </c>
      <c r="F1768">
        <v>5.8</v>
      </c>
      <c r="G1768">
        <v>0.53</v>
      </c>
      <c r="H1768">
        <v>22</v>
      </c>
      <c r="I1768">
        <v>10000</v>
      </c>
      <c r="J1768">
        <v>3000</v>
      </c>
      <c r="K1768" t="s">
        <v>548</v>
      </c>
      <c r="L1768" t="s">
        <v>77</v>
      </c>
      <c r="M1768" t="s">
        <v>45</v>
      </c>
      <c r="N1768" t="b">
        <v>0</v>
      </c>
      <c r="O1768" t="s">
        <v>549</v>
      </c>
    </row>
    <row r="1769" spans="1:15" ht="15" customHeight="1">
      <c r="A1769" t="s">
        <v>342</v>
      </c>
      <c r="B1769" t="s">
        <v>2367</v>
      </c>
      <c r="C1769" t="s">
        <v>149</v>
      </c>
      <c r="D1769" t="s">
        <v>69</v>
      </c>
      <c r="E1769">
        <v>12</v>
      </c>
      <c r="F1769">
        <v>7.1</v>
      </c>
      <c r="G1769">
        <v>0.59</v>
      </c>
      <c r="H1769">
        <v>19</v>
      </c>
      <c r="I1769">
        <v>3000</v>
      </c>
      <c r="J1769">
        <v>1000</v>
      </c>
      <c r="K1769" t="s">
        <v>198</v>
      </c>
      <c r="L1769" t="s">
        <v>71</v>
      </c>
      <c r="M1769" t="s">
        <v>46</v>
      </c>
      <c r="N1769" t="b">
        <v>0</v>
      </c>
      <c r="O1769" t="s">
        <v>262</v>
      </c>
    </row>
    <row r="1770" spans="1:15" ht="15" customHeight="1">
      <c r="A1770" t="s">
        <v>441</v>
      </c>
      <c r="B1770" t="s">
        <v>2368</v>
      </c>
      <c r="C1770" t="s">
        <v>129</v>
      </c>
      <c r="D1770" t="s">
        <v>130</v>
      </c>
      <c r="E1770">
        <v>10</v>
      </c>
      <c r="F1770">
        <v>4.3</v>
      </c>
      <c r="G1770">
        <v>0.43</v>
      </c>
      <c r="H1770">
        <v>9</v>
      </c>
      <c r="I1770">
        <v>5000</v>
      </c>
      <c r="J1770">
        <v>1000</v>
      </c>
      <c r="K1770" t="s">
        <v>438</v>
      </c>
      <c r="L1770" t="s">
        <v>77</v>
      </c>
      <c r="M1770" t="s">
        <v>43</v>
      </c>
      <c r="N1770" t="b">
        <v>0</v>
      </c>
      <c r="O1770" t="s">
        <v>90</v>
      </c>
    </row>
    <row r="1771" spans="1:15" ht="15" customHeight="1">
      <c r="A1771" t="s">
        <v>588</v>
      </c>
      <c r="B1771" t="s">
        <v>2369</v>
      </c>
      <c r="C1771" t="s">
        <v>68</v>
      </c>
      <c r="D1771" t="s">
        <v>69</v>
      </c>
      <c r="E1771">
        <v>16</v>
      </c>
      <c r="F1771">
        <v>1</v>
      </c>
      <c r="G1771">
        <v>0.06</v>
      </c>
      <c r="H1771">
        <v>3</v>
      </c>
      <c r="I1771">
        <v>30000</v>
      </c>
      <c r="J1771">
        <v>5000</v>
      </c>
      <c r="K1771" t="s">
        <v>108</v>
      </c>
      <c r="L1771" t="s">
        <v>104</v>
      </c>
      <c r="M1771" t="s">
        <v>42</v>
      </c>
      <c r="N1771" t="b">
        <v>0</v>
      </c>
      <c r="O1771" t="s">
        <v>109</v>
      </c>
    </row>
    <row r="1772" spans="1:15" ht="15" customHeight="1">
      <c r="A1772" t="s">
        <v>1133</v>
      </c>
      <c r="B1772" t="s">
        <v>2370</v>
      </c>
      <c r="C1772" t="s">
        <v>75</v>
      </c>
      <c r="D1772" t="s">
        <v>69</v>
      </c>
      <c r="E1772">
        <v>20</v>
      </c>
      <c r="F1772">
        <v>11.6</v>
      </c>
      <c r="G1772">
        <v>0.57999999999999996</v>
      </c>
      <c r="H1772">
        <v>19</v>
      </c>
      <c r="I1772">
        <v>2000</v>
      </c>
      <c r="J1772">
        <v>1500</v>
      </c>
      <c r="K1772" t="s">
        <v>408</v>
      </c>
      <c r="L1772" t="s">
        <v>96</v>
      </c>
      <c r="M1772" t="s">
        <v>49</v>
      </c>
      <c r="N1772" t="b">
        <v>0</v>
      </c>
      <c r="O1772" t="s">
        <v>409</v>
      </c>
    </row>
    <row r="1773" spans="1:15" ht="15" customHeight="1">
      <c r="A1773" t="s">
        <v>1123</v>
      </c>
      <c r="B1773" t="s">
        <v>2371</v>
      </c>
      <c r="C1773" t="s">
        <v>68</v>
      </c>
      <c r="D1773" t="s">
        <v>69</v>
      </c>
      <c r="E1773">
        <v>8</v>
      </c>
      <c r="F1773">
        <v>1.4</v>
      </c>
      <c r="G1773">
        <v>0.17</v>
      </c>
      <c r="H1773">
        <v>4</v>
      </c>
      <c r="I1773">
        <v>30000</v>
      </c>
      <c r="J1773">
        <v>5000</v>
      </c>
      <c r="K1773" t="s">
        <v>95</v>
      </c>
      <c r="L1773" t="s">
        <v>77</v>
      </c>
      <c r="M1773" t="s">
        <v>49</v>
      </c>
      <c r="N1773" t="b">
        <v>0</v>
      </c>
      <c r="O1773" t="s">
        <v>97</v>
      </c>
    </row>
    <row r="1774" spans="1:15" ht="15" customHeight="1">
      <c r="A1774" t="s">
        <v>215</v>
      </c>
      <c r="B1774" t="s">
        <v>2372</v>
      </c>
      <c r="C1774" t="s">
        <v>81</v>
      </c>
      <c r="D1774" t="s">
        <v>69</v>
      </c>
      <c r="E1774">
        <v>17</v>
      </c>
      <c r="F1774">
        <v>9.6</v>
      </c>
      <c r="G1774">
        <v>0.56000000000000005</v>
      </c>
      <c r="H1774">
        <v>16</v>
      </c>
      <c r="I1774">
        <v>10000</v>
      </c>
      <c r="J1774">
        <v>3000</v>
      </c>
      <c r="K1774" t="s">
        <v>283</v>
      </c>
      <c r="L1774" t="s">
        <v>117</v>
      </c>
      <c r="M1774" t="s">
        <v>48</v>
      </c>
      <c r="N1774" t="b">
        <v>1</v>
      </c>
      <c r="O1774" t="s">
        <v>284</v>
      </c>
    </row>
    <row r="1775" spans="1:15" ht="15" customHeight="1">
      <c r="A1775" t="s">
        <v>1054</v>
      </c>
      <c r="B1775" t="s">
        <v>2373</v>
      </c>
      <c r="C1775" t="s">
        <v>75</v>
      </c>
      <c r="D1775" t="s">
        <v>69</v>
      </c>
      <c r="E1775">
        <v>12</v>
      </c>
      <c r="F1775">
        <v>10.6</v>
      </c>
      <c r="G1775">
        <v>0.88</v>
      </c>
      <c r="H1775">
        <v>8</v>
      </c>
      <c r="I1775">
        <v>2000</v>
      </c>
      <c r="J1775">
        <v>1500</v>
      </c>
      <c r="K1775" t="s">
        <v>275</v>
      </c>
      <c r="L1775" t="s">
        <v>77</v>
      </c>
      <c r="M1775" t="s">
        <v>45</v>
      </c>
      <c r="N1775" t="b">
        <v>0</v>
      </c>
      <c r="O1775" t="s">
        <v>276</v>
      </c>
    </row>
    <row r="1776" spans="1:15" ht="15" customHeight="1">
      <c r="A1776" t="s">
        <v>787</v>
      </c>
      <c r="B1776" t="s">
        <v>2374</v>
      </c>
      <c r="C1776" t="s">
        <v>129</v>
      </c>
      <c r="D1776" t="s">
        <v>130</v>
      </c>
      <c r="E1776">
        <v>15</v>
      </c>
      <c r="F1776">
        <v>6.3</v>
      </c>
      <c r="G1776">
        <v>0.42</v>
      </c>
      <c r="H1776">
        <v>26</v>
      </c>
      <c r="I1776">
        <v>5000</v>
      </c>
      <c r="J1776">
        <v>1000</v>
      </c>
      <c r="K1776" t="s">
        <v>203</v>
      </c>
      <c r="L1776" t="s">
        <v>96</v>
      </c>
      <c r="M1776" t="s">
        <v>43</v>
      </c>
      <c r="N1776" t="b">
        <v>0</v>
      </c>
      <c r="O1776" t="s">
        <v>623</v>
      </c>
    </row>
    <row r="1777" spans="1:15" ht="15" customHeight="1">
      <c r="A1777" t="s">
        <v>441</v>
      </c>
      <c r="B1777" t="s">
        <v>2375</v>
      </c>
      <c r="C1777" t="s">
        <v>68</v>
      </c>
      <c r="D1777" t="s">
        <v>69</v>
      </c>
      <c r="E1777">
        <v>14</v>
      </c>
      <c r="F1777">
        <v>3.6</v>
      </c>
      <c r="G1777">
        <v>0.26</v>
      </c>
      <c r="H1777">
        <v>2</v>
      </c>
      <c r="I1777">
        <v>30000</v>
      </c>
      <c r="J1777">
        <v>5000</v>
      </c>
      <c r="K1777" t="s">
        <v>162</v>
      </c>
      <c r="L1777" t="s">
        <v>77</v>
      </c>
      <c r="M1777" t="s">
        <v>43</v>
      </c>
      <c r="N1777" t="b">
        <v>0</v>
      </c>
      <c r="O1777" t="s">
        <v>163</v>
      </c>
    </row>
    <row r="1778" spans="1:15" ht="15" customHeight="1">
      <c r="A1778" t="s">
        <v>721</v>
      </c>
      <c r="B1778" t="s">
        <v>2376</v>
      </c>
      <c r="C1778" t="s">
        <v>81</v>
      </c>
      <c r="D1778" t="s">
        <v>69</v>
      </c>
      <c r="E1778">
        <v>15</v>
      </c>
      <c r="F1778">
        <v>14.5</v>
      </c>
      <c r="G1778">
        <v>0.97</v>
      </c>
      <c r="H1778">
        <v>17</v>
      </c>
      <c r="I1778">
        <v>10000</v>
      </c>
      <c r="J1778">
        <v>3000</v>
      </c>
      <c r="K1778" t="s">
        <v>389</v>
      </c>
      <c r="L1778" t="s">
        <v>100</v>
      </c>
      <c r="M1778" t="s">
        <v>49</v>
      </c>
      <c r="N1778" t="b">
        <v>0</v>
      </c>
      <c r="O1778" t="s">
        <v>390</v>
      </c>
    </row>
    <row r="1779" spans="1:15" ht="15" customHeight="1">
      <c r="A1779" t="s">
        <v>340</v>
      </c>
      <c r="B1779" t="s">
        <v>2377</v>
      </c>
      <c r="C1779" t="s">
        <v>75</v>
      </c>
      <c r="D1779" t="s">
        <v>69</v>
      </c>
      <c r="E1779">
        <v>9</v>
      </c>
      <c r="F1779">
        <v>6.3</v>
      </c>
      <c r="G1779">
        <v>0.7</v>
      </c>
      <c r="H1779">
        <v>25</v>
      </c>
      <c r="I1779">
        <v>2000</v>
      </c>
      <c r="J1779">
        <v>1500</v>
      </c>
      <c r="K1779" t="s">
        <v>158</v>
      </c>
      <c r="L1779" t="s">
        <v>117</v>
      </c>
      <c r="M1779" t="s">
        <v>45</v>
      </c>
      <c r="N1779" t="b">
        <v>1</v>
      </c>
      <c r="O1779" t="s">
        <v>400</v>
      </c>
    </row>
    <row r="1780" spans="1:15" ht="15" customHeight="1">
      <c r="A1780" t="s">
        <v>714</v>
      </c>
      <c r="B1780" t="s">
        <v>2378</v>
      </c>
      <c r="C1780" t="s">
        <v>149</v>
      </c>
      <c r="D1780" t="s">
        <v>69</v>
      </c>
      <c r="E1780">
        <v>8</v>
      </c>
      <c r="F1780">
        <v>7.5</v>
      </c>
      <c r="G1780">
        <v>0.94</v>
      </c>
      <c r="H1780">
        <v>27</v>
      </c>
      <c r="I1780">
        <v>3000</v>
      </c>
      <c r="J1780">
        <v>1000</v>
      </c>
      <c r="K1780" t="s">
        <v>845</v>
      </c>
      <c r="L1780" t="s">
        <v>91</v>
      </c>
      <c r="M1780" t="s">
        <v>44</v>
      </c>
      <c r="N1780" t="b">
        <v>1</v>
      </c>
      <c r="O1780" t="s">
        <v>357</v>
      </c>
    </row>
    <row r="1781" spans="1:15" ht="15" customHeight="1">
      <c r="A1781" t="s">
        <v>601</v>
      </c>
      <c r="B1781" t="s">
        <v>2379</v>
      </c>
      <c r="C1781" t="s">
        <v>68</v>
      </c>
      <c r="D1781" t="s">
        <v>69</v>
      </c>
      <c r="E1781">
        <v>11</v>
      </c>
      <c r="F1781">
        <v>2</v>
      </c>
      <c r="G1781">
        <v>0.18</v>
      </c>
      <c r="H1781">
        <v>5</v>
      </c>
      <c r="I1781">
        <v>30000</v>
      </c>
      <c r="J1781">
        <v>5000</v>
      </c>
      <c r="K1781" t="s">
        <v>112</v>
      </c>
      <c r="L1781" t="s">
        <v>117</v>
      </c>
      <c r="M1781" t="s">
        <v>40</v>
      </c>
      <c r="N1781" t="b">
        <v>1</v>
      </c>
      <c r="O1781" t="s">
        <v>113</v>
      </c>
    </row>
    <row r="1782" spans="1:15" ht="15" customHeight="1">
      <c r="A1782" t="s">
        <v>271</v>
      </c>
      <c r="B1782" t="s">
        <v>2380</v>
      </c>
      <c r="C1782" t="s">
        <v>129</v>
      </c>
      <c r="D1782" t="s">
        <v>130</v>
      </c>
      <c r="E1782">
        <v>18</v>
      </c>
      <c r="F1782">
        <v>7.2</v>
      </c>
      <c r="G1782">
        <v>0.4</v>
      </c>
      <c r="H1782">
        <v>24</v>
      </c>
      <c r="I1782">
        <v>5000</v>
      </c>
      <c r="J1782">
        <v>1000</v>
      </c>
      <c r="K1782" t="s">
        <v>95</v>
      </c>
      <c r="L1782" t="s">
        <v>91</v>
      </c>
      <c r="M1782" t="s">
        <v>41</v>
      </c>
      <c r="N1782" t="b">
        <v>1</v>
      </c>
      <c r="O1782" t="s">
        <v>217</v>
      </c>
    </row>
    <row r="1783" spans="1:15" ht="15" customHeight="1">
      <c r="A1783" t="s">
        <v>1417</v>
      </c>
      <c r="B1783" t="s">
        <v>2381</v>
      </c>
      <c r="C1783" t="s">
        <v>75</v>
      </c>
      <c r="D1783" t="s">
        <v>69</v>
      </c>
      <c r="E1783">
        <v>19</v>
      </c>
      <c r="F1783">
        <v>3.4</v>
      </c>
      <c r="G1783">
        <v>0.18</v>
      </c>
      <c r="H1783">
        <v>24</v>
      </c>
      <c r="I1783">
        <v>2000</v>
      </c>
      <c r="J1783">
        <v>1500</v>
      </c>
      <c r="K1783" t="s">
        <v>361</v>
      </c>
      <c r="L1783" t="s">
        <v>91</v>
      </c>
      <c r="M1783" t="s">
        <v>50</v>
      </c>
      <c r="N1783" t="b">
        <v>1</v>
      </c>
      <c r="O1783" t="s">
        <v>362</v>
      </c>
    </row>
    <row r="1784" spans="1:15" ht="15" customHeight="1">
      <c r="A1784" t="s">
        <v>1213</v>
      </c>
      <c r="B1784" t="s">
        <v>2382</v>
      </c>
      <c r="C1784" t="s">
        <v>149</v>
      </c>
      <c r="D1784" t="s">
        <v>69</v>
      </c>
      <c r="E1784">
        <v>11</v>
      </c>
      <c r="F1784">
        <v>11</v>
      </c>
      <c r="G1784">
        <v>1</v>
      </c>
      <c r="H1784">
        <v>27</v>
      </c>
      <c r="I1784">
        <v>3000</v>
      </c>
      <c r="J1784">
        <v>1000</v>
      </c>
      <c r="K1784" t="s">
        <v>845</v>
      </c>
      <c r="L1784" t="s">
        <v>100</v>
      </c>
      <c r="M1784" t="s">
        <v>41</v>
      </c>
      <c r="N1784" t="b">
        <v>0</v>
      </c>
      <c r="O1784" t="s">
        <v>357</v>
      </c>
    </row>
    <row r="1785" spans="1:15" ht="15" customHeight="1">
      <c r="A1785" t="s">
        <v>1250</v>
      </c>
      <c r="B1785" t="s">
        <v>2383</v>
      </c>
      <c r="C1785" t="s">
        <v>75</v>
      </c>
      <c r="D1785" t="s">
        <v>69</v>
      </c>
      <c r="E1785">
        <v>11</v>
      </c>
      <c r="F1785">
        <v>10.7</v>
      </c>
      <c r="G1785">
        <v>0.97</v>
      </c>
      <c r="H1785">
        <v>26</v>
      </c>
      <c r="I1785">
        <v>2000</v>
      </c>
      <c r="J1785">
        <v>1500</v>
      </c>
      <c r="K1785" t="s">
        <v>298</v>
      </c>
      <c r="L1785" t="s">
        <v>96</v>
      </c>
      <c r="M1785" t="s">
        <v>41</v>
      </c>
      <c r="N1785" t="b">
        <v>0</v>
      </c>
      <c r="O1785" t="s">
        <v>299</v>
      </c>
    </row>
    <row r="1786" spans="1:15" ht="15" customHeight="1">
      <c r="A1786" t="s">
        <v>1532</v>
      </c>
      <c r="B1786" t="s">
        <v>2384</v>
      </c>
      <c r="C1786" t="s">
        <v>149</v>
      </c>
      <c r="D1786" t="s">
        <v>69</v>
      </c>
      <c r="E1786">
        <v>11</v>
      </c>
      <c r="F1786">
        <v>10.7</v>
      </c>
      <c r="G1786">
        <v>0.97</v>
      </c>
      <c r="H1786">
        <v>40</v>
      </c>
      <c r="I1786">
        <v>3000</v>
      </c>
      <c r="J1786">
        <v>1000</v>
      </c>
      <c r="K1786" t="s">
        <v>95</v>
      </c>
      <c r="L1786" t="s">
        <v>71</v>
      </c>
      <c r="M1786" t="s">
        <v>40</v>
      </c>
      <c r="N1786" t="b">
        <v>0</v>
      </c>
      <c r="O1786" t="s">
        <v>217</v>
      </c>
    </row>
    <row r="1787" spans="1:15" ht="15" customHeight="1">
      <c r="A1787" t="s">
        <v>416</v>
      </c>
      <c r="B1787" t="s">
        <v>2385</v>
      </c>
      <c r="C1787" t="s">
        <v>75</v>
      </c>
      <c r="D1787" t="s">
        <v>69</v>
      </c>
      <c r="E1787">
        <v>15</v>
      </c>
      <c r="F1787">
        <v>7.5</v>
      </c>
      <c r="G1787">
        <v>0.5</v>
      </c>
      <c r="H1787">
        <v>11</v>
      </c>
      <c r="I1787">
        <v>2000</v>
      </c>
      <c r="J1787">
        <v>1500</v>
      </c>
      <c r="K1787" t="s">
        <v>689</v>
      </c>
      <c r="L1787" t="s">
        <v>77</v>
      </c>
      <c r="M1787" t="s">
        <v>44</v>
      </c>
      <c r="N1787" t="b">
        <v>0</v>
      </c>
      <c r="O1787" t="s">
        <v>690</v>
      </c>
    </row>
    <row r="1788" spans="1:15" ht="15" customHeight="1">
      <c r="A1788" t="s">
        <v>503</v>
      </c>
      <c r="B1788" t="s">
        <v>2386</v>
      </c>
      <c r="C1788" t="s">
        <v>81</v>
      </c>
      <c r="D1788" t="s">
        <v>69</v>
      </c>
      <c r="E1788">
        <v>16</v>
      </c>
      <c r="F1788">
        <v>13.6</v>
      </c>
      <c r="G1788">
        <v>0.85</v>
      </c>
      <c r="H1788">
        <v>9</v>
      </c>
      <c r="I1788">
        <v>10000</v>
      </c>
      <c r="J1788">
        <v>3000</v>
      </c>
      <c r="K1788" t="s">
        <v>108</v>
      </c>
      <c r="L1788" t="s">
        <v>91</v>
      </c>
      <c r="M1788" t="s">
        <v>43</v>
      </c>
      <c r="N1788" t="b">
        <v>1</v>
      </c>
      <c r="O1788" t="s">
        <v>303</v>
      </c>
    </row>
    <row r="1789" spans="1:15" ht="15" customHeight="1">
      <c r="A1789" t="s">
        <v>416</v>
      </c>
      <c r="B1789" t="s">
        <v>2387</v>
      </c>
      <c r="C1789" t="s">
        <v>75</v>
      </c>
      <c r="D1789" t="s">
        <v>69</v>
      </c>
      <c r="E1789">
        <v>20</v>
      </c>
      <c r="F1789">
        <v>18.5</v>
      </c>
      <c r="G1789">
        <v>0.93</v>
      </c>
      <c r="H1789">
        <v>9</v>
      </c>
      <c r="I1789">
        <v>2000</v>
      </c>
      <c r="J1789">
        <v>1500</v>
      </c>
      <c r="K1789" t="s">
        <v>740</v>
      </c>
      <c r="L1789" t="s">
        <v>77</v>
      </c>
      <c r="M1789" t="s">
        <v>44</v>
      </c>
      <c r="N1789" t="b">
        <v>0</v>
      </c>
      <c r="O1789" t="s">
        <v>741</v>
      </c>
    </row>
    <row r="1790" spans="1:15" ht="15" customHeight="1">
      <c r="A1790" t="s">
        <v>832</v>
      </c>
      <c r="B1790" t="s">
        <v>2388</v>
      </c>
      <c r="C1790" t="s">
        <v>149</v>
      </c>
      <c r="D1790" t="s">
        <v>69</v>
      </c>
      <c r="E1790">
        <v>10</v>
      </c>
      <c r="F1790">
        <v>8.4</v>
      </c>
      <c r="G1790">
        <v>0.84</v>
      </c>
      <c r="H1790">
        <v>39</v>
      </c>
      <c r="I1790">
        <v>3000</v>
      </c>
      <c r="J1790">
        <v>1000</v>
      </c>
      <c r="K1790" t="s">
        <v>257</v>
      </c>
      <c r="L1790" t="s">
        <v>117</v>
      </c>
      <c r="M1790" t="s">
        <v>50</v>
      </c>
      <c r="N1790" t="b">
        <v>1</v>
      </c>
      <c r="O1790" t="s">
        <v>258</v>
      </c>
    </row>
    <row r="1791" spans="1:15" ht="15" customHeight="1">
      <c r="A1791" t="s">
        <v>656</v>
      </c>
      <c r="B1791" t="s">
        <v>2389</v>
      </c>
      <c r="C1791" t="s">
        <v>149</v>
      </c>
      <c r="D1791" t="s">
        <v>69</v>
      </c>
      <c r="E1791">
        <v>8</v>
      </c>
      <c r="F1791">
        <v>7.7</v>
      </c>
      <c r="G1791">
        <v>0.96</v>
      </c>
      <c r="H1791">
        <v>27</v>
      </c>
      <c r="I1791">
        <v>3000</v>
      </c>
      <c r="J1791">
        <v>1000</v>
      </c>
      <c r="K1791" t="s">
        <v>845</v>
      </c>
      <c r="L1791" t="s">
        <v>96</v>
      </c>
      <c r="M1791" t="s">
        <v>41</v>
      </c>
      <c r="N1791" t="b">
        <v>0</v>
      </c>
      <c r="O1791" t="s">
        <v>357</v>
      </c>
    </row>
    <row r="1792" spans="1:15" ht="15" customHeight="1">
      <c r="A1792" t="s">
        <v>1379</v>
      </c>
      <c r="B1792" t="s">
        <v>2390</v>
      </c>
      <c r="C1792" t="s">
        <v>129</v>
      </c>
      <c r="D1792" t="s">
        <v>130</v>
      </c>
      <c r="E1792">
        <v>19</v>
      </c>
      <c r="F1792">
        <v>13.9</v>
      </c>
      <c r="G1792">
        <v>0.73</v>
      </c>
      <c r="H1792">
        <v>19</v>
      </c>
      <c r="I1792">
        <v>5000</v>
      </c>
      <c r="J1792">
        <v>1000</v>
      </c>
      <c r="K1792" t="s">
        <v>336</v>
      </c>
      <c r="L1792" t="s">
        <v>117</v>
      </c>
      <c r="M1792" t="s">
        <v>46</v>
      </c>
      <c r="N1792" t="b">
        <v>1</v>
      </c>
      <c r="O1792" t="s">
        <v>337</v>
      </c>
    </row>
    <row r="1793" spans="1:15" ht="15" customHeight="1">
      <c r="A1793" t="s">
        <v>796</v>
      </c>
      <c r="B1793" t="s">
        <v>2391</v>
      </c>
      <c r="C1793" t="s">
        <v>81</v>
      </c>
      <c r="D1793" t="s">
        <v>69</v>
      </c>
      <c r="E1793">
        <v>13</v>
      </c>
      <c r="F1793">
        <v>6.5</v>
      </c>
      <c r="G1793">
        <v>0.5</v>
      </c>
      <c r="H1793">
        <v>25</v>
      </c>
      <c r="I1793">
        <v>10000</v>
      </c>
      <c r="J1793">
        <v>3000</v>
      </c>
      <c r="K1793" t="s">
        <v>138</v>
      </c>
      <c r="L1793" t="s">
        <v>91</v>
      </c>
      <c r="M1793" t="s">
        <v>43</v>
      </c>
      <c r="N1793" t="b">
        <v>1</v>
      </c>
      <c r="O1793" t="s">
        <v>139</v>
      </c>
    </row>
    <row r="1794" spans="1:15" ht="15" customHeight="1">
      <c r="A1794" t="s">
        <v>897</v>
      </c>
      <c r="B1794" t="s">
        <v>2392</v>
      </c>
      <c r="C1794" t="s">
        <v>75</v>
      </c>
      <c r="D1794" t="s">
        <v>69</v>
      </c>
      <c r="E1794">
        <v>14</v>
      </c>
      <c r="F1794">
        <v>7.5</v>
      </c>
      <c r="G1794">
        <v>0.54</v>
      </c>
      <c r="H1794">
        <v>26</v>
      </c>
      <c r="I1794">
        <v>2000</v>
      </c>
      <c r="J1794">
        <v>1500</v>
      </c>
      <c r="K1794" t="s">
        <v>298</v>
      </c>
      <c r="L1794" t="s">
        <v>104</v>
      </c>
      <c r="M1794" t="s">
        <v>49</v>
      </c>
      <c r="N1794" t="b">
        <v>0</v>
      </c>
      <c r="O1794" t="s">
        <v>299</v>
      </c>
    </row>
    <row r="1795" spans="1:15" ht="15" customHeight="1">
      <c r="A1795" t="s">
        <v>402</v>
      </c>
      <c r="B1795" t="s">
        <v>2393</v>
      </c>
      <c r="C1795" t="s">
        <v>75</v>
      </c>
      <c r="D1795" t="s">
        <v>69</v>
      </c>
      <c r="E1795">
        <v>16</v>
      </c>
      <c r="F1795">
        <v>5.2</v>
      </c>
      <c r="G1795">
        <v>0.33</v>
      </c>
      <c r="H1795">
        <v>28</v>
      </c>
      <c r="I1795">
        <v>2000</v>
      </c>
      <c r="J1795">
        <v>1500</v>
      </c>
      <c r="K1795" t="s">
        <v>262</v>
      </c>
      <c r="L1795" t="s">
        <v>71</v>
      </c>
      <c r="M1795" t="s">
        <v>41</v>
      </c>
      <c r="N1795" t="b">
        <v>0</v>
      </c>
      <c r="O1795" t="s">
        <v>289</v>
      </c>
    </row>
    <row r="1796" spans="1:15" ht="15" customHeight="1">
      <c r="A1796" t="s">
        <v>382</v>
      </c>
      <c r="B1796" t="s">
        <v>2394</v>
      </c>
      <c r="C1796" t="s">
        <v>75</v>
      </c>
      <c r="D1796" t="s">
        <v>69</v>
      </c>
      <c r="E1796">
        <v>18</v>
      </c>
      <c r="F1796">
        <v>7</v>
      </c>
      <c r="G1796">
        <v>0.39</v>
      </c>
      <c r="H1796">
        <v>9</v>
      </c>
      <c r="I1796">
        <v>2000</v>
      </c>
      <c r="J1796">
        <v>1500</v>
      </c>
      <c r="K1796" t="s">
        <v>740</v>
      </c>
      <c r="L1796" t="s">
        <v>71</v>
      </c>
      <c r="M1796" t="s">
        <v>46</v>
      </c>
      <c r="N1796" t="b">
        <v>0</v>
      </c>
      <c r="O1796" t="s">
        <v>741</v>
      </c>
    </row>
    <row r="1797" spans="1:15" ht="15" customHeight="1">
      <c r="A1797" t="s">
        <v>363</v>
      </c>
      <c r="B1797" t="s">
        <v>2395</v>
      </c>
      <c r="C1797" t="s">
        <v>81</v>
      </c>
      <c r="D1797" t="s">
        <v>69</v>
      </c>
      <c r="E1797">
        <v>14</v>
      </c>
      <c r="F1797">
        <v>12.1</v>
      </c>
      <c r="G1797">
        <v>0.86</v>
      </c>
      <c r="H1797">
        <v>12</v>
      </c>
      <c r="I1797">
        <v>10000</v>
      </c>
      <c r="J1797">
        <v>3000</v>
      </c>
      <c r="K1797" t="s">
        <v>95</v>
      </c>
      <c r="L1797" t="s">
        <v>71</v>
      </c>
      <c r="M1797" t="s">
        <v>43</v>
      </c>
      <c r="N1797" t="b">
        <v>0</v>
      </c>
      <c r="O1797" t="s">
        <v>257</v>
      </c>
    </row>
    <row r="1798" spans="1:15" ht="15" customHeight="1">
      <c r="A1798" t="s">
        <v>1117</v>
      </c>
      <c r="B1798" t="s">
        <v>2396</v>
      </c>
      <c r="C1798" t="s">
        <v>149</v>
      </c>
      <c r="D1798" t="s">
        <v>69</v>
      </c>
      <c r="E1798">
        <v>9</v>
      </c>
      <c r="F1798">
        <v>6.3</v>
      </c>
      <c r="G1798">
        <v>0.7</v>
      </c>
      <c r="H1798">
        <v>26</v>
      </c>
      <c r="I1798">
        <v>3000</v>
      </c>
      <c r="J1798">
        <v>1000</v>
      </c>
      <c r="K1798" t="s">
        <v>294</v>
      </c>
      <c r="L1798" t="s">
        <v>117</v>
      </c>
      <c r="M1798" t="s">
        <v>43</v>
      </c>
      <c r="N1798" t="b">
        <v>1</v>
      </c>
      <c r="O1798" t="s">
        <v>295</v>
      </c>
    </row>
    <row r="1799" spans="1:15" ht="15" customHeight="1">
      <c r="A1799" t="s">
        <v>1254</v>
      </c>
      <c r="B1799" t="s">
        <v>2397</v>
      </c>
      <c r="C1799" t="s">
        <v>81</v>
      </c>
      <c r="D1799" t="s">
        <v>69</v>
      </c>
      <c r="E1799">
        <v>14</v>
      </c>
      <c r="F1799">
        <v>5.6</v>
      </c>
      <c r="G1799">
        <v>0.4</v>
      </c>
      <c r="H1799">
        <v>30</v>
      </c>
      <c r="I1799">
        <v>10000</v>
      </c>
      <c r="J1799">
        <v>3000</v>
      </c>
      <c r="K1799" t="s">
        <v>185</v>
      </c>
      <c r="L1799" t="s">
        <v>77</v>
      </c>
      <c r="M1799" t="s">
        <v>40</v>
      </c>
      <c r="N1799" t="b">
        <v>0</v>
      </c>
      <c r="O1799" t="s">
        <v>186</v>
      </c>
    </row>
    <row r="1800" spans="1:15" ht="15" customHeight="1">
      <c r="A1800" t="s">
        <v>666</v>
      </c>
      <c r="B1800" t="s">
        <v>2398</v>
      </c>
      <c r="C1800" t="s">
        <v>81</v>
      </c>
      <c r="D1800" t="s">
        <v>69</v>
      </c>
      <c r="E1800">
        <v>17</v>
      </c>
      <c r="F1800">
        <v>10.1</v>
      </c>
      <c r="G1800">
        <v>0.59</v>
      </c>
      <c r="H1800">
        <v>20</v>
      </c>
      <c r="I1800">
        <v>10000</v>
      </c>
      <c r="J1800">
        <v>3000</v>
      </c>
      <c r="K1800" t="s">
        <v>86</v>
      </c>
      <c r="L1800" t="s">
        <v>77</v>
      </c>
      <c r="M1800" t="s">
        <v>44</v>
      </c>
      <c r="N1800" t="b">
        <v>0</v>
      </c>
      <c r="O1800" t="s">
        <v>87</v>
      </c>
    </row>
    <row r="1801" spans="1:15" ht="15" customHeight="1">
      <c r="A1801" t="s">
        <v>1442</v>
      </c>
      <c r="B1801" t="s">
        <v>2399</v>
      </c>
      <c r="C1801" t="s">
        <v>68</v>
      </c>
      <c r="D1801" t="s">
        <v>69</v>
      </c>
      <c r="E1801">
        <v>16</v>
      </c>
      <c r="F1801">
        <v>2.1</v>
      </c>
      <c r="G1801">
        <v>0.13</v>
      </c>
      <c r="H1801">
        <v>5</v>
      </c>
      <c r="I1801">
        <v>30000</v>
      </c>
      <c r="J1801">
        <v>5000</v>
      </c>
      <c r="K1801" t="s">
        <v>112</v>
      </c>
      <c r="L1801" t="s">
        <v>104</v>
      </c>
      <c r="M1801" t="s">
        <v>47</v>
      </c>
      <c r="N1801" t="b">
        <v>0</v>
      </c>
      <c r="O1801" t="s">
        <v>113</v>
      </c>
    </row>
    <row r="1802" spans="1:15" ht="15" customHeight="1">
      <c r="A1802" t="s">
        <v>970</v>
      </c>
      <c r="B1802" t="s">
        <v>2400</v>
      </c>
      <c r="C1802" t="s">
        <v>129</v>
      </c>
      <c r="D1802" t="s">
        <v>130</v>
      </c>
      <c r="E1802">
        <v>20</v>
      </c>
      <c r="F1802">
        <v>16.7</v>
      </c>
      <c r="G1802">
        <v>0.83</v>
      </c>
      <c r="H1802">
        <v>14</v>
      </c>
      <c r="I1802">
        <v>5000</v>
      </c>
      <c r="J1802">
        <v>1000</v>
      </c>
      <c r="K1802" t="s">
        <v>82</v>
      </c>
      <c r="L1802" t="s">
        <v>117</v>
      </c>
      <c r="M1802" t="s">
        <v>46</v>
      </c>
      <c r="N1802" t="b">
        <v>1</v>
      </c>
      <c r="O1802" t="s">
        <v>229</v>
      </c>
    </row>
    <row r="1803" spans="1:15" ht="15" customHeight="1">
      <c r="A1803" t="s">
        <v>1123</v>
      </c>
      <c r="B1803" t="s">
        <v>2401</v>
      </c>
      <c r="C1803" t="s">
        <v>149</v>
      </c>
      <c r="D1803" t="s">
        <v>69</v>
      </c>
      <c r="E1803">
        <v>9</v>
      </c>
      <c r="F1803">
        <v>8.6999999999999993</v>
      </c>
      <c r="G1803">
        <v>0.97</v>
      </c>
      <c r="H1803">
        <v>39</v>
      </c>
      <c r="I1803">
        <v>3000</v>
      </c>
      <c r="J1803">
        <v>1000</v>
      </c>
      <c r="K1803" t="s">
        <v>257</v>
      </c>
      <c r="L1803" t="s">
        <v>77</v>
      </c>
      <c r="M1803" t="s">
        <v>49</v>
      </c>
      <c r="N1803" t="b">
        <v>0</v>
      </c>
      <c r="O1803" t="s">
        <v>258</v>
      </c>
    </row>
    <row r="1804" spans="1:15" ht="15" customHeight="1">
      <c r="A1804" t="s">
        <v>1224</v>
      </c>
      <c r="B1804" t="s">
        <v>2402</v>
      </c>
      <c r="C1804" t="s">
        <v>129</v>
      </c>
      <c r="D1804" t="s">
        <v>130</v>
      </c>
      <c r="E1804">
        <v>19</v>
      </c>
      <c r="F1804">
        <v>7.1</v>
      </c>
      <c r="G1804">
        <v>0.37</v>
      </c>
      <c r="H1804">
        <v>7</v>
      </c>
      <c r="I1804">
        <v>5000</v>
      </c>
      <c r="J1804">
        <v>1000</v>
      </c>
      <c r="K1804" t="s">
        <v>1135</v>
      </c>
      <c r="L1804" t="s">
        <v>100</v>
      </c>
      <c r="M1804" t="s">
        <v>49</v>
      </c>
      <c r="N1804" t="b">
        <v>0</v>
      </c>
      <c r="O1804" t="s">
        <v>862</v>
      </c>
    </row>
    <row r="1805" spans="1:15" ht="15" customHeight="1">
      <c r="A1805" t="s">
        <v>676</v>
      </c>
      <c r="B1805" t="s">
        <v>2403</v>
      </c>
      <c r="C1805" t="s">
        <v>81</v>
      </c>
      <c r="D1805" t="s">
        <v>69</v>
      </c>
      <c r="E1805">
        <v>20</v>
      </c>
      <c r="F1805">
        <v>16.600000000000001</v>
      </c>
      <c r="G1805">
        <v>0.83</v>
      </c>
      <c r="H1805">
        <v>15</v>
      </c>
      <c r="I1805">
        <v>10000</v>
      </c>
      <c r="J1805">
        <v>3000</v>
      </c>
      <c r="K1805" t="s">
        <v>112</v>
      </c>
      <c r="L1805" t="s">
        <v>71</v>
      </c>
      <c r="M1805" t="s">
        <v>49</v>
      </c>
      <c r="N1805" t="b">
        <v>0</v>
      </c>
      <c r="O1805" t="s">
        <v>234</v>
      </c>
    </row>
    <row r="1806" spans="1:15" ht="15" customHeight="1">
      <c r="A1806" t="s">
        <v>570</v>
      </c>
      <c r="B1806" t="s">
        <v>2404</v>
      </c>
      <c r="C1806" t="s">
        <v>68</v>
      </c>
      <c r="D1806" t="s">
        <v>69</v>
      </c>
      <c r="E1806">
        <v>12</v>
      </c>
      <c r="F1806">
        <v>0.6</v>
      </c>
      <c r="G1806">
        <v>0.05</v>
      </c>
      <c r="H1806">
        <v>2</v>
      </c>
      <c r="I1806">
        <v>30000</v>
      </c>
      <c r="J1806">
        <v>5000</v>
      </c>
      <c r="K1806" t="s">
        <v>162</v>
      </c>
      <c r="L1806" t="s">
        <v>96</v>
      </c>
      <c r="M1806" t="s">
        <v>44</v>
      </c>
      <c r="N1806" t="b">
        <v>0</v>
      </c>
      <c r="O1806" t="s">
        <v>163</v>
      </c>
    </row>
    <row r="1807" spans="1:15" ht="15" customHeight="1">
      <c r="A1807" t="s">
        <v>376</v>
      </c>
      <c r="B1807" t="s">
        <v>2405</v>
      </c>
      <c r="C1807" t="s">
        <v>81</v>
      </c>
      <c r="D1807" t="s">
        <v>69</v>
      </c>
      <c r="E1807">
        <v>10</v>
      </c>
      <c r="F1807">
        <v>9.6999999999999993</v>
      </c>
      <c r="G1807">
        <v>0.97</v>
      </c>
      <c r="H1807">
        <v>23</v>
      </c>
      <c r="I1807">
        <v>10000</v>
      </c>
      <c r="J1807">
        <v>3000</v>
      </c>
      <c r="K1807" t="s">
        <v>626</v>
      </c>
      <c r="L1807" t="s">
        <v>77</v>
      </c>
      <c r="M1807" t="s">
        <v>50</v>
      </c>
      <c r="N1807" t="b">
        <v>0</v>
      </c>
      <c r="O1807" t="s">
        <v>627</v>
      </c>
    </row>
    <row r="1808" spans="1:15" ht="15" customHeight="1">
      <c r="A1808" t="s">
        <v>164</v>
      </c>
      <c r="B1808" t="s">
        <v>2406</v>
      </c>
      <c r="C1808" t="s">
        <v>81</v>
      </c>
      <c r="D1808" t="s">
        <v>69</v>
      </c>
      <c r="E1808">
        <v>8</v>
      </c>
      <c r="F1808">
        <v>3.1</v>
      </c>
      <c r="G1808">
        <v>0.39</v>
      </c>
      <c r="H1808">
        <v>27</v>
      </c>
      <c r="I1808">
        <v>10000</v>
      </c>
      <c r="J1808">
        <v>3000</v>
      </c>
      <c r="K1808" t="s">
        <v>125</v>
      </c>
      <c r="L1808" t="s">
        <v>71</v>
      </c>
      <c r="M1808" t="s">
        <v>51</v>
      </c>
      <c r="N1808" t="b">
        <v>0</v>
      </c>
      <c r="O1808" t="s">
        <v>126</v>
      </c>
    </row>
    <row r="1809" spans="1:15" ht="15" customHeight="1">
      <c r="A1809" t="s">
        <v>828</v>
      </c>
      <c r="B1809" t="s">
        <v>2407</v>
      </c>
      <c r="C1809" t="s">
        <v>68</v>
      </c>
      <c r="D1809" t="s">
        <v>69</v>
      </c>
      <c r="E1809">
        <v>11</v>
      </c>
      <c r="F1809">
        <v>1.6</v>
      </c>
      <c r="G1809">
        <v>0.15</v>
      </c>
      <c r="H1809">
        <v>2</v>
      </c>
      <c r="I1809">
        <v>30000</v>
      </c>
      <c r="J1809">
        <v>5000</v>
      </c>
      <c r="K1809" t="s">
        <v>162</v>
      </c>
      <c r="L1809" t="s">
        <v>117</v>
      </c>
      <c r="M1809" t="s">
        <v>43</v>
      </c>
      <c r="N1809" t="b">
        <v>1</v>
      </c>
      <c r="O1809" t="s">
        <v>163</v>
      </c>
    </row>
    <row r="1810" spans="1:15" ht="15" customHeight="1">
      <c r="A1810" t="s">
        <v>718</v>
      </c>
      <c r="B1810" t="s">
        <v>2408</v>
      </c>
      <c r="C1810" t="s">
        <v>149</v>
      </c>
      <c r="D1810" t="s">
        <v>69</v>
      </c>
      <c r="E1810">
        <v>9</v>
      </c>
      <c r="F1810">
        <v>8.8000000000000007</v>
      </c>
      <c r="G1810">
        <v>0.98</v>
      </c>
      <c r="H1810">
        <v>28</v>
      </c>
      <c r="I1810">
        <v>3000</v>
      </c>
      <c r="J1810">
        <v>1000</v>
      </c>
      <c r="K1810" t="s">
        <v>176</v>
      </c>
      <c r="L1810" t="s">
        <v>71</v>
      </c>
      <c r="M1810" t="s">
        <v>50</v>
      </c>
      <c r="N1810" t="b">
        <v>0</v>
      </c>
      <c r="O1810" t="s">
        <v>177</v>
      </c>
    </row>
    <row r="1811" spans="1:15" ht="15" customHeight="1">
      <c r="A1811" t="s">
        <v>160</v>
      </c>
      <c r="B1811" t="s">
        <v>2409</v>
      </c>
      <c r="C1811" t="s">
        <v>81</v>
      </c>
      <c r="D1811" t="s">
        <v>69</v>
      </c>
      <c r="E1811">
        <v>14</v>
      </c>
      <c r="F1811">
        <v>5.8</v>
      </c>
      <c r="G1811">
        <v>0.41</v>
      </c>
      <c r="H1811">
        <v>22</v>
      </c>
      <c r="I1811">
        <v>10000</v>
      </c>
      <c r="J1811">
        <v>3000</v>
      </c>
      <c r="K1811" t="s">
        <v>548</v>
      </c>
      <c r="L1811" t="s">
        <v>71</v>
      </c>
      <c r="M1811" t="s">
        <v>45</v>
      </c>
      <c r="N1811" t="b">
        <v>0</v>
      </c>
      <c r="O1811" t="s">
        <v>549</v>
      </c>
    </row>
    <row r="1812" spans="1:15" ht="15" customHeight="1">
      <c r="A1812" t="s">
        <v>1365</v>
      </c>
      <c r="B1812" t="s">
        <v>2410</v>
      </c>
      <c r="C1812" t="s">
        <v>81</v>
      </c>
      <c r="D1812" t="s">
        <v>69</v>
      </c>
      <c r="E1812">
        <v>14</v>
      </c>
      <c r="F1812">
        <v>6.5</v>
      </c>
      <c r="G1812">
        <v>0.46</v>
      </c>
      <c r="H1812">
        <v>12</v>
      </c>
      <c r="I1812">
        <v>10000</v>
      </c>
      <c r="J1812">
        <v>3000</v>
      </c>
      <c r="K1812" t="s">
        <v>95</v>
      </c>
      <c r="L1812" t="s">
        <v>77</v>
      </c>
      <c r="M1812" t="s">
        <v>43</v>
      </c>
      <c r="N1812" t="b">
        <v>0</v>
      </c>
      <c r="O1812" t="s">
        <v>257</v>
      </c>
    </row>
    <row r="1813" spans="1:15" ht="15" customHeight="1">
      <c r="A1813" t="s">
        <v>609</v>
      </c>
      <c r="B1813" t="s">
        <v>2411</v>
      </c>
      <c r="C1813" t="s">
        <v>75</v>
      </c>
      <c r="D1813" t="s">
        <v>69</v>
      </c>
      <c r="E1813">
        <v>12</v>
      </c>
      <c r="F1813">
        <v>8.1</v>
      </c>
      <c r="G1813">
        <v>0.67</v>
      </c>
      <c r="H1813">
        <v>15</v>
      </c>
      <c r="I1813">
        <v>2000</v>
      </c>
      <c r="J1813">
        <v>1500</v>
      </c>
      <c r="K1813" t="s">
        <v>70</v>
      </c>
      <c r="L1813" t="s">
        <v>91</v>
      </c>
      <c r="M1813" t="s">
        <v>40</v>
      </c>
      <c r="N1813" t="b">
        <v>1</v>
      </c>
      <c r="O1813" t="s">
        <v>598</v>
      </c>
    </row>
    <row r="1814" spans="1:15" ht="15" customHeight="1">
      <c r="A1814" t="s">
        <v>1208</v>
      </c>
      <c r="B1814" t="s">
        <v>2412</v>
      </c>
      <c r="C1814" t="s">
        <v>81</v>
      </c>
      <c r="D1814" t="s">
        <v>69</v>
      </c>
      <c r="E1814">
        <v>18</v>
      </c>
      <c r="F1814">
        <v>12.8</v>
      </c>
      <c r="G1814">
        <v>0.71</v>
      </c>
      <c r="H1814">
        <v>25</v>
      </c>
      <c r="I1814">
        <v>10000</v>
      </c>
      <c r="J1814">
        <v>3000</v>
      </c>
      <c r="K1814" t="s">
        <v>138</v>
      </c>
      <c r="L1814" t="s">
        <v>117</v>
      </c>
      <c r="M1814" t="s">
        <v>43</v>
      </c>
      <c r="N1814" t="b">
        <v>1</v>
      </c>
      <c r="O1814" t="s">
        <v>139</v>
      </c>
    </row>
    <row r="1815" spans="1:15" ht="15" customHeight="1">
      <c r="A1815" t="s">
        <v>814</v>
      </c>
      <c r="B1815" t="s">
        <v>2413</v>
      </c>
      <c r="C1815" t="s">
        <v>68</v>
      </c>
      <c r="D1815" t="s">
        <v>69</v>
      </c>
      <c r="E1815">
        <v>10</v>
      </c>
      <c r="F1815">
        <v>3.3</v>
      </c>
      <c r="G1815">
        <v>0.33</v>
      </c>
      <c r="H1815">
        <v>2</v>
      </c>
      <c r="I1815">
        <v>30000</v>
      </c>
      <c r="J1815">
        <v>5000</v>
      </c>
      <c r="K1815" t="s">
        <v>162</v>
      </c>
      <c r="L1815" t="s">
        <v>71</v>
      </c>
      <c r="M1815" t="s">
        <v>45</v>
      </c>
      <c r="N1815" t="b">
        <v>0</v>
      </c>
      <c r="O1815" t="s">
        <v>163</v>
      </c>
    </row>
    <row r="1816" spans="1:15" ht="15" customHeight="1">
      <c r="A1816" t="s">
        <v>568</v>
      </c>
      <c r="B1816" t="s">
        <v>2414</v>
      </c>
      <c r="C1816" t="s">
        <v>81</v>
      </c>
      <c r="D1816" t="s">
        <v>69</v>
      </c>
      <c r="E1816">
        <v>12</v>
      </c>
      <c r="F1816">
        <v>7.7</v>
      </c>
      <c r="G1816">
        <v>0.64</v>
      </c>
      <c r="H1816">
        <v>21</v>
      </c>
      <c r="I1816">
        <v>10000</v>
      </c>
      <c r="J1816">
        <v>3000</v>
      </c>
      <c r="K1816" t="s">
        <v>279</v>
      </c>
      <c r="L1816" t="s">
        <v>77</v>
      </c>
      <c r="M1816" t="s">
        <v>41</v>
      </c>
      <c r="N1816" t="b">
        <v>0</v>
      </c>
      <c r="O1816" t="s">
        <v>280</v>
      </c>
    </row>
    <row r="1817" spans="1:15" ht="15" customHeight="1">
      <c r="A1817" t="s">
        <v>243</v>
      </c>
      <c r="B1817" t="s">
        <v>2415</v>
      </c>
      <c r="C1817" t="s">
        <v>149</v>
      </c>
      <c r="D1817" t="s">
        <v>69</v>
      </c>
      <c r="E1817">
        <v>8</v>
      </c>
      <c r="F1817">
        <v>6.3</v>
      </c>
      <c r="G1817">
        <v>0.79</v>
      </c>
      <c r="H1817">
        <v>24</v>
      </c>
      <c r="I1817">
        <v>3000</v>
      </c>
      <c r="J1817">
        <v>1000</v>
      </c>
      <c r="K1817" t="s">
        <v>490</v>
      </c>
      <c r="L1817" t="s">
        <v>117</v>
      </c>
      <c r="M1817" t="s">
        <v>40</v>
      </c>
      <c r="N1817" t="b">
        <v>1</v>
      </c>
      <c r="O1817" t="s">
        <v>491</v>
      </c>
    </row>
    <row r="1818" spans="1:15" ht="15" customHeight="1">
      <c r="A1818" t="s">
        <v>147</v>
      </c>
      <c r="B1818" t="s">
        <v>2416</v>
      </c>
      <c r="C1818" t="s">
        <v>149</v>
      </c>
      <c r="D1818" t="s">
        <v>69</v>
      </c>
      <c r="E1818">
        <v>8</v>
      </c>
      <c r="F1818">
        <v>7.3</v>
      </c>
      <c r="G1818">
        <v>0.91</v>
      </c>
      <c r="H1818">
        <v>18</v>
      </c>
      <c r="I1818">
        <v>3000</v>
      </c>
      <c r="J1818">
        <v>1000</v>
      </c>
      <c r="K1818" t="s">
        <v>150</v>
      </c>
      <c r="L1818" t="s">
        <v>100</v>
      </c>
      <c r="M1818" t="s">
        <v>43</v>
      </c>
      <c r="N1818" t="b">
        <v>0</v>
      </c>
      <c r="O1818" t="s">
        <v>151</v>
      </c>
    </row>
    <row r="1819" spans="1:15" ht="15" customHeight="1">
      <c r="A1819" t="s">
        <v>363</v>
      </c>
      <c r="B1819" t="s">
        <v>2417</v>
      </c>
      <c r="C1819" t="s">
        <v>75</v>
      </c>
      <c r="D1819" t="s">
        <v>69</v>
      </c>
      <c r="E1819">
        <v>17</v>
      </c>
      <c r="F1819">
        <v>5.9</v>
      </c>
      <c r="G1819">
        <v>0.35</v>
      </c>
      <c r="H1819">
        <v>9</v>
      </c>
      <c r="I1819">
        <v>2000</v>
      </c>
      <c r="J1819">
        <v>1500</v>
      </c>
      <c r="K1819" t="s">
        <v>740</v>
      </c>
      <c r="L1819" t="s">
        <v>71</v>
      </c>
      <c r="M1819" t="s">
        <v>43</v>
      </c>
      <c r="N1819" t="b">
        <v>0</v>
      </c>
      <c r="O1819" t="s">
        <v>741</v>
      </c>
    </row>
    <row r="1820" spans="1:15" ht="15" customHeight="1">
      <c r="A1820" t="s">
        <v>522</v>
      </c>
      <c r="B1820" t="s">
        <v>2418</v>
      </c>
      <c r="C1820" t="s">
        <v>149</v>
      </c>
      <c r="D1820" t="s">
        <v>69</v>
      </c>
      <c r="E1820">
        <v>9</v>
      </c>
      <c r="F1820">
        <v>7</v>
      </c>
      <c r="G1820">
        <v>0.78</v>
      </c>
      <c r="H1820">
        <v>34</v>
      </c>
      <c r="I1820">
        <v>3000</v>
      </c>
      <c r="J1820">
        <v>1000</v>
      </c>
      <c r="K1820" t="s">
        <v>433</v>
      </c>
      <c r="L1820" t="s">
        <v>96</v>
      </c>
      <c r="M1820" t="s">
        <v>48</v>
      </c>
      <c r="N1820" t="b">
        <v>0</v>
      </c>
      <c r="O1820" t="s">
        <v>434</v>
      </c>
    </row>
    <row r="1821" spans="1:15" ht="15" customHeight="1">
      <c r="A1821" t="s">
        <v>174</v>
      </c>
      <c r="B1821" t="s">
        <v>2419</v>
      </c>
      <c r="C1821" t="s">
        <v>68</v>
      </c>
      <c r="D1821" t="s">
        <v>69</v>
      </c>
      <c r="E1821">
        <v>10</v>
      </c>
      <c r="F1821">
        <v>2.2999999999999998</v>
      </c>
      <c r="G1821">
        <v>0.23</v>
      </c>
      <c r="H1821">
        <v>2</v>
      </c>
      <c r="I1821">
        <v>30000</v>
      </c>
      <c r="J1821">
        <v>5000</v>
      </c>
      <c r="K1821" t="s">
        <v>162</v>
      </c>
      <c r="L1821" t="s">
        <v>77</v>
      </c>
      <c r="M1821" t="s">
        <v>47</v>
      </c>
      <c r="N1821" t="b">
        <v>0</v>
      </c>
      <c r="O1821" t="s">
        <v>163</v>
      </c>
    </row>
    <row r="1822" spans="1:15" ht="15" customHeight="1">
      <c r="A1822" t="s">
        <v>857</v>
      </c>
      <c r="B1822" t="s">
        <v>2420</v>
      </c>
      <c r="C1822" t="s">
        <v>68</v>
      </c>
      <c r="D1822" t="s">
        <v>69</v>
      </c>
      <c r="E1822">
        <v>11</v>
      </c>
      <c r="F1822">
        <v>2.8</v>
      </c>
      <c r="G1822">
        <v>0.25</v>
      </c>
      <c r="H1822">
        <v>3</v>
      </c>
      <c r="I1822">
        <v>30000</v>
      </c>
      <c r="J1822">
        <v>5000</v>
      </c>
      <c r="K1822" t="s">
        <v>108</v>
      </c>
      <c r="L1822" t="s">
        <v>91</v>
      </c>
      <c r="M1822" t="s">
        <v>48</v>
      </c>
      <c r="N1822" t="b">
        <v>1</v>
      </c>
      <c r="O1822" t="s">
        <v>109</v>
      </c>
    </row>
    <row r="1823" spans="1:15" ht="15" customHeight="1">
      <c r="A1823" t="s">
        <v>656</v>
      </c>
      <c r="B1823" t="s">
        <v>2421</v>
      </c>
      <c r="C1823" t="s">
        <v>149</v>
      </c>
      <c r="D1823" t="s">
        <v>69</v>
      </c>
      <c r="E1823">
        <v>10</v>
      </c>
      <c r="F1823">
        <v>8.8000000000000007</v>
      </c>
      <c r="G1823">
        <v>0.88</v>
      </c>
      <c r="H1823">
        <v>17</v>
      </c>
      <c r="I1823">
        <v>3000</v>
      </c>
      <c r="J1823">
        <v>1000</v>
      </c>
      <c r="K1823" t="s">
        <v>634</v>
      </c>
      <c r="L1823" t="s">
        <v>96</v>
      </c>
      <c r="M1823" t="s">
        <v>41</v>
      </c>
      <c r="N1823" t="b">
        <v>0</v>
      </c>
      <c r="O1823" t="s">
        <v>158</v>
      </c>
    </row>
    <row r="1824" spans="1:15" ht="15" customHeight="1">
      <c r="A1824" t="s">
        <v>1515</v>
      </c>
      <c r="B1824" t="s">
        <v>2422</v>
      </c>
      <c r="C1824" t="s">
        <v>149</v>
      </c>
      <c r="D1824" t="s">
        <v>69</v>
      </c>
      <c r="E1824">
        <v>12</v>
      </c>
      <c r="F1824">
        <v>10.9</v>
      </c>
      <c r="G1824">
        <v>0.91</v>
      </c>
      <c r="H1824">
        <v>21</v>
      </c>
      <c r="I1824">
        <v>3000</v>
      </c>
      <c r="J1824">
        <v>1000</v>
      </c>
      <c r="K1824" t="s">
        <v>380</v>
      </c>
      <c r="L1824" t="s">
        <v>104</v>
      </c>
      <c r="M1824" t="s">
        <v>51</v>
      </c>
      <c r="N1824" t="b">
        <v>0</v>
      </c>
      <c r="O1824" t="s">
        <v>381</v>
      </c>
    </row>
    <row r="1825" spans="1:15" ht="15" customHeight="1">
      <c r="A1825" t="s">
        <v>1258</v>
      </c>
      <c r="B1825" t="s">
        <v>2423</v>
      </c>
      <c r="C1825" t="s">
        <v>75</v>
      </c>
      <c r="D1825" t="s">
        <v>69</v>
      </c>
      <c r="E1825">
        <v>8</v>
      </c>
      <c r="F1825">
        <v>7.1</v>
      </c>
      <c r="G1825">
        <v>0.89</v>
      </c>
      <c r="H1825">
        <v>16</v>
      </c>
      <c r="I1825">
        <v>2000</v>
      </c>
      <c r="J1825">
        <v>1500</v>
      </c>
      <c r="K1825" t="s">
        <v>938</v>
      </c>
      <c r="L1825" t="s">
        <v>91</v>
      </c>
      <c r="M1825" t="s">
        <v>48</v>
      </c>
      <c r="N1825" t="b">
        <v>1</v>
      </c>
      <c r="O1825" t="s">
        <v>939</v>
      </c>
    </row>
    <row r="1826" spans="1:15" ht="15" customHeight="1">
      <c r="A1826" t="s">
        <v>1153</v>
      </c>
      <c r="B1826" t="s">
        <v>2424</v>
      </c>
      <c r="C1826" t="s">
        <v>75</v>
      </c>
      <c r="D1826" t="s">
        <v>69</v>
      </c>
      <c r="E1826">
        <v>11</v>
      </c>
      <c r="F1826">
        <v>5.9</v>
      </c>
      <c r="G1826">
        <v>0.54</v>
      </c>
      <c r="H1826">
        <v>6</v>
      </c>
      <c r="I1826">
        <v>2000</v>
      </c>
      <c r="J1826">
        <v>1500</v>
      </c>
      <c r="K1826" t="s">
        <v>269</v>
      </c>
      <c r="L1826" t="s">
        <v>104</v>
      </c>
      <c r="M1826" t="s">
        <v>40</v>
      </c>
      <c r="N1826" t="b">
        <v>0</v>
      </c>
      <c r="O1826" t="s">
        <v>270</v>
      </c>
    </row>
    <row r="1827" spans="1:15" ht="15" customHeight="1">
      <c r="A1827" t="s">
        <v>751</v>
      </c>
      <c r="B1827" t="s">
        <v>2425</v>
      </c>
      <c r="C1827" t="s">
        <v>149</v>
      </c>
      <c r="D1827" t="s">
        <v>69</v>
      </c>
      <c r="E1827">
        <v>11</v>
      </c>
      <c r="F1827">
        <v>7.2</v>
      </c>
      <c r="G1827">
        <v>0.65</v>
      </c>
      <c r="H1827">
        <v>31</v>
      </c>
      <c r="I1827">
        <v>3000</v>
      </c>
      <c r="J1827">
        <v>1000</v>
      </c>
      <c r="K1827" t="s">
        <v>530</v>
      </c>
      <c r="L1827" t="s">
        <v>100</v>
      </c>
      <c r="M1827" t="s">
        <v>41</v>
      </c>
      <c r="N1827" t="b">
        <v>0</v>
      </c>
      <c r="O1827" t="s">
        <v>531</v>
      </c>
    </row>
    <row r="1828" spans="1:15" ht="15" customHeight="1">
      <c r="A1828" t="s">
        <v>485</v>
      </c>
      <c r="B1828" t="s">
        <v>2426</v>
      </c>
      <c r="C1828" t="s">
        <v>75</v>
      </c>
      <c r="D1828" t="s">
        <v>69</v>
      </c>
      <c r="E1828">
        <v>15</v>
      </c>
      <c r="F1828">
        <v>14.4</v>
      </c>
      <c r="G1828">
        <v>0.96</v>
      </c>
      <c r="H1828">
        <v>28</v>
      </c>
      <c r="I1828">
        <v>2000</v>
      </c>
      <c r="J1828">
        <v>1500</v>
      </c>
      <c r="K1828" t="s">
        <v>262</v>
      </c>
      <c r="L1828" t="s">
        <v>100</v>
      </c>
      <c r="M1828" t="s">
        <v>50</v>
      </c>
      <c r="N1828" t="b">
        <v>0</v>
      </c>
      <c r="O1828" t="s">
        <v>289</v>
      </c>
    </row>
    <row r="1829" spans="1:15" ht="15" customHeight="1">
      <c r="A1829" t="s">
        <v>857</v>
      </c>
      <c r="B1829" t="s">
        <v>2427</v>
      </c>
      <c r="C1829" t="s">
        <v>81</v>
      </c>
      <c r="D1829" t="s">
        <v>69</v>
      </c>
      <c r="E1829">
        <v>14</v>
      </c>
      <c r="F1829">
        <v>12.1</v>
      </c>
      <c r="G1829">
        <v>0.86</v>
      </c>
      <c r="H1829">
        <v>9</v>
      </c>
      <c r="I1829">
        <v>10000</v>
      </c>
      <c r="J1829">
        <v>3000</v>
      </c>
      <c r="K1829" t="s">
        <v>108</v>
      </c>
      <c r="L1829" t="s">
        <v>91</v>
      </c>
      <c r="M1829" t="s">
        <v>48</v>
      </c>
      <c r="N1829" t="b">
        <v>1</v>
      </c>
      <c r="O1829" t="s">
        <v>303</v>
      </c>
    </row>
    <row r="1830" spans="1:15" ht="15" customHeight="1">
      <c r="A1830" t="s">
        <v>986</v>
      </c>
      <c r="B1830" t="s">
        <v>2428</v>
      </c>
      <c r="C1830" t="s">
        <v>75</v>
      </c>
      <c r="D1830" t="s">
        <v>69</v>
      </c>
      <c r="E1830">
        <v>8</v>
      </c>
      <c r="F1830">
        <v>5.4</v>
      </c>
      <c r="G1830">
        <v>0.68</v>
      </c>
      <c r="H1830">
        <v>23</v>
      </c>
      <c r="I1830">
        <v>2000</v>
      </c>
      <c r="J1830">
        <v>1500</v>
      </c>
      <c r="K1830" t="s">
        <v>207</v>
      </c>
      <c r="L1830" t="s">
        <v>104</v>
      </c>
      <c r="M1830" t="s">
        <v>47</v>
      </c>
      <c r="N1830" t="b">
        <v>0</v>
      </c>
      <c r="O1830" t="s">
        <v>208</v>
      </c>
    </row>
    <row r="1831" spans="1:15" ht="15" customHeight="1">
      <c r="A1831" t="s">
        <v>532</v>
      </c>
      <c r="B1831" t="s">
        <v>2429</v>
      </c>
      <c r="C1831" t="s">
        <v>75</v>
      </c>
      <c r="D1831" t="s">
        <v>69</v>
      </c>
      <c r="E1831">
        <v>20</v>
      </c>
      <c r="F1831">
        <v>18.600000000000001</v>
      </c>
      <c r="G1831">
        <v>0.93</v>
      </c>
      <c r="H1831">
        <v>16</v>
      </c>
      <c r="I1831">
        <v>2000</v>
      </c>
      <c r="J1831">
        <v>1500</v>
      </c>
      <c r="K1831" t="s">
        <v>938</v>
      </c>
      <c r="L1831" t="s">
        <v>71</v>
      </c>
      <c r="M1831" t="s">
        <v>43</v>
      </c>
      <c r="N1831" t="b">
        <v>0</v>
      </c>
      <c r="O1831" t="s">
        <v>939</v>
      </c>
    </row>
    <row r="1832" spans="1:15" ht="15" customHeight="1">
      <c r="A1832" t="s">
        <v>1076</v>
      </c>
      <c r="B1832" t="s">
        <v>2430</v>
      </c>
      <c r="C1832" t="s">
        <v>81</v>
      </c>
      <c r="D1832" t="s">
        <v>69</v>
      </c>
      <c r="E1832">
        <v>20</v>
      </c>
      <c r="F1832">
        <v>8.5</v>
      </c>
      <c r="G1832">
        <v>0.42</v>
      </c>
      <c r="H1832">
        <v>20</v>
      </c>
      <c r="I1832">
        <v>10000</v>
      </c>
      <c r="J1832">
        <v>3000</v>
      </c>
      <c r="K1832" t="s">
        <v>86</v>
      </c>
      <c r="L1832" t="s">
        <v>91</v>
      </c>
      <c r="M1832" t="s">
        <v>51</v>
      </c>
      <c r="N1832" t="b">
        <v>1</v>
      </c>
      <c r="O1832" t="s">
        <v>87</v>
      </c>
    </row>
    <row r="1833" spans="1:15" ht="15" customHeight="1">
      <c r="A1833" t="s">
        <v>481</v>
      </c>
      <c r="B1833" t="s">
        <v>2431</v>
      </c>
      <c r="C1833" t="s">
        <v>81</v>
      </c>
      <c r="D1833" t="s">
        <v>69</v>
      </c>
      <c r="E1833">
        <v>14</v>
      </c>
      <c r="F1833">
        <v>6.3</v>
      </c>
      <c r="G1833">
        <v>0.45</v>
      </c>
      <c r="H1833">
        <v>22</v>
      </c>
      <c r="I1833">
        <v>10000</v>
      </c>
      <c r="J1833">
        <v>3000</v>
      </c>
      <c r="K1833" t="s">
        <v>548</v>
      </c>
      <c r="L1833" t="s">
        <v>104</v>
      </c>
      <c r="M1833" t="s">
        <v>41</v>
      </c>
      <c r="N1833" t="b">
        <v>0</v>
      </c>
      <c r="O1833" t="s">
        <v>549</v>
      </c>
    </row>
    <row r="1834" spans="1:15" ht="15" customHeight="1">
      <c r="A1834" t="s">
        <v>209</v>
      </c>
      <c r="B1834" t="s">
        <v>2432</v>
      </c>
      <c r="C1834" t="s">
        <v>68</v>
      </c>
      <c r="D1834" t="s">
        <v>69</v>
      </c>
      <c r="E1834">
        <v>14</v>
      </c>
      <c r="F1834">
        <v>1</v>
      </c>
      <c r="G1834">
        <v>7.0000000000000007E-2</v>
      </c>
      <c r="H1834">
        <v>3</v>
      </c>
      <c r="I1834">
        <v>30000</v>
      </c>
      <c r="J1834">
        <v>5000</v>
      </c>
      <c r="K1834" t="s">
        <v>108</v>
      </c>
      <c r="L1834" t="s">
        <v>104</v>
      </c>
      <c r="M1834" t="s">
        <v>49</v>
      </c>
      <c r="N1834" t="b">
        <v>0</v>
      </c>
      <c r="O1834" t="s">
        <v>109</v>
      </c>
    </row>
    <row r="1835" spans="1:15" ht="15" customHeight="1">
      <c r="A1835" t="s">
        <v>152</v>
      </c>
      <c r="B1835" t="s">
        <v>2433</v>
      </c>
      <c r="C1835" t="s">
        <v>129</v>
      </c>
      <c r="D1835" t="s">
        <v>130</v>
      </c>
      <c r="E1835">
        <v>13</v>
      </c>
      <c r="F1835">
        <v>8.1</v>
      </c>
      <c r="G1835">
        <v>0.62</v>
      </c>
      <c r="H1835">
        <v>27</v>
      </c>
      <c r="I1835">
        <v>5000</v>
      </c>
      <c r="J1835">
        <v>1000</v>
      </c>
      <c r="K1835" t="s">
        <v>172</v>
      </c>
      <c r="L1835" t="s">
        <v>71</v>
      </c>
      <c r="M1835" t="s">
        <v>48</v>
      </c>
      <c r="N1835" t="b">
        <v>0</v>
      </c>
      <c r="O1835" t="s">
        <v>173</v>
      </c>
    </row>
    <row r="1836" spans="1:15" ht="15" customHeight="1">
      <c r="A1836" t="s">
        <v>255</v>
      </c>
      <c r="B1836" t="s">
        <v>2434</v>
      </c>
      <c r="C1836" t="s">
        <v>149</v>
      </c>
      <c r="D1836" t="s">
        <v>69</v>
      </c>
      <c r="E1836">
        <v>12</v>
      </c>
      <c r="F1836">
        <v>8</v>
      </c>
      <c r="G1836">
        <v>0.67</v>
      </c>
      <c r="H1836">
        <v>34</v>
      </c>
      <c r="I1836">
        <v>3000</v>
      </c>
      <c r="J1836">
        <v>1000</v>
      </c>
      <c r="K1836" t="s">
        <v>433</v>
      </c>
      <c r="L1836" t="s">
        <v>96</v>
      </c>
      <c r="M1836" t="s">
        <v>47</v>
      </c>
      <c r="N1836" t="b">
        <v>0</v>
      </c>
      <c r="O1836" t="s">
        <v>434</v>
      </c>
    </row>
    <row r="1837" spans="1:15" ht="15" customHeight="1">
      <c r="A1837" t="s">
        <v>685</v>
      </c>
      <c r="B1837" t="s">
        <v>2435</v>
      </c>
      <c r="C1837" t="s">
        <v>68</v>
      </c>
      <c r="D1837" t="s">
        <v>69</v>
      </c>
      <c r="E1837">
        <v>11</v>
      </c>
      <c r="F1837">
        <v>3.4</v>
      </c>
      <c r="G1837">
        <v>0.31</v>
      </c>
      <c r="H1837">
        <v>1</v>
      </c>
      <c r="I1837">
        <v>30000</v>
      </c>
      <c r="J1837">
        <v>5000</v>
      </c>
      <c r="K1837" t="s">
        <v>70</v>
      </c>
      <c r="L1837" t="s">
        <v>71</v>
      </c>
      <c r="M1837" t="s">
        <v>47</v>
      </c>
      <c r="N1837" t="b">
        <v>0</v>
      </c>
      <c r="O1837" t="s">
        <v>72</v>
      </c>
    </row>
    <row r="1838" spans="1:15" ht="15" customHeight="1">
      <c r="A1838" t="s">
        <v>718</v>
      </c>
      <c r="B1838" t="s">
        <v>2436</v>
      </c>
      <c r="C1838" t="s">
        <v>75</v>
      </c>
      <c r="D1838" t="s">
        <v>69</v>
      </c>
      <c r="E1838">
        <v>14</v>
      </c>
      <c r="F1838">
        <v>4.3</v>
      </c>
      <c r="G1838">
        <v>0.31</v>
      </c>
      <c r="H1838">
        <v>7</v>
      </c>
      <c r="I1838">
        <v>2000</v>
      </c>
      <c r="J1838">
        <v>1500</v>
      </c>
      <c r="K1838" t="s">
        <v>241</v>
      </c>
      <c r="L1838" t="s">
        <v>71</v>
      </c>
      <c r="M1838" t="s">
        <v>50</v>
      </c>
      <c r="N1838" t="b">
        <v>0</v>
      </c>
      <c r="O1838" t="s">
        <v>242</v>
      </c>
    </row>
    <row r="1839" spans="1:15" ht="15" customHeight="1">
      <c r="A1839" t="s">
        <v>66</v>
      </c>
      <c r="B1839" t="s">
        <v>2437</v>
      </c>
      <c r="C1839" t="s">
        <v>68</v>
      </c>
      <c r="D1839" t="s">
        <v>69</v>
      </c>
      <c r="E1839">
        <v>13</v>
      </c>
      <c r="F1839">
        <v>3.7</v>
      </c>
      <c r="G1839">
        <v>0.28000000000000003</v>
      </c>
      <c r="H1839">
        <v>5</v>
      </c>
      <c r="I1839">
        <v>30000</v>
      </c>
      <c r="J1839">
        <v>5000</v>
      </c>
      <c r="K1839" t="s">
        <v>112</v>
      </c>
      <c r="L1839" t="s">
        <v>71</v>
      </c>
      <c r="M1839" t="s">
        <v>51</v>
      </c>
      <c r="N1839" t="b">
        <v>0</v>
      </c>
      <c r="O1839" t="s">
        <v>113</v>
      </c>
    </row>
    <row r="1840" spans="1:15" ht="15" customHeight="1">
      <c r="A1840" t="s">
        <v>349</v>
      </c>
      <c r="B1840" t="s">
        <v>2438</v>
      </c>
      <c r="C1840" t="s">
        <v>149</v>
      </c>
      <c r="D1840" t="s">
        <v>69</v>
      </c>
      <c r="E1840">
        <v>8</v>
      </c>
      <c r="F1840">
        <v>6.4</v>
      </c>
      <c r="G1840">
        <v>0.8</v>
      </c>
      <c r="H1840">
        <v>21</v>
      </c>
      <c r="I1840">
        <v>3000</v>
      </c>
      <c r="J1840">
        <v>1000</v>
      </c>
      <c r="K1840" t="s">
        <v>380</v>
      </c>
      <c r="L1840" t="s">
        <v>100</v>
      </c>
      <c r="M1840" t="s">
        <v>41</v>
      </c>
      <c r="N1840" t="b">
        <v>0</v>
      </c>
      <c r="O1840" t="s">
        <v>381</v>
      </c>
    </row>
    <row r="1841" spans="1:15" ht="15" customHeight="1">
      <c r="A1841" t="s">
        <v>762</v>
      </c>
      <c r="B1841" t="s">
        <v>2439</v>
      </c>
      <c r="C1841" t="s">
        <v>129</v>
      </c>
      <c r="D1841" t="s">
        <v>130</v>
      </c>
      <c r="E1841">
        <v>8</v>
      </c>
      <c r="F1841">
        <v>7.2</v>
      </c>
      <c r="G1841">
        <v>0.9</v>
      </c>
      <c r="H1841">
        <v>29</v>
      </c>
      <c r="I1841">
        <v>5000</v>
      </c>
      <c r="J1841">
        <v>1000</v>
      </c>
      <c r="K1841" t="s">
        <v>113</v>
      </c>
      <c r="L1841" t="s">
        <v>100</v>
      </c>
      <c r="M1841" t="s">
        <v>44</v>
      </c>
      <c r="N1841" t="b">
        <v>0</v>
      </c>
      <c r="O1841" t="s">
        <v>146</v>
      </c>
    </row>
    <row r="1842" spans="1:15" ht="15" customHeight="1">
      <c r="A1842" t="s">
        <v>731</v>
      </c>
      <c r="B1842" t="s">
        <v>2440</v>
      </c>
      <c r="C1842" t="s">
        <v>129</v>
      </c>
      <c r="D1842" t="s">
        <v>130</v>
      </c>
      <c r="E1842">
        <v>14</v>
      </c>
      <c r="F1842">
        <v>4.8</v>
      </c>
      <c r="G1842">
        <v>0.34</v>
      </c>
      <c r="H1842">
        <v>10</v>
      </c>
      <c r="I1842">
        <v>5000</v>
      </c>
      <c r="J1842">
        <v>1000</v>
      </c>
      <c r="K1842" t="s">
        <v>158</v>
      </c>
      <c r="L1842" t="s">
        <v>117</v>
      </c>
      <c r="M1842" t="s">
        <v>44</v>
      </c>
      <c r="N1842" t="b">
        <v>1</v>
      </c>
      <c r="O1842" t="s">
        <v>159</v>
      </c>
    </row>
    <row r="1843" spans="1:15" ht="15" customHeight="1">
      <c r="A1843" t="s">
        <v>738</v>
      </c>
      <c r="B1843" t="s">
        <v>2441</v>
      </c>
      <c r="C1843" t="s">
        <v>81</v>
      </c>
      <c r="D1843" t="s">
        <v>69</v>
      </c>
      <c r="E1843">
        <v>18</v>
      </c>
      <c r="F1843">
        <v>16.600000000000001</v>
      </c>
      <c r="G1843">
        <v>0.92</v>
      </c>
      <c r="H1843">
        <v>13</v>
      </c>
      <c r="I1843">
        <v>10000</v>
      </c>
      <c r="J1843">
        <v>3000</v>
      </c>
      <c r="K1843" t="s">
        <v>203</v>
      </c>
      <c r="L1843" t="s">
        <v>71</v>
      </c>
      <c r="M1843" t="s">
        <v>43</v>
      </c>
      <c r="N1843" t="b">
        <v>0</v>
      </c>
      <c r="O1843" t="s">
        <v>204</v>
      </c>
    </row>
    <row r="1844" spans="1:15" ht="15" customHeight="1">
      <c r="A1844" t="s">
        <v>742</v>
      </c>
      <c r="B1844" t="s">
        <v>2442</v>
      </c>
      <c r="C1844" t="s">
        <v>81</v>
      </c>
      <c r="D1844" t="s">
        <v>69</v>
      </c>
      <c r="E1844">
        <v>16</v>
      </c>
      <c r="F1844">
        <v>12.7</v>
      </c>
      <c r="G1844">
        <v>0.79</v>
      </c>
      <c r="H1844">
        <v>22</v>
      </c>
      <c r="I1844">
        <v>10000</v>
      </c>
      <c r="J1844">
        <v>3000</v>
      </c>
      <c r="K1844" t="s">
        <v>548</v>
      </c>
      <c r="L1844" t="s">
        <v>117</v>
      </c>
      <c r="M1844" t="s">
        <v>48</v>
      </c>
      <c r="N1844" t="b">
        <v>1</v>
      </c>
      <c r="O1844" t="s">
        <v>549</v>
      </c>
    </row>
    <row r="1845" spans="1:15" ht="15" customHeight="1">
      <c r="A1845" t="s">
        <v>239</v>
      </c>
      <c r="B1845" t="s">
        <v>2443</v>
      </c>
      <c r="C1845" t="s">
        <v>68</v>
      </c>
      <c r="D1845" t="s">
        <v>69</v>
      </c>
      <c r="E1845">
        <v>16</v>
      </c>
      <c r="F1845">
        <v>3.6</v>
      </c>
      <c r="G1845">
        <v>0.23</v>
      </c>
      <c r="H1845">
        <v>3</v>
      </c>
      <c r="I1845">
        <v>30000</v>
      </c>
      <c r="J1845">
        <v>5000</v>
      </c>
      <c r="K1845" t="s">
        <v>108</v>
      </c>
      <c r="L1845" t="s">
        <v>71</v>
      </c>
      <c r="M1845" t="s">
        <v>51</v>
      </c>
      <c r="N1845" t="b">
        <v>0</v>
      </c>
      <c r="O1845" t="s">
        <v>109</v>
      </c>
    </row>
    <row r="1846" spans="1:15" ht="15" customHeight="1">
      <c r="A1846" t="s">
        <v>441</v>
      </c>
      <c r="B1846" t="s">
        <v>2444</v>
      </c>
      <c r="C1846" t="s">
        <v>81</v>
      </c>
      <c r="D1846" t="s">
        <v>69</v>
      </c>
      <c r="E1846">
        <v>12</v>
      </c>
      <c r="F1846">
        <v>9.8000000000000007</v>
      </c>
      <c r="G1846">
        <v>0.82</v>
      </c>
      <c r="H1846">
        <v>6</v>
      </c>
      <c r="I1846">
        <v>10000</v>
      </c>
      <c r="J1846">
        <v>3000</v>
      </c>
      <c r="K1846" t="s">
        <v>162</v>
      </c>
      <c r="L1846" t="s">
        <v>77</v>
      </c>
      <c r="M1846" t="s">
        <v>43</v>
      </c>
      <c r="N1846" t="b">
        <v>0</v>
      </c>
      <c r="O1846" t="s">
        <v>198</v>
      </c>
    </row>
    <row r="1847" spans="1:15" ht="15" customHeight="1">
      <c r="A1847" t="s">
        <v>718</v>
      </c>
      <c r="B1847" t="s">
        <v>2445</v>
      </c>
      <c r="C1847" t="s">
        <v>129</v>
      </c>
      <c r="D1847" t="s">
        <v>130</v>
      </c>
      <c r="E1847">
        <v>8</v>
      </c>
      <c r="F1847">
        <v>4.9000000000000004</v>
      </c>
      <c r="G1847">
        <v>0.61</v>
      </c>
      <c r="H1847">
        <v>20</v>
      </c>
      <c r="I1847">
        <v>5000</v>
      </c>
      <c r="J1847">
        <v>1000</v>
      </c>
      <c r="K1847" t="s">
        <v>103</v>
      </c>
      <c r="L1847" t="s">
        <v>71</v>
      </c>
      <c r="M1847" t="s">
        <v>50</v>
      </c>
      <c r="N1847" t="b">
        <v>0</v>
      </c>
      <c r="O1847" t="s">
        <v>169</v>
      </c>
    </row>
    <row r="1848" spans="1:15" ht="15" customHeight="1">
      <c r="A1848" t="s">
        <v>513</v>
      </c>
      <c r="B1848" t="s">
        <v>2446</v>
      </c>
      <c r="C1848" t="s">
        <v>75</v>
      </c>
      <c r="D1848" t="s">
        <v>69</v>
      </c>
      <c r="E1848">
        <v>12</v>
      </c>
      <c r="F1848">
        <v>8.9</v>
      </c>
      <c r="G1848">
        <v>0.74</v>
      </c>
      <c r="H1848">
        <v>8</v>
      </c>
      <c r="I1848">
        <v>2000</v>
      </c>
      <c r="J1848">
        <v>1500</v>
      </c>
      <c r="K1848" t="s">
        <v>275</v>
      </c>
      <c r="L1848" t="s">
        <v>96</v>
      </c>
      <c r="M1848" t="s">
        <v>40</v>
      </c>
      <c r="N1848" t="b">
        <v>0</v>
      </c>
      <c r="O1848" t="s">
        <v>276</v>
      </c>
    </row>
    <row r="1849" spans="1:15" ht="15" customHeight="1">
      <c r="A1849" t="s">
        <v>542</v>
      </c>
      <c r="B1849" t="s">
        <v>2447</v>
      </c>
      <c r="C1849" t="s">
        <v>81</v>
      </c>
      <c r="D1849" t="s">
        <v>69</v>
      </c>
      <c r="E1849">
        <v>8</v>
      </c>
      <c r="F1849">
        <v>4.0999999999999996</v>
      </c>
      <c r="G1849">
        <v>0.51</v>
      </c>
      <c r="H1849">
        <v>25</v>
      </c>
      <c r="I1849">
        <v>10000</v>
      </c>
      <c r="J1849">
        <v>3000</v>
      </c>
      <c r="K1849" t="s">
        <v>138</v>
      </c>
      <c r="L1849" t="s">
        <v>77</v>
      </c>
      <c r="M1849" t="s">
        <v>44</v>
      </c>
      <c r="N1849" t="b">
        <v>0</v>
      </c>
      <c r="O1849" t="s">
        <v>139</v>
      </c>
    </row>
    <row r="1850" spans="1:15" ht="15" customHeight="1">
      <c r="A1850" t="s">
        <v>1455</v>
      </c>
      <c r="B1850" t="s">
        <v>2448</v>
      </c>
      <c r="C1850" t="s">
        <v>81</v>
      </c>
      <c r="D1850" t="s">
        <v>69</v>
      </c>
      <c r="E1850">
        <v>13</v>
      </c>
      <c r="F1850">
        <v>4.5999999999999996</v>
      </c>
      <c r="G1850">
        <v>0.35</v>
      </c>
      <c r="H1850">
        <v>21</v>
      </c>
      <c r="I1850">
        <v>10000</v>
      </c>
      <c r="J1850">
        <v>3000</v>
      </c>
      <c r="K1850" t="s">
        <v>279</v>
      </c>
      <c r="L1850" t="s">
        <v>117</v>
      </c>
      <c r="M1850" t="s">
        <v>46</v>
      </c>
      <c r="N1850" t="b">
        <v>1</v>
      </c>
      <c r="O1850" t="s">
        <v>280</v>
      </c>
    </row>
    <row r="1851" spans="1:15" ht="15" customHeight="1">
      <c r="A1851" t="s">
        <v>1151</v>
      </c>
      <c r="B1851" t="s">
        <v>2449</v>
      </c>
      <c r="C1851" t="s">
        <v>129</v>
      </c>
      <c r="D1851" t="s">
        <v>130</v>
      </c>
      <c r="E1851">
        <v>18</v>
      </c>
      <c r="F1851">
        <v>5.5</v>
      </c>
      <c r="G1851">
        <v>0.31</v>
      </c>
      <c r="H1851">
        <v>28</v>
      </c>
      <c r="I1851">
        <v>5000</v>
      </c>
      <c r="J1851">
        <v>1000</v>
      </c>
      <c r="K1851" t="s">
        <v>116</v>
      </c>
      <c r="L1851" t="s">
        <v>77</v>
      </c>
      <c r="M1851" t="s">
        <v>42</v>
      </c>
      <c r="N1851" t="b">
        <v>0</v>
      </c>
      <c r="O1851" t="s">
        <v>470</v>
      </c>
    </row>
    <row r="1852" spans="1:15" ht="15" customHeight="1">
      <c r="A1852" t="s">
        <v>497</v>
      </c>
      <c r="B1852" t="s">
        <v>2450</v>
      </c>
      <c r="C1852" t="s">
        <v>75</v>
      </c>
      <c r="D1852" t="s">
        <v>69</v>
      </c>
      <c r="E1852">
        <v>18</v>
      </c>
      <c r="F1852">
        <v>8.6999999999999993</v>
      </c>
      <c r="G1852">
        <v>0.48</v>
      </c>
      <c r="H1852">
        <v>17</v>
      </c>
      <c r="I1852">
        <v>2000</v>
      </c>
      <c r="J1852">
        <v>1500</v>
      </c>
      <c r="K1852" t="s">
        <v>862</v>
      </c>
      <c r="L1852" t="s">
        <v>104</v>
      </c>
      <c r="M1852" t="s">
        <v>44</v>
      </c>
      <c r="N1852" t="b">
        <v>0</v>
      </c>
      <c r="O1852" t="s">
        <v>863</v>
      </c>
    </row>
    <row r="1853" spans="1:15" ht="15" customHeight="1">
      <c r="A1853" t="s">
        <v>315</v>
      </c>
      <c r="B1853" t="s">
        <v>2451</v>
      </c>
      <c r="C1853" t="s">
        <v>129</v>
      </c>
      <c r="D1853" t="s">
        <v>130</v>
      </c>
      <c r="E1853">
        <v>8</v>
      </c>
      <c r="F1853">
        <v>4.5999999999999996</v>
      </c>
      <c r="G1853">
        <v>0.56999999999999995</v>
      </c>
      <c r="H1853">
        <v>7</v>
      </c>
      <c r="I1853">
        <v>5000</v>
      </c>
      <c r="J1853">
        <v>1000</v>
      </c>
      <c r="K1853" t="s">
        <v>1135</v>
      </c>
      <c r="L1853" t="s">
        <v>104</v>
      </c>
      <c r="M1853" t="s">
        <v>50</v>
      </c>
      <c r="N1853" t="b">
        <v>0</v>
      </c>
      <c r="O1853" t="s">
        <v>862</v>
      </c>
    </row>
    <row r="1854" spans="1:15" ht="15" customHeight="1">
      <c r="A1854" t="s">
        <v>311</v>
      </c>
      <c r="B1854" t="s">
        <v>2452</v>
      </c>
      <c r="C1854" t="s">
        <v>68</v>
      </c>
      <c r="D1854" t="s">
        <v>69</v>
      </c>
      <c r="E1854">
        <v>14</v>
      </c>
      <c r="F1854">
        <v>3.7</v>
      </c>
      <c r="G1854">
        <v>0.26</v>
      </c>
      <c r="H1854">
        <v>4</v>
      </c>
      <c r="I1854">
        <v>30000</v>
      </c>
      <c r="J1854">
        <v>5000</v>
      </c>
      <c r="K1854" t="s">
        <v>95</v>
      </c>
      <c r="L1854" t="s">
        <v>91</v>
      </c>
      <c r="M1854" t="s">
        <v>41</v>
      </c>
      <c r="N1854" t="b">
        <v>1</v>
      </c>
      <c r="O1854" t="s">
        <v>97</v>
      </c>
    </row>
    <row r="1855" spans="1:15" ht="15" customHeight="1">
      <c r="A1855" t="s">
        <v>1202</v>
      </c>
      <c r="B1855" t="s">
        <v>2453</v>
      </c>
      <c r="C1855" t="s">
        <v>149</v>
      </c>
      <c r="D1855" t="s">
        <v>69</v>
      </c>
      <c r="E1855">
        <v>10</v>
      </c>
      <c r="F1855">
        <v>6.5</v>
      </c>
      <c r="G1855">
        <v>0.65</v>
      </c>
      <c r="H1855">
        <v>32</v>
      </c>
      <c r="I1855">
        <v>3000</v>
      </c>
      <c r="J1855">
        <v>1000</v>
      </c>
      <c r="K1855" t="s">
        <v>576</v>
      </c>
      <c r="L1855" t="s">
        <v>100</v>
      </c>
      <c r="M1855" t="s">
        <v>45</v>
      </c>
      <c r="N1855" t="b">
        <v>0</v>
      </c>
      <c r="O1855" t="s">
        <v>336</v>
      </c>
    </row>
    <row r="1856" spans="1:15" ht="15" customHeight="1">
      <c r="A1856" t="s">
        <v>205</v>
      </c>
      <c r="B1856" t="s">
        <v>2454</v>
      </c>
      <c r="C1856" t="s">
        <v>68</v>
      </c>
      <c r="D1856" t="s">
        <v>69</v>
      </c>
      <c r="E1856">
        <v>14</v>
      </c>
      <c r="F1856">
        <v>3.2</v>
      </c>
      <c r="G1856">
        <v>0.23</v>
      </c>
      <c r="H1856">
        <v>2</v>
      </c>
      <c r="I1856">
        <v>30000</v>
      </c>
      <c r="J1856">
        <v>5000</v>
      </c>
      <c r="K1856" t="s">
        <v>162</v>
      </c>
      <c r="L1856" t="s">
        <v>100</v>
      </c>
      <c r="M1856" t="s">
        <v>48</v>
      </c>
      <c r="N1856" t="b">
        <v>0</v>
      </c>
      <c r="O1856" t="s">
        <v>163</v>
      </c>
    </row>
    <row r="1857" spans="1:15" ht="15" customHeight="1">
      <c r="A1857" t="s">
        <v>110</v>
      </c>
      <c r="B1857" t="s">
        <v>2455</v>
      </c>
      <c r="C1857" t="s">
        <v>149</v>
      </c>
      <c r="D1857" t="s">
        <v>69</v>
      </c>
      <c r="E1857">
        <v>12</v>
      </c>
      <c r="F1857">
        <v>11.3</v>
      </c>
      <c r="G1857">
        <v>0.94</v>
      </c>
      <c r="H1857">
        <v>29</v>
      </c>
      <c r="I1857">
        <v>3000</v>
      </c>
      <c r="J1857">
        <v>1000</v>
      </c>
      <c r="K1857" t="s">
        <v>303</v>
      </c>
      <c r="L1857" t="s">
        <v>100</v>
      </c>
      <c r="M1857" t="s">
        <v>43</v>
      </c>
      <c r="N1857" t="b">
        <v>0</v>
      </c>
      <c r="O1857" t="s">
        <v>323</v>
      </c>
    </row>
    <row r="1858" spans="1:15" ht="15" customHeight="1">
      <c r="A1858" t="s">
        <v>369</v>
      </c>
      <c r="B1858" t="s">
        <v>2456</v>
      </c>
      <c r="C1858" t="s">
        <v>81</v>
      </c>
      <c r="D1858" t="s">
        <v>69</v>
      </c>
      <c r="E1858">
        <v>12</v>
      </c>
      <c r="F1858">
        <v>9.4</v>
      </c>
      <c r="G1858">
        <v>0.78</v>
      </c>
      <c r="H1858">
        <v>27</v>
      </c>
      <c r="I1858">
        <v>10000</v>
      </c>
      <c r="J1858">
        <v>3000</v>
      </c>
      <c r="K1858" t="s">
        <v>125</v>
      </c>
      <c r="L1858" t="s">
        <v>77</v>
      </c>
      <c r="M1858" t="s">
        <v>46</v>
      </c>
      <c r="N1858" t="b">
        <v>0</v>
      </c>
      <c r="O1858" t="s">
        <v>126</v>
      </c>
    </row>
    <row r="1859" spans="1:15" ht="15" customHeight="1">
      <c r="A1859" t="s">
        <v>1553</v>
      </c>
      <c r="B1859" t="s">
        <v>2457</v>
      </c>
      <c r="C1859" t="s">
        <v>81</v>
      </c>
      <c r="D1859" t="s">
        <v>69</v>
      </c>
      <c r="E1859">
        <v>18</v>
      </c>
      <c r="F1859">
        <v>13.2</v>
      </c>
      <c r="G1859">
        <v>0.73</v>
      </c>
      <c r="H1859">
        <v>18</v>
      </c>
      <c r="I1859">
        <v>10000</v>
      </c>
      <c r="J1859">
        <v>3000</v>
      </c>
      <c r="K1859" t="s">
        <v>142</v>
      </c>
      <c r="L1859" t="s">
        <v>71</v>
      </c>
      <c r="M1859" t="s">
        <v>44</v>
      </c>
      <c r="N1859" t="b">
        <v>0</v>
      </c>
      <c r="O1859" t="s">
        <v>143</v>
      </c>
    </row>
    <row r="1860" spans="1:15" ht="15" customHeight="1">
      <c r="A1860" t="s">
        <v>371</v>
      </c>
      <c r="B1860" t="s">
        <v>2458</v>
      </c>
      <c r="C1860" t="s">
        <v>81</v>
      </c>
      <c r="D1860" t="s">
        <v>69</v>
      </c>
      <c r="E1860">
        <v>19</v>
      </c>
      <c r="F1860">
        <v>7.2</v>
      </c>
      <c r="G1860">
        <v>0.38</v>
      </c>
      <c r="H1860">
        <v>30</v>
      </c>
      <c r="I1860">
        <v>10000</v>
      </c>
      <c r="J1860">
        <v>3000</v>
      </c>
      <c r="K1860" t="s">
        <v>185</v>
      </c>
      <c r="L1860" t="s">
        <v>100</v>
      </c>
      <c r="M1860" t="s">
        <v>47</v>
      </c>
      <c r="N1860" t="b">
        <v>0</v>
      </c>
      <c r="O1860" t="s">
        <v>186</v>
      </c>
    </row>
    <row r="1861" spans="1:15" ht="15" customHeight="1">
      <c r="A1861" t="s">
        <v>834</v>
      </c>
      <c r="B1861" t="s">
        <v>2459</v>
      </c>
      <c r="C1861" t="s">
        <v>81</v>
      </c>
      <c r="D1861" t="s">
        <v>69</v>
      </c>
      <c r="E1861">
        <v>11</v>
      </c>
      <c r="F1861">
        <v>7.1</v>
      </c>
      <c r="G1861">
        <v>0.65</v>
      </c>
      <c r="H1861">
        <v>27</v>
      </c>
      <c r="I1861">
        <v>10000</v>
      </c>
      <c r="J1861">
        <v>3000</v>
      </c>
      <c r="K1861" t="s">
        <v>125</v>
      </c>
      <c r="L1861" t="s">
        <v>117</v>
      </c>
      <c r="M1861" t="s">
        <v>41</v>
      </c>
      <c r="N1861" t="b">
        <v>1</v>
      </c>
      <c r="O1861" t="s">
        <v>126</v>
      </c>
    </row>
    <row r="1862" spans="1:15" ht="15" customHeight="1">
      <c r="A1862" t="s">
        <v>736</v>
      </c>
      <c r="B1862" t="s">
        <v>2460</v>
      </c>
      <c r="C1862" t="s">
        <v>149</v>
      </c>
      <c r="D1862" t="s">
        <v>69</v>
      </c>
      <c r="E1862">
        <v>12</v>
      </c>
      <c r="F1862">
        <v>9.1</v>
      </c>
      <c r="G1862">
        <v>0.76</v>
      </c>
      <c r="H1862">
        <v>34</v>
      </c>
      <c r="I1862">
        <v>3000</v>
      </c>
      <c r="J1862">
        <v>1000</v>
      </c>
      <c r="K1862" t="s">
        <v>433</v>
      </c>
      <c r="L1862" t="s">
        <v>104</v>
      </c>
      <c r="M1862" t="s">
        <v>43</v>
      </c>
      <c r="N1862" t="b">
        <v>0</v>
      </c>
      <c r="O1862" t="s">
        <v>434</v>
      </c>
    </row>
    <row r="1863" spans="1:15" ht="15" customHeight="1">
      <c r="A1863" t="s">
        <v>981</v>
      </c>
      <c r="B1863" t="s">
        <v>2461</v>
      </c>
      <c r="C1863" t="s">
        <v>81</v>
      </c>
      <c r="D1863" t="s">
        <v>69</v>
      </c>
      <c r="E1863">
        <v>16</v>
      </c>
      <c r="F1863">
        <v>3.2</v>
      </c>
      <c r="G1863">
        <v>0.2</v>
      </c>
      <c r="H1863">
        <v>9</v>
      </c>
      <c r="I1863">
        <v>10000</v>
      </c>
      <c r="J1863">
        <v>3000</v>
      </c>
      <c r="K1863" t="s">
        <v>108</v>
      </c>
      <c r="L1863" t="s">
        <v>104</v>
      </c>
      <c r="M1863" t="s">
        <v>48</v>
      </c>
      <c r="N1863" t="b">
        <v>0</v>
      </c>
      <c r="O1863" t="s">
        <v>303</v>
      </c>
    </row>
    <row r="1864" spans="1:15" ht="15" customHeight="1">
      <c r="A1864" t="s">
        <v>644</v>
      </c>
      <c r="B1864" t="s">
        <v>2462</v>
      </c>
      <c r="C1864" t="s">
        <v>75</v>
      </c>
      <c r="D1864" t="s">
        <v>69</v>
      </c>
      <c r="E1864">
        <v>9</v>
      </c>
      <c r="F1864">
        <v>8.5</v>
      </c>
      <c r="G1864">
        <v>0.94</v>
      </c>
      <c r="H1864">
        <v>13</v>
      </c>
      <c r="I1864">
        <v>2000</v>
      </c>
      <c r="J1864">
        <v>1500</v>
      </c>
      <c r="K1864" t="s">
        <v>211</v>
      </c>
      <c r="L1864" t="s">
        <v>117</v>
      </c>
      <c r="M1864" t="s">
        <v>45</v>
      </c>
      <c r="N1864" t="b">
        <v>1</v>
      </c>
      <c r="O1864" t="s">
        <v>212</v>
      </c>
    </row>
    <row r="1865" spans="1:15" ht="15" customHeight="1">
      <c r="A1865" t="s">
        <v>1106</v>
      </c>
      <c r="B1865" t="s">
        <v>2463</v>
      </c>
      <c r="C1865" t="s">
        <v>129</v>
      </c>
      <c r="D1865" t="s">
        <v>130</v>
      </c>
      <c r="E1865">
        <v>10</v>
      </c>
      <c r="F1865">
        <v>6</v>
      </c>
      <c r="G1865">
        <v>0.6</v>
      </c>
      <c r="H1865">
        <v>24</v>
      </c>
      <c r="I1865">
        <v>5000</v>
      </c>
      <c r="J1865">
        <v>1000</v>
      </c>
      <c r="K1865" t="s">
        <v>95</v>
      </c>
      <c r="L1865" t="s">
        <v>71</v>
      </c>
      <c r="M1865" t="s">
        <v>47</v>
      </c>
      <c r="N1865" t="b">
        <v>0</v>
      </c>
      <c r="O1865" t="s">
        <v>217</v>
      </c>
    </row>
    <row r="1866" spans="1:15" ht="15" customHeight="1">
      <c r="A1866" t="s">
        <v>497</v>
      </c>
      <c r="B1866" t="s">
        <v>2464</v>
      </c>
      <c r="C1866" t="s">
        <v>149</v>
      </c>
      <c r="D1866" t="s">
        <v>69</v>
      </c>
      <c r="E1866">
        <v>9</v>
      </c>
      <c r="F1866">
        <v>6.8</v>
      </c>
      <c r="G1866">
        <v>0.76</v>
      </c>
      <c r="H1866">
        <v>22</v>
      </c>
      <c r="I1866">
        <v>3000</v>
      </c>
      <c r="J1866">
        <v>1000</v>
      </c>
      <c r="K1866" t="s">
        <v>556</v>
      </c>
      <c r="L1866" t="s">
        <v>104</v>
      </c>
      <c r="M1866" t="s">
        <v>44</v>
      </c>
      <c r="N1866" t="b">
        <v>0</v>
      </c>
      <c r="O1866" t="s">
        <v>313</v>
      </c>
    </row>
    <row r="1867" spans="1:15" ht="15" customHeight="1">
      <c r="A1867" t="s">
        <v>507</v>
      </c>
      <c r="B1867" t="s">
        <v>2465</v>
      </c>
      <c r="C1867" t="s">
        <v>75</v>
      </c>
      <c r="D1867" t="s">
        <v>69</v>
      </c>
      <c r="E1867">
        <v>14</v>
      </c>
      <c r="F1867">
        <v>13.2</v>
      </c>
      <c r="G1867">
        <v>0.94</v>
      </c>
      <c r="H1867">
        <v>25</v>
      </c>
      <c r="I1867">
        <v>2000</v>
      </c>
      <c r="J1867">
        <v>1500</v>
      </c>
      <c r="K1867" t="s">
        <v>158</v>
      </c>
      <c r="L1867" t="s">
        <v>104</v>
      </c>
      <c r="M1867" t="s">
        <v>40</v>
      </c>
      <c r="N1867" t="b">
        <v>0</v>
      </c>
      <c r="O1867" t="s">
        <v>400</v>
      </c>
    </row>
    <row r="1868" spans="1:15" ht="15" customHeight="1">
      <c r="A1868" t="s">
        <v>746</v>
      </c>
      <c r="B1868" t="s">
        <v>2466</v>
      </c>
      <c r="C1868" t="s">
        <v>68</v>
      </c>
      <c r="D1868" t="s">
        <v>69</v>
      </c>
      <c r="E1868">
        <v>16</v>
      </c>
      <c r="F1868">
        <v>1.5</v>
      </c>
      <c r="G1868">
        <v>0.09</v>
      </c>
      <c r="H1868">
        <v>3</v>
      </c>
      <c r="I1868">
        <v>30000</v>
      </c>
      <c r="J1868">
        <v>5000</v>
      </c>
      <c r="K1868" t="s">
        <v>108</v>
      </c>
      <c r="L1868" t="s">
        <v>71</v>
      </c>
      <c r="M1868" t="s">
        <v>50</v>
      </c>
      <c r="N1868" t="b">
        <v>0</v>
      </c>
      <c r="O1868" t="s">
        <v>109</v>
      </c>
    </row>
    <row r="1869" spans="1:15" ht="15" customHeight="1">
      <c r="A1869" t="s">
        <v>481</v>
      </c>
      <c r="B1869" t="s">
        <v>2467</v>
      </c>
      <c r="C1869" t="s">
        <v>149</v>
      </c>
      <c r="D1869" t="s">
        <v>69</v>
      </c>
      <c r="E1869">
        <v>11</v>
      </c>
      <c r="F1869">
        <v>7.2</v>
      </c>
      <c r="G1869">
        <v>0.65</v>
      </c>
      <c r="H1869">
        <v>35</v>
      </c>
      <c r="I1869">
        <v>3000</v>
      </c>
      <c r="J1869">
        <v>1000</v>
      </c>
      <c r="K1869" t="s">
        <v>131</v>
      </c>
      <c r="L1869" t="s">
        <v>104</v>
      </c>
      <c r="M1869" t="s">
        <v>41</v>
      </c>
      <c r="N1869" t="b">
        <v>0</v>
      </c>
      <c r="O1869" t="s">
        <v>132</v>
      </c>
    </row>
    <row r="1870" spans="1:15" ht="15" customHeight="1">
      <c r="A1870" t="s">
        <v>756</v>
      </c>
      <c r="B1870" t="s">
        <v>2468</v>
      </c>
      <c r="C1870" t="s">
        <v>68</v>
      </c>
      <c r="D1870" t="s">
        <v>69</v>
      </c>
      <c r="E1870">
        <v>14</v>
      </c>
      <c r="F1870">
        <v>0.6</v>
      </c>
      <c r="G1870">
        <v>0.04</v>
      </c>
      <c r="H1870">
        <v>5</v>
      </c>
      <c r="I1870">
        <v>30000</v>
      </c>
      <c r="J1870">
        <v>5000</v>
      </c>
      <c r="K1870" t="s">
        <v>112</v>
      </c>
      <c r="L1870" t="s">
        <v>117</v>
      </c>
      <c r="M1870" t="s">
        <v>41</v>
      </c>
      <c r="N1870" t="b">
        <v>1</v>
      </c>
      <c r="O1870" t="s">
        <v>113</v>
      </c>
    </row>
    <row r="1871" spans="1:15" ht="15" customHeight="1">
      <c r="A1871" t="s">
        <v>319</v>
      </c>
      <c r="B1871" t="s">
        <v>2469</v>
      </c>
      <c r="C1871" t="s">
        <v>81</v>
      </c>
      <c r="D1871" t="s">
        <v>69</v>
      </c>
      <c r="E1871">
        <v>15</v>
      </c>
      <c r="F1871">
        <v>4.5</v>
      </c>
      <c r="G1871">
        <v>0.3</v>
      </c>
      <c r="H1871">
        <v>27</v>
      </c>
      <c r="I1871">
        <v>10000</v>
      </c>
      <c r="J1871">
        <v>3000</v>
      </c>
      <c r="K1871" t="s">
        <v>125</v>
      </c>
      <c r="L1871" t="s">
        <v>96</v>
      </c>
      <c r="M1871" t="s">
        <v>51</v>
      </c>
      <c r="N1871" t="b">
        <v>0</v>
      </c>
      <c r="O1871" t="s">
        <v>126</v>
      </c>
    </row>
    <row r="1872" spans="1:15" ht="15" customHeight="1">
      <c r="A1872" t="s">
        <v>1151</v>
      </c>
      <c r="B1872" t="s">
        <v>2470</v>
      </c>
      <c r="C1872" t="s">
        <v>81</v>
      </c>
      <c r="D1872" t="s">
        <v>69</v>
      </c>
      <c r="E1872">
        <v>18</v>
      </c>
      <c r="F1872">
        <v>15.6</v>
      </c>
      <c r="G1872">
        <v>0.87</v>
      </c>
      <c r="H1872">
        <v>14</v>
      </c>
      <c r="I1872">
        <v>10000</v>
      </c>
      <c r="J1872">
        <v>3000</v>
      </c>
      <c r="K1872" t="s">
        <v>116</v>
      </c>
      <c r="L1872" t="s">
        <v>77</v>
      </c>
      <c r="M1872" t="s">
        <v>42</v>
      </c>
      <c r="N1872" t="b">
        <v>0</v>
      </c>
      <c r="O1872" t="s">
        <v>118</v>
      </c>
    </row>
    <row r="1873" spans="1:15" ht="15" customHeight="1">
      <c r="A1873" t="s">
        <v>670</v>
      </c>
      <c r="B1873" t="s">
        <v>2471</v>
      </c>
      <c r="C1873" t="s">
        <v>129</v>
      </c>
      <c r="D1873" t="s">
        <v>130</v>
      </c>
      <c r="E1873">
        <v>8</v>
      </c>
      <c r="F1873">
        <v>5</v>
      </c>
      <c r="G1873">
        <v>0.62</v>
      </c>
      <c r="H1873">
        <v>27</v>
      </c>
      <c r="I1873">
        <v>5000</v>
      </c>
      <c r="J1873">
        <v>1000</v>
      </c>
      <c r="K1873" t="s">
        <v>172</v>
      </c>
      <c r="L1873" t="s">
        <v>91</v>
      </c>
      <c r="M1873" t="s">
        <v>42</v>
      </c>
      <c r="N1873" t="b">
        <v>1</v>
      </c>
      <c r="O1873" t="s">
        <v>173</v>
      </c>
    </row>
    <row r="1874" spans="1:15" ht="15" customHeight="1">
      <c r="A1874" t="s">
        <v>834</v>
      </c>
      <c r="B1874" t="s">
        <v>2472</v>
      </c>
      <c r="C1874" t="s">
        <v>68</v>
      </c>
      <c r="D1874" t="s">
        <v>69</v>
      </c>
      <c r="E1874">
        <v>16</v>
      </c>
      <c r="F1874">
        <v>3</v>
      </c>
      <c r="G1874">
        <v>0.19</v>
      </c>
      <c r="H1874">
        <v>3</v>
      </c>
      <c r="I1874">
        <v>30000</v>
      </c>
      <c r="J1874">
        <v>5000</v>
      </c>
      <c r="K1874" t="s">
        <v>108</v>
      </c>
      <c r="L1874" t="s">
        <v>117</v>
      </c>
      <c r="M1874" t="s">
        <v>41</v>
      </c>
      <c r="N1874" t="b">
        <v>1</v>
      </c>
      <c r="O1874" t="s">
        <v>109</v>
      </c>
    </row>
    <row r="1875" spans="1:15" ht="15" customHeight="1">
      <c r="A1875" t="s">
        <v>414</v>
      </c>
      <c r="B1875" t="s">
        <v>2473</v>
      </c>
      <c r="C1875" t="s">
        <v>149</v>
      </c>
      <c r="D1875" t="s">
        <v>69</v>
      </c>
      <c r="E1875">
        <v>11</v>
      </c>
      <c r="F1875">
        <v>9.4</v>
      </c>
      <c r="G1875">
        <v>0.85</v>
      </c>
      <c r="H1875">
        <v>25</v>
      </c>
      <c r="I1875">
        <v>3000</v>
      </c>
      <c r="J1875">
        <v>1000</v>
      </c>
      <c r="K1875" t="s">
        <v>479</v>
      </c>
      <c r="L1875" t="s">
        <v>117</v>
      </c>
      <c r="M1875" t="s">
        <v>46</v>
      </c>
      <c r="N1875" t="b">
        <v>1</v>
      </c>
      <c r="O1875" t="s">
        <v>480</v>
      </c>
    </row>
    <row r="1876" spans="1:15" ht="15" customHeight="1">
      <c r="A1876" t="s">
        <v>875</v>
      </c>
      <c r="B1876" t="s">
        <v>2474</v>
      </c>
      <c r="C1876" t="s">
        <v>75</v>
      </c>
      <c r="D1876" t="s">
        <v>69</v>
      </c>
      <c r="E1876">
        <v>17</v>
      </c>
      <c r="F1876">
        <v>8.3000000000000007</v>
      </c>
      <c r="G1876">
        <v>0.49</v>
      </c>
      <c r="H1876">
        <v>26</v>
      </c>
      <c r="I1876">
        <v>2000</v>
      </c>
      <c r="J1876">
        <v>1500</v>
      </c>
      <c r="K1876" t="s">
        <v>298</v>
      </c>
      <c r="L1876" t="s">
        <v>96</v>
      </c>
      <c r="M1876" t="s">
        <v>47</v>
      </c>
      <c r="N1876" t="b">
        <v>0</v>
      </c>
      <c r="O1876" t="s">
        <v>299</v>
      </c>
    </row>
    <row r="1877" spans="1:15" ht="15" customHeight="1">
      <c r="A1877" t="s">
        <v>311</v>
      </c>
      <c r="B1877" t="s">
        <v>2475</v>
      </c>
      <c r="C1877" t="s">
        <v>81</v>
      </c>
      <c r="D1877" t="s">
        <v>69</v>
      </c>
      <c r="E1877">
        <v>10</v>
      </c>
      <c r="F1877">
        <v>5.6</v>
      </c>
      <c r="G1877">
        <v>0.56000000000000005</v>
      </c>
      <c r="H1877">
        <v>17</v>
      </c>
      <c r="I1877">
        <v>10000</v>
      </c>
      <c r="J1877">
        <v>3000</v>
      </c>
      <c r="K1877" t="s">
        <v>389</v>
      </c>
      <c r="L1877" t="s">
        <v>91</v>
      </c>
      <c r="M1877" t="s">
        <v>41</v>
      </c>
      <c r="N1877" t="b">
        <v>1</v>
      </c>
      <c r="O1877" t="s">
        <v>390</v>
      </c>
    </row>
    <row r="1878" spans="1:15" ht="15" customHeight="1">
      <c r="A1878" t="s">
        <v>1544</v>
      </c>
      <c r="B1878" t="s">
        <v>2476</v>
      </c>
      <c r="C1878" t="s">
        <v>129</v>
      </c>
      <c r="D1878" t="s">
        <v>130</v>
      </c>
      <c r="E1878">
        <v>17</v>
      </c>
      <c r="F1878">
        <v>10.9</v>
      </c>
      <c r="G1878">
        <v>0.64</v>
      </c>
      <c r="H1878">
        <v>23</v>
      </c>
      <c r="I1878">
        <v>5000</v>
      </c>
      <c r="J1878">
        <v>1000</v>
      </c>
      <c r="K1878" t="s">
        <v>97</v>
      </c>
      <c r="L1878" t="s">
        <v>100</v>
      </c>
      <c r="M1878" t="s">
        <v>42</v>
      </c>
      <c r="N1878" t="b">
        <v>0</v>
      </c>
      <c r="O1878" t="s">
        <v>220</v>
      </c>
    </row>
    <row r="1879" spans="1:15" ht="15" customHeight="1">
      <c r="A1879" t="s">
        <v>674</v>
      </c>
      <c r="B1879" t="s">
        <v>2477</v>
      </c>
      <c r="C1879" t="s">
        <v>149</v>
      </c>
      <c r="D1879" t="s">
        <v>69</v>
      </c>
      <c r="E1879">
        <v>11</v>
      </c>
      <c r="F1879">
        <v>8.3000000000000007</v>
      </c>
      <c r="G1879">
        <v>0.75</v>
      </c>
      <c r="H1879">
        <v>18</v>
      </c>
      <c r="I1879">
        <v>3000</v>
      </c>
      <c r="J1879">
        <v>1000</v>
      </c>
      <c r="K1879" t="s">
        <v>150</v>
      </c>
      <c r="L1879" t="s">
        <v>100</v>
      </c>
      <c r="M1879" t="s">
        <v>40</v>
      </c>
      <c r="N1879" t="b">
        <v>0</v>
      </c>
      <c r="O1879" t="s">
        <v>151</v>
      </c>
    </row>
    <row r="1880" spans="1:15" ht="15" customHeight="1">
      <c r="A1880" t="s">
        <v>445</v>
      </c>
      <c r="B1880" t="s">
        <v>2478</v>
      </c>
      <c r="C1880" t="s">
        <v>129</v>
      </c>
      <c r="D1880" t="s">
        <v>130</v>
      </c>
      <c r="E1880">
        <v>10</v>
      </c>
      <c r="F1880">
        <v>4.5</v>
      </c>
      <c r="G1880">
        <v>0.45</v>
      </c>
      <c r="H1880">
        <v>25</v>
      </c>
      <c r="I1880">
        <v>5000</v>
      </c>
      <c r="J1880">
        <v>1000</v>
      </c>
      <c r="K1880" t="s">
        <v>245</v>
      </c>
      <c r="L1880" t="s">
        <v>117</v>
      </c>
      <c r="M1880" t="s">
        <v>45</v>
      </c>
      <c r="N1880" t="b">
        <v>1</v>
      </c>
      <c r="O1880" t="s">
        <v>246</v>
      </c>
    </row>
    <row r="1881" spans="1:15" ht="15" customHeight="1">
      <c r="A1881" t="s">
        <v>809</v>
      </c>
      <c r="B1881" t="s">
        <v>2479</v>
      </c>
      <c r="C1881" t="s">
        <v>129</v>
      </c>
      <c r="D1881" t="s">
        <v>130</v>
      </c>
      <c r="E1881">
        <v>19</v>
      </c>
      <c r="F1881">
        <v>6.6</v>
      </c>
      <c r="G1881">
        <v>0.35</v>
      </c>
      <c r="H1881">
        <v>6</v>
      </c>
      <c r="I1881">
        <v>5000</v>
      </c>
      <c r="J1881">
        <v>1000</v>
      </c>
      <c r="K1881" t="s">
        <v>70</v>
      </c>
      <c r="L1881" t="s">
        <v>104</v>
      </c>
      <c r="M1881" t="s">
        <v>45</v>
      </c>
      <c r="N1881" t="b">
        <v>0</v>
      </c>
      <c r="O1881" t="s">
        <v>331</v>
      </c>
    </row>
    <row r="1882" spans="1:15" ht="15" customHeight="1">
      <c r="A1882" t="s">
        <v>441</v>
      </c>
      <c r="B1882" t="s">
        <v>2480</v>
      </c>
      <c r="C1882" t="s">
        <v>75</v>
      </c>
      <c r="D1882" t="s">
        <v>69</v>
      </c>
      <c r="E1882">
        <v>13</v>
      </c>
      <c r="F1882">
        <v>11.7</v>
      </c>
      <c r="G1882">
        <v>0.9</v>
      </c>
      <c r="H1882">
        <v>13</v>
      </c>
      <c r="I1882">
        <v>2000</v>
      </c>
      <c r="J1882">
        <v>1500</v>
      </c>
      <c r="K1882" t="s">
        <v>211</v>
      </c>
      <c r="L1882" t="s">
        <v>77</v>
      </c>
      <c r="M1882" t="s">
        <v>43</v>
      </c>
      <c r="N1882" t="b">
        <v>0</v>
      </c>
      <c r="O1882" t="s">
        <v>212</v>
      </c>
    </row>
    <row r="1883" spans="1:15" ht="15" customHeight="1">
      <c r="A1883" t="s">
        <v>247</v>
      </c>
      <c r="B1883" t="s">
        <v>2481</v>
      </c>
      <c r="C1883" t="s">
        <v>81</v>
      </c>
      <c r="D1883" t="s">
        <v>69</v>
      </c>
      <c r="E1883">
        <v>16</v>
      </c>
      <c r="F1883">
        <v>6.3</v>
      </c>
      <c r="G1883">
        <v>0.39</v>
      </c>
      <c r="H1883">
        <v>13</v>
      </c>
      <c r="I1883">
        <v>10000</v>
      </c>
      <c r="J1883">
        <v>3000</v>
      </c>
      <c r="K1883" t="s">
        <v>203</v>
      </c>
      <c r="L1883" t="s">
        <v>100</v>
      </c>
      <c r="M1883" t="s">
        <v>45</v>
      </c>
      <c r="N1883" t="b">
        <v>0</v>
      </c>
      <c r="O1883" t="s">
        <v>204</v>
      </c>
    </row>
    <row r="1884" spans="1:15" ht="15" customHeight="1">
      <c r="A1884" t="s">
        <v>2132</v>
      </c>
      <c r="B1884" t="s">
        <v>2482</v>
      </c>
      <c r="C1884" t="s">
        <v>81</v>
      </c>
      <c r="D1884" t="s">
        <v>69</v>
      </c>
      <c r="E1884">
        <v>17</v>
      </c>
      <c r="F1884">
        <v>5.8</v>
      </c>
      <c r="G1884">
        <v>0.34</v>
      </c>
      <c r="H1884">
        <v>26</v>
      </c>
      <c r="I1884">
        <v>10000</v>
      </c>
      <c r="J1884">
        <v>3000</v>
      </c>
      <c r="K1884" t="s">
        <v>525</v>
      </c>
      <c r="L1884" t="s">
        <v>100</v>
      </c>
      <c r="M1884" t="s">
        <v>46</v>
      </c>
      <c r="N1884" t="b">
        <v>0</v>
      </c>
      <c r="O1884" t="s">
        <v>526</v>
      </c>
    </row>
    <row r="1885" spans="1:15" ht="15" customHeight="1">
      <c r="A1885" t="s">
        <v>851</v>
      </c>
      <c r="B1885" t="s">
        <v>2483</v>
      </c>
      <c r="C1885" t="s">
        <v>75</v>
      </c>
      <c r="D1885" t="s">
        <v>69</v>
      </c>
      <c r="E1885">
        <v>20</v>
      </c>
      <c r="F1885">
        <v>6.1</v>
      </c>
      <c r="G1885">
        <v>0.3</v>
      </c>
      <c r="H1885">
        <v>20</v>
      </c>
      <c r="I1885">
        <v>2000</v>
      </c>
      <c r="J1885">
        <v>1500</v>
      </c>
      <c r="K1885" t="s">
        <v>76</v>
      </c>
      <c r="L1885" t="s">
        <v>104</v>
      </c>
      <c r="M1885" t="s">
        <v>45</v>
      </c>
      <c r="N1885" t="b">
        <v>0</v>
      </c>
      <c r="O1885" t="s">
        <v>78</v>
      </c>
    </row>
    <row r="1886" spans="1:15" ht="15" customHeight="1">
      <c r="A1886" t="s">
        <v>445</v>
      </c>
      <c r="B1886" t="s">
        <v>2484</v>
      </c>
      <c r="C1886" t="s">
        <v>81</v>
      </c>
      <c r="D1886" t="s">
        <v>69</v>
      </c>
      <c r="E1886">
        <v>20</v>
      </c>
      <c r="F1886">
        <v>13.6</v>
      </c>
      <c r="G1886">
        <v>0.68</v>
      </c>
      <c r="H1886">
        <v>22</v>
      </c>
      <c r="I1886">
        <v>10000</v>
      </c>
      <c r="J1886">
        <v>3000</v>
      </c>
      <c r="K1886" t="s">
        <v>548</v>
      </c>
      <c r="L1886" t="s">
        <v>117</v>
      </c>
      <c r="M1886" t="s">
        <v>45</v>
      </c>
      <c r="N1886" t="b">
        <v>1</v>
      </c>
      <c r="O1886" t="s">
        <v>549</v>
      </c>
    </row>
    <row r="1887" spans="1:15" ht="15" customHeight="1">
      <c r="A1887" t="s">
        <v>554</v>
      </c>
      <c r="B1887" t="s">
        <v>2485</v>
      </c>
      <c r="C1887" t="s">
        <v>75</v>
      </c>
      <c r="D1887" t="s">
        <v>69</v>
      </c>
      <c r="E1887">
        <v>14</v>
      </c>
      <c r="F1887">
        <v>4.9000000000000004</v>
      </c>
      <c r="G1887">
        <v>0.35</v>
      </c>
      <c r="H1887">
        <v>21</v>
      </c>
      <c r="I1887">
        <v>2000</v>
      </c>
      <c r="J1887">
        <v>1500</v>
      </c>
      <c r="K1887" t="s">
        <v>365</v>
      </c>
      <c r="L1887" t="s">
        <v>71</v>
      </c>
      <c r="M1887" t="s">
        <v>40</v>
      </c>
      <c r="N1887" t="b">
        <v>0</v>
      </c>
      <c r="O1887" t="s">
        <v>366</v>
      </c>
    </row>
    <row r="1888" spans="1:15" ht="15" customHeight="1">
      <c r="A1888" t="s">
        <v>378</v>
      </c>
      <c r="B1888" t="s">
        <v>2486</v>
      </c>
      <c r="C1888" t="s">
        <v>129</v>
      </c>
      <c r="D1888" t="s">
        <v>130</v>
      </c>
      <c r="E1888">
        <v>12</v>
      </c>
      <c r="F1888">
        <v>11.5</v>
      </c>
      <c r="G1888">
        <v>0.96</v>
      </c>
      <c r="H1888">
        <v>16</v>
      </c>
      <c r="I1888">
        <v>5000</v>
      </c>
      <c r="J1888">
        <v>1000</v>
      </c>
      <c r="K1888" t="s">
        <v>357</v>
      </c>
      <c r="L1888" t="s">
        <v>71</v>
      </c>
      <c r="M1888" t="s">
        <v>42</v>
      </c>
      <c r="N1888" t="b">
        <v>0</v>
      </c>
      <c r="O1888" t="s">
        <v>456</v>
      </c>
    </row>
    <row r="1889" spans="1:15" ht="15" customHeight="1">
      <c r="A1889" t="s">
        <v>538</v>
      </c>
      <c r="B1889" t="s">
        <v>2487</v>
      </c>
      <c r="C1889" t="s">
        <v>129</v>
      </c>
      <c r="D1889" t="s">
        <v>130</v>
      </c>
      <c r="E1889">
        <v>12</v>
      </c>
      <c r="F1889">
        <v>5.9</v>
      </c>
      <c r="G1889">
        <v>0.49</v>
      </c>
      <c r="H1889">
        <v>24</v>
      </c>
      <c r="I1889">
        <v>5000</v>
      </c>
      <c r="J1889">
        <v>1000</v>
      </c>
      <c r="K1889" t="s">
        <v>95</v>
      </c>
      <c r="L1889" t="s">
        <v>96</v>
      </c>
      <c r="M1889" t="s">
        <v>50</v>
      </c>
      <c r="N1889" t="b">
        <v>0</v>
      </c>
      <c r="O1889" t="s">
        <v>217</v>
      </c>
    </row>
    <row r="1890" spans="1:15" ht="15" customHeight="1">
      <c r="A1890" t="s">
        <v>1074</v>
      </c>
      <c r="B1890" t="s">
        <v>2488</v>
      </c>
      <c r="C1890" t="s">
        <v>149</v>
      </c>
      <c r="D1890" t="s">
        <v>69</v>
      </c>
      <c r="E1890">
        <v>10</v>
      </c>
      <c r="F1890">
        <v>9.8000000000000007</v>
      </c>
      <c r="G1890">
        <v>0.98</v>
      </c>
      <c r="H1890">
        <v>24</v>
      </c>
      <c r="I1890">
        <v>3000</v>
      </c>
      <c r="J1890">
        <v>1000</v>
      </c>
      <c r="K1890" t="s">
        <v>490</v>
      </c>
      <c r="L1890" t="s">
        <v>71</v>
      </c>
      <c r="M1890" t="s">
        <v>42</v>
      </c>
      <c r="N1890" t="b">
        <v>0</v>
      </c>
      <c r="O1890" t="s">
        <v>491</v>
      </c>
    </row>
    <row r="1891" spans="1:15" ht="15" customHeight="1">
      <c r="A1891" t="s">
        <v>656</v>
      </c>
      <c r="B1891" t="s">
        <v>2489</v>
      </c>
      <c r="C1891" t="s">
        <v>149</v>
      </c>
      <c r="D1891" t="s">
        <v>69</v>
      </c>
      <c r="E1891">
        <v>12</v>
      </c>
      <c r="F1891">
        <v>6.3</v>
      </c>
      <c r="G1891">
        <v>0.53</v>
      </c>
      <c r="H1891">
        <v>39</v>
      </c>
      <c r="I1891">
        <v>3000</v>
      </c>
      <c r="J1891">
        <v>1000</v>
      </c>
      <c r="K1891" t="s">
        <v>257</v>
      </c>
      <c r="L1891" t="s">
        <v>96</v>
      </c>
      <c r="M1891" t="s">
        <v>41</v>
      </c>
      <c r="N1891" t="b">
        <v>0</v>
      </c>
      <c r="O1891" t="s">
        <v>258</v>
      </c>
    </row>
    <row r="1892" spans="1:15" ht="15" customHeight="1">
      <c r="A1892" t="s">
        <v>315</v>
      </c>
      <c r="B1892" t="s">
        <v>2490</v>
      </c>
      <c r="C1892" t="s">
        <v>75</v>
      </c>
      <c r="D1892" t="s">
        <v>69</v>
      </c>
      <c r="E1892">
        <v>9</v>
      </c>
      <c r="F1892">
        <v>8.5</v>
      </c>
      <c r="G1892">
        <v>0.94</v>
      </c>
      <c r="H1892">
        <v>29</v>
      </c>
      <c r="I1892">
        <v>2000</v>
      </c>
      <c r="J1892">
        <v>1500</v>
      </c>
      <c r="K1892" t="s">
        <v>519</v>
      </c>
      <c r="L1892" t="s">
        <v>104</v>
      </c>
      <c r="M1892" t="s">
        <v>50</v>
      </c>
      <c r="N1892" t="b">
        <v>0</v>
      </c>
      <c r="O1892" t="s">
        <v>520</v>
      </c>
    </row>
    <row r="1893" spans="1:15" ht="15" customHeight="1">
      <c r="A1893" t="s">
        <v>767</v>
      </c>
      <c r="B1893" t="s">
        <v>2491</v>
      </c>
      <c r="C1893" t="s">
        <v>68</v>
      </c>
      <c r="D1893" t="s">
        <v>69</v>
      </c>
      <c r="E1893">
        <v>11</v>
      </c>
      <c r="F1893">
        <v>0.7</v>
      </c>
      <c r="G1893">
        <v>0.06</v>
      </c>
      <c r="H1893">
        <v>4</v>
      </c>
      <c r="I1893">
        <v>30000</v>
      </c>
      <c r="J1893">
        <v>5000</v>
      </c>
      <c r="K1893" t="s">
        <v>95</v>
      </c>
      <c r="L1893" t="s">
        <v>104</v>
      </c>
      <c r="M1893" t="s">
        <v>48</v>
      </c>
      <c r="N1893" t="b">
        <v>0</v>
      </c>
      <c r="O1893" t="s">
        <v>97</v>
      </c>
    </row>
    <row r="1894" spans="1:15" ht="15" customHeight="1">
      <c r="A1894" t="s">
        <v>412</v>
      </c>
      <c r="B1894" t="s">
        <v>2492</v>
      </c>
      <c r="C1894" t="s">
        <v>75</v>
      </c>
      <c r="D1894" t="s">
        <v>69</v>
      </c>
      <c r="E1894">
        <v>14</v>
      </c>
      <c r="F1894">
        <v>8.5</v>
      </c>
      <c r="G1894">
        <v>0.61</v>
      </c>
      <c r="H1894">
        <v>30</v>
      </c>
      <c r="I1894">
        <v>2000</v>
      </c>
      <c r="J1894">
        <v>1500</v>
      </c>
      <c r="K1894" t="s">
        <v>162</v>
      </c>
      <c r="L1894" t="s">
        <v>96</v>
      </c>
      <c r="M1894" t="s">
        <v>51</v>
      </c>
      <c r="N1894" t="b">
        <v>0</v>
      </c>
      <c r="O1894" t="s">
        <v>510</v>
      </c>
    </row>
    <row r="1895" spans="1:15" ht="15" customHeight="1">
      <c r="A1895" t="s">
        <v>140</v>
      </c>
      <c r="B1895" t="s">
        <v>2493</v>
      </c>
      <c r="C1895" t="s">
        <v>75</v>
      </c>
      <c r="D1895" t="s">
        <v>69</v>
      </c>
      <c r="E1895">
        <v>19</v>
      </c>
      <c r="F1895">
        <v>7.4</v>
      </c>
      <c r="G1895">
        <v>0.39</v>
      </c>
      <c r="H1895">
        <v>15</v>
      </c>
      <c r="I1895">
        <v>2000</v>
      </c>
      <c r="J1895">
        <v>1500</v>
      </c>
      <c r="K1895" t="s">
        <v>70</v>
      </c>
      <c r="L1895" t="s">
        <v>96</v>
      </c>
      <c r="M1895" t="s">
        <v>50</v>
      </c>
      <c r="N1895" t="b">
        <v>0</v>
      </c>
      <c r="O1895" t="s">
        <v>598</v>
      </c>
    </row>
    <row r="1896" spans="1:15" ht="15" customHeight="1">
      <c r="A1896" t="s">
        <v>804</v>
      </c>
      <c r="B1896" t="s">
        <v>2494</v>
      </c>
      <c r="C1896" t="s">
        <v>149</v>
      </c>
      <c r="D1896" t="s">
        <v>69</v>
      </c>
      <c r="E1896">
        <v>12</v>
      </c>
      <c r="F1896">
        <v>9</v>
      </c>
      <c r="G1896">
        <v>0.75</v>
      </c>
      <c r="H1896">
        <v>33</v>
      </c>
      <c r="I1896">
        <v>3000</v>
      </c>
      <c r="J1896">
        <v>1000</v>
      </c>
      <c r="K1896" t="s">
        <v>169</v>
      </c>
      <c r="L1896" t="s">
        <v>104</v>
      </c>
      <c r="M1896" t="s">
        <v>40</v>
      </c>
      <c r="N1896" t="b">
        <v>0</v>
      </c>
      <c r="O1896" t="s">
        <v>702</v>
      </c>
    </row>
    <row r="1897" spans="1:15" ht="15" customHeight="1">
      <c r="A1897" t="s">
        <v>191</v>
      </c>
      <c r="B1897" t="s">
        <v>2495</v>
      </c>
      <c r="C1897" t="s">
        <v>81</v>
      </c>
      <c r="D1897" t="s">
        <v>69</v>
      </c>
      <c r="E1897">
        <v>11</v>
      </c>
      <c r="F1897">
        <v>7.1</v>
      </c>
      <c r="G1897">
        <v>0.65</v>
      </c>
      <c r="H1897">
        <v>18</v>
      </c>
      <c r="I1897">
        <v>10000</v>
      </c>
      <c r="J1897">
        <v>3000</v>
      </c>
      <c r="K1897" t="s">
        <v>142</v>
      </c>
      <c r="L1897" t="s">
        <v>71</v>
      </c>
      <c r="M1897" t="s">
        <v>49</v>
      </c>
      <c r="N1897" t="b">
        <v>0</v>
      </c>
      <c r="O1897" t="s">
        <v>143</v>
      </c>
    </row>
    <row r="1898" spans="1:15" ht="15" customHeight="1">
      <c r="A1898" t="s">
        <v>744</v>
      </c>
      <c r="B1898" t="s">
        <v>2496</v>
      </c>
      <c r="C1898" t="s">
        <v>81</v>
      </c>
      <c r="D1898" t="s">
        <v>69</v>
      </c>
      <c r="E1898">
        <v>11</v>
      </c>
      <c r="F1898">
        <v>6</v>
      </c>
      <c r="G1898">
        <v>0.55000000000000004</v>
      </c>
      <c r="H1898">
        <v>21</v>
      </c>
      <c r="I1898">
        <v>10000</v>
      </c>
      <c r="J1898">
        <v>3000</v>
      </c>
      <c r="K1898" t="s">
        <v>279</v>
      </c>
      <c r="L1898" t="s">
        <v>117</v>
      </c>
      <c r="M1898" t="s">
        <v>42</v>
      </c>
      <c r="N1898" t="b">
        <v>1</v>
      </c>
      <c r="O1898" t="s">
        <v>280</v>
      </c>
    </row>
    <row r="1899" spans="1:15" ht="15" customHeight="1">
      <c r="A1899" t="s">
        <v>646</v>
      </c>
      <c r="B1899" t="s">
        <v>2497</v>
      </c>
      <c r="C1899" t="s">
        <v>129</v>
      </c>
      <c r="D1899" t="s">
        <v>130</v>
      </c>
      <c r="E1899">
        <v>9</v>
      </c>
      <c r="F1899">
        <v>4.3</v>
      </c>
      <c r="G1899">
        <v>0.48</v>
      </c>
      <c r="H1899">
        <v>8</v>
      </c>
      <c r="I1899">
        <v>5000</v>
      </c>
      <c r="J1899">
        <v>1000</v>
      </c>
      <c r="K1899" t="s">
        <v>76</v>
      </c>
      <c r="L1899" t="s">
        <v>77</v>
      </c>
      <c r="M1899" t="s">
        <v>40</v>
      </c>
      <c r="N1899" t="b">
        <v>0</v>
      </c>
      <c r="O1899" t="s">
        <v>317</v>
      </c>
    </row>
    <row r="1900" spans="1:15" ht="15" customHeight="1">
      <c r="A1900" t="s">
        <v>517</v>
      </c>
      <c r="B1900" t="s">
        <v>2498</v>
      </c>
      <c r="C1900" t="s">
        <v>149</v>
      </c>
      <c r="D1900" t="s">
        <v>69</v>
      </c>
      <c r="E1900">
        <v>10</v>
      </c>
      <c r="F1900">
        <v>8.5</v>
      </c>
      <c r="G1900">
        <v>0.85</v>
      </c>
      <c r="H1900">
        <v>40</v>
      </c>
      <c r="I1900">
        <v>3000</v>
      </c>
      <c r="J1900">
        <v>1000</v>
      </c>
      <c r="K1900" t="s">
        <v>95</v>
      </c>
      <c r="L1900" t="s">
        <v>100</v>
      </c>
      <c r="M1900" t="s">
        <v>46</v>
      </c>
      <c r="N1900" t="b">
        <v>0</v>
      </c>
      <c r="O1900" t="s">
        <v>217</v>
      </c>
    </row>
    <row r="1901" spans="1:15" ht="15" customHeight="1">
      <c r="A1901" t="s">
        <v>1477</v>
      </c>
      <c r="B1901" t="s">
        <v>2499</v>
      </c>
      <c r="C1901" t="s">
        <v>68</v>
      </c>
      <c r="D1901" t="s">
        <v>69</v>
      </c>
      <c r="E1901">
        <v>16</v>
      </c>
      <c r="F1901">
        <v>2.2000000000000002</v>
      </c>
      <c r="G1901">
        <v>0.14000000000000001</v>
      </c>
      <c r="H1901">
        <v>5</v>
      </c>
      <c r="I1901">
        <v>30000</v>
      </c>
      <c r="J1901">
        <v>5000</v>
      </c>
      <c r="K1901" t="s">
        <v>112</v>
      </c>
      <c r="L1901" t="s">
        <v>91</v>
      </c>
      <c r="M1901" t="s">
        <v>43</v>
      </c>
      <c r="N1901" t="b">
        <v>1</v>
      </c>
      <c r="O1901" t="s">
        <v>113</v>
      </c>
    </row>
    <row r="1902" spans="1:15" ht="15" customHeight="1">
      <c r="A1902" t="s">
        <v>641</v>
      </c>
      <c r="B1902" t="s">
        <v>2500</v>
      </c>
      <c r="C1902" t="s">
        <v>149</v>
      </c>
      <c r="D1902" t="s">
        <v>69</v>
      </c>
      <c r="E1902">
        <v>12</v>
      </c>
      <c r="F1902">
        <v>8.1</v>
      </c>
      <c r="G1902">
        <v>0.67</v>
      </c>
      <c r="H1902">
        <v>32</v>
      </c>
      <c r="I1902">
        <v>3000</v>
      </c>
      <c r="J1902">
        <v>1000</v>
      </c>
      <c r="K1902" t="s">
        <v>576</v>
      </c>
      <c r="L1902" t="s">
        <v>77</v>
      </c>
      <c r="M1902" t="s">
        <v>45</v>
      </c>
      <c r="N1902" t="b">
        <v>0</v>
      </c>
      <c r="O1902" t="s">
        <v>336</v>
      </c>
    </row>
    <row r="1903" spans="1:15" ht="15" customHeight="1">
      <c r="A1903" t="s">
        <v>503</v>
      </c>
      <c r="B1903" t="s">
        <v>2501</v>
      </c>
      <c r="C1903" t="s">
        <v>68</v>
      </c>
      <c r="D1903" t="s">
        <v>69</v>
      </c>
      <c r="E1903">
        <v>10</v>
      </c>
      <c r="F1903">
        <v>0.8</v>
      </c>
      <c r="G1903">
        <v>0.08</v>
      </c>
      <c r="H1903">
        <v>2</v>
      </c>
      <c r="I1903">
        <v>30000</v>
      </c>
      <c r="J1903">
        <v>5000</v>
      </c>
      <c r="K1903" t="s">
        <v>162</v>
      </c>
      <c r="L1903" t="s">
        <v>91</v>
      </c>
      <c r="M1903" t="s">
        <v>43</v>
      </c>
      <c r="N1903" t="b">
        <v>1</v>
      </c>
      <c r="O1903" t="s">
        <v>163</v>
      </c>
    </row>
    <row r="1904" spans="1:15" ht="15" customHeight="1">
      <c r="A1904" t="s">
        <v>860</v>
      </c>
      <c r="B1904" t="s">
        <v>2502</v>
      </c>
      <c r="C1904" t="s">
        <v>149</v>
      </c>
      <c r="D1904" t="s">
        <v>69</v>
      </c>
      <c r="E1904">
        <v>10</v>
      </c>
      <c r="F1904">
        <v>9.6999999999999993</v>
      </c>
      <c r="G1904">
        <v>0.97</v>
      </c>
      <c r="H1904">
        <v>38</v>
      </c>
      <c r="I1904">
        <v>3000</v>
      </c>
      <c r="J1904">
        <v>1000</v>
      </c>
      <c r="K1904" t="s">
        <v>220</v>
      </c>
      <c r="L1904" t="s">
        <v>96</v>
      </c>
      <c r="M1904" t="s">
        <v>42</v>
      </c>
      <c r="N1904" t="b">
        <v>0</v>
      </c>
      <c r="O1904" t="s">
        <v>785</v>
      </c>
    </row>
    <row r="1905" spans="1:15" ht="15" customHeight="1">
      <c r="A1905" t="s">
        <v>66</v>
      </c>
      <c r="B1905" t="s">
        <v>2503</v>
      </c>
      <c r="C1905" t="s">
        <v>149</v>
      </c>
      <c r="D1905" t="s">
        <v>69</v>
      </c>
      <c r="E1905">
        <v>10</v>
      </c>
      <c r="F1905">
        <v>6.5</v>
      </c>
      <c r="G1905">
        <v>0.65</v>
      </c>
      <c r="H1905">
        <v>39</v>
      </c>
      <c r="I1905">
        <v>3000</v>
      </c>
      <c r="J1905">
        <v>1000</v>
      </c>
      <c r="K1905" t="s">
        <v>257</v>
      </c>
      <c r="L1905" t="s">
        <v>71</v>
      </c>
      <c r="M1905" t="s">
        <v>51</v>
      </c>
      <c r="N1905" t="b">
        <v>0</v>
      </c>
      <c r="O1905" t="s">
        <v>258</v>
      </c>
    </row>
    <row r="1906" spans="1:15" ht="15" customHeight="1">
      <c r="A1906" t="s">
        <v>267</v>
      </c>
      <c r="B1906" t="s">
        <v>2504</v>
      </c>
      <c r="C1906" t="s">
        <v>75</v>
      </c>
      <c r="D1906" t="s">
        <v>69</v>
      </c>
      <c r="E1906">
        <v>9</v>
      </c>
      <c r="F1906">
        <v>4.0999999999999996</v>
      </c>
      <c r="G1906">
        <v>0.46</v>
      </c>
      <c r="H1906">
        <v>22</v>
      </c>
      <c r="I1906">
        <v>2000</v>
      </c>
      <c r="J1906">
        <v>1500</v>
      </c>
      <c r="K1906" t="s">
        <v>90</v>
      </c>
      <c r="L1906" t="s">
        <v>104</v>
      </c>
      <c r="M1906" t="s">
        <v>48</v>
      </c>
      <c r="N1906" t="b">
        <v>0</v>
      </c>
      <c r="O1906" t="s">
        <v>92</v>
      </c>
    </row>
    <row r="1907" spans="1:15" ht="15" customHeight="1">
      <c r="A1907" t="s">
        <v>1544</v>
      </c>
      <c r="B1907" t="s">
        <v>2505</v>
      </c>
      <c r="C1907" t="s">
        <v>129</v>
      </c>
      <c r="D1907" t="s">
        <v>130</v>
      </c>
      <c r="E1907">
        <v>10</v>
      </c>
      <c r="F1907">
        <v>5.6</v>
      </c>
      <c r="G1907">
        <v>0.56000000000000005</v>
      </c>
      <c r="H1907">
        <v>6</v>
      </c>
      <c r="I1907">
        <v>5000</v>
      </c>
      <c r="J1907">
        <v>1000</v>
      </c>
      <c r="K1907" t="s">
        <v>70</v>
      </c>
      <c r="L1907" t="s">
        <v>100</v>
      </c>
      <c r="M1907" t="s">
        <v>42</v>
      </c>
      <c r="N1907" t="b">
        <v>0</v>
      </c>
      <c r="O1907" t="s">
        <v>331</v>
      </c>
    </row>
    <row r="1908" spans="1:15" ht="15" customHeight="1">
      <c r="A1908" t="s">
        <v>592</v>
      </c>
      <c r="B1908" t="s">
        <v>2506</v>
      </c>
      <c r="C1908" t="s">
        <v>68</v>
      </c>
      <c r="D1908" t="s">
        <v>69</v>
      </c>
      <c r="E1908">
        <v>12</v>
      </c>
      <c r="F1908">
        <v>1.1000000000000001</v>
      </c>
      <c r="G1908">
        <v>0.09</v>
      </c>
      <c r="H1908">
        <v>3</v>
      </c>
      <c r="I1908">
        <v>30000</v>
      </c>
      <c r="J1908">
        <v>5000</v>
      </c>
      <c r="K1908" t="s">
        <v>108</v>
      </c>
      <c r="L1908" t="s">
        <v>91</v>
      </c>
      <c r="M1908" t="s">
        <v>51</v>
      </c>
      <c r="N1908" t="b">
        <v>1</v>
      </c>
      <c r="O1908" t="s">
        <v>109</v>
      </c>
    </row>
    <row r="1909" spans="1:15" ht="15" customHeight="1">
      <c r="A1909" t="s">
        <v>450</v>
      </c>
      <c r="B1909" t="s">
        <v>2507</v>
      </c>
      <c r="C1909" t="s">
        <v>149</v>
      </c>
      <c r="D1909" t="s">
        <v>69</v>
      </c>
      <c r="E1909">
        <v>9</v>
      </c>
      <c r="F1909">
        <v>7.5</v>
      </c>
      <c r="G1909">
        <v>0.83</v>
      </c>
      <c r="H1909">
        <v>24</v>
      </c>
      <c r="I1909">
        <v>3000</v>
      </c>
      <c r="J1909">
        <v>1000</v>
      </c>
      <c r="K1909" t="s">
        <v>490</v>
      </c>
      <c r="L1909" t="s">
        <v>117</v>
      </c>
      <c r="M1909" t="s">
        <v>49</v>
      </c>
      <c r="N1909" t="b">
        <v>1</v>
      </c>
      <c r="O1909" t="s">
        <v>491</v>
      </c>
    </row>
    <row r="1910" spans="1:15" ht="15" customHeight="1">
      <c r="A1910" t="s">
        <v>412</v>
      </c>
      <c r="B1910" t="s">
        <v>2508</v>
      </c>
      <c r="C1910" t="s">
        <v>68</v>
      </c>
      <c r="D1910" t="s">
        <v>69</v>
      </c>
      <c r="E1910">
        <v>14</v>
      </c>
      <c r="F1910">
        <v>2.2999999999999998</v>
      </c>
      <c r="G1910">
        <v>0.16</v>
      </c>
      <c r="H1910">
        <v>5</v>
      </c>
      <c r="I1910">
        <v>30000</v>
      </c>
      <c r="J1910">
        <v>5000</v>
      </c>
      <c r="K1910" t="s">
        <v>112</v>
      </c>
      <c r="L1910" t="s">
        <v>96</v>
      </c>
      <c r="M1910" t="s">
        <v>51</v>
      </c>
      <c r="N1910" t="b">
        <v>0</v>
      </c>
      <c r="O1910" t="s">
        <v>113</v>
      </c>
    </row>
    <row r="1911" spans="1:15" ht="15" customHeight="1">
      <c r="A1911" t="s">
        <v>718</v>
      </c>
      <c r="B1911" t="s">
        <v>2509</v>
      </c>
      <c r="C1911" t="s">
        <v>149</v>
      </c>
      <c r="D1911" t="s">
        <v>69</v>
      </c>
      <c r="E1911">
        <v>9</v>
      </c>
      <c r="F1911">
        <v>8.3000000000000007</v>
      </c>
      <c r="G1911">
        <v>0.92</v>
      </c>
      <c r="H1911">
        <v>39</v>
      </c>
      <c r="I1911">
        <v>3000</v>
      </c>
      <c r="J1911">
        <v>1000</v>
      </c>
      <c r="K1911" t="s">
        <v>257</v>
      </c>
      <c r="L1911" t="s">
        <v>71</v>
      </c>
      <c r="M1911" t="s">
        <v>50</v>
      </c>
      <c r="N1911" t="b">
        <v>0</v>
      </c>
      <c r="O1911" t="s">
        <v>258</v>
      </c>
    </row>
    <row r="1912" spans="1:15" ht="15" customHeight="1">
      <c r="A1912" t="s">
        <v>315</v>
      </c>
      <c r="B1912" t="s">
        <v>2510</v>
      </c>
      <c r="C1912" t="s">
        <v>129</v>
      </c>
      <c r="D1912" t="s">
        <v>130</v>
      </c>
      <c r="E1912">
        <v>16</v>
      </c>
      <c r="F1912">
        <v>14.9</v>
      </c>
      <c r="G1912">
        <v>0.93</v>
      </c>
      <c r="H1912">
        <v>13</v>
      </c>
      <c r="I1912">
        <v>5000</v>
      </c>
      <c r="J1912">
        <v>1000</v>
      </c>
      <c r="K1912" t="s">
        <v>313</v>
      </c>
      <c r="L1912" t="s">
        <v>104</v>
      </c>
      <c r="M1912" t="s">
        <v>50</v>
      </c>
      <c r="N1912" t="b">
        <v>0</v>
      </c>
      <c r="O1912" t="s">
        <v>314</v>
      </c>
    </row>
    <row r="1913" spans="1:15" ht="15" customHeight="1">
      <c r="A1913" t="s">
        <v>483</v>
      </c>
      <c r="B1913" t="s">
        <v>2511</v>
      </c>
      <c r="C1913" t="s">
        <v>129</v>
      </c>
      <c r="D1913" t="s">
        <v>130</v>
      </c>
      <c r="E1913">
        <v>12</v>
      </c>
      <c r="F1913">
        <v>7.2</v>
      </c>
      <c r="G1913">
        <v>0.6</v>
      </c>
      <c r="H1913">
        <v>27</v>
      </c>
      <c r="I1913">
        <v>5000</v>
      </c>
      <c r="J1913">
        <v>1000</v>
      </c>
      <c r="K1913" t="s">
        <v>172</v>
      </c>
      <c r="L1913" t="s">
        <v>91</v>
      </c>
      <c r="M1913" t="s">
        <v>44</v>
      </c>
      <c r="N1913" t="b">
        <v>1</v>
      </c>
      <c r="O1913" t="s">
        <v>173</v>
      </c>
    </row>
    <row r="1914" spans="1:15" ht="15" customHeight="1">
      <c r="A1914" t="s">
        <v>127</v>
      </c>
      <c r="B1914" t="s">
        <v>2512</v>
      </c>
      <c r="C1914" t="s">
        <v>75</v>
      </c>
      <c r="D1914" t="s">
        <v>69</v>
      </c>
      <c r="E1914">
        <v>8</v>
      </c>
      <c r="F1914">
        <v>3.9</v>
      </c>
      <c r="G1914">
        <v>0.49</v>
      </c>
      <c r="H1914">
        <v>13</v>
      </c>
      <c r="I1914">
        <v>2000</v>
      </c>
      <c r="J1914">
        <v>1500</v>
      </c>
      <c r="K1914" t="s">
        <v>211</v>
      </c>
      <c r="L1914" t="s">
        <v>117</v>
      </c>
      <c r="M1914" t="s">
        <v>44</v>
      </c>
      <c r="N1914" t="b">
        <v>1</v>
      </c>
      <c r="O1914" t="s">
        <v>212</v>
      </c>
    </row>
    <row r="1915" spans="1:15" ht="15" customHeight="1">
      <c r="A1915" t="s">
        <v>998</v>
      </c>
      <c r="B1915" t="s">
        <v>2513</v>
      </c>
      <c r="C1915" t="s">
        <v>149</v>
      </c>
      <c r="D1915" t="s">
        <v>69</v>
      </c>
      <c r="E1915">
        <v>9</v>
      </c>
      <c r="F1915">
        <v>7</v>
      </c>
      <c r="G1915">
        <v>0.78</v>
      </c>
      <c r="H1915">
        <v>20</v>
      </c>
      <c r="I1915">
        <v>3000</v>
      </c>
      <c r="J1915">
        <v>1000</v>
      </c>
      <c r="K1915" t="s">
        <v>162</v>
      </c>
      <c r="L1915" t="s">
        <v>96</v>
      </c>
      <c r="M1915" t="s">
        <v>44</v>
      </c>
      <c r="N1915" t="b">
        <v>0</v>
      </c>
      <c r="O1915" t="s">
        <v>180</v>
      </c>
    </row>
    <row r="1916" spans="1:15" ht="15" customHeight="1">
      <c r="A1916" t="s">
        <v>374</v>
      </c>
      <c r="B1916" t="s">
        <v>2514</v>
      </c>
      <c r="C1916" t="s">
        <v>75</v>
      </c>
      <c r="D1916" t="s">
        <v>69</v>
      </c>
      <c r="E1916">
        <v>11</v>
      </c>
      <c r="F1916">
        <v>7</v>
      </c>
      <c r="G1916">
        <v>0.64</v>
      </c>
      <c r="H1916">
        <v>22</v>
      </c>
      <c r="I1916">
        <v>2000</v>
      </c>
      <c r="J1916">
        <v>1500</v>
      </c>
      <c r="K1916" t="s">
        <v>90</v>
      </c>
      <c r="L1916" t="s">
        <v>104</v>
      </c>
      <c r="M1916" t="s">
        <v>42</v>
      </c>
      <c r="N1916" t="b">
        <v>0</v>
      </c>
      <c r="O1916" t="s">
        <v>92</v>
      </c>
    </row>
    <row r="1917" spans="1:15" ht="15" customHeight="1">
      <c r="A1917" t="s">
        <v>1084</v>
      </c>
      <c r="B1917" t="s">
        <v>2515</v>
      </c>
      <c r="C1917" t="s">
        <v>149</v>
      </c>
      <c r="D1917" t="s">
        <v>69</v>
      </c>
      <c r="E1917">
        <v>9</v>
      </c>
      <c r="F1917">
        <v>8.3000000000000007</v>
      </c>
      <c r="G1917">
        <v>0.92</v>
      </c>
      <c r="H1917">
        <v>16</v>
      </c>
      <c r="I1917">
        <v>3000</v>
      </c>
      <c r="J1917">
        <v>1000</v>
      </c>
      <c r="K1917" t="s">
        <v>361</v>
      </c>
      <c r="L1917" t="s">
        <v>77</v>
      </c>
      <c r="M1917" t="s">
        <v>44</v>
      </c>
      <c r="N1917" t="b">
        <v>0</v>
      </c>
      <c r="O1917" t="s">
        <v>870</v>
      </c>
    </row>
    <row r="1918" spans="1:15" ht="15" customHeight="1">
      <c r="A1918" t="s">
        <v>734</v>
      </c>
      <c r="B1918" t="s">
        <v>2516</v>
      </c>
      <c r="C1918" t="s">
        <v>149</v>
      </c>
      <c r="D1918" t="s">
        <v>69</v>
      </c>
      <c r="E1918">
        <v>10</v>
      </c>
      <c r="F1918">
        <v>9.6</v>
      </c>
      <c r="G1918">
        <v>0.96</v>
      </c>
      <c r="H1918">
        <v>39</v>
      </c>
      <c r="I1918">
        <v>3000</v>
      </c>
      <c r="J1918">
        <v>1000</v>
      </c>
      <c r="K1918" t="s">
        <v>257</v>
      </c>
      <c r="L1918" t="s">
        <v>100</v>
      </c>
      <c r="M1918" t="s">
        <v>48</v>
      </c>
      <c r="N1918" t="b">
        <v>0</v>
      </c>
      <c r="O1918" t="s">
        <v>258</v>
      </c>
    </row>
    <row r="1919" spans="1:15" ht="15" customHeight="1">
      <c r="A1919" t="s">
        <v>988</v>
      </c>
      <c r="B1919" t="s">
        <v>2517</v>
      </c>
      <c r="C1919" t="s">
        <v>81</v>
      </c>
      <c r="D1919" t="s">
        <v>69</v>
      </c>
      <c r="E1919">
        <v>11</v>
      </c>
      <c r="F1919">
        <v>9.8000000000000007</v>
      </c>
      <c r="G1919">
        <v>0.89</v>
      </c>
      <c r="H1919">
        <v>26</v>
      </c>
      <c r="I1919">
        <v>10000</v>
      </c>
      <c r="J1919">
        <v>3000</v>
      </c>
      <c r="K1919" t="s">
        <v>525</v>
      </c>
      <c r="L1919" t="s">
        <v>104</v>
      </c>
      <c r="M1919" t="s">
        <v>50</v>
      </c>
      <c r="N1919" t="b">
        <v>0</v>
      </c>
      <c r="O1919" t="s">
        <v>526</v>
      </c>
    </row>
    <row r="1920" spans="1:15" ht="15" customHeight="1">
      <c r="A1920" t="s">
        <v>304</v>
      </c>
      <c r="B1920" t="s">
        <v>2518</v>
      </c>
      <c r="C1920" t="s">
        <v>129</v>
      </c>
      <c r="D1920" t="s">
        <v>130</v>
      </c>
      <c r="E1920">
        <v>10</v>
      </c>
      <c r="F1920">
        <v>4.9000000000000004</v>
      </c>
      <c r="G1920">
        <v>0.49</v>
      </c>
      <c r="H1920">
        <v>22</v>
      </c>
      <c r="I1920">
        <v>5000</v>
      </c>
      <c r="J1920">
        <v>1000</v>
      </c>
      <c r="K1920" t="s">
        <v>134</v>
      </c>
      <c r="L1920" t="s">
        <v>104</v>
      </c>
      <c r="M1920" t="s">
        <v>45</v>
      </c>
      <c r="N1920" t="b">
        <v>0</v>
      </c>
      <c r="O1920" t="s">
        <v>135</v>
      </c>
    </row>
    <row r="1921" spans="1:15" ht="15" customHeight="1">
      <c r="A1921" t="s">
        <v>483</v>
      </c>
      <c r="B1921" t="s">
        <v>2519</v>
      </c>
      <c r="C1921" t="s">
        <v>75</v>
      </c>
      <c r="D1921" t="s">
        <v>69</v>
      </c>
      <c r="E1921">
        <v>11</v>
      </c>
      <c r="F1921">
        <v>4.3</v>
      </c>
      <c r="G1921">
        <v>0.39</v>
      </c>
      <c r="H1921">
        <v>24</v>
      </c>
      <c r="I1921">
        <v>2000</v>
      </c>
      <c r="J1921">
        <v>1500</v>
      </c>
      <c r="K1921" t="s">
        <v>361</v>
      </c>
      <c r="L1921" t="s">
        <v>91</v>
      </c>
      <c r="M1921" t="s">
        <v>44</v>
      </c>
      <c r="N1921" t="b">
        <v>1</v>
      </c>
      <c r="O1921" t="s">
        <v>362</v>
      </c>
    </row>
    <row r="1922" spans="1:15" ht="15" customHeight="1">
      <c r="A1922" t="s">
        <v>507</v>
      </c>
      <c r="B1922" t="s">
        <v>2520</v>
      </c>
      <c r="C1922" t="s">
        <v>68</v>
      </c>
      <c r="D1922" t="s">
        <v>69</v>
      </c>
      <c r="E1922">
        <v>10</v>
      </c>
      <c r="F1922">
        <v>1.1000000000000001</v>
      </c>
      <c r="G1922">
        <v>0.11</v>
      </c>
      <c r="H1922">
        <v>5</v>
      </c>
      <c r="I1922">
        <v>30000</v>
      </c>
      <c r="J1922">
        <v>5000</v>
      </c>
      <c r="K1922" t="s">
        <v>112</v>
      </c>
      <c r="L1922" t="s">
        <v>104</v>
      </c>
      <c r="M1922" t="s">
        <v>40</v>
      </c>
      <c r="N1922" t="b">
        <v>0</v>
      </c>
      <c r="O1922" t="s">
        <v>113</v>
      </c>
    </row>
    <row r="1923" spans="1:15" ht="15" customHeight="1">
      <c r="A1923" t="s">
        <v>641</v>
      </c>
      <c r="B1923" t="s">
        <v>2521</v>
      </c>
      <c r="C1923" t="s">
        <v>68</v>
      </c>
      <c r="D1923" t="s">
        <v>69</v>
      </c>
      <c r="E1923">
        <v>15</v>
      </c>
      <c r="F1923">
        <v>2.1</v>
      </c>
      <c r="G1923">
        <v>0.14000000000000001</v>
      </c>
      <c r="H1923">
        <v>2</v>
      </c>
      <c r="I1923">
        <v>30000</v>
      </c>
      <c r="J1923">
        <v>5000</v>
      </c>
      <c r="K1923" t="s">
        <v>162</v>
      </c>
      <c r="L1923" t="s">
        <v>77</v>
      </c>
      <c r="M1923" t="s">
        <v>45</v>
      </c>
      <c r="N1923" t="b">
        <v>0</v>
      </c>
      <c r="O1923" t="s">
        <v>163</v>
      </c>
    </row>
    <row r="1924" spans="1:15" ht="15" customHeight="1">
      <c r="A1924" t="s">
        <v>376</v>
      </c>
      <c r="B1924" t="s">
        <v>2522</v>
      </c>
      <c r="C1924" t="s">
        <v>68</v>
      </c>
      <c r="D1924" t="s">
        <v>69</v>
      </c>
      <c r="E1924">
        <v>12</v>
      </c>
      <c r="F1924">
        <v>3.2</v>
      </c>
      <c r="G1924">
        <v>0.27</v>
      </c>
      <c r="H1924">
        <v>5</v>
      </c>
      <c r="I1924">
        <v>30000</v>
      </c>
      <c r="J1924">
        <v>5000</v>
      </c>
      <c r="K1924" t="s">
        <v>112</v>
      </c>
      <c r="L1924" t="s">
        <v>77</v>
      </c>
      <c r="M1924" t="s">
        <v>50</v>
      </c>
      <c r="N1924" t="b">
        <v>0</v>
      </c>
      <c r="O1924" t="s">
        <v>113</v>
      </c>
    </row>
    <row r="1925" spans="1:15" ht="15" customHeight="1">
      <c r="A1925" t="s">
        <v>663</v>
      </c>
      <c r="B1925" t="s">
        <v>2523</v>
      </c>
      <c r="C1925" t="s">
        <v>68</v>
      </c>
      <c r="D1925" t="s">
        <v>69</v>
      </c>
      <c r="E1925">
        <v>8</v>
      </c>
      <c r="F1925">
        <v>2.1</v>
      </c>
      <c r="G1925">
        <v>0.26</v>
      </c>
      <c r="H1925">
        <v>2</v>
      </c>
      <c r="I1925">
        <v>30000</v>
      </c>
      <c r="J1925">
        <v>5000</v>
      </c>
      <c r="K1925" t="s">
        <v>162</v>
      </c>
      <c r="L1925" t="s">
        <v>104</v>
      </c>
      <c r="M1925" t="s">
        <v>43</v>
      </c>
      <c r="N1925" t="b">
        <v>0</v>
      </c>
      <c r="O1925" t="s">
        <v>163</v>
      </c>
    </row>
    <row r="1926" spans="1:15" ht="15" customHeight="1">
      <c r="A1926" t="s">
        <v>699</v>
      </c>
      <c r="B1926" t="s">
        <v>2524</v>
      </c>
      <c r="C1926" t="s">
        <v>68</v>
      </c>
      <c r="D1926" t="s">
        <v>69</v>
      </c>
      <c r="E1926">
        <v>11</v>
      </c>
      <c r="F1926">
        <v>2.8</v>
      </c>
      <c r="G1926">
        <v>0.25</v>
      </c>
      <c r="H1926">
        <v>5</v>
      </c>
      <c r="I1926">
        <v>30000</v>
      </c>
      <c r="J1926">
        <v>5000</v>
      </c>
      <c r="K1926" t="s">
        <v>112</v>
      </c>
      <c r="L1926" t="s">
        <v>77</v>
      </c>
      <c r="M1926" t="s">
        <v>40</v>
      </c>
      <c r="N1926" t="b">
        <v>0</v>
      </c>
      <c r="O1926" t="s">
        <v>113</v>
      </c>
    </row>
    <row r="1927" spans="1:15" ht="15" customHeight="1">
      <c r="A1927" t="s">
        <v>1809</v>
      </c>
      <c r="B1927" t="s">
        <v>2525</v>
      </c>
      <c r="C1927" t="s">
        <v>129</v>
      </c>
      <c r="D1927" t="s">
        <v>130</v>
      </c>
      <c r="E1927">
        <v>20</v>
      </c>
      <c r="F1927">
        <v>17.600000000000001</v>
      </c>
      <c r="G1927">
        <v>0.88</v>
      </c>
      <c r="H1927">
        <v>7</v>
      </c>
      <c r="I1927">
        <v>5000</v>
      </c>
      <c r="J1927">
        <v>1000</v>
      </c>
      <c r="K1927" t="s">
        <v>1135</v>
      </c>
      <c r="L1927" t="s">
        <v>91</v>
      </c>
      <c r="M1927" t="s">
        <v>40</v>
      </c>
      <c r="N1927" t="b">
        <v>1</v>
      </c>
      <c r="O1927" t="s">
        <v>862</v>
      </c>
    </row>
    <row r="1928" spans="1:15" ht="15" customHeight="1">
      <c r="A1928" t="s">
        <v>391</v>
      </c>
      <c r="B1928" t="s">
        <v>2526</v>
      </c>
      <c r="C1928" t="s">
        <v>81</v>
      </c>
      <c r="D1928" t="s">
        <v>69</v>
      </c>
      <c r="E1928">
        <v>10</v>
      </c>
      <c r="F1928">
        <v>5.8</v>
      </c>
      <c r="G1928">
        <v>0.57999999999999996</v>
      </c>
      <c r="H1928">
        <v>17</v>
      </c>
      <c r="I1928">
        <v>10000</v>
      </c>
      <c r="J1928">
        <v>3000</v>
      </c>
      <c r="K1928" t="s">
        <v>389</v>
      </c>
      <c r="L1928" t="s">
        <v>71</v>
      </c>
      <c r="M1928" t="s">
        <v>46</v>
      </c>
      <c r="N1928" t="b">
        <v>0</v>
      </c>
      <c r="O1928" t="s">
        <v>390</v>
      </c>
    </row>
    <row r="1929" spans="1:15" ht="15" customHeight="1">
      <c r="A1929" t="s">
        <v>884</v>
      </c>
      <c r="B1929" t="s">
        <v>2527</v>
      </c>
      <c r="C1929" t="s">
        <v>68</v>
      </c>
      <c r="D1929" t="s">
        <v>69</v>
      </c>
      <c r="E1929">
        <v>9</v>
      </c>
      <c r="F1929">
        <v>2.2999999999999998</v>
      </c>
      <c r="G1929">
        <v>0.26</v>
      </c>
      <c r="H1929">
        <v>4</v>
      </c>
      <c r="I1929">
        <v>30000</v>
      </c>
      <c r="J1929">
        <v>5000</v>
      </c>
      <c r="K1929" t="s">
        <v>95</v>
      </c>
      <c r="L1929" t="s">
        <v>77</v>
      </c>
      <c r="M1929" t="s">
        <v>47</v>
      </c>
      <c r="N1929" t="b">
        <v>0</v>
      </c>
      <c r="O1929" t="s">
        <v>97</v>
      </c>
    </row>
    <row r="1930" spans="1:15" ht="15" customHeight="1">
      <c r="A1930" t="s">
        <v>1086</v>
      </c>
      <c r="B1930" t="s">
        <v>2528</v>
      </c>
      <c r="C1930" t="s">
        <v>129</v>
      </c>
      <c r="D1930" t="s">
        <v>130</v>
      </c>
      <c r="E1930">
        <v>18</v>
      </c>
      <c r="F1930">
        <v>7.5</v>
      </c>
      <c r="G1930">
        <v>0.42</v>
      </c>
      <c r="H1930">
        <v>16</v>
      </c>
      <c r="I1930">
        <v>5000</v>
      </c>
      <c r="J1930">
        <v>1000</v>
      </c>
      <c r="K1930" t="s">
        <v>357</v>
      </c>
      <c r="L1930" t="s">
        <v>71</v>
      </c>
      <c r="M1930" t="s">
        <v>44</v>
      </c>
      <c r="N1930" t="b">
        <v>0</v>
      </c>
      <c r="O1930" t="s">
        <v>456</v>
      </c>
    </row>
    <row r="1931" spans="1:15" ht="15" customHeight="1">
      <c r="A1931" t="s">
        <v>666</v>
      </c>
      <c r="B1931" t="s">
        <v>2529</v>
      </c>
      <c r="C1931" t="s">
        <v>149</v>
      </c>
      <c r="D1931" t="s">
        <v>69</v>
      </c>
      <c r="E1931">
        <v>8</v>
      </c>
      <c r="F1931">
        <v>6.4</v>
      </c>
      <c r="G1931">
        <v>0.8</v>
      </c>
      <c r="H1931">
        <v>34</v>
      </c>
      <c r="I1931">
        <v>3000</v>
      </c>
      <c r="J1931">
        <v>1000</v>
      </c>
      <c r="K1931" t="s">
        <v>433</v>
      </c>
      <c r="L1931" t="s">
        <v>77</v>
      </c>
      <c r="M1931" t="s">
        <v>44</v>
      </c>
      <c r="N1931" t="b">
        <v>0</v>
      </c>
      <c r="O1931" t="s">
        <v>434</v>
      </c>
    </row>
    <row r="1932" spans="1:15" ht="15" customHeight="1">
      <c r="A1932" t="s">
        <v>239</v>
      </c>
      <c r="B1932" t="s">
        <v>2530</v>
      </c>
      <c r="C1932" t="s">
        <v>149</v>
      </c>
      <c r="D1932" t="s">
        <v>69</v>
      </c>
      <c r="E1932">
        <v>8</v>
      </c>
      <c r="F1932">
        <v>7.2</v>
      </c>
      <c r="G1932">
        <v>0.9</v>
      </c>
      <c r="H1932">
        <v>37</v>
      </c>
      <c r="I1932">
        <v>3000</v>
      </c>
      <c r="J1932">
        <v>1000</v>
      </c>
      <c r="K1932" t="s">
        <v>672</v>
      </c>
      <c r="L1932" t="s">
        <v>71</v>
      </c>
      <c r="M1932" t="s">
        <v>51</v>
      </c>
      <c r="N1932" t="b">
        <v>0</v>
      </c>
      <c r="O1932" t="s">
        <v>134</v>
      </c>
    </row>
    <row r="1933" spans="1:15" ht="15" customHeight="1">
      <c r="A1933" t="s">
        <v>825</v>
      </c>
      <c r="B1933" t="s">
        <v>2531</v>
      </c>
      <c r="C1933" t="s">
        <v>75</v>
      </c>
      <c r="D1933" t="s">
        <v>69</v>
      </c>
      <c r="E1933">
        <v>14</v>
      </c>
      <c r="F1933">
        <v>11.9</v>
      </c>
      <c r="G1933">
        <v>0.85</v>
      </c>
      <c r="H1933">
        <v>9</v>
      </c>
      <c r="I1933">
        <v>2000</v>
      </c>
      <c r="J1933">
        <v>1500</v>
      </c>
      <c r="K1933" t="s">
        <v>740</v>
      </c>
      <c r="L1933" t="s">
        <v>104</v>
      </c>
      <c r="M1933" t="s">
        <v>40</v>
      </c>
      <c r="N1933" t="b">
        <v>0</v>
      </c>
      <c r="O1933" t="s">
        <v>741</v>
      </c>
    </row>
    <row r="1934" spans="1:15" ht="15" customHeight="1">
      <c r="A1934" t="s">
        <v>866</v>
      </c>
      <c r="B1934" t="s">
        <v>2532</v>
      </c>
      <c r="C1934" t="s">
        <v>68</v>
      </c>
      <c r="D1934" t="s">
        <v>69</v>
      </c>
      <c r="E1934">
        <v>9</v>
      </c>
      <c r="F1934">
        <v>0.6</v>
      </c>
      <c r="G1934">
        <v>7.0000000000000007E-2</v>
      </c>
      <c r="H1934">
        <v>3</v>
      </c>
      <c r="I1934">
        <v>30000</v>
      </c>
      <c r="J1934">
        <v>5000</v>
      </c>
      <c r="K1934" t="s">
        <v>108</v>
      </c>
      <c r="L1934" t="s">
        <v>104</v>
      </c>
      <c r="M1934" t="s">
        <v>40</v>
      </c>
      <c r="N1934" t="b">
        <v>0</v>
      </c>
      <c r="O1934" t="s">
        <v>109</v>
      </c>
    </row>
    <row r="1935" spans="1:15" ht="15" customHeight="1">
      <c r="A1935" t="s">
        <v>1101</v>
      </c>
      <c r="B1935" t="s">
        <v>2533</v>
      </c>
      <c r="C1935" t="s">
        <v>81</v>
      </c>
      <c r="D1935" t="s">
        <v>69</v>
      </c>
      <c r="E1935">
        <v>9</v>
      </c>
      <c r="F1935">
        <v>4.5</v>
      </c>
      <c r="G1935">
        <v>0.5</v>
      </c>
      <c r="H1935">
        <v>20</v>
      </c>
      <c r="I1935">
        <v>10000</v>
      </c>
      <c r="J1935">
        <v>3000</v>
      </c>
      <c r="K1935" t="s">
        <v>86</v>
      </c>
      <c r="L1935" t="s">
        <v>77</v>
      </c>
      <c r="M1935" t="s">
        <v>49</v>
      </c>
      <c r="N1935" t="b">
        <v>0</v>
      </c>
      <c r="O1935" t="s">
        <v>87</v>
      </c>
    </row>
    <row r="1936" spans="1:15" ht="15" customHeight="1">
      <c r="A1936" t="s">
        <v>1711</v>
      </c>
      <c r="B1936" t="s">
        <v>2534</v>
      </c>
      <c r="C1936" t="s">
        <v>68</v>
      </c>
      <c r="D1936" t="s">
        <v>69</v>
      </c>
      <c r="E1936">
        <v>8</v>
      </c>
      <c r="F1936">
        <v>2.4</v>
      </c>
      <c r="G1936">
        <v>0.3</v>
      </c>
      <c r="H1936">
        <v>5</v>
      </c>
      <c r="I1936">
        <v>30000</v>
      </c>
      <c r="J1936">
        <v>5000</v>
      </c>
      <c r="K1936" t="s">
        <v>112</v>
      </c>
      <c r="L1936" t="s">
        <v>96</v>
      </c>
      <c r="M1936" t="s">
        <v>47</v>
      </c>
      <c r="N1936" t="b">
        <v>0</v>
      </c>
      <c r="O1936" t="s">
        <v>113</v>
      </c>
    </row>
    <row r="1937" spans="1:15" ht="15" customHeight="1">
      <c r="A1937" t="s">
        <v>1455</v>
      </c>
      <c r="B1937" t="s">
        <v>2535</v>
      </c>
      <c r="C1937" t="s">
        <v>149</v>
      </c>
      <c r="D1937" t="s">
        <v>69</v>
      </c>
      <c r="E1937">
        <v>11</v>
      </c>
      <c r="F1937">
        <v>7.2</v>
      </c>
      <c r="G1937">
        <v>0.65</v>
      </c>
      <c r="H1937">
        <v>24</v>
      </c>
      <c r="I1937">
        <v>3000</v>
      </c>
      <c r="J1937">
        <v>1000</v>
      </c>
      <c r="K1937" t="s">
        <v>490</v>
      </c>
      <c r="L1937" t="s">
        <v>117</v>
      </c>
      <c r="M1937" t="s">
        <v>46</v>
      </c>
      <c r="N1937" t="b">
        <v>1</v>
      </c>
      <c r="O1937" t="s">
        <v>491</v>
      </c>
    </row>
    <row r="1938" spans="1:15" ht="15" customHeight="1">
      <c r="A1938" t="s">
        <v>1153</v>
      </c>
      <c r="B1938" t="s">
        <v>2536</v>
      </c>
      <c r="C1938" t="s">
        <v>75</v>
      </c>
      <c r="D1938" t="s">
        <v>69</v>
      </c>
      <c r="E1938">
        <v>18</v>
      </c>
      <c r="F1938">
        <v>8.4</v>
      </c>
      <c r="G1938">
        <v>0.47</v>
      </c>
      <c r="H1938">
        <v>25</v>
      </c>
      <c r="I1938">
        <v>2000</v>
      </c>
      <c r="J1938">
        <v>1500</v>
      </c>
      <c r="K1938" t="s">
        <v>158</v>
      </c>
      <c r="L1938" t="s">
        <v>104</v>
      </c>
      <c r="M1938" t="s">
        <v>40</v>
      </c>
      <c r="N1938" t="b">
        <v>0</v>
      </c>
      <c r="O1938" t="s">
        <v>400</v>
      </c>
    </row>
    <row r="1939" spans="1:15" ht="15" customHeight="1">
      <c r="A1939" t="s">
        <v>638</v>
      </c>
      <c r="B1939" t="s">
        <v>2537</v>
      </c>
      <c r="C1939" t="s">
        <v>68</v>
      </c>
      <c r="D1939" t="s">
        <v>69</v>
      </c>
      <c r="E1939">
        <v>16</v>
      </c>
      <c r="F1939">
        <v>2.9</v>
      </c>
      <c r="G1939">
        <v>0.18</v>
      </c>
      <c r="H1939">
        <v>1</v>
      </c>
      <c r="I1939">
        <v>30000</v>
      </c>
      <c r="J1939">
        <v>5000</v>
      </c>
      <c r="K1939" t="s">
        <v>70</v>
      </c>
      <c r="L1939" t="s">
        <v>77</v>
      </c>
      <c r="M1939" t="s">
        <v>48</v>
      </c>
      <c r="N1939" t="b">
        <v>0</v>
      </c>
      <c r="O1939" t="s">
        <v>72</v>
      </c>
    </row>
    <row r="1940" spans="1:15" ht="15" customHeight="1">
      <c r="A1940" t="s">
        <v>725</v>
      </c>
      <c r="B1940" t="s">
        <v>2538</v>
      </c>
      <c r="C1940" t="s">
        <v>75</v>
      </c>
      <c r="D1940" t="s">
        <v>69</v>
      </c>
      <c r="E1940">
        <v>15</v>
      </c>
      <c r="F1940">
        <v>11.3</v>
      </c>
      <c r="G1940">
        <v>0.75</v>
      </c>
      <c r="H1940">
        <v>22</v>
      </c>
      <c r="I1940">
        <v>2000</v>
      </c>
      <c r="J1940">
        <v>1500</v>
      </c>
      <c r="K1940" t="s">
        <v>90</v>
      </c>
      <c r="L1940" t="s">
        <v>117</v>
      </c>
      <c r="M1940" t="s">
        <v>50</v>
      </c>
      <c r="N1940" t="b">
        <v>1</v>
      </c>
      <c r="O1940" t="s">
        <v>92</v>
      </c>
    </row>
    <row r="1941" spans="1:15" ht="15" customHeight="1">
      <c r="A1941" t="s">
        <v>636</v>
      </c>
      <c r="B1941" t="s">
        <v>2539</v>
      </c>
      <c r="C1941" t="s">
        <v>149</v>
      </c>
      <c r="D1941" t="s">
        <v>69</v>
      </c>
      <c r="E1941">
        <v>8</v>
      </c>
      <c r="F1941">
        <v>6.7</v>
      </c>
      <c r="G1941">
        <v>0.84</v>
      </c>
      <c r="H1941">
        <v>31</v>
      </c>
      <c r="I1941">
        <v>3000</v>
      </c>
      <c r="J1941">
        <v>1000</v>
      </c>
      <c r="K1941" t="s">
        <v>530</v>
      </c>
      <c r="L1941" t="s">
        <v>77</v>
      </c>
      <c r="M1941" t="s">
        <v>46</v>
      </c>
      <c r="N1941" t="b">
        <v>0</v>
      </c>
      <c r="O1941" t="s">
        <v>531</v>
      </c>
    </row>
    <row r="1942" spans="1:15" ht="15" customHeight="1">
      <c r="A1942" t="s">
        <v>1705</v>
      </c>
      <c r="B1942" t="s">
        <v>2540</v>
      </c>
      <c r="C1942" t="s">
        <v>129</v>
      </c>
      <c r="D1942" t="s">
        <v>130</v>
      </c>
      <c r="E1942">
        <v>8</v>
      </c>
      <c r="F1942">
        <v>7.6</v>
      </c>
      <c r="G1942">
        <v>0.95</v>
      </c>
      <c r="H1942">
        <v>13</v>
      </c>
      <c r="I1942">
        <v>5000</v>
      </c>
      <c r="J1942">
        <v>1000</v>
      </c>
      <c r="K1942" t="s">
        <v>313</v>
      </c>
      <c r="L1942" t="s">
        <v>100</v>
      </c>
      <c r="M1942" t="s">
        <v>43</v>
      </c>
      <c r="N1942" t="b">
        <v>0</v>
      </c>
      <c r="O1942" t="s">
        <v>314</v>
      </c>
    </row>
    <row r="1943" spans="1:15" ht="15" customHeight="1">
      <c r="A1943" t="s">
        <v>680</v>
      </c>
      <c r="B1943" t="s">
        <v>2541</v>
      </c>
      <c r="C1943" t="s">
        <v>81</v>
      </c>
      <c r="D1943" t="s">
        <v>69</v>
      </c>
      <c r="E1943">
        <v>10</v>
      </c>
      <c r="F1943">
        <v>8</v>
      </c>
      <c r="G1943">
        <v>0.8</v>
      </c>
      <c r="H1943">
        <v>8</v>
      </c>
      <c r="I1943">
        <v>10000</v>
      </c>
      <c r="J1943">
        <v>3000</v>
      </c>
      <c r="K1943" t="s">
        <v>357</v>
      </c>
      <c r="L1943" t="s">
        <v>100</v>
      </c>
      <c r="M1943" t="s">
        <v>40</v>
      </c>
      <c r="N1943" t="b">
        <v>0</v>
      </c>
      <c r="O1943" t="s">
        <v>295</v>
      </c>
    </row>
    <row r="1944" spans="1:15" ht="15" customHeight="1">
      <c r="A1944" t="s">
        <v>237</v>
      </c>
      <c r="B1944" t="s">
        <v>2542</v>
      </c>
      <c r="C1944" t="s">
        <v>75</v>
      </c>
      <c r="D1944" t="s">
        <v>69</v>
      </c>
      <c r="E1944">
        <v>11</v>
      </c>
      <c r="F1944">
        <v>3.4</v>
      </c>
      <c r="G1944">
        <v>0.31</v>
      </c>
      <c r="H1944">
        <v>24</v>
      </c>
      <c r="I1944">
        <v>2000</v>
      </c>
      <c r="J1944">
        <v>1500</v>
      </c>
      <c r="K1944" t="s">
        <v>361</v>
      </c>
      <c r="L1944" t="s">
        <v>77</v>
      </c>
      <c r="M1944" t="s">
        <v>49</v>
      </c>
      <c r="N1944" t="b">
        <v>0</v>
      </c>
      <c r="O1944" t="s">
        <v>362</v>
      </c>
    </row>
    <row r="1945" spans="1:15" ht="15" customHeight="1">
      <c r="A1945" t="s">
        <v>460</v>
      </c>
      <c r="B1945" t="s">
        <v>2543</v>
      </c>
      <c r="C1945" t="s">
        <v>149</v>
      </c>
      <c r="D1945" t="s">
        <v>69</v>
      </c>
      <c r="E1945">
        <v>8</v>
      </c>
      <c r="F1945">
        <v>7.1</v>
      </c>
      <c r="G1945">
        <v>0.89</v>
      </c>
      <c r="H1945">
        <v>16</v>
      </c>
      <c r="I1945">
        <v>3000</v>
      </c>
      <c r="J1945">
        <v>1000</v>
      </c>
      <c r="K1945" t="s">
        <v>361</v>
      </c>
      <c r="L1945" t="s">
        <v>77</v>
      </c>
      <c r="M1945" t="s">
        <v>41</v>
      </c>
      <c r="N1945" t="b">
        <v>0</v>
      </c>
      <c r="O1945" t="s">
        <v>870</v>
      </c>
    </row>
    <row r="1946" spans="1:15" ht="15" customHeight="1">
      <c r="A1946" t="s">
        <v>1004</v>
      </c>
      <c r="B1946" t="s">
        <v>2544</v>
      </c>
      <c r="C1946" t="s">
        <v>75</v>
      </c>
      <c r="D1946" t="s">
        <v>69</v>
      </c>
      <c r="E1946">
        <v>15</v>
      </c>
      <c r="F1946">
        <v>11.5</v>
      </c>
      <c r="G1946">
        <v>0.77</v>
      </c>
      <c r="H1946">
        <v>28</v>
      </c>
      <c r="I1946">
        <v>2000</v>
      </c>
      <c r="J1946">
        <v>1500</v>
      </c>
      <c r="K1946" t="s">
        <v>262</v>
      </c>
      <c r="L1946" t="s">
        <v>77</v>
      </c>
      <c r="M1946" t="s">
        <v>43</v>
      </c>
      <c r="N1946" t="b">
        <v>0</v>
      </c>
      <c r="O1946" t="s">
        <v>289</v>
      </c>
    </row>
    <row r="1947" spans="1:15" ht="15" customHeight="1">
      <c r="A1947" t="s">
        <v>412</v>
      </c>
      <c r="B1947" t="s">
        <v>2545</v>
      </c>
      <c r="C1947" t="s">
        <v>75</v>
      </c>
      <c r="D1947" t="s">
        <v>69</v>
      </c>
      <c r="E1947">
        <v>18</v>
      </c>
      <c r="F1947">
        <v>15.3</v>
      </c>
      <c r="G1947">
        <v>0.85</v>
      </c>
      <c r="H1947">
        <v>27</v>
      </c>
      <c r="I1947">
        <v>2000</v>
      </c>
      <c r="J1947">
        <v>1500</v>
      </c>
      <c r="K1947" t="s">
        <v>150</v>
      </c>
      <c r="L1947" t="s">
        <v>96</v>
      </c>
      <c r="M1947" t="s">
        <v>51</v>
      </c>
      <c r="N1947" t="b">
        <v>0</v>
      </c>
      <c r="O1947" t="s">
        <v>528</v>
      </c>
    </row>
    <row r="1948" spans="1:15" ht="15" customHeight="1">
      <c r="A1948" t="s">
        <v>144</v>
      </c>
      <c r="B1948" t="s">
        <v>2546</v>
      </c>
      <c r="C1948" t="s">
        <v>149</v>
      </c>
      <c r="D1948" t="s">
        <v>69</v>
      </c>
      <c r="E1948">
        <v>12</v>
      </c>
      <c r="F1948">
        <v>7.7</v>
      </c>
      <c r="G1948">
        <v>0.64</v>
      </c>
      <c r="H1948">
        <v>20</v>
      </c>
      <c r="I1948">
        <v>3000</v>
      </c>
      <c r="J1948">
        <v>1000</v>
      </c>
      <c r="K1948" t="s">
        <v>162</v>
      </c>
      <c r="L1948" t="s">
        <v>100</v>
      </c>
      <c r="M1948" t="s">
        <v>44</v>
      </c>
      <c r="N1948" t="b">
        <v>0</v>
      </c>
      <c r="O1948" t="s">
        <v>180</v>
      </c>
    </row>
    <row r="1949" spans="1:15" ht="15" customHeight="1">
      <c r="A1949" t="s">
        <v>505</v>
      </c>
      <c r="B1949" t="s">
        <v>2547</v>
      </c>
      <c r="C1949" t="s">
        <v>75</v>
      </c>
      <c r="D1949" t="s">
        <v>69</v>
      </c>
      <c r="E1949">
        <v>19</v>
      </c>
      <c r="F1949">
        <v>7.7</v>
      </c>
      <c r="G1949">
        <v>0.41</v>
      </c>
      <c r="H1949">
        <v>10</v>
      </c>
      <c r="I1949">
        <v>2000</v>
      </c>
      <c r="J1949">
        <v>1500</v>
      </c>
      <c r="K1949" t="s">
        <v>418</v>
      </c>
      <c r="L1949" t="s">
        <v>100</v>
      </c>
      <c r="M1949" t="s">
        <v>51</v>
      </c>
      <c r="N1949" t="b">
        <v>0</v>
      </c>
      <c r="O1949" t="s">
        <v>419</v>
      </c>
    </row>
    <row r="1950" spans="1:15" ht="15" customHeight="1">
      <c r="A1950" t="s">
        <v>696</v>
      </c>
      <c r="B1950" t="s">
        <v>2548</v>
      </c>
      <c r="C1950" t="s">
        <v>129</v>
      </c>
      <c r="D1950" t="s">
        <v>130</v>
      </c>
      <c r="E1950">
        <v>12</v>
      </c>
      <c r="F1950">
        <v>7.4</v>
      </c>
      <c r="G1950">
        <v>0.62</v>
      </c>
      <c r="H1950">
        <v>26</v>
      </c>
      <c r="I1950">
        <v>5000</v>
      </c>
      <c r="J1950">
        <v>1000</v>
      </c>
      <c r="K1950" t="s">
        <v>203</v>
      </c>
      <c r="L1950" t="s">
        <v>96</v>
      </c>
      <c r="M1950" t="s">
        <v>47</v>
      </c>
      <c r="N1950" t="b">
        <v>0</v>
      </c>
      <c r="O1950" t="s">
        <v>623</v>
      </c>
    </row>
    <row r="1951" spans="1:15" ht="15" customHeight="1">
      <c r="A1951" t="s">
        <v>2132</v>
      </c>
      <c r="B1951" t="s">
        <v>2549</v>
      </c>
      <c r="C1951" t="s">
        <v>68</v>
      </c>
      <c r="D1951" t="s">
        <v>69</v>
      </c>
      <c r="E1951">
        <v>10</v>
      </c>
      <c r="F1951">
        <v>0.8</v>
      </c>
      <c r="G1951">
        <v>0.08</v>
      </c>
      <c r="H1951">
        <v>3</v>
      </c>
      <c r="I1951">
        <v>30000</v>
      </c>
      <c r="J1951">
        <v>5000</v>
      </c>
      <c r="K1951" t="s">
        <v>108</v>
      </c>
      <c r="L1951" t="s">
        <v>100</v>
      </c>
      <c r="M1951" t="s">
        <v>46</v>
      </c>
      <c r="N1951" t="b">
        <v>0</v>
      </c>
      <c r="O1951" t="s">
        <v>109</v>
      </c>
    </row>
    <row r="1952" spans="1:15" ht="15" customHeight="1">
      <c r="A1952" t="s">
        <v>477</v>
      </c>
      <c r="B1952" t="s">
        <v>2550</v>
      </c>
      <c r="C1952" t="s">
        <v>149</v>
      </c>
      <c r="D1952" t="s">
        <v>69</v>
      </c>
      <c r="E1952">
        <v>10</v>
      </c>
      <c r="F1952">
        <v>8.6999999999999993</v>
      </c>
      <c r="G1952">
        <v>0.87</v>
      </c>
      <c r="H1952">
        <v>20</v>
      </c>
      <c r="I1952">
        <v>3000</v>
      </c>
      <c r="J1952">
        <v>1000</v>
      </c>
      <c r="K1952" t="s">
        <v>162</v>
      </c>
      <c r="L1952" t="s">
        <v>71</v>
      </c>
      <c r="M1952" t="s">
        <v>42</v>
      </c>
      <c r="N1952" t="b">
        <v>0</v>
      </c>
      <c r="O1952" t="s">
        <v>180</v>
      </c>
    </row>
    <row r="1953" spans="1:15" ht="15" customHeight="1">
      <c r="A1953" t="s">
        <v>725</v>
      </c>
      <c r="B1953" t="s">
        <v>2551</v>
      </c>
      <c r="C1953" t="s">
        <v>81</v>
      </c>
      <c r="D1953" t="s">
        <v>69</v>
      </c>
      <c r="E1953">
        <v>11</v>
      </c>
      <c r="F1953">
        <v>3.9</v>
      </c>
      <c r="G1953">
        <v>0.35</v>
      </c>
      <c r="H1953">
        <v>14</v>
      </c>
      <c r="I1953">
        <v>10000</v>
      </c>
      <c r="J1953">
        <v>3000</v>
      </c>
      <c r="K1953" t="s">
        <v>116</v>
      </c>
      <c r="L1953" t="s">
        <v>117</v>
      </c>
      <c r="M1953" t="s">
        <v>50</v>
      </c>
      <c r="N1953" t="b">
        <v>1</v>
      </c>
      <c r="O1953" t="s">
        <v>118</v>
      </c>
    </row>
    <row r="1954" spans="1:15" ht="15" customHeight="1">
      <c r="A1954" t="s">
        <v>481</v>
      </c>
      <c r="B1954" t="s">
        <v>2552</v>
      </c>
      <c r="C1954" t="s">
        <v>149</v>
      </c>
      <c r="D1954" t="s">
        <v>69</v>
      </c>
      <c r="E1954">
        <v>8</v>
      </c>
      <c r="F1954">
        <v>7.8</v>
      </c>
      <c r="G1954">
        <v>0.97</v>
      </c>
      <c r="H1954">
        <v>21</v>
      </c>
      <c r="I1954">
        <v>3000</v>
      </c>
      <c r="J1954">
        <v>1000</v>
      </c>
      <c r="K1954" t="s">
        <v>380</v>
      </c>
      <c r="L1954" t="s">
        <v>104</v>
      </c>
      <c r="M1954" t="s">
        <v>41</v>
      </c>
      <c r="N1954" t="b">
        <v>0</v>
      </c>
      <c r="O1954" t="s">
        <v>381</v>
      </c>
    </row>
    <row r="1955" spans="1:15" ht="15" customHeight="1">
      <c r="A1955" t="s">
        <v>1480</v>
      </c>
      <c r="B1955" t="s">
        <v>2553</v>
      </c>
      <c r="C1955" t="s">
        <v>129</v>
      </c>
      <c r="D1955" t="s">
        <v>130</v>
      </c>
      <c r="E1955">
        <v>18</v>
      </c>
      <c r="F1955">
        <v>13.9</v>
      </c>
      <c r="G1955">
        <v>0.77</v>
      </c>
      <c r="H1955">
        <v>18</v>
      </c>
      <c r="I1955">
        <v>5000</v>
      </c>
      <c r="J1955">
        <v>1000</v>
      </c>
      <c r="K1955" t="s">
        <v>108</v>
      </c>
      <c r="L1955" t="s">
        <v>96</v>
      </c>
      <c r="M1955" t="s">
        <v>43</v>
      </c>
      <c r="N1955" t="b">
        <v>0</v>
      </c>
      <c r="O1955" t="s">
        <v>166</v>
      </c>
    </row>
    <row r="1956" spans="1:15" ht="15" customHeight="1">
      <c r="A1956" t="s">
        <v>178</v>
      </c>
      <c r="B1956" t="s">
        <v>2554</v>
      </c>
      <c r="C1956" t="s">
        <v>81</v>
      </c>
      <c r="D1956" t="s">
        <v>69</v>
      </c>
      <c r="E1956">
        <v>11</v>
      </c>
      <c r="F1956">
        <v>6.9</v>
      </c>
      <c r="G1956">
        <v>0.63</v>
      </c>
      <c r="H1956">
        <v>8</v>
      </c>
      <c r="I1956">
        <v>10000</v>
      </c>
      <c r="J1956">
        <v>3000</v>
      </c>
      <c r="K1956" t="s">
        <v>357</v>
      </c>
      <c r="L1956" t="s">
        <v>91</v>
      </c>
      <c r="M1956" t="s">
        <v>47</v>
      </c>
      <c r="N1956" t="b">
        <v>1</v>
      </c>
      <c r="O1956" t="s">
        <v>295</v>
      </c>
    </row>
    <row r="1957" spans="1:15" ht="15" customHeight="1">
      <c r="A1957" t="s">
        <v>332</v>
      </c>
      <c r="B1957" t="s">
        <v>2555</v>
      </c>
      <c r="C1957" t="s">
        <v>149</v>
      </c>
      <c r="D1957" t="s">
        <v>69</v>
      </c>
      <c r="E1957">
        <v>9</v>
      </c>
      <c r="F1957">
        <v>8.4</v>
      </c>
      <c r="G1957">
        <v>0.93</v>
      </c>
      <c r="H1957">
        <v>25</v>
      </c>
      <c r="I1957">
        <v>3000</v>
      </c>
      <c r="J1957">
        <v>1000</v>
      </c>
      <c r="K1957" t="s">
        <v>479</v>
      </c>
      <c r="L1957" t="s">
        <v>96</v>
      </c>
      <c r="M1957" t="s">
        <v>42</v>
      </c>
      <c r="N1957" t="b">
        <v>0</v>
      </c>
      <c r="O1957" t="s">
        <v>480</v>
      </c>
    </row>
    <row r="1958" spans="1:15" ht="15" customHeight="1">
      <c r="A1958" t="s">
        <v>903</v>
      </c>
      <c r="B1958" t="s">
        <v>2556</v>
      </c>
      <c r="C1958" t="s">
        <v>129</v>
      </c>
      <c r="D1958" t="s">
        <v>130</v>
      </c>
      <c r="E1958">
        <v>15</v>
      </c>
      <c r="F1958">
        <v>6.5</v>
      </c>
      <c r="G1958">
        <v>0.43</v>
      </c>
      <c r="H1958">
        <v>27</v>
      </c>
      <c r="I1958">
        <v>5000</v>
      </c>
      <c r="J1958">
        <v>1000</v>
      </c>
      <c r="K1958" t="s">
        <v>172</v>
      </c>
      <c r="L1958" t="s">
        <v>117</v>
      </c>
      <c r="M1958" t="s">
        <v>49</v>
      </c>
      <c r="N1958" t="b">
        <v>1</v>
      </c>
      <c r="O1958" t="s">
        <v>173</v>
      </c>
    </row>
    <row r="1959" spans="1:15" ht="15" customHeight="1">
      <c r="A1959" t="s">
        <v>196</v>
      </c>
      <c r="B1959" t="s">
        <v>2557</v>
      </c>
      <c r="C1959" t="s">
        <v>129</v>
      </c>
      <c r="D1959" t="s">
        <v>130</v>
      </c>
      <c r="E1959">
        <v>8</v>
      </c>
      <c r="F1959">
        <v>7.6</v>
      </c>
      <c r="G1959">
        <v>0.95</v>
      </c>
      <c r="H1959">
        <v>17</v>
      </c>
      <c r="I1959">
        <v>5000</v>
      </c>
      <c r="J1959">
        <v>1000</v>
      </c>
      <c r="K1959" t="s">
        <v>109</v>
      </c>
      <c r="L1959" t="s">
        <v>100</v>
      </c>
      <c r="M1959" t="s">
        <v>47</v>
      </c>
      <c r="N1959" t="b">
        <v>0</v>
      </c>
      <c r="O1959" t="s">
        <v>176</v>
      </c>
    </row>
    <row r="1960" spans="1:15" ht="15" customHeight="1">
      <c r="A1960" t="s">
        <v>369</v>
      </c>
      <c r="B1960" t="s">
        <v>2558</v>
      </c>
      <c r="C1960" t="s">
        <v>129</v>
      </c>
      <c r="D1960" t="s">
        <v>130</v>
      </c>
      <c r="E1960">
        <v>8</v>
      </c>
      <c r="F1960">
        <v>7</v>
      </c>
      <c r="G1960">
        <v>0.88</v>
      </c>
      <c r="H1960">
        <v>10</v>
      </c>
      <c r="I1960">
        <v>5000</v>
      </c>
      <c r="J1960">
        <v>1000</v>
      </c>
      <c r="K1960" t="s">
        <v>158</v>
      </c>
      <c r="L1960" t="s">
        <v>77</v>
      </c>
      <c r="M1960" t="s">
        <v>46</v>
      </c>
      <c r="N1960" t="b">
        <v>0</v>
      </c>
      <c r="O1960" t="s">
        <v>159</v>
      </c>
    </row>
    <row r="1961" spans="1:15" ht="15" customHeight="1">
      <c r="A1961" t="s">
        <v>781</v>
      </c>
      <c r="B1961" t="s">
        <v>2559</v>
      </c>
      <c r="C1961" t="s">
        <v>75</v>
      </c>
      <c r="D1961" t="s">
        <v>69</v>
      </c>
      <c r="E1961">
        <v>11</v>
      </c>
      <c r="F1961">
        <v>7.8</v>
      </c>
      <c r="G1961">
        <v>0.71</v>
      </c>
      <c r="H1961">
        <v>6</v>
      </c>
      <c r="I1961">
        <v>2000</v>
      </c>
      <c r="J1961">
        <v>1500</v>
      </c>
      <c r="K1961" t="s">
        <v>269</v>
      </c>
      <c r="L1961" t="s">
        <v>96</v>
      </c>
      <c r="M1961" t="s">
        <v>45</v>
      </c>
      <c r="N1961" t="b">
        <v>0</v>
      </c>
      <c r="O1961" t="s">
        <v>270</v>
      </c>
    </row>
    <row r="1962" spans="1:15" ht="15" customHeight="1">
      <c r="A1962" t="s">
        <v>536</v>
      </c>
      <c r="B1962" t="s">
        <v>2560</v>
      </c>
      <c r="C1962" t="s">
        <v>81</v>
      </c>
      <c r="D1962" t="s">
        <v>69</v>
      </c>
      <c r="E1962">
        <v>16</v>
      </c>
      <c r="F1962">
        <v>16</v>
      </c>
      <c r="G1962">
        <v>1</v>
      </c>
      <c r="H1962">
        <v>18</v>
      </c>
      <c r="I1962">
        <v>10000</v>
      </c>
      <c r="J1962">
        <v>3000</v>
      </c>
      <c r="K1962" t="s">
        <v>142</v>
      </c>
      <c r="L1962" t="s">
        <v>104</v>
      </c>
      <c r="M1962" t="s">
        <v>44</v>
      </c>
      <c r="N1962" t="b">
        <v>0</v>
      </c>
      <c r="O1962" t="s">
        <v>143</v>
      </c>
    </row>
    <row r="1963" spans="1:15" ht="15" customHeight="1">
      <c r="A1963" t="s">
        <v>218</v>
      </c>
      <c r="B1963" t="s">
        <v>2561</v>
      </c>
      <c r="C1963" t="s">
        <v>68</v>
      </c>
      <c r="D1963" t="s">
        <v>69</v>
      </c>
      <c r="E1963">
        <v>8</v>
      </c>
      <c r="F1963">
        <v>1</v>
      </c>
      <c r="G1963">
        <v>0.12</v>
      </c>
      <c r="H1963">
        <v>3</v>
      </c>
      <c r="I1963">
        <v>30000</v>
      </c>
      <c r="J1963">
        <v>5000</v>
      </c>
      <c r="K1963" t="s">
        <v>108</v>
      </c>
      <c r="L1963" t="s">
        <v>77</v>
      </c>
      <c r="M1963" t="s">
        <v>45</v>
      </c>
      <c r="N1963" t="b">
        <v>0</v>
      </c>
      <c r="O1963" t="s">
        <v>109</v>
      </c>
    </row>
    <row r="1964" spans="1:15" ht="15" customHeight="1">
      <c r="A1964" t="s">
        <v>542</v>
      </c>
      <c r="B1964" t="s">
        <v>2562</v>
      </c>
      <c r="C1964" t="s">
        <v>129</v>
      </c>
      <c r="D1964" t="s">
        <v>130</v>
      </c>
      <c r="E1964">
        <v>8</v>
      </c>
      <c r="F1964">
        <v>3.2</v>
      </c>
      <c r="G1964">
        <v>0.4</v>
      </c>
      <c r="H1964">
        <v>14</v>
      </c>
      <c r="I1964">
        <v>5000</v>
      </c>
      <c r="J1964">
        <v>1000</v>
      </c>
      <c r="K1964" t="s">
        <v>82</v>
      </c>
      <c r="L1964" t="s">
        <v>77</v>
      </c>
      <c r="M1964" t="s">
        <v>44</v>
      </c>
      <c r="N1964" t="b">
        <v>0</v>
      </c>
      <c r="O1964" t="s">
        <v>229</v>
      </c>
    </row>
    <row r="1965" spans="1:15" ht="15" customHeight="1">
      <c r="A1965" t="s">
        <v>857</v>
      </c>
      <c r="B1965" t="s">
        <v>2563</v>
      </c>
      <c r="C1965" t="s">
        <v>149</v>
      </c>
      <c r="D1965" t="s">
        <v>69</v>
      </c>
      <c r="E1965">
        <v>11</v>
      </c>
      <c r="F1965">
        <v>10.3</v>
      </c>
      <c r="G1965">
        <v>0.94</v>
      </c>
      <c r="H1965">
        <v>28</v>
      </c>
      <c r="I1965">
        <v>3000</v>
      </c>
      <c r="J1965">
        <v>1000</v>
      </c>
      <c r="K1965" t="s">
        <v>176</v>
      </c>
      <c r="L1965" t="s">
        <v>91</v>
      </c>
      <c r="M1965" t="s">
        <v>48</v>
      </c>
      <c r="N1965" t="b">
        <v>1</v>
      </c>
      <c r="O1965" t="s">
        <v>177</v>
      </c>
    </row>
    <row r="1966" spans="1:15" ht="15" customHeight="1">
      <c r="A1966" t="s">
        <v>1074</v>
      </c>
      <c r="B1966" t="s">
        <v>2564</v>
      </c>
      <c r="C1966" t="s">
        <v>149</v>
      </c>
      <c r="D1966" t="s">
        <v>69</v>
      </c>
      <c r="E1966">
        <v>9</v>
      </c>
      <c r="F1966">
        <v>6.3</v>
      </c>
      <c r="G1966">
        <v>0.7</v>
      </c>
      <c r="H1966">
        <v>15</v>
      </c>
      <c r="I1966">
        <v>3000</v>
      </c>
      <c r="J1966">
        <v>1000</v>
      </c>
      <c r="K1966" t="s">
        <v>438</v>
      </c>
      <c r="L1966" t="s">
        <v>71</v>
      </c>
      <c r="M1966" t="s">
        <v>42</v>
      </c>
      <c r="N1966" t="b">
        <v>0</v>
      </c>
      <c r="O1966" t="s">
        <v>90</v>
      </c>
    </row>
    <row r="1967" spans="1:15" ht="15" customHeight="1">
      <c r="A1967" t="s">
        <v>1093</v>
      </c>
      <c r="B1967" t="s">
        <v>2565</v>
      </c>
      <c r="C1967" t="s">
        <v>75</v>
      </c>
      <c r="D1967" t="s">
        <v>69</v>
      </c>
      <c r="E1967">
        <v>9</v>
      </c>
      <c r="F1967">
        <v>4.7</v>
      </c>
      <c r="G1967">
        <v>0.52</v>
      </c>
      <c r="H1967">
        <v>7</v>
      </c>
      <c r="I1967">
        <v>2000</v>
      </c>
      <c r="J1967">
        <v>1500</v>
      </c>
      <c r="K1967" t="s">
        <v>241</v>
      </c>
      <c r="L1967" t="s">
        <v>77</v>
      </c>
      <c r="M1967" t="s">
        <v>40</v>
      </c>
      <c r="N1967" t="b">
        <v>0</v>
      </c>
      <c r="O1967" t="s">
        <v>242</v>
      </c>
    </row>
    <row r="1968" spans="1:15" ht="15" customHeight="1">
      <c r="A1968" t="s">
        <v>860</v>
      </c>
      <c r="B1968" t="s">
        <v>2566</v>
      </c>
      <c r="C1968" t="s">
        <v>68</v>
      </c>
      <c r="D1968" t="s">
        <v>69</v>
      </c>
      <c r="E1968">
        <v>11</v>
      </c>
      <c r="F1968">
        <v>1</v>
      </c>
      <c r="G1968">
        <v>0.09</v>
      </c>
      <c r="H1968">
        <v>3</v>
      </c>
      <c r="I1968">
        <v>30000</v>
      </c>
      <c r="J1968">
        <v>5000</v>
      </c>
      <c r="K1968" t="s">
        <v>108</v>
      </c>
      <c r="L1968" t="s">
        <v>96</v>
      </c>
      <c r="M1968" t="s">
        <v>42</v>
      </c>
      <c r="N1968" t="b">
        <v>0</v>
      </c>
      <c r="O1968" t="s">
        <v>109</v>
      </c>
    </row>
    <row r="1969" spans="1:15" ht="15" customHeight="1">
      <c r="A1969" t="s">
        <v>636</v>
      </c>
      <c r="B1969" t="s">
        <v>2567</v>
      </c>
      <c r="C1969" t="s">
        <v>81</v>
      </c>
      <c r="D1969" t="s">
        <v>69</v>
      </c>
      <c r="E1969">
        <v>11</v>
      </c>
      <c r="F1969">
        <v>8.5</v>
      </c>
      <c r="G1969">
        <v>0.77</v>
      </c>
      <c r="H1969">
        <v>20</v>
      </c>
      <c r="I1969">
        <v>10000</v>
      </c>
      <c r="J1969">
        <v>3000</v>
      </c>
      <c r="K1969" t="s">
        <v>86</v>
      </c>
      <c r="L1969" t="s">
        <v>77</v>
      </c>
      <c r="M1969" t="s">
        <v>46</v>
      </c>
      <c r="N1969" t="b">
        <v>0</v>
      </c>
      <c r="O1969" t="s">
        <v>87</v>
      </c>
    </row>
    <row r="1970" spans="1:15" ht="15" customHeight="1">
      <c r="A1970" t="s">
        <v>441</v>
      </c>
      <c r="B1970" t="s">
        <v>2568</v>
      </c>
      <c r="C1970" t="s">
        <v>129</v>
      </c>
      <c r="D1970" t="s">
        <v>130</v>
      </c>
      <c r="E1970">
        <v>18</v>
      </c>
      <c r="F1970">
        <v>15.1</v>
      </c>
      <c r="G1970">
        <v>0.84</v>
      </c>
      <c r="H1970">
        <v>14</v>
      </c>
      <c r="I1970">
        <v>5000</v>
      </c>
      <c r="J1970">
        <v>1000</v>
      </c>
      <c r="K1970" t="s">
        <v>82</v>
      </c>
      <c r="L1970" t="s">
        <v>77</v>
      </c>
      <c r="M1970" t="s">
        <v>43</v>
      </c>
      <c r="N1970" t="b">
        <v>0</v>
      </c>
      <c r="O1970" t="s">
        <v>229</v>
      </c>
    </row>
    <row r="1971" spans="1:15" ht="15" customHeight="1">
      <c r="A1971" t="s">
        <v>897</v>
      </c>
      <c r="B1971" t="s">
        <v>2569</v>
      </c>
      <c r="C1971" t="s">
        <v>68</v>
      </c>
      <c r="D1971" t="s">
        <v>69</v>
      </c>
      <c r="E1971">
        <v>9</v>
      </c>
      <c r="F1971">
        <v>2.5</v>
      </c>
      <c r="G1971">
        <v>0.28000000000000003</v>
      </c>
      <c r="H1971">
        <v>4</v>
      </c>
      <c r="I1971">
        <v>30000</v>
      </c>
      <c r="J1971">
        <v>5000</v>
      </c>
      <c r="K1971" t="s">
        <v>95</v>
      </c>
      <c r="L1971" t="s">
        <v>104</v>
      </c>
      <c r="M1971" t="s">
        <v>49</v>
      </c>
      <c r="N1971" t="b">
        <v>0</v>
      </c>
      <c r="O1971" t="s">
        <v>97</v>
      </c>
    </row>
    <row r="1972" spans="1:15" ht="15" customHeight="1">
      <c r="A1972" t="s">
        <v>121</v>
      </c>
      <c r="B1972" t="s">
        <v>2570</v>
      </c>
      <c r="C1972" t="s">
        <v>68</v>
      </c>
      <c r="D1972" t="s">
        <v>69</v>
      </c>
      <c r="E1972">
        <v>14</v>
      </c>
      <c r="F1972">
        <v>1</v>
      </c>
      <c r="G1972">
        <v>7.0000000000000007E-2</v>
      </c>
      <c r="H1972">
        <v>2</v>
      </c>
      <c r="I1972">
        <v>30000</v>
      </c>
      <c r="J1972">
        <v>5000</v>
      </c>
      <c r="K1972" t="s">
        <v>162</v>
      </c>
      <c r="L1972" t="s">
        <v>91</v>
      </c>
      <c r="M1972" t="s">
        <v>47</v>
      </c>
      <c r="N1972" t="b">
        <v>1</v>
      </c>
      <c r="O1972" t="s">
        <v>163</v>
      </c>
    </row>
    <row r="1973" spans="1:15" ht="15" customHeight="1">
      <c r="A1973" t="s">
        <v>230</v>
      </c>
      <c r="B1973" t="s">
        <v>2571</v>
      </c>
      <c r="C1973" t="s">
        <v>81</v>
      </c>
      <c r="D1973" t="s">
        <v>69</v>
      </c>
      <c r="E1973">
        <v>18</v>
      </c>
      <c r="F1973">
        <v>12.9</v>
      </c>
      <c r="G1973">
        <v>0.72</v>
      </c>
      <c r="H1973">
        <v>23</v>
      </c>
      <c r="I1973">
        <v>10000</v>
      </c>
      <c r="J1973">
        <v>3000</v>
      </c>
      <c r="K1973" t="s">
        <v>626</v>
      </c>
      <c r="L1973" t="s">
        <v>91</v>
      </c>
      <c r="M1973" t="s">
        <v>40</v>
      </c>
      <c r="N1973" t="b">
        <v>1</v>
      </c>
      <c r="O1973" t="s">
        <v>627</v>
      </c>
    </row>
    <row r="1974" spans="1:15" ht="15" customHeight="1">
      <c r="A1974" t="s">
        <v>794</v>
      </c>
      <c r="B1974" t="s">
        <v>2572</v>
      </c>
      <c r="C1974" t="s">
        <v>149</v>
      </c>
      <c r="D1974" t="s">
        <v>69</v>
      </c>
      <c r="E1974">
        <v>10</v>
      </c>
      <c r="F1974">
        <v>6.9</v>
      </c>
      <c r="G1974">
        <v>0.69</v>
      </c>
      <c r="H1974">
        <v>32</v>
      </c>
      <c r="I1974">
        <v>3000</v>
      </c>
      <c r="J1974">
        <v>1000</v>
      </c>
      <c r="K1974" t="s">
        <v>576</v>
      </c>
      <c r="L1974" t="s">
        <v>96</v>
      </c>
      <c r="M1974" t="s">
        <v>45</v>
      </c>
      <c r="N1974" t="b">
        <v>0</v>
      </c>
      <c r="O1974" t="s">
        <v>336</v>
      </c>
    </row>
    <row r="1975" spans="1:15" ht="15" customHeight="1">
      <c r="A1975" t="s">
        <v>843</v>
      </c>
      <c r="B1975" t="s">
        <v>2573</v>
      </c>
      <c r="C1975" t="s">
        <v>149</v>
      </c>
      <c r="D1975" t="s">
        <v>69</v>
      </c>
      <c r="E1975">
        <v>8</v>
      </c>
      <c r="F1975">
        <v>7.7</v>
      </c>
      <c r="G1975">
        <v>0.96</v>
      </c>
      <c r="H1975">
        <v>17</v>
      </c>
      <c r="I1975">
        <v>3000</v>
      </c>
      <c r="J1975">
        <v>1000</v>
      </c>
      <c r="K1975" t="s">
        <v>634</v>
      </c>
      <c r="L1975" t="s">
        <v>71</v>
      </c>
      <c r="M1975" t="s">
        <v>44</v>
      </c>
      <c r="N1975" t="b">
        <v>0</v>
      </c>
      <c r="O1975" t="s">
        <v>158</v>
      </c>
    </row>
    <row r="1976" spans="1:15" ht="15" customHeight="1">
      <c r="A1976" t="s">
        <v>742</v>
      </c>
      <c r="B1976" t="s">
        <v>2574</v>
      </c>
      <c r="C1976" t="s">
        <v>149</v>
      </c>
      <c r="D1976" t="s">
        <v>69</v>
      </c>
      <c r="E1976">
        <v>9</v>
      </c>
      <c r="F1976">
        <v>8.5</v>
      </c>
      <c r="G1976">
        <v>0.94</v>
      </c>
      <c r="H1976">
        <v>25</v>
      </c>
      <c r="I1976">
        <v>3000</v>
      </c>
      <c r="J1976">
        <v>1000</v>
      </c>
      <c r="K1976" t="s">
        <v>479</v>
      </c>
      <c r="L1976" t="s">
        <v>117</v>
      </c>
      <c r="M1976" t="s">
        <v>48</v>
      </c>
      <c r="N1976" t="b">
        <v>1</v>
      </c>
      <c r="O1976" t="s">
        <v>480</v>
      </c>
    </row>
    <row r="1977" spans="1:15" ht="15" customHeight="1">
      <c r="A1977" t="s">
        <v>970</v>
      </c>
      <c r="B1977" t="s">
        <v>2575</v>
      </c>
      <c r="C1977" t="s">
        <v>81</v>
      </c>
      <c r="D1977" t="s">
        <v>69</v>
      </c>
      <c r="E1977">
        <v>14</v>
      </c>
      <c r="F1977">
        <v>11.2</v>
      </c>
      <c r="G1977">
        <v>0.8</v>
      </c>
      <c r="H1977">
        <v>6</v>
      </c>
      <c r="I1977">
        <v>10000</v>
      </c>
      <c r="J1977">
        <v>3000</v>
      </c>
      <c r="K1977" t="s">
        <v>162</v>
      </c>
      <c r="L1977" t="s">
        <v>117</v>
      </c>
      <c r="M1977" t="s">
        <v>46</v>
      </c>
      <c r="N1977" t="b">
        <v>1</v>
      </c>
      <c r="O1977" t="s">
        <v>198</v>
      </c>
    </row>
    <row r="1978" spans="1:15" ht="15" customHeight="1">
      <c r="A1978" t="s">
        <v>1186</v>
      </c>
      <c r="B1978" t="s">
        <v>2576</v>
      </c>
      <c r="C1978" t="s">
        <v>68</v>
      </c>
      <c r="D1978" t="s">
        <v>69</v>
      </c>
      <c r="E1978">
        <v>8</v>
      </c>
      <c r="F1978">
        <v>1.3</v>
      </c>
      <c r="G1978">
        <v>0.16</v>
      </c>
      <c r="H1978">
        <v>2</v>
      </c>
      <c r="I1978">
        <v>30000</v>
      </c>
      <c r="J1978">
        <v>5000</v>
      </c>
      <c r="K1978" t="s">
        <v>162</v>
      </c>
      <c r="L1978" t="s">
        <v>96</v>
      </c>
      <c r="M1978" t="s">
        <v>42</v>
      </c>
      <c r="N1978" t="b">
        <v>0</v>
      </c>
      <c r="O1978" t="s">
        <v>163</v>
      </c>
    </row>
    <row r="1979" spans="1:15" ht="15" customHeight="1">
      <c r="A1979" t="s">
        <v>255</v>
      </c>
      <c r="B1979" t="s">
        <v>2577</v>
      </c>
      <c r="C1979" t="s">
        <v>81</v>
      </c>
      <c r="D1979" t="s">
        <v>69</v>
      </c>
      <c r="E1979">
        <v>8</v>
      </c>
      <c r="F1979">
        <v>5.3</v>
      </c>
      <c r="G1979">
        <v>0.66</v>
      </c>
      <c r="H1979">
        <v>20</v>
      </c>
      <c r="I1979">
        <v>10000</v>
      </c>
      <c r="J1979">
        <v>3000</v>
      </c>
      <c r="K1979" t="s">
        <v>86</v>
      </c>
      <c r="L1979" t="s">
        <v>96</v>
      </c>
      <c r="M1979" t="s">
        <v>47</v>
      </c>
      <c r="N1979" t="b">
        <v>0</v>
      </c>
      <c r="O1979" t="s">
        <v>87</v>
      </c>
    </row>
    <row r="1980" spans="1:15" ht="15" customHeight="1">
      <c r="A1980" t="s">
        <v>296</v>
      </c>
      <c r="B1980" t="s">
        <v>2578</v>
      </c>
      <c r="C1980" t="s">
        <v>129</v>
      </c>
      <c r="D1980" t="s">
        <v>130</v>
      </c>
      <c r="E1980">
        <v>10</v>
      </c>
      <c r="F1980">
        <v>4.7</v>
      </c>
      <c r="G1980">
        <v>0.47</v>
      </c>
      <c r="H1980">
        <v>6</v>
      </c>
      <c r="I1980">
        <v>5000</v>
      </c>
      <c r="J1980">
        <v>1000</v>
      </c>
      <c r="K1980" t="s">
        <v>70</v>
      </c>
      <c r="L1980" t="s">
        <v>100</v>
      </c>
      <c r="M1980" t="s">
        <v>50</v>
      </c>
      <c r="N1980" t="b">
        <v>0</v>
      </c>
      <c r="O1980" t="s">
        <v>331</v>
      </c>
    </row>
    <row r="1981" spans="1:15" ht="15" customHeight="1">
      <c r="A1981" t="s">
        <v>160</v>
      </c>
      <c r="B1981" t="s">
        <v>2579</v>
      </c>
      <c r="C1981" t="s">
        <v>68</v>
      </c>
      <c r="D1981" t="s">
        <v>69</v>
      </c>
      <c r="E1981">
        <v>10</v>
      </c>
      <c r="F1981">
        <v>3.8</v>
      </c>
      <c r="G1981">
        <v>0.38</v>
      </c>
      <c r="H1981">
        <v>2</v>
      </c>
      <c r="I1981">
        <v>30000</v>
      </c>
      <c r="J1981">
        <v>5000</v>
      </c>
      <c r="K1981" t="s">
        <v>162</v>
      </c>
      <c r="L1981" t="s">
        <v>71</v>
      </c>
      <c r="M1981" t="s">
        <v>45</v>
      </c>
      <c r="N1981" t="b">
        <v>0</v>
      </c>
      <c r="O1981" t="s">
        <v>163</v>
      </c>
    </row>
    <row r="1982" spans="1:15" ht="15" customHeight="1">
      <c r="A1982" t="s">
        <v>946</v>
      </c>
      <c r="B1982" t="s">
        <v>2580</v>
      </c>
      <c r="C1982" t="s">
        <v>149</v>
      </c>
      <c r="D1982" t="s">
        <v>69</v>
      </c>
      <c r="E1982">
        <v>11</v>
      </c>
      <c r="F1982">
        <v>7.8</v>
      </c>
      <c r="G1982">
        <v>0.71</v>
      </c>
      <c r="H1982">
        <v>32</v>
      </c>
      <c r="I1982">
        <v>3000</v>
      </c>
      <c r="J1982">
        <v>1000</v>
      </c>
      <c r="K1982" t="s">
        <v>576</v>
      </c>
      <c r="L1982" t="s">
        <v>100</v>
      </c>
      <c r="M1982" t="s">
        <v>51</v>
      </c>
      <c r="N1982" t="b">
        <v>0</v>
      </c>
      <c r="O1982" t="s">
        <v>336</v>
      </c>
    </row>
    <row r="1983" spans="1:15" ht="15" customHeight="1">
      <c r="A1983" t="s">
        <v>218</v>
      </c>
      <c r="B1983" t="s">
        <v>2581</v>
      </c>
      <c r="C1983" t="s">
        <v>149</v>
      </c>
      <c r="D1983" t="s">
        <v>69</v>
      </c>
      <c r="E1983">
        <v>12</v>
      </c>
      <c r="F1983">
        <v>8.9</v>
      </c>
      <c r="G1983">
        <v>0.74</v>
      </c>
      <c r="H1983">
        <v>37</v>
      </c>
      <c r="I1983">
        <v>3000</v>
      </c>
      <c r="J1983">
        <v>1000</v>
      </c>
      <c r="K1983" t="s">
        <v>672</v>
      </c>
      <c r="L1983" t="s">
        <v>77</v>
      </c>
      <c r="M1983" t="s">
        <v>45</v>
      </c>
      <c r="N1983" t="b">
        <v>0</v>
      </c>
      <c r="O1983" t="s">
        <v>134</v>
      </c>
    </row>
    <row r="1984" spans="1:15" ht="15" customHeight="1">
      <c r="A1984" t="s">
        <v>682</v>
      </c>
      <c r="B1984" t="s">
        <v>2582</v>
      </c>
      <c r="C1984" t="s">
        <v>149</v>
      </c>
      <c r="D1984" t="s">
        <v>69</v>
      </c>
      <c r="E1984">
        <v>12</v>
      </c>
      <c r="F1984">
        <v>7.3</v>
      </c>
      <c r="G1984">
        <v>0.61</v>
      </c>
      <c r="H1984">
        <v>21</v>
      </c>
      <c r="I1984">
        <v>3000</v>
      </c>
      <c r="J1984">
        <v>1000</v>
      </c>
      <c r="K1984" t="s">
        <v>380</v>
      </c>
      <c r="L1984" t="s">
        <v>91</v>
      </c>
      <c r="M1984" t="s">
        <v>46</v>
      </c>
      <c r="N1984" t="b">
        <v>1</v>
      </c>
      <c r="O1984" t="s">
        <v>381</v>
      </c>
    </row>
    <row r="1985" spans="1:15" ht="15" customHeight="1">
      <c r="A1985" t="s">
        <v>544</v>
      </c>
      <c r="B1985" t="s">
        <v>2583</v>
      </c>
      <c r="C1985" t="s">
        <v>75</v>
      </c>
      <c r="D1985" t="s">
        <v>69</v>
      </c>
      <c r="E1985">
        <v>15</v>
      </c>
      <c r="F1985">
        <v>11.8</v>
      </c>
      <c r="G1985">
        <v>0.79</v>
      </c>
      <c r="H1985">
        <v>16</v>
      </c>
      <c r="I1985">
        <v>2000</v>
      </c>
      <c r="J1985">
        <v>1500</v>
      </c>
      <c r="K1985" t="s">
        <v>938</v>
      </c>
      <c r="L1985" t="s">
        <v>100</v>
      </c>
      <c r="M1985" t="s">
        <v>42</v>
      </c>
      <c r="N1985" t="b">
        <v>0</v>
      </c>
      <c r="O1985" t="s">
        <v>939</v>
      </c>
    </row>
    <row r="1986" spans="1:15" ht="15" customHeight="1">
      <c r="A1986" t="s">
        <v>66</v>
      </c>
      <c r="B1986" t="s">
        <v>2584</v>
      </c>
      <c r="C1986" t="s">
        <v>68</v>
      </c>
      <c r="D1986" t="s">
        <v>69</v>
      </c>
      <c r="E1986">
        <v>10</v>
      </c>
      <c r="F1986">
        <v>1</v>
      </c>
      <c r="G1986">
        <v>0.1</v>
      </c>
      <c r="H1986">
        <v>5</v>
      </c>
      <c r="I1986">
        <v>30000</v>
      </c>
      <c r="J1986">
        <v>5000</v>
      </c>
      <c r="K1986" t="s">
        <v>112</v>
      </c>
      <c r="L1986" t="s">
        <v>71</v>
      </c>
      <c r="M1986" t="s">
        <v>51</v>
      </c>
      <c r="N1986" t="b">
        <v>0</v>
      </c>
      <c r="O1986" t="s">
        <v>113</v>
      </c>
    </row>
    <row r="1987" spans="1:15" ht="15" customHeight="1">
      <c r="A1987" t="s">
        <v>503</v>
      </c>
      <c r="B1987" t="s">
        <v>2585</v>
      </c>
      <c r="C1987" t="s">
        <v>149</v>
      </c>
      <c r="D1987" t="s">
        <v>69</v>
      </c>
      <c r="E1987">
        <v>9</v>
      </c>
      <c r="F1987">
        <v>7.5</v>
      </c>
      <c r="G1987">
        <v>0.83</v>
      </c>
      <c r="H1987">
        <v>37</v>
      </c>
      <c r="I1987">
        <v>3000</v>
      </c>
      <c r="J1987">
        <v>1000</v>
      </c>
      <c r="K1987" t="s">
        <v>672</v>
      </c>
      <c r="L1987" t="s">
        <v>91</v>
      </c>
      <c r="M1987" t="s">
        <v>43</v>
      </c>
      <c r="N1987" t="b">
        <v>1</v>
      </c>
      <c r="O1987" t="s">
        <v>134</v>
      </c>
    </row>
    <row r="1988" spans="1:15" ht="15" customHeight="1">
      <c r="A1988" t="s">
        <v>632</v>
      </c>
      <c r="B1988" t="s">
        <v>2586</v>
      </c>
      <c r="C1988" t="s">
        <v>81</v>
      </c>
      <c r="D1988" t="s">
        <v>69</v>
      </c>
      <c r="E1988">
        <v>18</v>
      </c>
      <c r="F1988">
        <v>9.3000000000000007</v>
      </c>
      <c r="G1988">
        <v>0.52</v>
      </c>
      <c r="H1988">
        <v>19</v>
      </c>
      <c r="I1988">
        <v>10000</v>
      </c>
      <c r="J1988">
        <v>3000</v>
      </c>
      <c r="K1988" t="s">
        <v>309</v>
      </c>
      <c r="L1988" t="s">
        <v>117</v>
      </c>
      <c r="M1988" t="s">
        <v>41</v>
      </c>
      <c r="N1988" t="b">
        <v>1</v>
      </c>
      <c r="O1988" t="s">
        <v>310</v>
      </c>
    </row>
    <row r="1989" spans="1:15" ht="15" customHeight="1">
      <c r="A1989" t="s">
        <v>696</v>
      </c>
      <c r="B1989" t="s">
        <v>2587</v>
      </c>
      <c r="C1989" t="s">
        <v>149</v>
      </c>
      <c r="D1989" t="s">
        <v>69</v>
      </c>
      <c r="E1989">
        <v>12</v>
      </c>
      <c r="F1989">
        <v>11.7</v>
      </c>
      <c r="G1989">
        <v>0.97</v>
      </c>
      <c r="H1989">
        <v>30</v>
      </c>
      <c r="I1989">
        <v>3000</v>
      </c>
      <c r="J1989">
        <v>1000</v>
      </c>
      <c r="K1989" t="s">
        <v>108</v>
      </c>
      <c r="L1989" t="s">
        <v>96</v>
      </c>
      <c r="M1989" t="s">
        <v>47</v>
      </c>
      <c r="N1989" t="b">
        <v>0</v>
      </c>
      <c r="O1989" t="s">
        <v>166</v>
      </c>
    </row>
    <row r="1990" spans="1:15" ht="15" customHeight="1">
      <c r="A1990" t="s">
        <v>538</v>
      </c>
      <c r="B1990" t="s">
        <v>2588</v>
      </c>
      <c r="C1990" t="s">
        <v>129</v>
      </c>
      <c r="D1990" t="s">
        <v>130</v>
      </c>
      <c r="E1990">
        <v>12</v>
      </c>
      <c r="F1990">
        <v>5.3</v>
      </c>
      <c r="G1990">
        <v>0.44</v>
      </c>
      <c r="H1990">
        <v>25</v>
      </c>
      <c r="I1990">
        <v>5000</v>
      </c>
      <c r="J1990">
        <v>1000</v>
      </c>
      <c r="K1990" t="s">
        <v>245</v>
      </c>
      <c r="L1990" t="s">
        <v>96</v>
      </c>
      <c r="M1990" t="s">
        <v>50</v>
      </c>
      <c r="N1990" t="b">
        <v>0</v>
      </c>
      <c r="O1990" t="s">
        <v>246</v>
      </c>
    </row>
    <row r="1991" spans="1:15" ht="15" customHeight="1">
      <c r="A1991" t="s">
        <v>376</v>
      </c>
      <c r="B1991" t="s">
        <v>2589</v>
      </c>
      <c r="C1991" t="s">
        <v>129</v>
      </c>
      <c r="D1991" t="s">
        <v>130</v>
      </c>
      <c r="E1991">
        <v>12</v>
      </c>
      <c r="F1991">
        <v>8.3000000000000007</v>
      </c>
      <c r="G1991">
        <v>0.69</v>
      </c>
      <c r="H1991">
        <v>29</v>
      </c>
      <c r="I1991">
        <v>5000</v>
      </c>
      <c r="J1991">
        <v>1000</v>
      </c>
      <c r="K1991" t="s">
        <v>113</v>
      </c>
      <c r="L1991" t="s">
        <v>77</v>
      </c>
      <c r="M1991" t="s">
        <v>50</v>
      </c>
      <c r="N1991" t="b">
        <v>0</v>
      </c>
      <c r="O1991" t="s">
        <v>146</v>
      </c>
    </row>
    <row r="1992" spans="1:15" ht="15" customHeight="1">
      <c r="A1992" t="s">
        <v>152</v>
      </c>
      <c r="B1992" t="s">
        <v>2590</v>
      </c>
      <c r="C1992" t="s">
        <v>68</v>
      </c>
      <c r="D1992" t="s">
        <v>69</v>
      </c>
      <c r="E1992">
        <v>10</v>
      </c>
      <c r="F1992">
        <v>2.1</v>
      </c>
      <c r="G1992">
        <v>0.21</v>
      </c>
      <c r="H1992">
        <v>3</v>
      </c>
      <c r="I1992">
        <v>30000</v>
      </c>
      <c r="J1992">
        <v>5000</v>
      </c>
      <c r="K1992" t="s">
        <v>108</v>
      </c>
      <c r="L1992" t="s">
        <v>71</v>
      </c>
      <c r="M1992" t="s">
        <v>48</v>
      </c>
      <c r="N1992" t="b">
        <v>0</v>
      </c>
      <c r="O1992" t="s">
        <v>109</v>
      </c>
    </row>
    <row r="1993" spans="1:15" ht="15" customHeight="1">
      <c r="A1993" t="s">
        <v>285</v>
      </c>
      <c r="B1993" t="s">
        <v>2591</v>
      </c>
      <c r="C1993" t="s">
        <v>149</v>
      </c>
      <c r="D1993" t="s">
        <v>69</v>
      </c>
      <c r="E1993">
        <v>10</v>
      </c>
      <c r="F1993">
        <v>8.4</v>
      </c>
      <c r="G1993">
        <v>0.84</v>
      </c>
      <c r="H1993">
        <v>37</v>
      </c>
      <c r="I1993">
        <v>3000</v>
      </c>
      <c r="J1993">
        <v>1000</v>
      </c>
      <c r="K1993" t="s">
        <v>672</v>
      </c>
      <c r="L1993" t="s">
        <v>77</v>
      </c>
      <c r="M1993" t="s">
        <v>45</v>
      </c>
      <c r="N1993" t="b">
        <v>0</v>
      </c>
      <c r="O1993" t="s">
        <v>134</v>
      </c>
    </row>
    <row r="1994" spans="1:15" ht="15" customHeight="1">
      <c r="A1994" t="s">
        <v>1084</v>
      </c>
      <c r="B1994" t="s">
        <v>2592</v>
      </c>
      <c r="C1994" t="s">
        <v>149</v>
      </c>
      <c r="D1994" t="s">
        <v>69</v>
      </c>
      <c r="E1994">
        <v>8</v>
      </c>
      <c r="F1994">
        <v>6.2</v>
      </c>
      <c r="G1994">
        <v>0.78</v>
      </c>
      <c r="H1994">
        <v>38</v>
      </c>
      <c r="I1994">
        <v>3000</v>
      </c>
      <c r="J1994">
        <v>1000</v>
      </c>
      <c r="K1994" t="s">
        <v>220</v>
      </c>
      <c r="L1994" t="s">
        <v>77</v>
      </c>
      <c r="M1994" t="s">
        <v>44</v>
      </c>
      <c r="N1994" t="b">
        <v>0</v>
      </c>
      <c r="O1994" t="s">
        <v>785</v>
      </c>
    </row>
    <row r="1995" spans="1:15" ht="15" customHeight="1">
      <c r="A1995" t="s">
        <v>691</v>
      </c>
      <c r="B1995" t="s">
        <v>2593</v>
      </c>
      <c r="C1995" t="s">
        <v>75</v>
      </c>
      <c r="D1995" t="s">
        <v>69</v>
      </c>
      <c r="E1995">
        <v>8</v>
      </c>
      <c r="F1995">
        <v>7.1</v>
      </c>
      <c r="G1995">
        <v>0.89</v>
      </c>
      <c r="H1995">
        <v>12</v>
      </c>
      <c r="I1995">
        <v>2000</v>
      </c>
      <c r="J1995">
        <v>1500</v>
      </c>
      <c r="K1995" t="s">
        <v>265</v>
      </c>
      <c r="L1995" t="s">
        <v>100</v>
      </c>
      <c r="M1995" t="s">
        <v>47</v>
      </c>
      <c r="N1995" t="b">
        <v>0</v>
      </c>
      <c r="O1995" t="s">
        <v>266</v>
      </c>
    </row>
    <row r="1996" spans="1:15" ht="15" customHeight="1">
      <c r="A1996" t="s">
        <v>271</v>
      </c>
      <c r="B1996" t="s">
        <v>2594</v>
      </c>
      <c r="C1996" t="s">
        <v>75</v>
      </c>
      <c r="D1996" t="s">
        <v>69</v>
      </c>
      <c r="E1996">
        <v>18</v>
      </c>
      <c r="F1996">
        <v>9.1</v>
      </c>
      <c r="G1996">
        <v>0.51</v>
      </c>
      <c r="H1996">
        <v>26</v>
      </c>
      <c r="I1996">
        <v>2000</v>
      </c>
      <c r="J1996">
        <v>1500</v>
      </c>
      <c r="K1996" t="s">
        <v>298</v>
      </c>
      <c r="L1996" t="s">
        <v>91</v>
      </c>
      <c r="M1996" t="s">
        <v>41</v>
      </c>
      <c r="N1996" t="b">
        <v>1</v>
      </c>
      <c r="O1996" t="s">
        <v>299</v>
      </c>
    </row>
    <row r="1997" spans="1:15" ht="15" customHeight="1">
      <c r="A1997" t="s">
        <v>875</v>
      </c>
      <c r="B1997" t="s">
        <v>2595</v>
      </c>
      <c r="C1997" t="s">
        <v>149</v>
      </c>
      <c r="D1997" t="s">
        <v>69</v>
      </c>
      <c r="E1997">
        <v>10</v>
      </c>
      <c r="F1997">
        <v>6.8</v>
      </c>
      <c r="G1997">
        <v>0.68</v>
      </c>
      <c r="H1997">
        <v>34</v>
      </c>
      <c r="I1997">
        <v>3000</v>
      </c>
      <c r="J1997">
        <v>1000</v>
      </c>
      <c r="K1997" t="s">
        <v>433</v>
      </c>
      <c r="L1997" t="s">
        <v>96</v>
      </c>
      <c r="M1997" t="s">
        <v>47</v>
      </c>
      <c r="N1997" t="b">
        <v>0</v>
      </c>
      <c r="O1997" t="s">
        <v>434</v>
      </c>
    </row>
    <row r="1998" spans="1:15" ht="15" customHeight="1">
      <c r="A1998" t="s">
        <v>570</v>
      </c>
      <c r="B1998" t="s">
        <v>2596</v>
      </c>
      <c r="C1998" t="s">
        <v>81</v>
      </c>
      <c r="D1998" t="s">
        <v>69</v>
      </c>
      <c r="E1998">
        <v>16</v>
      </c>
      <c r="F1998">
        <v>14.6</v>
      </c>
      <c r="G1998">
        <v>0.91</v>
      </c>
      <c r="H1998">
        <v>23</v>
      </c>
      <c r="I1998">
        <v>10000</v>
      </c>
      <c r="J1998">
        <v>3000</v>
      </c>
      <c r="K1998" t="s">
        <v>626</v>
      </c>
      <c r="L1998" t="s">
        <v>96</v>
      </c>
      <c r="M1998" t="s">
        <v>44</v>
      </c>
      <c r="N1998" t="b">
        <v>0</v>
      </c>
      <c r="O1998" t="s">
        <v>627</v>
      </c>
    </row>
    <row r="1999" spans="1:15" ht="15" customHeight="1">
      <c r="A1999" t="s">
        <v>263</v>
      </c>
      <c r="B1999" t="s">
        <v>2597</v>
      </c>
      <c r="C1999" t="s">
        <v>68</v>
      </c>
      <c r="D1999" t="s">
        <v>69</v>
      </c>
      <c r="E1999">
        <v>13</v>
      </c>
      <c r="F1999">
        <v>3.9</v>
      </c>
      <c r="G1999">
        <v>0.3</v>
      </c>
      <c r="H1999">
        <v>3</v>
      </c>
      <c r="I1999">
        <v>30000</v>
      </c>
      <c r="J1999">
        <v>5000</v>
      </c>
      <c r="K1999" t="s">
        <v>108</v>
      </c>
      <c r="L1999" t="s">
        <v>96</v>
      </c>
      <c r="M1999" t="s">
        <v>44</v>
      </c>
      <c r="N1999" t="b">
        <v>0</v>
      </c>
      <c r="O1999" t="s">
        <v>109</v>
      </c>
    </row>
    <row r="2000" spans="1:15" ht="15" customHeight="1">
      <c r="A2000" t="s">
        <v>964</v>
      </c>
      <c r="B2000" t="s">
        <v>2598</v>
      </c>
      <c r="C2000" t="s">
        <v>149</v>
      </c>
      <c r="D2000" t="s">
        <v>69</v>
      </c>
      <c r="E2000">
        <v>9</v>
      </c>
      <c r="F2000">
        <v>8.9</v>
      </c>
      <c r="G2000">
        <v>0.99</v>
      </c>
      <c r="H2000">
        <v>38</v>
      </c>
      <c r="I2000">
        <v>3000</v>
      </c>
      <c r="J2000">
        <v>1000</v>
      </c>
      <c r="K2000" t="s">
        <v>220</v>
      </c>
      <c r="L2000" t="s">
        <v>96</v>
      </c>
      <c r="M2000" t="s">
        <v>48</v>
      </c>
      <c r="N2000" t="b">
        <v>0</v>
      </c>
      <c r="O2000" t="s">
        <v>785</v>
      </c>
    </row>
    <row r="2001" spans="1:15" ht="15" customHeight="1">
      <c r="A2001" t="s">
        <v>674</v>
      </c>
      <c r="B2001" t="s">
        <v>2599</v>
      </c>
      <c r="C2001" t="s">
        <v>149</v>
      </c>
      <c r="D2001" t="s">
        <v>69</v>
      </c>
      <c r="E2001">
        <v>8</v>
      </c>
      <c r="F2001">
        <v>6.6</v>
      </c>
      <c r="G2001">
        <v>0.82</v>
      </c>
      <c r="H2001">
        <v>21</v>
      </c>
      <c r="I2001">
        <v>3000</v>
      </c>
      <c r="J2001">
        <v>1000</v>
      </c>
      <c r="K2001" t="s">
        <v>380</v>
      </c>
      <c r="L2001" t="s">
        <v>100</v>
      </c>
      <c r="M2001" t="s">
        <v>40</v>
      </c>
      <c r="N2001" t="b">
        <v>0</v>
      </c>
      <c r="O2001" t="s">
        <v>381</v>
      </c>
    </row>
    <row r="2002" spans="1:15" ht="15" customHeight="1">
      <c r="A2002" t="s">
        <v>340</v>
      </c>
      <c r="B2002" t="s">
        <v>2600</v>
      </c>
      <c r="C2002" t="s">
        <v>149</v>
      </c>
      <c r="D2002" t="s">
        <v>69</v>
      </c>
      <c r="E2002">
        <v>9</v>
      </c>
      <c r="F2002">
        <v>7</v>
      </c>
      <c r="G2002">
        <v>0.78</v>
      </c>
      <c r="H2002">
        <v>34</v>
      </c>
      <c r="I2002">
        <v>3000</v>
      </c>
      <c r="J2002">
        <v>1000</v>
      </c>
      <c r="K2002" t="s">
        <v>433</v>
      </c>
      <c r="L2002" t="s">
        <v>117</v>
      </c>
      <c r="M2002" t="s">
        <v>45</v>
      </c>
      <c r="N2002" t="b">
        <v>1</v>
      </c>
      <c r="O2002" t="s">
        <v>434</v>
      </c>
    </row>
    <row r="2003" spans="1:15" ht="15" customHeight="1">
      <c r="A2003" t="s">
        <v>580</v>
      </c>
      <c r="B2003" t="s">
        <v>2601</v>
      </c>
      <c r="C2003" t="s">
        <v>68</v>
      </c>
      <c r="D2003" t="s">
        <v>69</v>
      </c>
      <c r="E2003">
        <v>9</v>
      </c>
      <c r="F2003">
        <v>2.2999999999999998</v>
      </c>
      <c r="G2003">
        <v>0.26</v>
      </c>
      <c r="H2003">
        <v>5</v>
      </c>
      <c r="I2003">
        <v>30000</v>
      </c>
      <c r="J2003">
        <v>5000</v>
      </c>
      <c r="K2003" t="s">
        <v>112</v>
      </c>
      <c r="L2003" t="s">
        <v>96</v>
      </c>
      <c r="M2003" t="s">
        <v>43</v>
      </c>
      <c r="N2003" t="b">
        <v>0</v>
      </c>
      <c r="O2003" t="s">
        <v>113</v>
      </c>
    </row>
    <row r="2004" spans="1:15" ht="15" customHeight="1">
      <c r="A2004" t="s">
        <v>676</v>
      </c>
      <c r="B2004" t="s">
        <v>2602</v>
      </c>
      <c r="C2004" t="s">
        <v>129</v>
      </c>
      <c r="D2004" t="s">
        <v>130</v>
      </c>
      <c r="E2004">
        <v>15</v>
      </c>
      <c r="F2004">
        <v>7.1</v>
      </c>
      <c r="G2004">
        <v>0.47</v>
      </c>
      <c r="H2004">
        <v>24</v>
      </c>
      <c r="I2004">
        <v>5000</v>
      </c>
      <c r="J2004">
        <v>1000</v>
      </c>
      <c r="K2004" t="s">
        <v>95</v>
      </c>
      <c r="L2004" t="s">
        <v>71</v>
      </c>
      <c r="M2004" t="s">
        <v>49</v>
      </c>
      <c r="N2004" t="b">
        <v>0</v>
      </c>
      <c r="O2004" t="s">
        <v>217</v>
      </c>
    </row>
    <row r="2005" spans="1:15" ht="15" customHeight="1">
      <c r="A2005" t="s">
        <v>230</v>
      </c>
      <c r="B2005" t="s">
        <v>2603</v>
      </c>
      <c r="C2005" t="s">
        <v>81</v>
      </c>
      <c r="D2005" t="s">
        <v>69</v>
      </c>
      <c r="E2005">
        <v>15</v>
      </c>
      <c r="F2005">
        <v>10.3</v>
      </c>
      <c r="G2005">
        <v>0.69</v>
      </c>
      <c r="H2005">
        <v>28</v>
      </c>
      <c r="I2005">
        <v>10000</v>
      </c>
      <c r="J2005">
        <v>3000</v>
      </c>
      <c r="K2005" t="s">
        <v>966</v>
      </c>
      <c r="L2005" t="s">
        <v>91</v>
      </c>
      <c r="M2005" t="s">
        <v>40</v>
      </c>
      <c r="N2005" t="b">
        <v>1</v>
      </c>
      <c r="O2005" t="s">
        <v>967</v>
      </c>
    </row>
    <row r="2006" spans="1:15" ht="15" customHeight="1">
      <c r="A2006" t="s">
        <v>382</v>
      </c>
      <c r="B2006" t="s">
        <v>2604</v>
      </c>
      <c r="C2006" t="s">
        <v>149</v>
      </c>
      <c r="D2006" t="s">
        <v>69</v>
      </c>
      <c r="E2006">
        <v>10</v>
      </c>
      <c r="F2006">
        <v>8.1999999999999993</v>
      </c>
      <c r="G2006">
        <v>0.82</v>
      </c>
      <c r="H2006">
        <v>25</v>
      </c>
      <c r="I2006">
        <v>3000</v>
      </c>
      <c r="J2006">
        <v>1000</v>
      </c>
      <c r="K2006" t="s">
        <v>479</v>
      </c>
      <c r="L2006" t="s">
        <v>71</v>
      </c>
      <c r="M2006" t="s">
        <v>46</v>
      </c>
      <c r="N2006" t="b">
        <v>0</v>
      </c>
      <c r="O2006" t="s">
        <v>480</v>
      </c>
    </row>
    <row r="2007" spans="1:15" ht="15" customHeight="1">
      <c r="A2007" t="s">
        <v>287</v>
      </c>
      <c r="B2007" t="s">
        <v>2605</v>
      </c>
      <c r="C2007" t="s">
        <v>129</v>
      </c>
      <c r="D2007" t="s">
        <v>130</v>
      </c>
      <c r="E2007">
        <v>17</v>
      </c>
      <c r="F2007">
        <v>3.2</v>
      </c>
      <c r="G2007">
        <v>0.19</v>
      </c>
      <c r="H2007">
        <v>9</v>
      </c>
      <c r="I2007">
        <v>5000</v>
      </c>
      <c r="J2007">
        <v>1000</v>
      </c>
      <c r="K2007" t="s">
        <v>438</v>
      </c>
      <c r="L2007" t="s">
        <v>104</v>
      </c>
      <c r="M2007" t="s">
        <v>41</v>
      </c>
      <c r="N2007" t="b">
        <v>0</v>
      </c>
      <c r="O2007" t="s">
        <v>90</v>
      </c>
    </row>
    <row r="2008" spans="1:15" ht="15" customHeight="1">
      <c r="A2008" t="s">
        <v>522</v>
      </c>
      <c r="B2008" t="s">
        <v>2606</v>
      </c>
      <c r="C2008" t="s">
        <v>149</v>
      </c>
      <c r="D2008" t="s">
        <v>69</v>
      </c>
      <c r="E2008">
        <v>8</v>
      </c>
      <c r="F2008">
        <v>7.2</v>
      </c>
      <c r="G2008">
        <v>0.9</v>
      </c>
      <c r="H2008">
        <v>22</v>
      </c>
      <c r="I2008">
        <v>3000</v>
      </c>
      <c r="J2008">
        <v>1000</v>
      </c>
      <c r="K2008" t="s">
        <v>556</v>
      </c>
      <c r="L2008" t="s">
        <v>96</v>
      </c>
      <c r="M2008" t="s">
        <v>48</v>
      </c>
      <c r="N2008" t="b">
        <v>0</v>
      </c>
      <c r="O2008" t="s">
        <v>313</v>
      </c>
    </row>
    <row r="2009" spans="1:15" ht="15" customHeight="1">
      <c r="A2009" t="s">
        <v>215</v>
      </c>
      <c r="B2009" t="s">
        <v>2607</v>
      </c>
      <c r="C2009" t="s">
        <v>129</v>
      </c>
      <c r="D2009" t="s">
        <v>130</v>
      </c>
      <c r="E2009">
        <v>20</v>
      </c>
      <c r="F2009">
        <v>18.100000000000001</v>
      </c>
      <c r="G2009">
        <v>0.91</v>
      </c>
      <c r="H2009">
        <v>21</v>
      </c>
      <c r="I2009">
        <v>5000</v>
      </c>
      <c r="J2009">
        <v>1000</v>
      </c>
      <c r="K2009" t="s">
        <v>131</v>
      </c>
      <c r="L2009" t="s">
        <v>117</v>
      </c>
      <c r="M2009" t="s">
        <v>48</v>
      </c>
      <c r="N2009" t="b">
        <v>1</v>
      </c>
      <c r="O2009" t="s">
        <v>132</v>
      </c>
    </row>
    <row r="2010" spans="1:15" ht="15" customHeight="1">
      <c r="A2010" t="s">
        <v>1076</v>
      </c>
      <c r="B2010" t="s">
        <v>2608</v>
      </c>
      <c r="C2010" t="s">
        <v>75</v>
      </c>
      <c r="D2010" t="s">
        <v>69</v>
      </c>
      <c r="E2010">
        <v>8</v>
      </c>
      <c r="F2010">
        <v>4.0999999999999996</v>
      </c>
      <c r="G2010">
        <v>0.51</v>
      </c>
      <c r="H2010">
        <v>8</v>
      </c>
      <c r="I2010">
        <v>2000</v>
      </c>
      <c r="J2010">
        <v>1500</v>
      </c>
      <c r="K2010" t="s">
        <v>275</v>
      </c>
      <c r="L2010" t="s">
        <v>91</v>
      </c>
      <c r="M2010" t="s">
        <v>51</v>
      </c>
      <c r="N2010" t="b">
        <v>1</v>
      </c>
      <c r="O2010" t="s">
        <v>276</v>
      </c>
    </row>
    <row r="2011" spans="1:15" ht="15" customHeight="1">
      <c r="A2011" t="s">
        <v>718</v>
      </c>
      <c r="B2011" t="s">
        <v>2609</v>
      </c>
      <c r="C2011" t="s">
        <v>129</v>
      </c>
      <c r="D2011" t="s">
        <v>130</v>
      </c>
      <c r="E2011">
        <v>18</v>
      </c>
      <c r="F2011">
        <v>11.5</v>
      </c>
      <c r="G2011">
        <v>0.64</v>
      </c>
      <c r="H2011">
        <v>19</v>
      </c>
      <c r="I2011">
        <v>5000</v>
      </c>
      <c r="J2011">
        <v>1000</v>
      </c>
      <c r="K2011" t="s">
        <v>336</v>
      </c>
      <c r="L2011" t="s">
        <v>71</v>
      </c>
      <c r="M2011" t="s">
        <v>50</v>
      </c>
      <c r="N2011" t="b">
        <v>0</v>
      </c>
      <c r="O2011" t="s">
        <v>337</v>
      </c>
    </row>
    <row r="2012" spans="1:15" ht="15" customHeight="1">
      <c r="A2012" t="s">
        <v>1839</v>
      </c>
      <c r="B2012" t="s">
        <v>2610</v>
      </c>
      <c r="C2012" t="s">
        <v>129</v>
      </c>
      <c r="D2012" t="s">
        <v>130</v>
      </c>
      <c r="E2012">
        <v>12</v>
      </c>
      <c r="F2012">
        <v>7.1</v>
      </c>
      <c r="G2012">
        <v>0.59</v>
      </c>
      <c r="H2012">
        <v>20</v>
      </c>
      <c r="I2012">
        <v>5000</v>
      </c>
      <c r="J2012">
        <v>1000</v>
      </c>
      <c r="K2012" t="s">
        <v>103</v>
      </c>
      <c r="L2012" t="s">
        <v>91</v>
      </c>
      <c r="M2012" t="s">
        <v>43</v>
      </c>
      <c r="N2012" t="b">
        <v>1</v>
      </c>
      <c r="O2012" t="s">
        <v>169</v>
      </c>
    </row>
    <row r="2013" spans="1:15" ht="15" customHeight="1">
      <c r="A2013" t="s">
        <v>565</v>
      </c>
      <c r="B2013" t="s">
        <v>2611</v>
      </c>
      <c r="C2013" t="s">
        <v>129</v>
      </c>
      <c r="D2013" t="s">
        <v>130</v>
      </c>
      <c r="E2013">
        <v>11</v>
      </c>
      <c r="F2013">
        <v>7.3</v>
      </c>
      <c r="G2013">
        <v>0.66</v>
      </c>
      <c r="H2013">
        <v>19</v>
      </c>
      <c r="I2013">
        <v>5000</v>
      </c>
      <c r="J2013">
        <v>1000</v>
      </c>
      <c r="K2013" t="s">
        <v>336</v>
      </c>
      <c r="L2013" t="s">
        <v>96</v>
      </c>
      <c r="M2013" t="s">
        <v>42</v>
      </c>
      <c r="N2013" t="b">
        <v>0</v>
      </c>
      <c r="O2013" t="s">
        <v>337</v>
      </c>
    </row>
    <row r="2014" spans="1:15" ht="15" customHeight="1">
      <c r="A2014" t="s">
        <v>183</v>
      </c>
      <c r="B2014" t="s">
        <v>2612</v>
      </c>
      <c r="C2014" t="s">
        <v>68</v>
      </c>
      <c r="D2014" t="s">
        <v>69</v>
      </c>
      <c r="E2014">
        <v>13</v>
      </c>
      <c r="F2014">
        <v>2</v>
      </c>
      <c r="G2014">
        <v>0.15</v>
      </c>
      <c r="H2014">
        <v>5</v>
      </c>
      <c r="I2014">
        <v>30000</v>
      </c>
      <c r="J2014">
        <v>5000</v>
      </c>
      <c r="K2014" t="s">
        <v>112</v>
      </c>
      <c r="L2014" t="s">
        <v>100</v>
      </c>
      <c r="M2014" t="s">
        <v>51</v>
      </c>
      <c r="N2014" t="b">
        <v>0</v>
      </c>
      <c r="O2014" t="s">
        <v>113</v>
      </c>
    </row>
    <row r="2015" spans="1:15" ht="15" customHeight="1">
      <c r="A2015" t="s">
        <v>650</v>
      </c>
      <c r="B2015" t="s">
        <v>2613</v>
      </c>
      <c r="C2015" t="s">
        <v>81</v>
      </c>
      <c r="D2015" t="s">
        <v>69</v>
      </c>
      <c r="E2015">
        <v>8</v>
      </c>
      <c r="F2015">
        <v>3.2</v>
      </c>
      <c r="G2015">
        <v>0.4</v>
      </c>
      <c r="H2015">
        <v>20</v>
      </c>
      <c r="I2015">
        <v>10000</v>
      </c>
      <c r="J2015">
        <v>3000</v>
      </c>
      <c r="K2015" t="s">
        <v>86</v>
      </c>
      <c r="L2015" t="s">
        <v>100</v>
      </c>
      <c r="M2015" t="s">
        <v>46</v>
      </c>
      <c r="N2015" t="b">
        <v>0</v>
      </c>
      <c r="O2015" t="s">
        <v>87</v>
      </c>
    </row>
    <row r="2016" spans="1:15" ht="15" customHeight="1">
      <c r="A2016" t="s">
        <v>393</v>
      </c>
      <c r="B2016" t="s">
        <v>2614</v>
      </c>
      <c r="C2016" t="s">
        <v>81</v>
      </c>
      <c r="D2016" t="s">
        <v>69</v>
      </c>
      <c r="E2016">
        <v>13</v>
      </c>
      <c r="F2016">
        <v>8</v>
      </c>
      <c r="G2016">
        <v>0.62</v>
      </c>
      <c r="H2016">
        <v>12</v>
      </c>
      <c r="I2016">
        <v>10000</v>
      </c>
      <c r="J2016">
        <v>3000</v>
      </c>
      <c r="K2016" t="s">
        <v>95</v>
      </c>
      <c r="L2016" t="s">
        <v>100</v>
      </c>
      <c r="M2016" t="s">
        <v>49</v>
      </c>
      <c r="N2016" t="b">
        <v>0</v>
      </c>
      <c r="O2016" t="s">
        <v>257</v>
      </c>
    </row>
    <row r="2017" spans="1:15" ht="15" customHeight="1">
      <c r="A2017" t="s">
        <v>1177</v>
      </c>
      <c r="B2017" t="s">
        <v>2615</v>
      </c>
      <c r="C2017" t="s">
        <v>68</v>
      </c>
      <c r="D2017" t="s">
        <v>69</v>
      </c>
      <c r="E2017">
        <v>9</v>
      </c>
      <c r="F2017">
        <v>3.4</v>
      </c>
      <c r="G2017">
        <v>0.38</v>
      </c>
      <c r="H2017">
        <v>1</v>
      </c>
      <c r="I2017">
        <v>30000</v>
      </c>
      <c r="J2017">
        <v>5000</v>
      </c>
      <c r="K2017" t="s">
        <v>70</v>
      </c>
      <c r="L2017" t="s">
        <v>117</v>
      </c>
      <c r="M2017" t="s">
        <v>42</v>
      </c>
      <c r="N2017" t="b">
        <v>1</v>
      </c>
      <c r="O2017" t="s">
        <v>72</v>
      </c>
    </row>
    <row r="2018" spans="1:15" ht="15" customHeight="1">
      <c r="A2018" t="s">
        <v>232</v>
      </c>
      <c r="B2018" t="s">
        <v>2616</v>
      </c>
      <c r="C2018" t="s">
        <v>129</v>
      </c>
      <c r="D2018" t="s">
        <v>130</v>
      </c>
      <c r="E2018">
        <v>8</v>
      </c>
      <c r="F2018">
        <v>6.8</v>
      </c>
      <c r="G2018">
        <v>0.85</v>
      </c>
      <c r="H2018">
        <v>20</v>
      </c>
      <c r="I2018">
        <v>5000</v>
      </c>
      <c r="J2018">
        <v>1000</v>
      </c>
      <c r="K2018" t="s">
        <v>103</v>
      </c>
      <c r="L2018" t="s">
        <v>91</v>
      </c>
      <c r="M2018" t="s">
        <v>45</v>
      </c>
      <c r="N2018" t="b">
        <v>1</v>
      </c>
      <c r="O2018" t="s">
        <v>169</v>
      </c>
    </row>
    <row r="2019" spans="1:15" ht="15" customHeight="1">
      <c r="A2019" t="s">
        <v>1022</v>
      </c>
      <c r="B2019" t="s">
        <v>2617</v>
      </c>
      <c r="C2019" t="s">
        <v>75</v>
      </c>
      <c r="D2019" t="s">
        <v>69</v>
      </c>
      <c r="E2019">
        <v>15</v>
      </c>
      <c r="F2019">
        <v>12.7</v>
      </c>
      <c r="G2019">
        <v>0.85</v>
      </c>
      <c r="H2019">
        <v>29</v>
      </c>
      <c r="I2019">
        <v>2000</v>
      </c>
      <c r="J2019">
        <v>1500</v>
      </c>
      <c r="K2019" t="s">
        <v>519</v>
      </c>
      <c r="L2019" t="s">
        <v>104</v>
      </c>
      <c r="M2019" t="s">
        <v>41</v>
      </c>
      <c r="N2019" t="b">
        <v>0</v>
      </c>
      <c r="O2019" t="s">
        <v>520</v>
      </c>
    </row>
    <row r="2020" spans="1:15" ht="15" customHeight="1">
      <c r="A2020" t="s">
        <v>503</v>
      </c>
      <c r="B2020" t="s">
        <v>2618</v>
      </c>
      <c r="C2020" t="s">
        <v>68</v>
      </c>
      <c r="D2020" t="s">
        <v>69</v>
      </c>
      <c r="E2020">
        <v>13</v>
      </c>
      <c r="F2020">
        <v>2.2000000000000002</v>
      </c>
      <c r="G2020">
        <v>0.17</v>
      </c>
      <c r="H2020">
        <v>2</v>
      </c>
      <c r="I2020">
        <v>30000</v>
      </c>
      <c r="J2020">
        <v>5000</v>
      </c>
      <c r="K2020" t="s">
        <v>162</v>
      </c>
      <c r="L2020" t="s">
        <v>91</v>
      </c>
      <c r="M2020" t="s">
        <v>43</v>
      </c>
      <c r="N2020" t="b">
        <v>1</v>
      </c>
      <c r="O2020" t="s">
        <v>163</v>
      </c>
    </row>
    <row r="2021" spans="1:15" ht="15" customHeight="1">
      <c r="A2021" t="s">
        <v>650</v>
      </c>
      <c r="B2021" t="s">
        <v>2619</v>
      </c>
      <c r="C2021" t="s">
        <v>81</v>
      </c>
      <c r="D2021" t="s">
        <v>69</v>
      </c>
      <c r="E2021">
        <v>8</v>
      </c>
      <c r="F2021">
        <v>5.8</v>
      </c>
      <c r="G2021">
        <v>0.72</v>
      </c>
      <c r="H2021">
        <v>15</v>
      </c>
      <c r="I2021">
        <v>10000</v>
      </c>
      <c r="J2021">
        <v>3000</v>
      </c>
      <c r="K2021" t="s">
        <v>112</v>
      </c>
      <c r="L2021" t="s">
        <v>100</v>
      </c>
      <c r="M2021" t="s">
        <v>46</v>
      </c>
      <c r="N2021" t="b">
        <v>0</v>
      </c>
      <c r="O2021" t="s">
        <v>234</v>
      </c>
    </row>
    <row r="2022" spans="1:15" ht="15" customHeight="1">
      <c r="A2022" t="s">
        <v>215</v>
      </c>
      <c r="B2022" t="s">
        <v>2620</v>
      </c>
      <c r="C2022" t="s">
        <v>75</v>
      </c>
      <c r="D2022" t="s">
        <v>69</v>
      </c>
      <c r="E2022">
        <v>11</v>
      </c>
      <c r="F2022">
        <v>7.3</v>
      </c>
      <c r="G2022">
        <v>0.66</v>
      </c>
      <c r="H2022">
        <v>12</v>
      </c>
      <c r="I2022">
        <v>2000</v>
      </c>
      <c r="J2022">
        <v>1500</v>
      </c>
      <c r="K2022" t="s">
        <v>265</v>
      </c>
      <c r="L2022" t="s">
        <v>117</v>
      </c>
      <c r="M2022" t="s">
        <v>48</v>
      </c>
      <c r="N2022" t="b">
        <v>1</v>
      </c>
      <c r="O2022" t="s">
        <v>266</v>
      </c>
    </row>
    <row r="2023" spans="1:15" ht="15" customHeight="1">
      <c r="A2023" t="s">
        <v>1202</v>
      </c>
      <c r="B2023" t="s">
        <v>2621</v>
      </c>
      <c r="C2023" t="s">
        <v>149</v>
      </c>
      <c r="D2023" t="s">
        <v>69</v>
      </c>
      <c r="E2023">
        <v>12</v>
      </c>
      <c r="F2023">
        <v>9.6999999999999993</v>
      </c>
      <c r="G2023">
        <v>0.81</v>
      </c>
      <c r="H2023">
        <v>19</v>
      </c>
      <c r="I2023">
        <v>3000</v>
      </c>
      <c r="J2023">
        <v>1000</v>
      </c>
      <c r="K2023" t="s">
        <v>198</v>
      </c>
      <c r="L2023" t="s">
        <v>100</v>
      </c>
      <c r="M2023" t="s">
        <v>45</v>
      </c>
      <c r="N2023" t="b">
        <v>0</v>
      </c>
      <c r="O2023" t="s">
        <v>262</v>
      </c>
    </row>
    <row r="2024" spans="1:15" ht="15" customHeight="1">
      <c r="A2024" t="s">
        <v>751</v>
      </c>
      <c r="B2024" t="s">
        <v>2622</v>
      </c>
      <c r="C2024" t="s">
        <v>129</v>
      </c>
      <c r="D2024" t="s">
        <v>130</v>
      </c>
      <c r="E2024">
        <v>12</v>
      </c>
      <c r="F2024">
        <v>9.8000000000000007</v>
      </c>
      <c r="G2024">
        <v>0.82</v>
      </c>
      <c r="H2024">
        <v>13</v>
      </c>
      <c r="I2024">
        <v>5000</v>
      </c>
      <c r="J2024">
        <v>1000</v>
      </c>
      <c r="K2024" t="s">
        <v>313</v>
      </c>
      <c r="L2024" t="s">
        <v>100</v>
      </c>
      <c r="M2024" t="s">
        <v>41</v>
      </c>
      <c r="N2024" t="b">
        <v>0</v>
      </c>
      <c r="O2024" t="s">
        <v>314</v>
      </c>
    </row>
    <row r="2025" spans="1:15" ht="15" customHeight="1">
      <c r="A2025" t="s">
        <v>590</v>
      </c>
      <c r="B2025" t="s">
        <v>2623</v>
      </c>
      <c r="C2025" t="s">
        <v>81</v>
      </c>
      <c r="D2025" t="s">
        <v>69</v>
      </c>
      <c r="E2025">
        <v>19</v>
      </c>
      <c r="F2025">
        <v>11.6</v>
      </c>
      <c r="G2025">
        <v>0.61</v>
      </c>
      <c r="H2025">
        <v>6</v>
      </c>
      <c r="I2025">
        <v>10000</v>
      </c>
      <c r="J2025">
        <v>3000</v>
      </c>
      <c r="K2025" t="s">
        <v>162</v>
      </c>
      <c r="L2025" t="s">
        <v>77</v>
      </c>
      <c r="M2025" t="s">
        <v>49</v>
      </c>
      <c r="N2025" t="b">
        <v>0</v>
      </c>
      <c r="O2025" t="s">
        <v>198</v>
      </c>
    </row>
    <row r="2026" spans="1:15" ht="15" customHeight="1">
      <c r="A2026" t="s">
        <v>1186</v>
      </c>
      <c r="B2026" t="s">
        <v>2624</v>
      </c>
      <c r="C2026" t="s">
        <v>129</v>
      </c>
      <c r="D2026" t="s">
        <v>130</v>
      </c>
      <c r="E2026">
        <v>10</v>
      </c>
      <c r="F2026">
        <v>4.0999999999999996</v>
      </c>
      <c r="G2026">
        <v>0.41</v>
      </c>
      <c r="H2026">
        <v>16</v>
      </c>
      <c r="I2026">
        <v>5000</v>
      </c>
      <c r="J2026">
        <v>1000</v>
      </c>
      <c r="K2026" t="s">
        <v>357</v>
      </c>
      <c r="L2026" t="s">
        <v>96</v>
      </c>
      <c r="M2026" t="s">
        <v>42</v>
      </c>
      <c r="N2026" t="b">
        <v>0</v>
      </c>
      <c r="O2026" t="s">
        <v>456</v>
      </c>
    </row>
    <row r="2027" spans="1:15" ht="15" customHeight="1">
      <c r="A2027" t="s">
        <v>1544</v>
      </c>
      <c r="B2027" t="s">
        <v>2625</v>
      </c>
      <c r="C2027" t="s">
        <v>129</v>
      </c>
      <c r="D2027" t="s">
        <v>130</v>
      </c>
      <c r="E2027">
        <v>8</v>
      </c>
      <c r="F2027">
        <v>3.1</v>
      </c>
      <c r="G2027">
        <v>0.39</v>
      </c>
      <c r="H2027">
        <v>26</v>
      </c>
      <c r="I2027">
        <v>5000</v>
      </c>
      <c r="J2027">
        <v>1000</v>
      </c>
      <c r="K2027" t="s">
        <v>203</v>
      </c>
      <c r="L2027" t="s">
        <v>100</v>
      </c>
      <c r="M2027" t="s">
        <v>42</v>
      </c>
      <c r="N2027" t="b">
        <v>0</v>
      </c>
      <c r="O2027" t="s">
        <v>623</v>
      </c>
    </row>
    <row r="2028" spans="1:15" ht="15" customHeight="1">
      <c r="A2028" t="s">
        <v>685</v>
      </c>
      <c r="B2028" t="s">
        <v>2626</v>
      </c>
      <c r="C2028" t="s">
        <v>75</v>
      </c>
      <c r="D2028" t="s">
        <v>69</v>
      </c>
      <c r="E2028">
        <v>18</v>
      </c>
      <c r="F2028">
        <v>9.1</v>
      </c>
      <c r="G2028">
        <v>0.51</v>
      </c>
      <c r="H2028">
        <v>21</v>
      </c>
      <c r="I2028">
        <v>2000</v>
      </c>
      <c r="J2028">
        <v>1500</v>
      </c>
      <c r="K2028" t="s">
        <v>365</v>
      </c>
      <c r="L2028" t="s">
        <v>71</v>
      </c>
      <c r="M2028" t="s">
        <v>47</v>
      </c>
      <c r="N2028" t="b">
        <v>0</v>
      </c>
      <c r="O2028" t="s">
        <v>366</v>
      </c>
    </row>
    <row r="2029" spans="1:15" ht="15" customHeight="1">
      <c r="A2029" t="s">
        <v>1031</v>
      </c>
      <c r="B2029" t="s">
        <v>2627</v>
      </c>
      <c r="C2029" t="s">
        <v>68</v>
      </c>
      <c r="D2029" t="s">
        <v>69</v>
      </c>
      <c r="E2029">
        <v>10</v>
      </c>
      <c r="F2029">
        <v>3.9</v>
      </c>
      <c r="G2029">
        <v>0.39</v>
      </c>
      <c r="H2029">
        <v>5</v>
      </c>
      <c r="I2029">
        <v>30000</v>
      </c>
      <c r="J2029">
        <v>5000</v>
      </c>
      <c r="K2029" t="s">
        <v>112</v>
      </c>
      <c r="L2029" t="s">
        <v>91</v>
      </c>
      <c r="M2029" t="s">
        <v>45</v>
      </c>
      <c r="N2029" t="b">
        <v>1</v>
      </c>
      <c r="O2029" t="s">
        <v>113</v>
      </c>
    </row>
    <row r="2030" spans="1:15" ht="15" customHeight="1">
      <c r="A2030" t="s">
        <v>866</v>
      </c>
      <c r="B2030" t="s">
        <v>2628</v>
      </c>
      <c r="C2030" t="s">
        <v>149</v>
      </c>
      <c r="D2030" t="s">
        <v>69</v>
      </c>
      <c r="E2030">
        <v>8</v>
      </c>
      <c r="F2030">
        <v>6.6</v>
      </c>
      <c r="G2030">
        <v>0.82</v>
      </c>
      <c r="H2030">
        <v>39</v>
      </c>
      <c r="I2030">
        <v>3000</v>
      </c>
      <c r="J2030">
        <v>1000</v>
      </c>
      <c r="K2030" t="s">
        <v>257</v>
      </c>
      <c r="L2030" t="s">
        <v>104</v>
      </c>
      <c r="M2030" t="s">
        <v>40</v>
      </c>
      <c r="N2030" t="b">
        <v>0</v>
      </c>
      <c r="O2030" t="s">
        <v>258</v>
      </c>
    </row>
    <row r="2031" spans="1:15" ht="15" customHeight="1">
      <c r="A2031" t="s">
        <v>1338</v>
      </c>
      <c r="B2031" t="s">
        <v>2629</v>
      </c>
      <c r="C2031" t="s">
        <v>149</v>
      </c>
      <c r="D2031" t="s">
        <v>69</v>
      </c>
      <c r="E2031">
        <v>11</v>
      </c>
      <c r="F2031">
        <v>7.6</v>
      </c>
      <c r="G2031">
        <v>0.69</v>
      </c>
      <c r="H2031">
        <v>18</v>
      </c>
      <c r="I2031">
        <v>3000</v>
      </c>
      <c r="J2031">
        <v>1000</v>
      </c>
      <c r="K2031" t="s">
        <v>150</v>
      </c>
      <c r="L2031" t="s">
        <v>104</v>
      </c>
      <c r="M2031" t="s">
        <v>47</v>
      </c>
      <c r="N2031" t="b">
        <v>0</v>
      </c>
      <c r="O2031" t="s">
        <v>151</v>
      </c>
    </row>
    <row r="2032" spans="1:15" ht="15" customHeight="1">
      <c r="A2032" t="s">
        <v>952</v>
      </c>
      <c r="B2032" t="s">
        <v>2630</v>
      </c>
      <c r="C2032" t="s">
        <v>149</v>
      </c>
      <c r="D2032" t="s">
        <v>69</v>
      </c>
      <c r="E2032">
        <v>9</v>
      </c>
      <c r="F2032">
        <v>6.3</v>
      </c>
      <c r="G2032">
        <v>0.7</v>
      </c>
      <c r="H2032">
        <v>34</v>
      </c>
      <c r="I2032">
        <v>3000</v>
      </c>
      <c r="J2032">
        <v>1000</v>
      </c>
      <c r="K2032" t="s">
        <v>433</v>
      </c>
      <c r="L2032" t="s">
        <v>100</v>
      </c>
      <c r="M2032" t="s">
        <v>45</v>
      </c>
      <c r="N2032" t="b">
        <v>0</v>
      </c>
      <c r="O2032" t="s">
        <v>434</v>
      </c>
    </row>
    <row r="2033" spans="1:15" ht="15" customHeight="1">
      <c r="A2033" t="s">
        <v>544</v>
      </c>
      <c r="B2033" t="s">
        <v>2631</v>
      </c>
      <c r="C2033" t="s">
        <v>129</v>
      </c>
      <c r="D2033" t="s">
        <v>130</v>
      </c>
      <c r="E2033">
        <v>12</v>
      </c>
      <c r="F2033">
        <v>8.4</v>
      </c>
      <c r="G2033">
        <v>0.7</v>
      </c>
      <c r="H2033">
        <v>29</v>
      </c>
      <c r="I2033">
        <v>5000</v>
      </c>
      <c r="J2033">
        <v>1000</v>
      </c>
      <c r="K2033" t="s">
        <v>113</v>
      </c>
      <c r="L2033" t="s">
        <v>100</v>
      </c>
      <c r="M2033" t="s">
        <v>42</v>
      </c>
      <c r="N2033" t="b">
        <v>0</v>
      </c>
      <c r="O2033" t="s">
        <v>146</v>
      </c>
    </row>
    <row r="2034" spans="1:15" ht="15" customHeight="1">
      <c r="A2034" t="s">
        <v>443</v>
      </c>
      <c r="B2034" t="s">
        <v>2632</v>
      </c>
      <c r="C2034" t="s">
        <v>68</v>
      </c>
      <c r="D2034" t="s">
        <v>69</v>
      </c>
      <c r="E2034">
        <v>13</v>
      </c>
      <c r="F2034">
        <v>1</v>
      </c>
      <c r="G2034">
        <v>0.08</v>
      </c>
      <c r="H2034">
        <v>2</v>
      </c>
      <c r="I2034">
        <v>30000</v>
      </c>
      <c r="J2034">
        <v>5000</v>
      </c>
      <c r="K2034" t="s">
        <v>162</v>
      </c>
      <c r="L2034" t="s">
        <v>91</v>
      </c>
      <c r="M2034" t="s">
        <v>49</v>
      </c>
      <c r="N2034" t="b">
        <v>1</v>
      </c>
      <c r="O2034" t="s">
        <v>163</v>
      </c>
    </row>
    <row r="2035" spans="1:15" ht="15" customHeight="1">
      <c r="A2035" t="s">
        <v>1044</v>
      </c>
      <c r="B2035" t="s">
        <v>2633</v>
      </c>
      <c r="C2035" t="s">
        <v>129</v>
      </c>
      <c r="D2035" t="s">
        <v>130</v>
      </c>
      <c r="E2035">
        <v>11</v>
      </c>
      <c r="F2035">
        <v>9.1999999999999993</v>
      </c>
      <c r="G2035">
        <v>0.84</v>
      </c>
      <c r="H2035">
        <v>17</v>
      </c>
      <c r="I2035">
        <v>5000</v>
      </c>
      <c r="J2035">
        <v>1000</v>
      </c>
      <c r="K2035" t="s">
        <v>109</v>
      </c>
      <c r="L2035" t="s">
        <v>71</v>
      </c>
      <c r="M2035" t="s">
        <v>48</v>
      </c>
      <c r="N2035" t="b">
        <v>0</v>
      </c>
      <c r="O2035" t="s">
        <v>176</v>
      </c>
    </row>
    <row r="2036" spans="1:15" ht="15" customHeight="1">
      <c r="A2036" t="s">
        <v>976</v>
      </c>
      <c r="B2036" t="s">
        <v>2634</v>
      </c>
      <c r="C2036" t="s">
        <v>129</v>
      </c>
      <c r="D2036" t="s">
        <v>130</v>
      </c>
      <c r="E2036">
        <v>9</v>
      </c>
      <c r="F2036">
        <v>8.3000000000000007</v>
      </c>
      <c r="G2036">
        <v>0.92</v>
      </c>
      <c r="H2036">
        <v>18</v>
      </c>
      <c r="I2036">
        <v>5000</v>
      </c>
      <c r="J2036">
        <v>1000</v>
      </c>
      <c r="K2036" t="s">
        <v>108</v>
      </c>
      <c r="L2036" t="s">
        <v>71</v>
      </c>
      <c r="M2036" t="s">
        <v>48</v>
      </c>
      <c r="N2036" t="b">
        <v>0</v>
      </c>
      <c r="O2036" t="s">
        <v>166</v>
      </c>
    </row>
    <row r="2037" spans="1:15" ht="15" customHeight="1">
      <c r="A2037" t="s">
        <v>1213</v>
      </c>
      <c r="B2037" t="s">
        <v>2635</v>
      </c>
      <c r="C2037" t="s">
        <v>129</v>
      </c>
      <c r="D2037" t="s">
        <v>130</v>
      </c>
      <c r="E2037">
        <v>19</v>
      </c>
      <c r="F2037">
        <v>10.8</v>
      </c>
      <c r="G2037">
        <v>0.56999999999999995</v>
      </c>
      <c r="H2037">
        <v>28</v>
      </c>
      <c r="I2037">
        <v>5000</v>
      </c>
      <c r="J2037">
        <v>1000</v>
      </c>
      <c r="K2037" t="s">
        <v>116</v>
      </c>
      <c r="L2037" t="s">
        <v>100</v>
      </c>
      <c r="M2037" t="s">
        <v>41</v>
      </c>
      <c r="N2037" t="b">
        <v>0</v>
      </c>
      <c r="O2037" t="s">
        <v>470</v>
      </c>
    </row>
    <row r="2038" spans="1:15" ht="15" customHeight="1">
      <c r="A2038" t="s">
        <v>646</v>
      </c>
      <c r="B2038" t="s">
        <v>2636</v>
      </c>
      <c r="C2038" t="s">
        <v>129</v>
      </c>
      <c r="D2038" t="s">
        <v>130</v>
      </c>
      <c r="E2038">
        <v>9</v>
      </c>
      <c r="F2038">
        <v>7.5</v>
      </c>
      <c r="G2038">
        <v>0.83</v>
      </c>
      <c r="H2038">
        <v>18</v>
      </c>
      <c r="I2038">
        <v>5000</v>
      </c>
      <c r="J2038">
        <v>1000</v>
      </c>
      <c r="K2038" t="s">
        <v>108</v>
      </c>
      <c r="L2038" t="s">
        <v>77</v>
      </c>
      <c r="M2038" t="s">
        <v>40</v>
      </c>
      <c r="N2038" t="b">
        <v>0</v>
      </c>
      <c r="O2038" t="s">
        <v>166</v>
      </c>
    </row>
    <row r="2039" spans="1:15" ht="15" customHeight="1">
      <c r="A2039" t="s">
        <v>183</v>
      </c>
      <c r="B2039" t="s">
        <v>2637</v>
      </c>
      <c r="C2039" t="s">
        <v>68</v>
      </c>
      <c r="D2039" t="s">
        <v>69</v>
      </c>
      <c r="E2039">
        <v>11</v>
      </c>
      <c r="F2039">
        <v>3.4</v>
      </c>
      <c r="G2039">
        <v>0.31</v>
      </c>
      <c r="H2039">
        <v>4</v>
      </c>
      <c r="I2039">
        <v>30000</v>
      </c>
      <c r="J2039">
        <v>5000</v>
      </c>
      <c r="K2039" t="s">
        <v>95</v>
      </c>
      <c r="L2039" t="s">
        <v>100</v>
      </c>
      <c r="M2039" t="s">
        <v>51</v>
      </c>
      <c r="N2039" t="b">
        <v>0</v>
      </c>
      <c r="O2039" t="s">
        <v>97</v>
      </c>
    </row>
    <row r="2040" spans="1:15" ht="15" customHeight="1">
      <c r="A2040" t="s">
        <v>650</v>
      </c>
      <c r="B2040" t="s">
        <v>2638</v>
      </c>
      <c r="C2040" t="s">
        <v>75</v>
      </c>
      <c r="D2040" t="s">
        <v>69</v>
      </c>
      <c r="E2040">
        <v>11</v>
      </c>
      <c r="F2040">
        <v>6</v>
      </c>
      <c r="G2040">
        <v>0.55000000000000004</v>
      </c>
      <c r="H2040">
        <v>18</v>
      </c>
      <c r="I2040">
        <v>2000</v>
      </c>
      <c r="J2040">
        <v>1500</v>
      </c>
      <c r="K2040" t="s">
        <v>225</v>
      </c>
      <c r="L2040" t="s">
        <v>100</v>
      </c>
      <c r="M2040" t="s">
        <v>46</v>
      </c>
      <c r="N2040" t="b">
        <v>0</v>
      </c>
      <c r="O2040" t="s">
        <v>226</v>
      </c>
    </row>
    <row r="2041" spans="1:15" ht="15" customHeight="1">
      <c r="A2041" t="s">
        <v>970</v>
      </c>
      <c r="B2041" t="s">
        <v>2639</v>
      </c>
      <c r="C2041" t="s">
        <v>149</v>
      </c>
      <c r="D2041" t="s">
        <v>69</v>
      </c>
      <c r="E2041">
        <v>12</v>
      </c>
      <c r="F2041">
        <v>7</v>
      </c>
      <c r="G2041">
        <v>0.57999999999999996</v>
      </c>
      <c r="H2041">
        <v>15</v>
      </c>
      <c r="I2041">
        <v>3000</v>
      </c>
      <c r="J2041">
        <v>1000</v>
      </c>
      <c r="K2041" t="s">
        <v>438</v>
      </c>
      <c r="L2041" t="s">
        <v>117</v>
      </c>
      <c r="M2041" t="s">
        <v>46</v>
      </c>
      <c r="N2041" t="b">
        <v>1</v>
      </c>
      <c r="O2041" t="s">
        <v>90</v>
      </c>
    </row>
    <row r="2042" spans="1:15" ht="15" customHeight="1">
      <c r="A2042" t="s">
        <v>933</v>
      </c>
      <c r="B2042" t="s">
        <v>2640</v>
      </c>
      <c r="C2042" t="s">
        <v>75</v>
      </c>
      <c r="D2042" t="s">
        <v>69</v>
      </c>
      <c r="E2042">
        <v>13</v>
      </c>
      <c r="F2042">
        <v>9.1999999999999993</v>
      </c>
      <c r="G2042">
        <v>0.71</v>
      </c>
      <c r="H2042">
        <v>11</v>
      </c>
      <c r="I2042">
        <v>2000</v>
      </c>
      <c r="J2042">
        <v>1500</v>
      </c>
      <c r="K2042" t="s">
        <v>689</v>
      </c>
      <c r="L2042" t="s">
        <v>71</v>
      </c>
      <c r="M2042" t="s">
        <v>46</v>
      </c>
      <c r="N2042" t="b">
        <v>0</v>
      </c>
      <c r="O2042" t="s">
        <v>690</v>
      </c>
    </row>
    <row r="2043" spans="1:15" ht="15" customHeight="1">
      <c r="A2043" t="s">
        <v>650</v>
      </c>
      <c r="B2043" t="s">
        <v>2641</v>
      </c>
      <c r="C2043" t="s">
        <v>68</v>
      </c>
      <c r="D2043" t="s">
        <v>69</v>
      </c>
      <c r="E2043">
        <v>12</v>
      </c>
      <c r="F2043">
        <v>3.7</v>
      </c>
      <c r="G2043">
        <v>0.31</v>
      </c>
      <c r="H2043">
        <v>4</v>
      </c>
      <c r="I2043">
        <v>30000</v>
      </c>
      <c r="J2043">
        <v>5000</v>
      </c>
      <c r="K2043" t="s">
        <v>95</v>
      </c>
      <c r="L2043" t="s">
        <v>100</v>
      </c>
      <c r="M2043" t="s">
        <v>46</v>
      </c>
      <c r="N2043" t="b">
        <v>0</v>
      </c>
      <c r="O2043" t="s">
        <v>97</v>
      </c>
    </row>
    <row r="2044" spans="1:15" ht="15" customHeight="1">
      <c r="A2044" t="s">
        <v>1026</v>
      </c>
      <c r="B2044" t="s">
        <v>2642</v>
      </c>
      <c r="C2044" t="s">
        <v>68</v>
      </c>
      <c r="D2044" t="s">
        <v>69</v>
      </c>
      <c r="E2044">
        <v>12</v>
      </c>
      <c r="F2044">
        <v>1.4</v>
      </c>
      <c r="G2044">
        <v>0.12</v>
      </c>
      <c r="H2044">
        <v>2</v>
      </c>
      <c r="I2044">
        <v>30000</v>
      </c>
      <c r="J2044">
        <v>5000</v>
      </c>
      <c r="K2044" t="s">
        <v>162</v>
      </c>
      <c r="L2044" t="s">
        <v>96</v>
      </c>
      <c r="M2044" t="s">
        <v>50</v>
      </c>
      <c r="N2044" t="b">
        <v>0</v>
      </c>
      <c r="O2044" t="s">
        <v>163</v>
      </c>
    </row>
    <row r="2045" spans="1:15" ht="15" customHeight="1">
      <c r="A2045" t="s">
        <v>1518</v>
      </c>
      <c r="B2045" t="s">
        <v>2643</v>
      </c>
      <c r="C2045" t="s">
        <v>149</v>
      </c>
      <c r="D2045" t="s">
        <v>69</v>
      </c>
      <c r="E2045">
        <v>9</v>
      </c>
      <c r="F2045">
        <v>9</v>
      </c>
      <c r="G2045">
        <v>1</v>
      </c>
      <c r="H2045">
        <v>18</v>
      </c>
      <c r="I2045">
        <v>3000</v>
      </c>
      <c r="J2045">
        <v>1000</v>
      </c>
      <c r="K2045" t="s">
        <v>150</v>
      </c>
      <c r="L2045" t="s">
        <v>117</v>
      </c>
      <c r="M2045" t="s">
        <v>51</v>
      </c>
      <c r="N2045" t="b">
        <v>1</v>
      </c>
      <c r="O2045" t="s">
        <v>151</v>
      </c>
    </row>
    <row r="2046" spans="1:15" ht="15" customHeight="1">
      <c r="A2046" t="s">
        <v>123</v>
      </c>
      <c r="B2046" t="s">
        <v>2644</v>
      </c>
      <c r="C2046" t="s">
        <v>149</v>
      </c>
      <c r="D2046" t="s">
        <v>69</v>
      </c>
      <c r="E2046">
        <v>9</v>
      </c>
      <c r="F2046">
        <v>8.3000000000000007</v>
      </c>
      <c r="G2046">
        <v>0.92</v>
      </c>
      <c r="H2046">
        <v>15</v>
      </c>
      <c r="I2046">
        <v>3000</v>
      </c>
      <c r="J2046">
        <v>1000</v>
      </c>
      <c r="K2046" t="s">
        <v>438</v>
      </c>
      <c r="L2046" t="s">
        <v>91</v>
      </c>
      <c r="M2046" t="s">
        <v>42</v>
      </c>
      <c r="N2046" t="b">
        <v>1</v>
      </c>
      <c r="O2046" t="s">
        <v>90</v>
      </c>
    </row>
    <row r="2047" spans="1:15" ht="15" customHeight="1">
      <c r="A2047" t="s">
        <v>369</v>
      </c>
      <c r="B2047" t="s">
        <v>2645</v>
      </c>
      <c r="C2047" t="s">
        <v>75</v>
      </c>
      <c r="D2047" t="s">
        <v>69</v>
      </c>
      <c r="E2047">
        <v>13</v>
      </c>
      <c r="F2047">
        <v>5</v>
      </c>
      <c r="G2047">
        <v>0.38</v>
      </c>
      <c r="H2047">
        <v>29</v>
      </c>
      <c r="I2047">
        <v>2000</v>
      </c>
      <c r="J2047">
        <v>1500</v>
      </c>
      <c r="K2047" t="s">
        <v>519</v>
      </c>
      <c r="L2047" t="s">
        <v>77</v>
      </c>
      <c r="M2047" t="s">
        <v>46</v>
      </c>
      <c r="N2047" t="b">
        <v>0</v>
      </c>
      <c r="O2047" t="s">
        <v>520</v>
      </c>
    </row>
    <row r="2048" spans="1:15" ht="15" customHeight="1">
      <c r="A2048" t="s">
        <v>458</v>
      </c>
      <c r="B2048" t="s">
        <v>2646</v>
      </c>
      <c r="C2048" t="s">
        <v>149</v>
      </c>
      <c r="D2048" t="s">
        <v>69</v>
      </c>
      <c r="E2048">
        <v>11</v>
      </c>
      <c r="F2048">
        <v>9.6</v>
      </c>
      <c r="G2048">
        <v>0.87</v>
      </c>
      <c r="H2048">
        <v>40</v>
      </c>
      <c r="I2048">
        <v>3000</v>
      </c>
      <c r="J2048">
        <v>1000</v>
      </c>
      <c r="K2048" t="s">
        <v>95</v>
      </c>
      <c r="L2048" t="s">
        <v>77</v>
      </c>
      <c r="M2048" t="s">
        <v>41</v>
      </c>
      <c r="N2048" t="b">
        <v>0</v>
      </c>
      <c r="O2048" t="s">
        <v>217</v>
      </c>
    </row>
    <row r="2049" spans="1:15" ht="15" customHeight="1">
      <c r="A2049" t="s">
        <v>1048</v>
      </c>
      <c r="B2049" t="s">
        <v>2647</v>
      </c>
      <c r="C2049" t="s">
        <v>75</v>
      </c>
      <c r="D2049" t="s">
        <v>69</v>
      </c>
      <c r="E2049">
        <v>19</v>
      </c>
      <c r="F2049">
        <v>16.3</v>
      </c>
      <c r="G2049">
        <v>0.86</v>
      </c>
      <c r="H2049">
        <v>28</v>
      </c>
      <c r="I2049">
        <v>2000</v>
      </c>
      <c r="J2049">
        <v>1500</v>
      </c>
      <c r="K2049" t="s">
        <v>262</v>
      </c>
      <c r="L2049" t="s">
        <v>91</v>
      </c>
      <c r="M2049" t="s">
        <v>47</v>
      </c>
      <c r="N2049" t="b">
        <v>1</v>
      </c>
      <c r="O2049" t="s">
        <v>289</v>
      </c>
    </row>
    <row r="2050" spans="1:15" ht="15" customHeight="1">
      <c r="A2050" t="s">
        <v>712</v>
      </c>
      <c r="B2050" t="s">
        <v>2648</v>
      </c>
      <c r="C2050" t="s">
        <v>81</v>
      </c>
      <c r="D2050" t="s">
        <v>69</v>
      </c>
      <c r="E2050">
        <v>18</v>
      </c>
      <c r="F2050">
        <v>16</v>
      </c>
      <c r="G2050">
        <v>0.89</v>
      </c>
      <c r="H2050">
        <v>15</v>
      </c>
      <c r="I2050">
        <v>10000</v>
      </c>
      <c r="J2050">
        <v>3000</v>
      </c>
      <c r="K2050" t="s">
        <v>112</v>
      </c>
      <c r="L2050" t="s">
        <v>71</v>
      </c>
      <c r="M2050" t="s">
        <v>41</v>
      </c>
      <c r="N2050" t="b">
        <v>0</v>
      </c>
      <c r="O2050" t="s">
        <v>234</v>
      </c>
    </row>
    <row r="2051" spans="1:15" ht="15" customHeight="1">
      <c r="A2051" t="s">
        <v>753</v>
      </c>
      <c r="B2051" t="s">
        <v>2649</v>
      </c>
      <c r="C2051" t="s">
        <v>68</v>
      </c>
      <c r="D2051" t="s">
        <v>69</v>
      </c>
      <c r="E2051">
        <v>15</v>
      </c>
      <c r="F2051">
        <v>3.4</v>
      </c>
      <c r="G2051">
        <v>0.23</v>
      </c>
      <c r="H2051">
        <v>1</v>
      </c>
      <c r="I2051">
        <v>30000</v>
      </c>
      <c r="J2051">
        <v>5000</v>
      </c>
      <c r="K2051" t="s">
        <v>70</v>
      </c>
      <c r="L2051" t="s">
        <v>91</v>
      </c>
      <c r="M2051" t="s">
        <v>42</v>
      </c>
      <c r="N2051" t="b">
        <v>1</v>
      </c>
      <c r="O2051" t="s">
        <v>72</v>
      </c>
    </row>
    <row r="2052" spans="1:15" ht="15" customHeight="1">
      <c r="A2052" t="s">
        <v>1711</v>
      </c>
      <c r="B2052" t="s">
        <v>2650</v>
      </c>
      <c r="C2052" t="s">
        <v>129</v>
      </c>
      <c r="D2052" t="s">
        <v>130</v>
      </c>
      <c r="E2052">
        <v>10</v>
      </c>
      <c r="F2052">
        <v>7.9</v>
      </c>
      <c r="G2052">
        <v>0.79</v>
      </c>
      <c r="H2052">
        <v>18</v>
      </c>
      <c r="I2052">
        <v>5000</v>
      </c>
      <c r="J2052">
        <v>1000</v>
      </c>
      <c r="K2052" t="s">
        <v>108</v>
      </c>
      <c r="L2052" t="s">
        <v>96</v>
      </c>
      <c r="M2052" t="s">
        <v>47</v>
      </c>
      <c r="N2052" t="b">
        <v>0</v>
      </c>
      <c r="O2052" t="s">
        <v>166</v>
      </c>
    </row>
    <row r="2053" spans="1:15" ht="15" customHeight="1">
      <c r="A2053" t="s">
        <v>189</v>
      </c>
      <c r="B2053" t="s">
        <v>2651</v>
      </c>
      <c r="C2053" t="s">
        <v>75</v>
      </c>
      <c r="D2053" t="s">
        <v>69</v>
      </c>
      <c r="E2053">
        <v>8</v>
      </c>
      <c r="F2053">
        <v>5.9</v>
      </c>
      <c r="G2053">
        <v>0.74</v>
      </c>
      <c r="H2053">
        <v>10</v>
      </c>
      <c r="I2053">
        <v>2000</v>
      </c>
      <c r="J2053">
        <v>1500</v>
      </c>
      <c r="K2053" t="s">
        <v>418</v>
      </c>
      <c r="L2053" t="s">
        <v>104</v>
      </c>
      <c r="M2053" t="s">
        <v>51</v>
      </c>
      <c r="N2053" t="b">
        <v>0</v>
      </c>
      <c r="O2053" t="s">
        <v>419</v>
      </c>
    </row>
    <row r="2054" spans="1:15" ht="15" customHeight="1">
      <c r="A2054" t="s">
        <v>668</v>
      </c>
      <c r="B2054" t="s">
        <v>2652</v>
      </c>
      <c r="C2054" t="s">
        <v>81</v>
      </c>
      <c r="D2054" t="s">
        <v>69</v>
      </c>
      <c r="E2054">
        <v>10</v>
      </c>
      <c r="F2054">
        <v>6.7</v>
      </c>
      <c r="G2054">
        <v>0.67</v>
      </c>
      <c r="H2054">
        <v>19</v>
      </c>
      <c r="I2054">
        <v>10000</v>
      </c>
      <c r="J2054">
        <v>3000</v>
      </c>
      <c r="K2054" t="s">
        <v>309</v>
      </c>
      <c r="L2054" t="s">
        <v>104</v>
      </c>
      <c r="M2054" t="s">
        <v>44</v>
      </c>
      <c r="N2054" t="b">
        <v>0</v>
      </c>
      <c r="O2054" t="s">
        <v>310</v>
      </c>
    </row>
    <row r="2055" spans="1:15" ht="15" customHeight="1">
      <c r="A2055" t="s">
        <v>398</v>
      </c>
      <c r="B2055" t="s">
        <v>2653</v>
      </c>
      <c r="C2055" t="s">
        <v>149</v>
      </c>
      <c r="D2055" t="s">
        <v>69</v>
      </c>
      <c r="E2055">
        <v>11</v>
      </c>
      <c r="F2055">
        <v>9.6999999999999993</v>
      </c>
      <c r="G2055">
        <v>0.88</v>
      </c>
      <c r="H2055">
        <v>17</v>
      </c>
      <c r="I2055">
        <v>3000</v>
      </c>
      <c r="J2055">
        <v>1000</v>
      </c>
      <c r="K2055" t="s">
        <v>634</v>
      </c>
      <c r="L2055" t="s">
        <v>117</v>
      </c>
      <c r="M2055" t="s">
        <v>43</v>
      </c>
      <c r="N2055" t="b">
        <v>1</v>
      </c>
      <c r="O2055" t="s">
        <v>158</v>
      </c>
    </row>
    <row r="2056" spans="1:15" ht="15" customHeight="1">
      <c r="A2056" t="s">
        <v>1101</v>
      </c>
      <c r="B2056" t="s">
        <v>2654</v>
      </c>
      <c r="C2056" t="s">
        <v>68</v>
      </c>
      <c r="D2056" t="s">
        <v>69</v>
      </c>
      <c r="E2056">
        <v>14</v>
      </c>
      <c r="F2056">
        <v>1.1000000000000001</v>
      </c>
      <c r="G2056">
        <v>0.08</v>
      </c>
      <c r="H2056">
        <v>5</v>
      </c>
      <c r="I2056">
        <v>30000</v>
      </c>
      <c r="J2056">
        <v>5000</v>
      </c>
      <c r="K2056" t="s">
        <v>112</v>
      </c>
      <c r="L2056" t="s">
        <v>77</v>
      </c>
      <c r="M2056" t="s">
        <v>49</v>
      </c>
      <c r="N2056" t="b">
        <v>0</v>
      </c>
      <c r="O2056" t="s">
        <v>113</v>
      </c>
    </row>
    <row r="2057" spans="1:15" ht="15" customHeight="1">
      <c r="A2057" t="s">
        <v>1657</v>
      </c>
      <c r="B2057" t="s">
        <v>2655</v>
      </c>
      <c r="C2057" t="s">
        <v>81</v>
      </c>
      <c r="D2057" t="s">
        <v>69</v>
      </c>
      <c r="E2057">
        <v>20</v>
      </c>
      <c r="F2057">
        <v>13.1</v>
      </c>
      <c r="G2057">
        <v>0.66</v>
      </c>
      <c r="H2057">
        <v>7</v>
      </c>
      <c r="I2057">
        <v>10000</v>
      </c>
      <c r="J2057">
        <v>3000</v>
      </c>
      <c r="K2057" t="s">
        <v>82</v>
      </c>
      <c r="L2057" t="s">
        <v>91</v>
      </c>
      <c r="M2057" t="s">
        <v>46</v>
      </c>
      <c r="N2057" t="b">
        <v>1</v>
      </c>
      <c r="O2057" t="s">
        <v>83</v>
      </c>
    </row>
    <row r="2058" spans="1:15" ht="15" customHeight="1">
      <c r="A2058" t="s">
        <v>607</v>
      </c>
      <c r="B2058" t="s">
        <v>2656</v>
      </c>
      <c r="C2058" t="s">
        <v>149</v>
      </c>
      <c r="D2058" t="s">
        <v>69</v>
      </c>
      <c r="E2058">
        <v>9</v>
      </c>
      <c r="F2058">
        <v>6.3</v>
      </c>
      <c r="G2058">
        <v>0.7</v>
      </c>
      <c r="H2058">
        <v>37</v>
      </c>
      <c r="I2058">
        <v>3000</v>
      </c>
      <c r="J2058">
        <v>1000</v>
      </c>
      <c r="K2058" t="s">
        <v>672</v>
      </c>
      <c r="L2058" t="s">
        <v>100</v>
      </c>
      <c r="M2058" t="s">
        <v>42</v>
      </c>
      <c r="N2058" t="b">
        <v>0</v>
      </c>
      <c r="O2058" t="s">
        <v>134</v>
      </c>
    </row>
    <row r="2059" spans="1:15" ht="15" customHeight="1">
      <c r="A2059" t="s">
        <v>1074</v>
      </c>
      <c r="B2059" t="s">
        <v>2657</v>
      </c>
      <c r="C2059" t="s">
        <v>68</v>
      </c>
      <c r="D2059" t="s">
        <v>69</v>
      </c>
      <c r="E2059">
        <v>16</v>
      </c>
      <c r="F2059">
        <v>3.7</v>
      </c>
      <c r="G2059">
        <v>0.23</v>
      </c>
      <c r="H2059">
        <v>3</v>
      </c>
      <c r="I2059">
        <v>30000</v>
      </c>
      <c r="J2059">
        <v>5000</v>
      </c>
      <c r="K2059" t="s">
        <v>108</v>
      </c>
      <c r="L2059" t="s">
        <v>71</v>
      </c>
      <c r="M2059" t="s">
        <v>42</v>
      </c>
      <c r="N2059" t="b">
        <v>0</v>
      </c>
      <c r="O2059" t="s">
        <v>109</v>
      </c>
    </row>
    <row r="2060" spans="1:15" ht="15" customHeight="1">
      <c r="A2060" t="s">
        <v>1500</v>
      </c>
      <c r="B2060" t="s">
        <v>2658</v>
      </c>
      <c r="C2060" t="s">
        <v>129</v>
      </c>
      <c r="D2060" t="s">
        <v>130</v>
      </c>
      <c r="E2060">
        <v>11</v>
      </c>
      <c r="F2060">
        <v>9.9</v>
      </c>
      <c r="G2060">
        <v>0.9</v>
      </c>
      <c r="H2060">
        <v>11</v>
      </c>
      <c r="I2060">
        <v>5000</v>
      </c>
      <c r="J2060">
        <v>1000</v>
      </c>
      <c r="K2060" t="s">
        <v>163</v>
      </c>
      <c r="L2060" t="s">
        <v>117</v>
      </c>
      <c r="M2060" t="s">
        <v>51</v>
      </c>
      <c r="N2060" t="b">
        <v>1</v>
      </c>
      <c r="O2060" t="s">
        <v>150</v>
      </c>
    </row>
    <row r="2061" spans="1:15" ht="15" customHeight="1">
      <c r="A2061" t="s">
        <v>1194</v>
      </c>
      <c r="B2061" t="s">
        <v>2659</v>
      </c>
      <c r="C2061" t="s">
        <v>149</v>
      </c>
      <c r="D2061" t="s">
        <v>69</v>
      </c>
      <c r="E2061">
        <v>8</v>
      </c>
      <c r="F2061">
        <v>7.5</v>
      </c>
      <c r="G2061">
        <v>0.94</v>
      </c>
      <c r="H2061">
        <v>35</v>
      </c>
      <c r="I2061">
        <v>3000</v>
      </c>
      <c r="J2061">
        <v>1000</v>
      </c>
      <c r="K2061" t="s">
        <v>131</v>
      </c>
      <c r="L2061" t="s">
        <v>104</v>
      </c>
      <c r="M2061" t="s">
        <v>50</v>
      </c>
      <c r="N2061" t="b">
        <v>0</v>
      </c>
      <c r="O2061" t="s">
        <v>132</v>
      </c>
    </row>
    <row r="2062" spans="1:15" ht="15" customHeight="1">
      <c r="A2062" t="s">
        <v>630</v>
      </c>
      <c r="B2062" t="s">
        <v>2660</v>
      </c>
      <c r="C2062" t="s">
        <v>149</v>
      </c>
      <c r="D2062" t="s">
        <v>69</v>
      </c>
      <c r="E2062">
        <v>10</v>
      </c>
      <c r="F2062">
        <v>7</v>
      </c>
      <c r="G2062">
        <v>0.7</v>
      </c>
      <c r="H2062">
        <v>16</v>
      </c>
      <c r="I2062">
        <v>3000</v>
      </c>
      <c r="J2062">
        <v>1000</v>
      </c>
      <c r="K2062" t="s">
        <v>361</v>
      </c>
      <c r="L2062" t="s">
        <v>77</v>
      </c>
      <c r="M2062" t="s">
        <v>47</v>
      </c>
      <c r="N2062" t="b">
        <v>0</v>
      </c>
      <c r="O2062" t="s">
        <v>870</v>
      </c>
    </row>
    <row r="2063" spans="1:15" ht="15" customHeight="1">
      <c r="A2063" t="s">
        <v>1188</v>
      </c>
      <c r="B2063" t="s">
        <v>2661</v>
      </c>
      <c r="C2063" t="s">
        <v>129</v>
      </c>
      <c r="D2063" t="s">
        <v>130</v>
      </c>
      <c r="E2063">
        <v>17</v>
      </c>
      <c r="F2063">
        <v>8.6999999999999993</v>
      </c>
      <c r="G2063">
        <v>0.51</v>
      </c>
      <c r="H2063">
        <v>6</v>
      </c>
      <c r="I2063">
        <v>5000</v>
      </c>
      <c r="J2063">
        <v>1000</v>
      </c>
      <c r="K2063" t="s">
        <v>70</v>
      </c>
      <c r="L2063" t="s">
        <v>117</v>
      </c>
      <c r="M2063" t="s">
        <v>50</v>
      </c>
      <c r="N2063" t="b">
        <v>1</v>
      </c>
      <c r="O2063" t="s">
        <v>331</v>
      </c>
    </row>
    <row r="2064" spans="1:15" ht="15" customHeight="1">
      <c r="A2064" t="s">
        <v>110</v>
      </c>
      <c r="B2064" t="s">
        <v>2662</v>
      </c>
      <c r="C2064" t="s">
        <v>68</v>
      </c>
      <c r="D2064" t="s">
        <v>69</v>
      </c>
      <c r="E2064">
        <v>12</v>
      </c>
      <c r="F2064">
        <v>4</v>
      </c>
      <c r="G2064">
        <v>0.33</v>
      </c>
      <c r="H2064">
        <v>3</v>
      </c>
      <c r="I2064">
        <v>30000</v>
      </c>
      <c r="J2064">
        <v>5000</v>
      </c>
      <c r="K2064" t="s">
        <v>108</v>
      </c>
      <c r="L2064" t="s">
        <v>100</v>
      </c>
      <c r="M2064" t="s">
        <v>43</v>
      </c>
      <c r="N2064" t="b">
        <v>0</v>
      </c>
      <c r="O2064" t="s">
        <v>109</v>
      </c>
    </row>
    <row r="2065" spans="1:15" ht="15" customHeight="1">
      <c r="A2065" t="s">
        <v>73</v>
      </c>
      <c r="B2065" t="s">
        <v>2663</v>
      </c>
      <c r="C2065" t="s">
        <v>75</v>
      </c>
      <c r="D2065" t="s">
        <v>69</v>
      </c>
      <c r="E2065">
        <v>14</v>
      </c>
      <c r="F2065">
        <v>11.4</v>
      </c>
      <c r="G2065">
        <v>0.81</v>
      </c>
      <c r="H2065">
        <v>11</v>
      </c>
      <c r="I2065">
        <v>2000</v>
      </c>
      <c r="J2065">
        <v>1500</v>
      </c>
      <c r="K2065" t="s">
        <v>689</v>
      </c>
      <c r="L2065" t="s">
        <v>77</v>
      </c>
      <c r="M2065" t="s">
        <v>40</v>
      </c>
      <c r="N2065" t="b">
        <v>0</v>
      </c>
      <c r="O2065" t="s">
        <v>690</v>
      </c>
    </row>
    <row r="2066" spans="1:15" ht="15" customHeight="1">
      <c r="A2066" t="s">
        <v>825</v>
      </c>
      <c r="B2066" t="s">
        <v>2664</v>
      </c>
      <c r="C2066" t="s">
        <v>149</v>
      </c>
      <c r="D2066" t="s">
        <v>69</v>
      </c>
      <c r="E2066">
        <v>8</v>
      </c>
      <c r="F2066">
        <v>6.3</v>
      </c>
      <c r="G2066">
        <v>0.79</v>
      </c>
      <c r="H2066">
        <v>29</v>
      </c>
      <c r="I2066">
        <v>3000</v>
      </c>
      <c r="J2066">
        <v>1000</v>
      </c>
      <c r="K2066" t="s">
        <v>303</v>
      </c>
      <c r="L2066" t="s">
        <v>104</v>
      </c>
      <c r="M2066" t="s">
        <v>40</v>
      </c>
      <c r="N2066" t="b">
        <v>0</v>
      </c>
      <c r="O2066" t="s">
        <v>323</v>
      </c>
    </row>
    <row r="2067" spans="1:15" ht="15" customHeight="1">
      <c r="A2067" t="s">
        <v>568</v>
      </c>
      <c r="B2067" t="s">
        <v>2665</v>
      </c>
      <c r="C2067" t="s">
        <v>149</v>
      </c>
      <c r="D2067" t="s">
        <v>69</v>
      </c>
      <c r="E2067">
        <v>10</v>
      </c>
      <c r="F2067">
        <v>6.9</v>
      </c>
      <c r="G2067">
        <v>0.69</v>
      </c>
      <c r="H2067">
        <v>33</v>
      </c>
      <c r="I2067">
        <v>3000</v>
      </c>
      <c r="J2067">
        <v>1000</v>
      </c>
      <c r="K2067" t="s">
        <v>169</v>
      </c>
      <c r="L2067" t="s">
        <v>77</v>
      </c>
      <c r="M2067" t="s">
        <v>41</v>
      </c>
      <c r="N2067" t="b">
        <v>0</v>
      </c>
      <c r="O2067" t="s">
        <v>702</v>
      </c>
    </row>
    <row r="2068" spans="1:15" ht="15" customHeight="1">
      <c r="A2068" t="s">
        <v>592</v>
      </c>
      <c r="B2068" t="s">
        <v>2666</v>
      </c>
      <c r="C2068" t="s">
        <v>129</v>
      </c>
      <c r="D2068" t="s">
        <v>130</v>
      </c>
      <c r="E2068">
        <v>15</v>
      </c>
      <c r="F2068">
        <v>12.1</v>
      </c>
      <c r="G2068">
        <v>0.81</v>
      </c>
      <c r="H2068">
        <v>16</v>
      </c>
      <c r="I2068">
        <v>5000</v>
      </c>
      <c r="J2068">
        <v>1000</v>
      </c>
      <c r="K2068" t="s">
        <v>357</v>
      </c>
      <c r="L2068" t="s">
        <v>91</v>
      </c>
      <c r="M2068" t="s">
        <v>51</v>
      </c>
      <c r="N2068" t="b">
        <v>1</v>
      </c>
      <c r="O2068" t="s">
        <v>456</v>
      </c>
    </row>
    <row r="2069" spans="1:15" ht="15" customHeight="1">
      <c r="A2069" t="s">
        <v>799</v>
      </c>
      <c r="B2069" t="s">
        <v>2667</v>
      </c>
      <c r="C2069" t="s">
        <v>75</v>
      </c>
      <c r="D2069" t="s">
        <v>69</v>
      </c>
      <c r="E2069">
        <v>9</v>
      </c>
      <c r="F2069">
        <v>6.7</v>
      </c>
      <c r="G2069">
        <v>0.74</v>
      </c>
      <c r="H2069">
        <v>26</v>
      </c>
      <c r="I2069">
        <v>2000</v>
      </c>
      <c r="J2069">
        <v>1500</v>
      </c>
      <c r="K2069" t="s">
        <v>298</v>
      </c>
      <c r="L2069" t="s">
        <v>77</v>
      </c>
      <c r="M2069" t="s">
        <v>46</v>
      </c>
      <c r="N2069" t="b">
        <v>0</v>
      </c>
      <c r="O2069" t="s">
        <v>299</v>
      </c>
    </row>
    <row r="2070" spans="1:15" ht="15" customHeight="1">
      <c r="A2070" t="s">
        <v>324</v>
      </c>
      <c r="B2070" t="s">
        <v>2668</v>
      </c>
      <c r="C2070" t="s">
        <v>129</v>
      </c>
      <c r="D2070" t="s">
        <v>130</v>
      </c>
      <c r="E2070">
        <v>14</v>
      </c>
      <c r="F2070">
        <v>13.3</v>
      </c>
      <c r="G2070">
        <v>0.95</v>
      </c>
      <c r="H2070">
        <v>13</v>
      </c>
      <c r="I2070">
        <v>5000</v>
      </c>
      <c r="J2070">
        <v>1000</v>
      </c>
      <c r="K2070" t="s">
        <v>313</v>
      </c>
      <c r="L2070" t="s">
        <v>91</v>
      </c>
      <c r="M2070" t="s">
        <v>48</v>
      </c>
      <c r="N2070" t="b">
        <v>1</v>
      </c>
      <c r="O2070" t="s">
        <v>314</v>
      </c>
    </row>
    <row r="2071" spans="1:15" ht="15" customHeight="1">
      <c r="A2071" t="s">
        <v>563</v>
      </c>
      <c r="B2071" t="s">
        <v>2669</v>
      </c>
      <c r="C2071" t="s">
        <v>68</v>
      </c>
      <c r="D2071" t="s">
        <v>69</v>
      </c>
      <c r="E2071">
        <v>9</v>
      </c>
      <c r="F2071">
        <v>3.6</v>
      </c>
      <c r="G2071">
        <v>0.4</v>
      </c>
      <c r="H2071">
        <v>3</v>
      </c>
      <c r="I2071">
        <v>30000</v>
      </c>
      <c r="J2071">
        <v>5000</v>
      </c>
      <c r="K2071" t="s">
        <v>108</v>
      </c>
      <c r="L2071" t="s">
        <v>91</v>
      </c>
      <c r="M2071" t="s">
        <v>46</v>
      </c>
      <c r="N2071" t="b">
        <v>1</v>
      </c>
      <c r="O2071" t="s">
        <v>109</v>
      </c>
    </row>
    <row r="2072" spans="1:15" ht="15" customHeight="1">
      <c r="A2072" t="s">
        <v>1101</v>
      </c>
      <c r="B2072" t="s">
        <v>2670</v>
      </c>
      <c r="C2072" t="s">
        <v>149</v>
      </c>
      <c r="D2072" t="s">
        <v>69</v>
      </c>
      <c r="E2072">
        <v>8</v>
      </c>
      <c r="F2072">
        <v>6.3</v>
      </c>
      <c r="G2072">
        <v>0.79</v>
      </c>
      <c r="H2072">
        <v>24</v>
      </c>
      <c r="I2072">
        <v>3000</v>
      </c>
      <c r="J2072">
        <v>1000</v>
      </c>
      <c r="K2072" t="s">
        <v>490</v>
      </c>
      <c r="L2072" t="s">
        <v>77</v>
      </c>
      <c r="M2072" t="s">
        <v>49</v>
      </c>
      <c r="N2072" t="b">
        <v>0</v>
      </c>
      <c r="O2072" t="s">
        <v>491</v>
      </c>
    </row>
    <row r="2073" spans="1:15" ht="15" customHeight="1">
      <c r="A2073" t="s">
        <v>2352</v>
      </c>
      <c r="B2073" t="s">
        <v>2671</v>
      </c>
      <c r="C2073" t="s">
        <v>75</v>
      </c>
      <c r="D2073" t="s">
        <v>69</v>
      </c>
      <c r="E2073">
        <v>15</v>
      </c>
      <c r="F2073">
        <v>6.3</v>
      </c>
      <c r="G2073">
        <v>0.42</v>
      </c>
      <c r="H2073">
        <v>22</v>
      </c>
      <c r="I2073">
        <v>2000</v>
      </c>
      <c r="J2073">
        <v>1500</v>
      </c>
      <c r="K2073" t="s">
        <v>90</v>
      </c>
      <c r="L2073" t="s">
        <v>77</v>
      </c>
      <c r="M2073" t="s">
        <v>48</v>
      </c>
      <c r="N2073" t="b">
        <v>0</v>
      </c>
      <c r="O2073" t="s">
        <v>92</v>
      </c>
    </row>
    <row r="2074" spans="1:15" ht="15" customHeight="1">
      <c r="A2074" t="s">
        <v>609</v>
      </c>
      <c r="B2074" t="s">
        <v>2672</v>
      </c>
      <c r="C2074" t="s">
        <v>81</v>
      </c>
      <c r="D2074" t="s">
        <v>69</v>
      </c>
      <c r="E2074">
        <v>10</v>
      </c>
      <c r="F2074">
        <v>3.6</v>
      </c>
      <c r="G2074">
        <v>0.36</v>
      </c>
      <c r="H2074">
        <v>9</v>
      </c>
      <c r="I2074">
        <v>10000</v>
      </c>
      <c r="J2074">
        <v>3000</v>
      </c>
      <c r="K2074" t="s">
        <v>108</v>
      </c>
      <c r="L2074" t="s">
        <v>91</v>
      </c>
      <c r="M2074" t="s">
        <v>40</v>
      </c>
      <c r="N2074" t="b">
        <v>1</v>
      </c>
      <c r="O2074" t="s">
        <v>303</v>
      </c>
    </row>
    <row r="2075" spans="1:15" ht="15" customHeight="1">
      <c r="A2075" t="s">
        <v>561</v>
      </c>
      <c r="B2075" t="s">
        <v>2673</v>
      </c>
      <c r="C2075" t="s">
        <v>81</v>
      </c>
      <c r="D2075" t="s">
        <v>69</v>
      </c>
      <c r="E2075">
        <v>18</v>
      </c>
      <c r="F2075">
        <v>17.899999999999999</v>
      </c>
      <c r="G2075">
        <v>0.99</v>
      </c>
      <c r="H2075">
        <v>29</v>
      </c>
      <c r="I2075">
        <v>10000</v>
      </c>
      <c r="J2075">
        <v>3000</v>
      </c>
      <c r="K2075" t="s">
        <v>603</v>
      </c>
      <c r="L2075" t="s">
        <v>71</v>
      </c>
      <c r="M2075" t="s">
        <v>50</v>
      </c>
      <c r="N2075" t="b">
        <v>0</v>
      </c>
      <c r="O2075" t="s">
        <v>604</v>
      </c>
    </row>
    <row r="2076" spans="1:15" ht="15" customHeight="1">
      <c r="A2076" t="s">
        <v>563</v>
      </c>
      <c r="B2076" t="s">
        <v>2674</v>
      </c>
      <c r="C2076" t="s">
        <v>129</v>
      </c>
      <c r="D2076" t="s">
        <v>130</v>
      </c>
      <c r="E2076">
        <v>16</v>
      </c>
      <c r="F2076">
        <v>9.4</v>
      </c>
      <c r="G2076">
        <v>0.59</v>
      </c>
      <c r="H2076">
        <v>27</v>
      </c>
      <c r="I2076">
        <v>5000</v>
      </c>
      <c r="J2076">
        <v>1000</v>
      </c>
      <c r="K2076" t="s">
        <v>172</v>
      </c>
      <c r="L2076" t="s">
        <v>91</v>
      </c>
      <c r="M2076" t="s">
        <v>46</v>
      </c>
      <c r="N2076" t="b">
        <v>1</v>
      </c>
      <c r="O2076" t="s">
        <v>173</v>
      </c>
    </row>
    <row r="2077" spans="1:15" ht="15" customHeight="1">
      <c r="A2077" t="s">
        <v>2675</v>
      </c>
      <c r="B2077" t="s">
        <v>2676</v>
      </c>
      <c r="C2077" t="s">
        <v>75</v>
      </c>
      <c r="D2077" t="s">
        <v>69</v>
      </c>
      <c r="E2077">
        <v>19</v>
      </c>
      <c r="F2077">
        <v>3.8</v>
      </c>
      <c r="G2077">
        <v>0.2</v>
      </c>
      <c r="H2077">
        <v>13</v>
      </c>
      <c r="I2077">
        <v>2000</v>
      </c>
      <c r="J2077">
        <v>1500</v>
      </c>
      <c r="K2077" t="s">
        <v>211</v>
      </c>
      <c r="L2077" t="s">
        <v>100</v>
      </c>
      <c r="M2077" t="s">
        <v>50</v>
      </c>
      <c r="N2077" t="b">
        <v>0</v>
      </c>
      <c r="O2077" t="s">
        <v>212</v>
      </c>
    </row>
    <row r="2078" spans="1:15" ht="15" customHeight="1">
      <c r="A2078" t="s">
        <v>191</v>
      </c>
      <c r="B2078" t="s">
        <v>2677</v>
      </c>
      <c r="C2078" t="s">
        <v>149</v>
      </c>
      <c r="D2078" t="s">
        <v>69</v>
      </c>
      <c r="E2078">
        <v>8</v>
      </c>
      <c r="F2078">
        <v>6.6</v>
      </c>
      <c r="G2078">
        <v>0.82</v>
      </c>
      <c r="H2078">
        <v>32</v>
      </c>
      <c r="I2078">
        <v>3000</v>
      </c>
      <c r="J2078">
        <v>1000</v>
      </c>
      <c r="K2078" t="s">
        <v>576</v>
      </c>
      <c r="L2078" t="s">
        <v>71</v>
      </c>
      <c r="M2078" t="s">
        <v>49</v>
      </c>
      <c r="N2078" t="b">
        <v>0</v>
      </c>
      <c r="O2078" t="s">
        <v>336</v>
      </c>
    </row>
    <row r="2079" spans="1:15" ht="15" customHeight="1">
      <c r="A2079" t="s">
        <v>221</v>
      </c>
      <c r="B2079" t="s">
        <v>2678</v>
      </c>
      <c r="C2079" t="s">
        <v>75</v>
      </c>
      <c r="D2079" t="s">
        <v>69</v>
      </c>
      <c r="E2079">
        <v>8</v>
      </c>
      <c r="F2079">
        <v>8</v>
      </c>
      <c r="G2079">
        <v>1</v>
      </c>
      <c r="H2079">
        <v>14</v>
      </c>
      <c r="I2079">
        <v>2000</v>
      </c>
      <c r="J2079">
        <v>1500</v>
      </c>
      <c r="K2079" t="s">
        <v>396</v>
      </c>
      <c r="L2079" t="s">
        <v>71</v>
      </c>
      <c r="M2079" t="s">
        <v>49</v>
      </c>
      <c r="N2079" t="b">
        <v>0</v>
      </c>
      <c r="O2079" t="s">
        <v>397</v>
      </c>
    </row>
    <row r="2080" spans="1:15" ht="15" customHeight="1">
      <c r="A2080" t="s">
        <v>590</v>
      </c>
      <c r="B2080" t="s">
        <v>2679</v>
      </c>
      <c r="C2080" t="s">
        <v>81</v>
      </c>
      <c r="D2080" t="s">
        <v>69</v>
      </c>
      <c r="E2080">
        <v>15</v>
      </c>
      <c r="F2080">
        <v>8</v>
      </c>
      <c r="G2080">
        <v>0.53</v>
      </c>
      <c r="H2080">
        <v>26</v>
      </c>
      <c r="I2080">
        <v>10000</v>
      </c>
      <c r="J2080">
        <v>3000</v>
      </c>
      <c r="K2080" t="s">
        <v>525</v>
      </c>
      <c r="L2080" t="s">
        <v>77</v>
      </c>
      <c r="M2080" t="s">
        <v>49</v>
      </c>
      <c r="N2080" t="b">
        <v>0</v>
      </c>
      <c r="O2080" t="s">
        <v>526</v>
      </c>
    </row>
    <row r="2081" spans="1:15" ht="15" customHeight="1">
      <c r="A2081" t="s">
        <v>1106</v>
      </c>
      <c r="B2081" t="s">
        <v>2680</v>
      </c>
      <c r="C2081" t="s">
        <v>129</v>
      </c>
      <c r="D2081" t="s">
        <v>130</v>
      </c>
      <c r="E2081">
        <v>16</v>
      </c>
      <c r="F2081">
        <v>13</v>
      </c>
      <c r="G2081">
        <v>0.81</v>
      </c>
      <c r="H2081">
        <v>16</v>
      </c>
      <c r="I2081">
        <v>5000</v>
      </c>
      <c r="J2081">
        <v>1000</v>
      </c>
      <c r="K2081" t="s">
        <v>357</v>
      </c>
      <c r="L2081" t="s">
        <v>71</v>
      </c>
      <c r="M2081" t="s">
        <v>47</v>
      </c>
      <c r="N2081" t="b">
        <v>0</v>
      </c>
      <c r="O2081" t="s">
        <v>456</v>
      </c>
    </row>
    <row r="2082" spans="1:15" ht="15" customHeight="1">
      <c r="A2082" t="s">
        <v>497</v>
      </c>
      <c r="B2082" t="s">
        <v>2681</v>
      </c>
      <c r="C2082" t="s">
        <v>75</v>
      </c>
      <c r="D2082" t="s">
        <v>69</v>
      </c>
      <c r="E2082">
        <v>8</v>
      </c>
      <c r="F2082">
        <v>5.7</v>
      </c>
      <c r="G2082">
        <v>0.71</v>
      </c>
      <c r="H2082">
        <v>26</v>
      </c>
      <c r="I2082">
        <v>2000</v>
      </c>
      <c r="J2082">
        <v>1500</v>
      </c>
      <c r="K2082" t="s">
        <v>298</v>
      </c>
      <c r="L2082" t="s">
        <v>104</v>
      </c>
      <c r="M2082" t="s">
        <v>44</v>
      </c>
      <c r="N2082" t="b">
        <v>0</v>
      </c>
      <c r="O2082" t="s">
        <v>299</v>
      </c>
    </row>
    <row r="2083" spans="1:15" ht="15" customHeight="1">
      <c r="A2083" t="s">
        <v>1093</v>
      </c>
      <c r="B2083" t="s">
        <v>2682</v>
      </c>
      <c r="C2083" t="s">
        <v>68</v>
      </c>
      <c r="D2083" t="s">
        <v>69</v>
      </c>
      <c r="E2083">
        <v>10</v>
      </c>
      <c r="F2083">
        <v>1.7</v>
      </c>
      <c r="G2083">
        <v>0.17</v>
      </c>
      <c r="H2083">
        <v>2</v>
      </c>
      <c r="I2083">
        <v>30000</v>
      </c>
      <c r="J2083">
        <v>5000</v>
      </c>
      <c r="K2083" t="s">
        <v>162</v>
      </c>
      <c r="L2083" t="s">
        <v>77</v>
      </c>
      <c r="M2083" t="s">
        <v>40</v>
      </c>
      <c r="N2083" t="b">
        <v>0</v>
      </c>
      <c r="O2083" t="s">
        <v>163</v>
      </c>
    </row>
    <row r="2084" spans="1:15" ht="15" customHeight="1">
      <c r="A2084" t="s">
        <v>846</v>
      </c>
      <c r="B2084" t="s">
        <v>2683</v>
      </c>
      <c r="C2084" t="s">
        <v>68</v>
      </c>
      <c r="D2084" t="s">
        <v>69</v>
      </c>
      <c r="E2084">
        <v>12</v>
      </c>
      <c r="F2084">
        <v>0.9</v>
      </c>
      <c r="G2084">
        <v>7.0000000000000007E-2</v>
      </c>
      <c r="H2084">
        <v>4</v>
      </c>
      <c r="I2084">
        <v>30000</v>
      </c>
      <c r="J2084">
        <v>5000</v>
      </c>
      <c r="K2084" t="s">
        <v>95</v>
      </c>
      <c r="L2084" t="s">
        <v>104</v>
      </c>
      <c r="M2084" t="s">
        <v>45</v>
      </c>
      <c r="N2084" t="b">
        <v>0</v>
      </c>
      <c r="O2084" t="s">
        <v>97</v>
      </c>
    </row>
    <row r="2085" spans="1:15" ht="15" customHeight="1">
      <c r="A2085" t="s">
        <v>588</v>
      </c>
      <c r="B2085" t="s">
        <v>2684</v>
      </c>
      <c r="C2085" t="s">
        <v>81</v>
      </c>
      <c r="D2085" t="s">
        <v>69</v>
      </c>
      <c r="E2085">
        <v>20</v>
      </c>
      <c r="F2085">
        <v>7.6</v>
      </c>
      <c r="G2085">
        <v>0.38</v>
      </c>
      <c r="H2085">
        <v>21</v>
      </c>
      <c r="I2085">
        <v>10000</v>
      </c>
      <c r="J2085">
        <v>3000</v>
      </c>
      <c r="K2085" t="s">
        <v>279</v>
      </c>
      <c r="L2085" t="s">
        <v>104</v>
      </c>
      <c r="M2085" t="s">
        <v>42</v>
      </c>
      <c r="N2085" t="b">
        <v>0</v>
      </c>
      <c r="O2085" t="s">
        <v>280</v>
      </c>
    </row>
    <row r="2086" spans="1:15" ht="15" customHeight="1">
      <c r="A2086" t="s">
        <v>976</v>
      </c>
      <c r="B2086" t="s">
        <v>2685</v>
      </c>
      <c r="C2086" t="s">
        <v>129</v>
      </c>
      <c r="D2086" t="s">
        <v>130</v>
      </c>
      <c r="E2086">
        <v>9</v>
      </c>
      <c r="F2086">
        <v>4.8</v>
      </c>
      <c r="G2086">
        <v>0.53</v>
      </c>
      <c r="H2086">
        <v>13</v>
      </c>
      <c r="I2086">
        <v>5000</v>
      </c>
      <c r="J2086">
        <v>1000</v>
      </c>
      <c r="K2086" t="s">
        <v>313</v>
      </c>
      <c r="L2086" t="s">
        <v>71</v>
      </c>
      <c r="M2086" t="s">
        <v>48</v>
      </c>
      <c r="N2086" t="b">
        <v>0</v>
      </c>
      <c r="O2086" t="s">
        <v>314</v>
      </c>
    </row>
    <row r="2087" spans="1:15" ht="15" customHeight="1">
      <c r="A2087" t="s">
        <v>1188</v>
      </c>
      <c r="B2087" t="s">
        <v>2686</v>
      </c>
      <c r="C2087" t="s">
        <v>149</v>
      </c>
      <c r="D2087" t="s">
        <v>69</v>
      </c>
      <c r="E2087">
        <v>9</v>
      </c>
      <c r="F2087">
        <v>8.8000000000000007</v>
      </c>
      <c r="G2087">
        <v>0.98</v>
      </c>
      <c r="H2087">
        <v>40</v>
      </c>
      <c r="I2087">
        <v>3000</v>
      </c>
      <c r="J2087">
        <v>1000</v>
      </c>
      <c r="K2087" t="s">
        <v>95</v>
      </c>
      <c r="L2087" t="s">
        <v>117</v>
      </c>
      <c r="M2087" t="s">
        <v>50</v>
      </c>
      <c r="N2087" t="b">
        <v>1</v>
      </c>
      <c r="O2087" t="s">
        <v>217</v>
      </c>
    </row>
    <row r="2088" spans="1:15" ht="15" customHeight="1">
      <c r="A2088" t="s">
        <v>1093</v>
      </c>
      <c r="B2088" t="s">
        <v>2687</v>
      </c>
      <c r="C2088" t="s">
        <v>81</v>
      </c>
      <c r="D2088" t="s">
        <v>69</v>
      </c>
      <c r="E2088">
        <v>10</v>
      </c>
      <c r="F2088">
        <v>7.7</v>
      </c>
      <c r="G2088">
        <v>0.77</v>
      </c>
      <c r="H2088">
        <v>30</v>
      </c>
      <c r="I2088">
        <v>10000</v>
      </c>
      <c r="J2088">
        <v>3000</v>
      </c>
      <c r="K2088" t="s">
        <v>185</v>
      </c>
      <c r="L2088" t="s">
        <v>77</v>
      </c>
      <c r="M2088" t="s">
        <v>40</v>
      </c>
      <c r="N2088" t="b">
        <v>0</v>
      </c>
      <c r="O2088" t="s">
        <v>186</v>
      </c>
    </row>
    <row r="2089" spans="1:15" ht="15" customHeight="1">
      <c r="A2089" t="s">
        <v>136</v>
      </c>
      <c r="B2089" t="s">
        <v>2688</v>
      </c>
      <c r="C2089" t="s">
        <v>129</v>
      </c>
      <c r="D2089" t="s">
        <v>130</v>
      </c>
      <c r="E2089">
        <v>17</v>
      </c>
      <c r="F2089">
        <v>9.1999999999999993</v>
      </c>
      <c r="G2089">
        <v>0.54</v>
      </c>
      <c r="H2089">
        <v>27</v>
      </c>
      <c r="I2089">
        <v>5000</v>
      </c>
      <c r="J2089">
        <v>1000</v>
      </c>
      <c r="K2089" t="s">
        <v>172</v>
      </c>
      <c r="L2089" t="s">
        <v>96</v>
      </c>
      <c r="M2089" t="s">
        <v>41</v>
      </c>
      <c r="N2089" t="b">
        <v>0</v>
      </c>
      <c r="O2089" t="s">
        <v>173</v>
      </c>
    </row>
    <row r="2090" spans="1:15" ht="15" customHeight="1">
      <c r="A2090" t="s">
        <v>638</v>
      </c>
      <c r="B2090" t="s">
        <v>2689</v>
      </c>
      <c r="C2090" t="s">
        <v>129</v>
      </c>
      <c r="D2090" t="s">
        <v>130</v>
      </c>
      <c r="E2090">
        <v>15</v>
      </c>
      <c r="F2090">
        <v>9.6</v>
      </c>
      <c r="G2090">
        <v>0.64</v>
      </c>
      <c r="H2090">
        <v>22</v>
      </c>
      <c r="I2090">
        <v>5000</v>
      </c>
      <c r="J2090">
        <v>1000</v>
      </c>
      <c r="K2090" t="s">
        <v>134</v>
      </c>
      <c r="L2090" t="s">
        <v>77</v>
      </c>
      <c r="M2090" t="s">
        <v>48</v>
      </c>
      <c r="N2090" t="b">
        <v>0</v>
      </c>
      <c r="O2090" t="s">
        <v>135</v>
      </c>
    </row>
    <row r="2091" spans="1:15" ht="15" customHeight="1">
      <c r="A2091" t="s">
        <v>367</v>
      </c>
      <c r="B2091" t="s">
        <v>2690</v>
      </c>
      <c r="C2091" t="s">
        <v>68</v>
      </c>
      <c r="D2091" t="s">
        <v>69</v>
      </c>
      <c r="E2091">
        <v>13</v>
      </c>
      <c r="F2091">
        <v>1.7</v>
      </c>
      <c r="G2091">
        <v>0.13</v>
      </c>
      <c r="H2091">
        <v>4</v>
      </c>
      <c r="I2091">
        <v>30000</v>
      </c>
      <c r="J2091">
        <v>5000</v>
      </c>
      <c r="K2091" t="s">
        <v>95</v>
      </c>
      <c r="L2091" t="s">
        <v>71</v>
      </c>
      <c r="M2091" t="s">
        <v>51</v>
      </c>
      <c r="N2091" t="b">
        <v>0</v>
      </c>
      <c r="O2091" t="s">
        <v>97</v>
      </c>
    </row>
    <row r="2092" spans="1:15" ht="15" customHeight="1">
      <c r="A2092" t="s">
        <v>201</v>
      </c>
      <c r="B2092" t="s">
        <v>2691</v>
      </c>
      <c r="C2092" t="s">
        <v>68</v>
      </c>
      <c r="D2092" t="s">
        <v>69</v>
      </c>
      <c r="E2092">
        <v>10</v>
      </c>
      <c r="F2092">
        <v>1.1000000000000001</v>
      </c>
      <c r="G2092">
        <v>0.11</v>
      </c>
      <c r="H2092">
        <v>2</v>
      </c>
      <c r="I2092">
        <v>30000</v>
      </c>
      <c r="J2092">
        <v>5000</v>
      </c>
      <c r="K2092" t="s">
        <v>162</v>
      </c>
      <c r="L2092" t="s">
        <v>77</v>
      </c>
      <c r="M2092" t="s">
        <v>50</v>
      </c>
      <c r="N2092" t="b">
        <v>0</v>
      </c>
      <c r="O2092" t="s">
        <v>163</v>
      </c>
    </row>
    <row r="2093" spans="1:15" ht="15" customHeight="1">
      <c r="A2093" t="s">
        <v>1250</v>
      </c>
      <c r="B2093" t="s">
        <v>2692</v>
      </c>
      <c r="C2093" t="s">
        <v>75</v>
      </c>
      <c r="D2093" t="s">
        <v>69</v>
      </c>
      <c r="E2093">
        <v>15</v>
      </c>
      <c r="F2093">
        <v>6.6</v>
      </c>
      <c r="G2093">
        <v>0.44</v>
      </c>
      <c r="H2093">
        <v>13</v>
      </c>
      <c r="I2093">
        <v>2000</v>
      </c>
      <c r="J2093">
        <v>1500</v>
      </c>
      <c r="K2093" t="s">
        <v>211</v>
      </c>
      <c r="L2093" t="s">
        <v>96</v>
      </c>
      <c r="M2093" t="s">
        <v>41</v>
      </c>
      <c r="N2093" t="b">
        <v>0</v>
      </c>
      <c r="O2093" t="s">
        <v>212</v>
      </c>
    </row>
    <row r="2094" spans="1:15" ht="15" customHeight="1">
      <c r="A2094" t="s">
        <v>1711</v>
      </c>
      <c r="B2094" t="s">
        <v>2693</v>
      </c>
      <c r="C2094" t="s">
        <v>81</v>
      </c>
      <c r="D2094" t="s">
        <v>69</v>
      </c>
      <c r="E2094">
        <v>9</v>
      </c>
      <c r="F2094">
        <v>5.9</v>
      </c>
      <c r="G2094">
        <v>0.66</v>
      </c>
      <c r="H2094">
        <v>23</v>
      </c>
      <c r="I2094">
        <v>10000</v>
      </c>
      <c r="J2094">
        <v>3000</v>
      </c>
      <c r="K2094" t="s">
        <v>626</v>
      </c>
      <c r="L2094" t="s">
        <v>96</v>
      </c>
      <c r="M2094" t="s">
        <v>47</v>
      </c>
      <c r="N2094" t="b">
        <v>0</v>
      </c>
      <c r="O2094" t="s">
        <v>627</v>
      </c>
    </row>
    <row r="2095" spans="1:15" ht="15" customHeight="1">
      <c r="A2095" t="s">
        <v>794</v>
      </c>
      <c r="B2095" t="s">
        <v>2694</v>
      </c>
      <c r="C2095" t="s">
        <v>129</v>
      </c>
      <c r="D2095" t="s">
        <v>130</v>
      </c>
      <c r="E2095">
        <v>14</v>
      </c>
      <c r="F2095">
        <v>6.1</v>
      </c>
      <c r="G2095">
        <v>0.44</v>
      </c>
      <c r="H2095">
        <v>27</v>
      </c>
      <c r="I2095">
        <v>5000</v>
      </c>
      <c r="J2095">
        <v>1000</v>
      </c>
      <c r="K2095" t="s">
        <v>172</v>
      </c>
      <c r="L2095" t="s">
        <v>96</v>
      </c>
      <c r="M2095" t="s">
        <v>45</v>
      </c>
      <c r="N2095" t="b">
        <v>0</v>
      </c>
      <c r="O2095" t="s">
        <v>173</v>
      </c>
    </row>
    <row r="2096" spans="1:15" ht="15" customHeight="1">
      <c r="A2096" t="s">
        <v>926</v>
      </c>
      <c r="B2096" t="s">
        <v>2695</v>
      </c>
      <c r="C2096" t="s">
        <v>149</v>
      </c>
      <c r="D2096" t="s">
        <v>69</v>
      </c>
      <c r="E2096">
        <v>10</v>
      </c>
      <c r="F2096">
        <v>8.5</v>
      </c>
      <c r="G2096">
        <v>0.85</v>
      </c>
      <c r="H2096">
        <v>35</v>
      </c>
      <c r="I2096">
        <v>3000</v>
      </c>
      <c r="J2096">
        <v>1000</v>
      </c>
      <c r="K2096" t="s">
        <v>131</v>
      </c>
      <c r="L2096" t="s">
        <v>91</v>
      </c>
      <c r="M2096" t="s">
        <v>41</v>
      </c>
      <c r="N2096" t="b">
        <v>1</v>
      </c>
      <c r="O2096" t="s">
        <v>132</v>
      </c>
    </row>
    <row r="2097" spans="1:15" ht="15" customHeight="1">
      <c r="A2097" t="s">
        <v>1153</v>
      </c>
      <c r="B2097" t="s">
        <v>2696</v>
      </c>
      <c r="C2097" t="s">
        <v>68</v>
      </c>
      <c r="D2097" t="s">
        <v>69</v>
      </c>
      <c r="E2097">
        <v>11</v>
      </c>
      <c r="F2097">
        <v>1.6</v>
      </c>
      <c r="G2097">
        <v>0.15</v>
      </c>
      <c r="H2097">
        <v>4</v>
      </c>
      <c r="I2097">
        <v>30000</v>
      </c>
      <c r="J2097">
        <v>5000</v>
      </c>
      <c r="K2097" t="s">
        <v>95</v>
      </c>
      <c r="L2097" t="s">
        <v>104</v>
      </c>
      <c r="M2097" t="s">
        <v>40</v>
      </c>
      <c r="N2097" t="b">
        <v>0</v>
      </c>
      <c r="O2097" t="s">
        <v>97</v>
      </c>
    </row>
    <row r="2098" spans="1:15" ht="15" customHeight="1">
      <c r="A2098" t="s">
        <v>505</v>
      </c>
      <c r="B2098" t="s">
        <v>2697</v>
      </c>
      <c r="C2098" t="s">
        <v>149</v>
      </c>
      <c r="D2098" t="s">
        <v>69</v>
      </c>
      <c r="E2098">
        <v>11</v>
      </c>
      <c r="F2098">
        <v>9.5</v>
      </c>
      <c r="G2098">
        <v>0.86</v>
      </c>
      <c r="H2098">
        <v>38</v>
      </c>
      <c r="I2098">
        <v>3000</v>
      </c>
      <c r="J2098">
        <v>1000</v>
      </c>
      <c r="K2098" t="s">
        <v>220</v>
      </c>
      <c r="L2098" t="s">
        <v>100</v>
      </c>
      <c r="M2098" t="s">
        <v>51</v>
      </c>
      <c r="N2098" t="b">
        <v>0</v>
      </c>
      <c r="O2098" t="s">
        <v>785</v>
      </c>
    </row>
    <row r="2099" spans="1:15" ht="15" customHeight="1">
      <c r="A2099" t="s">
        <v>1211</v>
      </c>
      <c r="B2099" t="s">
        <v>2698</v>
      </c>
      <c r="C2099" t="s">
        <v>129</v>
      </c>
      <c r="D2099" t="s">
        <v>130</v>
      </c>
      <c r="E2099">
        <v>14</v>
      </c>
      <c r="F2099">
        <v>12.9</v>
      </c>
      <c r="G2099">
        <v>0.92</v>
      </c>
      <c r="H2099">
        <v>6</v>
      </c>
      <c r="I2099">
        <v>5000</v>
      </c>
      <c r="J2099">
        <v>1000</v>
      </c>
      <c r="K2099" t="s">
        <v>70</v>
      </c>
      <c r="L2099" t="s">
        <v>91</v>
      </c>
      <c r="M2099" t="s">
        <v>49</v>
      </c>
      <c r="N2099" t="b">
        <v>1</v>
      </c>
      <c r="O2099" t="s">
        <v>331</v>
      </c>
    </row>
    <row r="2100" spans="1:15" ht="15" customHeight="1">
      <c r="A2100" t="s">
        <v>583</v>
      </c>
      <c r="B2100" t="s">
        <v>2699</v>
      </c>
      <c r="C2100" t="s">
        <v>75</v>
      </c>
      <c r="D2100" t="s">
        <v>69</v>
      </c>
      <c r="E2100">
        <v>11</v>
      </c>
      <c r="F2100">
        <v>5.4</v>
      </c>
      <c r="G2100">
        <v>0.49</v>
      </c>
      <c r="H2100">
        <v>14</v>
      </c>
      <c r="I2100">
        <v>2000</v>
      </c>
      <c r="J2100">
        <v>1500</v>
      </c>
      <c r="K2100" t="s">
        <v>396</v>
      </c>
      <c r="L2100" t="s">
        <v>100</v>
      </c>
      <c r="M2100" t="s">
        <v>40</v>
      </c>
      <c r="N2100" t="b">
        <v>0</v>
      </c>
      <c r="O2100" t="s">
        <v>397</v>
      </c>
    </row>
    <row r="2101" spans="1:15" ht="15" customHeight="1">
      <c r="A2101" t="s">
        <v>110</v>
      </c>
      <c r="B2101" t="s">
        <v>2700</v>
      </c>
      <c r="C2101" t="s">
        <v>149</v>
      </c>
      <c r="D2101" t="s">
        <v>69</v>
      </c>
      <c r="E2101">
        <v>12</v>
      </c>
      <c r="F2101">
        <v>7.4</v>
      </c>
      <c r="G2101">
        <v>0.62</v>
      </c>
      <c r="H2101">
        <v>22</v>
      </c>
      <c r="I2101">
        <v>3000</v>
      </c>
      <c r="J2101">
        <v>1000</v>
      </c>
      <c r="K2101" t="s">
        <v>556</v>
      </c>
      <c r="L2101" t="s">
        <v>100</v>
      </c>
      <c r="M2101" t="s">
        <v>43</v>
      </c>
      <c r="N2101" t="b">
        <v>0</v>
      </c>
      <c r="O2101" t="s">
        <v>313</v>
      </c>
    </row>
    <row r="2102" spans="1:15" ht="15" customHeight="1">
      <c r="A2102" t="s">
        <v>2132</v>
      </c>
      <c r="B2102" t="s">
        <v>2701</v>
      </c>
      <c r="C2102" t="s">
        <v>68</v>
      </c>
      <c r="D2102" t="s">
        <v>69</v>
      </c>
      <c r="E2102">
        <v>15</v>
      </c>
      <c r="F2102">
        <v>3.1</v>
      </c>
      <c r="G2102">
        <v>0.21</v>
      </c>
      <c r="H2102">
        <v>3</v>
      </c>
      <c r="I2102">
        <v>30000</v>
      </c>
      <c r="J2102">
        <v>5000</v>
      </c>
      <c r="K2102" t="s">
        <v>108</v>
      </c>
      <c r="L2102" t="s">
        <v>100</v>
      </c>
      <c r="M2102" t="s">
        <v>46</v>
      </c>
      <c r="N2102" t="b">
        <v>0</v>
      </c>
      <c r="O2102" t="s">
        <v>109</v>
      </c>
    </row>
    <row r="2103" spans="1:15" ht="15" customHeight="1">
      <c r="A2103" t="s">
        <v>920</v>
      </c>
      <c r="B2103" t="s">
        <v>2702</v>
      </c>
      <c r="C2103" t="s">
        <v>81</v>
      </c>
      <c r="D2103" t="s">
        <v>69</v>
      </c>
      <c r="E2103">
        <v>16</v>
      </c>
      <c r="F2103">
        <v>11.2</v>
      </c>
      <c r="G2103">
        <v>0.7</v>
      </c>
      <c r="H2103">
        <v>16</v>
      </c>
      <c r="I2103">
        <v>10000</v>
      </c>
      <c r="J2103">
        <v>3000</v>
      </c>
      <c r="K2103" t="s">
        <v>283</v>
      </c>
      <c r="L2103" t="s">
        <v>96</v>
      </c>
      <c r="M2103" t="s">
        <v>51</v>
      </c>
      <c r="N2103" t="b">
        <v>0</v>
      </c>
      <c r="O2103" t="s">
        <v>284</v>
      </c>
    </row>
    <row r="2104" spans="1:15" ht="15" customHeight="1">
      <c r="A2104" t="s">
        <v>181</v>
      </c>
      <c r="B2104" t="s">
        <v>2703</v>
      </c>
      <c r="C2104" t="s">
        <v>81</v>
      </c>
      <c r="D2104" t="s">
        <v>69</v>
      </c>
      <c r="E2104">
        <v>17</v>
      </c>
      <c r="F2104">
        <v>6.3</v>
      </c>
      <c r="G2104">
        <v>0.37</v>
      </c>
      <c r="H2104">
        <v>30</v>
      </c>
      <c r="I2104">
        <v>10000</v>
      </c>
      <c r="J2104">
        <v>3000</v>
      </c>
      <c r="K2104" t="s">
        <v>185</v>
      </c>
      <c r="L2104" t="s">
        <v>71</v>
      </c>
      <c r="M2104" t="s">
        <v>42</v>
      </c>
      <c r="N2104" t="b">
        <v>0</v>
      </c>
      <c r="O2104" t="s">
        <v>186</v>
      </c>
    </row>
    <row r="2105" spans="1:15" ht="15" customHeight="1">
      <c r="A2105" t="s">
        <v>522</v>
      </c>
      <c r="B2105" t="s">
        <v>2704</v>
      </c>
      <c r="C2105" t="s">
        <v>75</v>
      </c>
      <c r="D2105" t="s">
        <v>69</v>
      </c>
      <c r="E2105">
        <v>19</v>
      </c>
      <c r="F2105">
        <v>13.5</v>
      </c>
      <c r="G2105">
        <v>0.71</v>
      </c>
      <c r="H2105">
        <v>30</v>
      </c>
      <c r="I2105">
        <v>2000</v>
      </c>
      <c r="J2105">
        <v>1500</v>
      </c>
      <c r="K2105" t="s">
        <v>162</v>
      </c>
      <c r="L2105" t="s">
        <v>96</v>
      </c>
      <c r="M2105" t="s">
        <v>48</v>
      </c>
      <c r="N2105" t="b">
        <v>0</v>
      </c>
      <c r="O2105" t="s">
        <v>510</v>
      </c>
    </row>
    <row r="2106" spans="1:15" ht="15" customHeight="1">
      <c r="A2106" t="s">
        <v>1541</v>
      </c>
      <c r="B2106" t="s">
        <v>2705</v>
      </c>
      <c r="C2106" t="s">
        <v>68</v>
      </c>
      <c r="D2106" t="s">
        <v>69</v>
      </c>
      <c r="E2106">
        <v>10</v>
      </c>
      <c r="F2106">
        <v>2</v>
      </c>
      <c r="G2106">
        <v>0.2</v>
      </c>
      <c r="H2106">
        <v>3</v>
      </c>
      <c r="I2106">
        <v>30000</v>
      </c>
      <c r="J2106">
        <v>5000</v>
      </c>
      <c r="K2106" t="s">
        <v>108</v>
      </c>
      <c r="L2106" t="s">
        <v>91</v>
      </c>
      <c r="M2106" t="s">
        <v>49</v>
      </c>
      <c r="N2106" t="b">
        <v>1</v>
      </c>
      <c r="O2106" t="s">
        <v>109</v>
      </c>
    </row>
    <row r="2107" spans="1:15" ht="15" customHeight="1">
      <c r="A2107" t="s">
        <v>721</v>
      </c>
      <c r="B2107" t="s">
        <v>2706</v>
      </c>
      <c r="C2107" t="s">
        <v>81</v>
      </c>
      <c r="D2107" t="s">
        <v>69</v>
      </c>
      <c r="E2107">
        <v>14</v>
      </c>
      <c r="F2107">
        <v>11.6</v>
      </c>
      <c r="G2107">
        <v>0.83</v>
      </c>
      <c r="H2107">
        <v>13</v>
      </c>
      <c r="I2107">
        <v>10000</v>
      </c>
      <c r="J2107">
        <v>3000</v>
      </c>
      <c r="K2107" t="s">
        <v>203</v>
      </c>
      <c r="L2107" t="s">
        <v>100</v>
      </c>
      <c r="M2107" t="s">
        <v>49</v>
      </c>
      <c r="N2107" t="b">
        <v>0</v>
      </c>
      <c r="O2107" t="s">
        <v>204</v>
      </c>
    </row>
    <row r="2108" spans="1:15" ht="15" customHeight="1">
      <c r="A2108" t="s">
        <v>998</v>
      </c>
      <c r="B2108" t="s">
        <v>2707</v>
      </c>
      <c r="C2108" t="s">
        <v>75</v>
      </c>
      <c r="D2108" t="s">
        <v>69</v>
      </c>
      <c r="E2108">
        <v>9</v>
      </c>
      <c r="F2108">
        <v>5.0999999999999996</v>
      </c>
      <c r="G2108">
        <v>0.56999999999999995</v>
      </c>
      <c r="H2108">
        <v>18</v>
      </c>
      <c r="I2108">
        <v>2000</v>
      </c>
      <c r="J2108">
        <v>1500</v>
      </c>
      <c r="K2108" t="s">
        <v>225</v>
      </c>
      <c r="L2108" t="s">
        <v>96</v>
      </c>
      <c r="M2108" t="s">
        <v>44</v>
      </c>
      <c r="N2108" t="b">
        <v>0</v>
      </c>
      <c r="O2108" t="s">
        <v>226</v>
      </c>
    </row>
    <row r="2109" spans="1:15" ht="15" customHeight="1">
      <c r="A2109" t="s">
        <v>796</v>
      </c>
      <c r="B2109" t="s">
        <v>2708</v>
      </c>
      <c r="C2109" t="s">
        <v>81</v>
      </c>
      <c r="D2109" t="s">
        <v>69</v>
      </c>
      <c r="E2109">
        <v>20</v>
      </c>
      <c r="F2109">
        <v>5.7</v>
      </c>
      <c r="G2109">
        <v>0.28999999999999998</v>
      </c>
      <c r="H2109">
        <v>25</v>
      </c>
      <c r="I2109">
        <v>10000</v>
      </c>
      <c r="J2109">
        <v>3000</v>
      </c>
      <c r="K2109" t="s">
        <v>138</v>
      </c>
      <c r="L2109" t="s">
        <v>91</v>
      </c>
      <c r="M2109" t="s">
        <v>43</v>
      </c>
      <c r="N2109" t="b">
        <v>1</v>
      </c>
      <c r="O2109" t="s">
        <v>139</v>
      </c>
    </row>
    <row r="2110" spans="1:15" ht="15" customHeight="1">
      <c r="A2110" t="s">
        <v>1004</v>
      </c>
      <c r="B2110" t="s">
        <v>2709</v>
      </c>
      <c r="C2110" t="s">
        <v>149</v>
      </c>
      <c r="D2110" t="s">
        <v>69</v>
      </c>
      <c r="E2110">
        <v>12</v>
      </c>
      <c r="F2110">
        <v>8.3000000000000007</v>
      </c>
      <c r="G2110">
        <v>0.69</v>
      </c>
      <c r="H2110">
        <v>26</v>
      </c>
      <c r="I2110">
        <v>3000</v>
      </c>
      <c r="J2110">
        <v>1000</v>
      </c>
      <c r="K2110" t="s">
        <v>294</v>
      </c>
      <c r="L2110" t="s">
        <v>77</v>
      </c>
      <c r="M2110" t="s">
        <v>43</v>
      </c>
      <c r="N2110" t="b">
        <v>0</v>
      </c>
      <c r="O2110" t="s">
        <v>295</v>
      </c>
    </row>
    <row r="2111" spans="1:15" ht="15" customHeight="1">
      <c r="A2111" t="s">
        <v>998</v>
      </c>
      <c r="B2111" t="s">
        <v>2710</v>
      </c>
      <c r="C2111" t="s">
        <v>149</v>
      </c>
      <c r="D2111" t="s">
        <v>69</v>
      </c>
      <c r="E2111">
        <v>8</v>
      </c>
      <c r="F2111">
        <v>6.8</v>
      </c>
      <c r="G2111">
        <v>0.85</v>
      </c>
      <c r="H2111">
        <v>23</v>
      </c>
      <c r="I2111">
        <v>3000</v>
      </c>
      <c r="J2111">
        <v>1000</v>
      </c>
      <c r="K2111" t="s">
        <v>229</v>
      </c>
      <c r="L2111" t="s">
        <v>96</v>
      </c>
      <c r="M2111" t="s">
        <v>44</v>
      </c>
      <c r="N2111" t="b">
        <v>0</v>
      </c>
      <c r="O2111" t="s">
        <v>249</v>
      </c>
    </row>
    <row r="2112" spans="1:15" ht="15" customHeight="1">
      <c r="A2112" t="s">
        <v>110</v>
      </c>
      <c r="B2112" t="s">
        <v>2711</v>
      </c>
      <c r="C2112" t="s">
        <v>68</v>
      </c>
      <c r="D2112" t="s">
        <v>69</v>
      </c>
      <c r="E2112">
        <v>10</v>
      </c>
      <c r="F2112">
        <v>1.4</v>
      </c>
      <c r="G2112">
        <v>0.14000000000000001</v>
      </c>
      <c r="H2112">
        <v>3</v>
      </c>
      <c r="I2112">
        <v>30000</v>
      </c>
      <c r="J2112">
        <v>5000</v>
      </c>
      <c r="K2112" t="s">
        <v>108</v>
      </c>
      <c r="L2112" t="s">
        <v>100</v>
      </c>
      <c r="M2112" t="s">
        <v>43</v>
      </c>
      <c r="N2112" t="b">
        <v>0</v>
      </c>
      <c r="O2112" t="s">
        <v>109</v>
      </c>
    </row>
    <row r="2113" spans="1:15" ht="15" customHeight="1">
      <c r="A2113" t="s">
        <v>601</v>
      </c>
      <c r="B2113" t="s">
        <v>2712</v>
      </c>
      <c r="C2113" t="s">
        <v>68</v>
      </c>
      <c r="D2113" t="s">
        <v>69</v>
      </c>
      <c r="E2113">
        <v>14</v>
      </c>
      <c r="F2113">
        <v>4</v>
      </c>
      <c r="G2113">
        <v>0.28999999999999998</v>
      </c>
      <c r="H2113">
        <v>3</v>
      </c>
      <c r="I2113">
        <v>30000</v>
      </c>
      <c r="J2113">
        <v>5000</v>
      </c>
      <c r="K2113" t="s">
        <v>108</v>
      </c>
      <c r="L2113" t="s">
        <v>117</v>
      </c>
      <c r="M2113" t="s">
        <v>40</v>
      </c>
      <c r="N2113" t="b">
        <v>1</v>
      </c>
      <c r="O2113" t="s">
        <v>109</v>
      </c>
    </row>
    <row r="2114" spans="1:15" ht="15" customHeight="1">
      <c r="A2114" t="s">
        <v>875</v>
      </c>
      <c r="B2114" t="s">
        <v>2713</v>
      </c>
      <c r="C2114" t="s">
        <v>68</v>
      </c>
      <c r="D2114" t="s">
        <v>69</v>
      </c>
      <c r="E2114">
        <v>15</v>
      </c>
      <c r="F2114">
        <v>1.4</v>
      </c>
      <c r="G2114">
        <v>0.09</v>
      </c>
      <c r="H2114">
        <v>3</v>
      </c>
      <c r="I2114">
        <v>30000</v>
      </c>
      <c r="J2114">
        <v>5000</v>
      </c>
      <c r="K2114" t="s">
        <v>108</v>
      </c>
      <c r="L2114" t="s">
        <v>96</v>
      </c>
      <c r="M2114" t="s">
        <v>47</v>
      </c>
      <c r="N2114" t="b">
        <v>0</v>
      </c>
      <c r="O2114" t="s">
        <v>109</v>
      </c>
    </row>
    <row r="2115" spans="1:15" ht="15" customHeight="1">
      <c r="A2115" t="s">
        <v>596</v>
      </c>
      <c r="B2115" t="s">
        <v>2714</v>
      </c>
      <c r="C2115" t="s">
        <v>149</v>
      </c>
      <c r="D2115" t="s">
        <v>69</v>
      </c>
      <c r="E2115">
        <v>8</v>
      </c>
      <c r="F2115">
        <v>6.6</v>
      </c>
      <c r="G2115">
        <v>0.82</v>
      </c>
      <c r="H2115">
        <v>26</v>
      </c>
      <c r="I2115">
        <v>3000</v>
      </c>
      <c r="J2115">
        <v>1000</v>
      </c>
      <c r="K2115" t="s">
        <v>294</v>
      </c>
      <c r="L2115" t="s">
        <v>96</v>
      </c>
      <c r="M2115" t="s">
        <v>46</v>
      </c>
      <c r="N2115" t="b">
        <v>0</v>
      </c>
      <c r="O2115" t="s">
        <v>295</v>
      </c>
    </row>
    <row r="2116" spans="1:15" ht="15" customHeight="1">
      <c r="A2116" t="s">
        <v>167</v>
      </c>
      <c r="B2116" t="s">
        <v>2715</v>
      </c>
      <c r="C2116" t="s">
        <v>149</v>
      </c>
      <c r="D2116" t="s">
        <v>69</v>
      </c>
      <c r="E2116">
        <v>9</v>
      </c>
      <c r="F2116">
        <v>8.6</v>
      </c>
      <c r="G2116">
        <v>0.96</v>
      </c>
      <c r="H2116">
        <v>23</v>
      </c>
      <c r="I2116">
        <v>3000</v>
      </c>
      <c r="J2116">
        <v>1000</v>
      </c>
      <c r="K2116" t="s">
        <v>229</v>
      </c>
      <c r="L2116" t="s">
        <v>104</v>
      </c>
      <c r="M2116" t="s">
        <v>49</v>
      </c>
      <c r="N2116" t="b">
        <v>0</v>
      </c>
      <c r="O2116" t="s">
        <v>249</v>
      </c>
    </row>
    <row r="2117" spans="1:15" ht="15" customHeight="1">
      <c r="A2117" t="s">
        <v>447</v>
      </c>
      <c r="B2117" t="s">
        <v>2716</v>
      </c>
      <c r="C2117" t="s">
        <v>129</v>
      </c>
      <c r="D2117" t="s">
        <v>130</v>
      </c>
      <c r="E2117">
        <v>9</v>
      </c>
      <c r="F2117">
        <v>7.9</v>
      </c>
      <c r="G2117">
        <v>0.88</v>
      </c>
      <c r="H2117">
        <v>9</v>
      </c>
      <c r="I2117">
        <v>5000</v>
      </c>
      <c r="J2117">
        <v>1000</v>
      </c>
      <c r="K2117" t="s">
        <v>438</v>
      </c>
      <c r="L2117" t="s">
        <v>71</v>
      </c>
      <c r="M2117" t="s">
        <v>44</v>
      </c>
      <c r="N2117" t="b">
        <v>0</v>
      </c>
      <c r="O2117" t="s">
        <v>90</v>
      </c>
    </row>
    <row r="2118" spans="1:15" ht="15" customHeight="1">
      <c r="A2118" t="s">
        <v>237</v>
      </c>
      <c r="B2118" t="s">
        <v>2717</v>
      </c>
      <c r="C2118" t="s">
        <v>149</v>
      </c>
      <c r="D2118" t="s">
        <v>69</v>
      </c>
      <c r="E2118">
        <v>8</v>
      </c>
      <c r="F2118">
        <v>7.5</v>
      </c>
      <c r="G2118">
        <v>0.94</v>
      </c>
      <c r="H2118">
        <v>36</v>
      </c>
      <c r="I2118">
        <v>3000</v>
      </c>
      <c r="J2118">
        <v>1000</v>
      </c>
      <c r="K2118" t="s">
        <v>154</v>
      </c>
      <c r="L2118" t="s">
        <v>77</v>
      </c>
      <c r="M2118" t="s">
        <v>49</v>
      </c>
      <c r="N2118" t="b">
        <v>0</v>
      </c>
      <c r="O2118" t="s">
        <v>155</v>
      </c>
    </row>
    <row r="2119" spans="1:15" ht="15" customHeight="1">
      <c r="A2119" t="s">
        <v>636</v>
      </c>
      <c r="B2119" t="s">
        <v>2718</v>
      </c>
      <c r="C2119" t="s">
        <v>81</v>
      </c>
      <c r="D2119" t="s">
        <v>69</v>
      </c>
      <c r="E2119">
        <v>8</v>
      </c>
      <c r="F2119">
        <v>7.4</v>
      </c>
      <c r="G2119">
        <v>0.93</v>
      </c>
      <c r="H2119">
        <v>14</v>
      </c>
      <c r="I2119">
        <v>10000</v>
      </c>
      <c r="J2119">
        <v>3000</v>
      </c>
      <c r="K2119" t="s">
        <v>116</v>
      </c>
      <c r="L2119" t="s">
        <v>77</v>
      </c>
      <c r="M2119" t="s">
        <v>46</v>
      </c>
      <c r="N2119" t="b">
        <v>0</v>
      </c>
      <c r="O2119" t="s">
        <v>118</v>
      </c>
    </row>
    <row r="2120" spans="1:15" ht="15" customHeight="1">
      <c r="A2120" t="s">
        <v>351</v>
      </c>
      <c r="B2120" t="s">
        <v>2719</v>
      </c>
      <c r="C2120" t="s">
        <v>81</v>
      </c>
      <c r="D2120" t="s">
        <v>69</v>
      </c>
      <c r="E2120">
        <v>8</v>
      </c>
      <c r="F2120">
        <v>5.7</v>
      </c>
      <c r="G2120">
        <v>0.71</v>
      </c>
      <c r="H2120">
        <v>8</v>
      </c>
      <c r="I2120">
        <v>10000</v>
      </c>
      <c r="J2120">
        <v>3000</v>
      </c>
      <c r="K2120" t="s">
        <v>357</v>
      </c>
      <c r="L2120" t="s">
        <v>71</v>
      </c>
      <c r="M2120" t="s">
        <v>45</v>
      </c>
      <c r="N2120" t="b">
        <v>0</v>
      </c>
      <c r="O2120" t="s">
        <v>295</v>
      </c>
    </row>
    <row r="2121" spans="1:15" ht="15" customHeight="1">
      <c r="A2121" t="s">
        <v>304</v>
      </c>
      <c r="B2121" t="s">
        <v>2720</v>
      </c>
      <c r="C2121" t="s">
        <v>68</v>
      </c>
      <c r="D2121" t="s">
        <v>69</v>
      </c>
      <c r="E2121">
        <v>8</v>
      </c>
      <c r="F2121">
        <v>2.4</v>
      </c>
      <c r="G2121">
        <v>0.3</v>
      </c>
      <c r="H2121">
        <v>5</v>
      </c>
      <c r="I2121">
        <v>30000</v>
      </c>
      <c r="J2121">
        <v>5000</v>
      </c>
      <c r="K2121" t="s">
        <v>112</v>
      </c>
      <c r="L2121" t="s">
        <v>104</v>
      </c>
      <c r="M2121" t="s">
        <v>45</v>
      </c>
      <c r="N2121" t="b">
        <v>0</v>
      </c>
      <c r="O2121" t="s">
        <v>113</v>
      </c>
    </row>
    <row r="2122" spans="1:15" ht="15" customHeight="1">
      <c r="A2122" t="s">
        <v>193</v>
      </c>
      <c r="B2122" t="s">
        <v>2721</v>
      </c>
      <c r="C2122" t="s">
        <v>75</v>
      </c>
      <c r="D2122" t="s">
        <v>69</v>
      </c>
      <c r="E2122">
        <v>15</v>
      </c>
      <c r="F2122">
        <v>9.8000000000000007</v>
      </c>
      <c r="G2122">
        <v>0.65</v>
      </c>
      <c r="H2122">
        <v>24</v>
      </c>
      <c r="I2122">
        <v>2000</v>
      </c>
      <c r="J2122">
        <v>1500</v>
      </c>
      <c r="K2122" t="s">
        <v>361</v>
      </c>
      <c r="L2122" t="s">
        <v>117</v>
      </c>
      <c r="M2122" t="s">
        <v>50</v>
      </c>
      <c r="N2122" t="b">
        <v>1</v>
      </c>
      <c r="O2122" t="s">
        <v>362</v>
      </c>
    </row>
    <row r="2123" spans="1:15" ht="15" customHeight="1">
      <c r="A2123" t="s">
        <v>136</v>
      </c>
      <c r="B2123" t="s">
        <v>2722</v>
      </c>
      <c r="C2123" t="s">
        <v>75</v>
      </c>
      <c r="D2123" t="s">
        <v>69</v>
      </c>
      <c r="E2123">
        <v>8</v>
      </c>
      <c r="F2123">
        <v>6.2</v>
      </c>
      <c r="G2123">
        <v>0.78</v>
      </c>
      <c r="H2123">
        <v>24</v>
      </c>
      <c r="I2123">
        <v>2000</v>
      </c>
      <c r="J2123">
        <v>1500</v>
      </c>
      <c r="K2123" t="s">
        <v>361</v>
      </c>
      <c r="L2123" t="s">
        <v>96</v>
      </c>
      <c r="M2123" t="s">
        <v>41</v>
      </c>
      <c r="N2123" t="b">
        <v>0</v>
      </c>
      <c r="O2123" t="s">
        <v>362</v>
      </c>
    </row>
    <row r="2124" spans="1:15" ht="15" customHeight="1">
      <c r="A2124" t="s">
        <v>1731</v>
      </c>
      <c r="B2124" t="s">
        <v>2723</v>
      </c>
      <c r="C2124" t="s">
        <v>75</v>
      </c>
      <c r="D2124" t="s">
        <v>69</v>
      </c>
      <c r="E2124">
        <v>14</v>
      </c>
      <c r="F2124">
        <v>8.6</v>
      </c>
      <c r="G2124">
        <v>0.61</v>
      </c>
      <c r="H2124">
        <v>10</v>
      </c>
      <c r="I2124">
        <v>2000</v>
      </c>
      <c r="J2124">
        <v>1500</v>
      </c>
      <c r="K2124" t="s">
        <v>418</v>
      </c>
      <c r="L2124" t="s">
        <v>100</v>
      </c>
      <c r="M2124" t="s">
        <v>51</v>
      </c>
      <c r="N2124" t="b">
        <v>0</v>
      </c>
      <c r="O2124" t="s">
        <v>419</v>
      </c>
    </row>
    <row r="2125" spans="1:15" ht="15" customHeight="1">
      <c r="A2125" t="s">
        <v>340</v>
      </c>
      <c r="B2125" t="s">
        <v>2724</v>
      </c>
      <c r="C2125" t="s">
        <v>129</v>
      </c>
      <c r="D2125" t="s">
        <v>130</v>
      </c>
      <c r="E2125">
        <v>15</v>
      </c>
      <c r="F2125">
        <v>5.2</v>
      </c>
      <c r="G2125">
        <v>0.35</v>
      </c>
      <c r="H2125">
        <v>9</v>
      </c>
      <c r="I2125">
        <v>5000</v>
      </c>
      <c r="J2125">
        <v>1000</v>
      </c>
      <c r="K2125" t="s">
        <v>438</v>
      </c>
      <c r="L2125" t="s">
        <v>117</v>
      </c>
      <c r="M2125" t="s">
        <v>45</v>
      </c>
      <c r="N2125" t="b">
        <v>1</v>
      </c>
      <c r="O2125" t="s">
        <v>90</v>
      </c>
    </row>
    <row r="2126" spans="1:15" ht="15" customHeight="1">
      <c r="A2126" t="s">
        <v>473</v>
      </c>
      <c r="B2126" t="s">
        <v>2725</v>
      </c>
      <c r="C2126" t="s">
        <v>129</v>
      </c>
      <c r="D2126" t="s">
        <v>130</v>
      </c>
      <c r="E2126">
        <v>8</v>
      </c>
      <c r="F2126">
        <v>4.4000000000000004</v>
      </c>
      <c r="G2126">
        <v>0.55000000000000004</v>
      </c>
      <c r="H2126">
        <v>29</v>
      </c>
      <c r="I2126">
        <v>5000</v>
      </c>
      <c r="J2126">
        <v>1000</v>
      </c>
      <c r="K2126" t="s">
        <v>113</v>
      </c>
      <c r="L2126" t="s">
        <v>77</v>
      </c>
      <c r="M2126" t="s">
        <v>42</v>
      </c>
      <c r="N2126" t="b">
        <v>0</v>
      </c>
      <c r="O2126" t="s">
        <v>146</v>
      </c>
    </row>
    <row r="2127" spans="1:15" ht="15" customHeight="1">
      <c r="A2127" t="s">
        <v>638</v>
      </c>
      <c r="B2127" t="s">
        <v>2726</v>
      </c>
      <c r="C2127" t="s">
        <v>129</v>
      </c>
      <c r="D2127" t="s">
        <v>130</v>
      </c>
      <c r="E2127">
        <v>11</v>
      </c>
      <c r="F2127">
        <v>8.1999999999999993</v>
      </c>
      <c r="G2127">
        <v>0.75</v>
      </c>
      <c r="H2127">
        <v>28</v>
      </c>
      <c r="I2127">
        <v>5000</v>
      </c>
      <c r="J2127">
        <v>1000</v>
      </c>
      <c r="K2127" t="s">
        <v>116</v>
      </c>
      <c r="L2127" t="s">
        <v>77</v>
      </c>
      <c r="M2127" t="s">
        <v>48</v>
      </c>
      <c r="N2127" t="b">
        <v>0</v>
      </c>
      <c r="O2127" t="s">
        <v>470</v>
      </c>
    </row>
    <row r="2128" spans="1:15" ht="15" customHeight="1">
      <c r="A2128" t="s">
        <v>353</v>
      </c>
      <c r="B2128" t="s">
        <v>2727</v>
      </c>
      <c r="C2128" t="s">
        <v>149</v>
      </c>
      <c r="D2128" t="s">
        <v>69</v>
      </c>
      <c r="E2128">
        <v>9</v>
      </c>
      <c r="F2128">
        <v>8.9</v>
      </c>
      <c r="G2128">
        <v>0.99</v>
      </c>
      <c r="H2128">
        <v>16</v>
      </c>
      <c r="I2128">
        <v>3000</v>
      </c>
      <c r="J2128">
        <v>1000</v>
      </c>
      <c r="K2128" t="s">
        <v>361</v>
      </c>
      <c r="L2128" t="s">
        <v>117</v>
      </c>
      <c r="M2128" t="s">
        <v>47</v>
      </c>
      <c r="N2128" t="b">
        <v>1</v>
      </c>
      <c r="O2128" t="s">
        <v>870</v>
      </c>
    </row>
    <row r="2129" spans="1:15" ht="15" customHeight="1">
      <c r="A2129" t="s">
        <v>1213</v>
      </c>
      <c r="B2129" t="s">
        <v>2728</v>
      </c>
      <c r="C2129" t="s">
        <v>129</v>
      </c>
      <c r="D2129" t="s">
        <v>130</v>
      </c>
      <c r="E2129">
        <v>19</v>
      </c>
      <c r="F2129">
        <v>11.2</v>
      </c>
      <c r="G2129">
        <v>0.59</v>
      </c>
      <c r="H2129">
        <v>20</v>
      </c>
      <c r="I2129">
        <v>5000</v>
      </c>
      <c r="J2129">
        <v>1000</v>
      </c>
      <c r="K2129" t="s">
        <v>103</v>
      </c>
      <c r="L2129" t="s">
        <v>100</v>
      </c>
      <c r="M2129" t="s">
        <v>41</v>
      </c>
      <c r="N2129" t="b">
        <v>0</v>
      </c>
      <c r="O2129" t="s">
        <v>169</v>
      </c>
    </row>
    <row r="2130" spans="1:15" ht="15" customHeight="1">
      <c r="A2130" t="s">
        <v>1310</v>
      </c>
      <c r="B2130" t="s">
        <v>2729</v>
      </c>
      <c r="C2130" t="s">
        <v>75</v>
      </c>
      <c r="D2130" t="s">
        <v>69</v>
      </c>
      <c r="E2130">
        <v>10</v>
      </c>
      <c r="F2130">
        <v>10</v>
      </c>
      <c r="G2130">
        <v>1</v>
      </c>
      <c r="H2130">
        <v>6</v>
      </c>
      <c r="I2130">
        <v>2000</v>
      </c>
      <c r="J2130">
        <v>1500</v>
      </c>
      <c r="K2130" t="s">
        <v>269</v>
      </c>
      <c r="L2130" t="s">
        <v>117</v>
      </c>
      <c r="M2130" t="s">
        <v>47</v>
      </c>
      <c r="N2130" t="b">
        <v>1</v>
      </c>
      <c r="O2130" t="s">
        <v>270</v>
      </c>
    </row>
    <row r="2131" spans="1:15" ht="15" customHeight="1">
      <c r="A2131" t="s">
        <v>189</v>
      </c>
      <c r="B2131" t="s">
        <v>2730</v>
      </c>
      <c r="C2131" t="s">
        <v>149</v>
      </c>
      <c r="D2131" t="s">
        <v>69</v>
      </c>
      <c r="E2131">
        <v>9</v>
      </c>
      <c r="F2131">
        <v>8.4</v>
      </c>
      <c r="G2131">
        <v>0.93</v>
      </c>
      <c r="H2131">
        <v>38</v>
      </c>
      <c r="I2131">
        <v>3000</v>
      </c>
      <c r="J2131">
        <v>1000</v>
      </c>
      <c r="K2131" t="s">
        <v>220</v>
      </c>
      <c r="L2131" t="s">
        <v>104</v>
      </c>
      <c r="M2131" t="s">
        <v>51</v>
      </c>
      <c r="N2131" t="b">
        <v>0</v>
      </c>
      <c r="O2131" t="s">
        <v>785</v>
      </c>
    </row>
    <row r="2132" spans="1:15" ht="15" customHeight="1">
      <c r="A2132" t="s">
        <v>425</v>
      </c>
      <c r="B2132" t="s">
        <v>2731</v>
      </c>
      <c r="C2132" t="s">
        <v>149</v>
      </c>
      <c r="D2132" t="s">
        <v>69</v>
      </c>
      <c r="E2132">
        <v>10</v>
      </c>
      <c r="F2132">
        <v>6.4</v>
      </c>
      <c r="G2132">
        <v>0.64</v>
      </c>
      <c r="H2132">
        <v>34</v>
      </c>
      <c r="I2132">
        <v>3000</v>
      </c>
      <c r="J2132">
        <v>1000</v>
      </c>
      <c r="K2132" t="s">
        <v>433</v>
      </c>
      <c r="L2132" t="s">
        <v>96</v>
      </c>
      <c r="M2132" t="s">
        <v>40</v>
      </c>
      <c r="N2132" t="b">
        <v>0</v>
      </c>
      <c r="O2132" t="s">
        <v>434</v>
      </c>
    </row>
    <row r="2133" spans="1:15" ht="15" customHeight="1">
      <c r="A2133" t="s">
        <v>834</v>
      </c>
      <c r="B2133" t="s">
        <v>2732</v>
      </c>
      <c r="C2133" t="s">
        <v>75</v>
      </c>
      <c r="D2133" t="s">
        <v>69</v>
      </c>
      <c r="E2133">
        <v>14</v>
      </c>
      <c r="F2133">
        <v>3.2</v>
      </c>
      <c r="G2133">
        <v>0.23</v>
      </c>
      <c r="H2133">
        <v>10</v>
      </c>
      <c r="I2133">
        <v>2000</v>
      </c>
      <c r="J2133">
        <v>1500</v>
      </c>
      <c r="K2133" t="s">
        <v>418</v>
      </c>
      <c r="L2133" t="s">
        <v>117</v>
      </c>
      <c r="M2133" t="s">
        <v>41</v>
      </c>
      <c r="N2133" t="b">
        <v>1</v>
      </c>
      <c r="O2133" t="s">
        <v>419</v>
      </c>
    </row>
    <row r="2134" spans="1:15" ht="15" customHeight="1">
      <c r="A2134" t="s">
        <v>762</v>
      </c>
      <c r="B2134" t="s">
        <v>2733</v>
      </c>
      <c r="C2134" t="s">
        <v>149</v>
      </c>
      <c r="D2134" t="s">
        <v>69</v>
      </c>
      <c r="E2134">
        <v>9</v>
      </c>
      <c r="F2134">
        <v>6.1</v>
      </c>
      <c r="G2134">
        <v>0.68</v>
      </c>
      <c r="H2134">
        <v>23</v>
      </c>
      <c r="I2134">
        <v>3000</v>
      </c>
      <c r="J2134">
        <v>1000</v>
      </c>
      <c r="K2134" t="s">
        <v>229</v>
      </c>
      <c r="L2134" t="s">
        <v>100</v>
      </c>
      <c r="M2134" t="s">
        <v>44</v>
      </c>
      <c r="N2134" t="b">
        <v>0</v>
      </c>
      <c r="O2134" t="s">
        <v>249</v>
      </c>
    </row>
    <row r="2135" spans="1:15" ht="15" customHeight="1">
      <c r="A2135" t="s">
        <v>696</v>
      </c>
      <c r="B2135" t="s">
        <v>2734</v>
      </c>
      <c r="C2135" t="s">
        <v>75</v>
      </c>
      <c r="D2135" t="s">
        <v>69</v>
      </c>
      <c r="E2135">
        <v>15</v>
      </c>
      <c r="F2135">
        <v>3.5</v>
      </c>
      <c r="G2135">
        <v>0.23</v>
      </c>
      <c r="H2135">
        <v>23</v>
      </c>
      <c r="I2135">
        <v>2000</v>
      </c>
      <c r="J2135">
        <v>1500</v>
      </c>
      <c r="K2135" t="s">
        <v>207</v>
      </c>
      <c r="L2135" t="s">
        <v>96</v>
      </c>
      <c r="M2135" t="s">
        <v>47</v>
      </c>
      <c r="N2135" t="b">
        <v>0</v>
      </c>
      <c r="O2135" t="s">
        <v>208</v>
      </c>
    </row>
    <row r="2136" spans="1:15" ht="15" customHeight="1">
      <c r="A2136" t="s">
        <v>796</v>
      </c>
      <c r="B2136" t="s">
        <v>2735</v>
      </c>
      <c r="C2136" t="s">
        <v>129</v>
      </c>
      <c r="D2136" t="s">
        <v>130</v>
      </c>
      <c r="E2136">
        <v>14</v>
      </c>
      <c r="F2136">
        <v>13</v>
      </c>
      <c r="G2136">
        <v>0.93</v>
      </c>
      <c r="H2136">
        <v>6</v>
      </c>
      <c r="I2136">
        <v>5000</v>
      </c>
      <c r="J2136">
        <v>1000</v>
      </c>
      <c r="K2136" t="s">
        <v>70</v>
      </c>
      <c r="L2136" t="s">
        <v>91</v>
      </c>
      <c r="M2136" t="s">
        <v>43</v>
      </c>
      <c r="N2136" t="b">
        <v>1</v>
      </c>
      <c r="O2136" t="s">
        <v>331</v>
      </c>
    </row>
    <row r="2137" spans="1:15" ht="15" customHeight="1">
      <c r="A2137" t="s">
        <v>891</v>
      </c>
      <c r="B2137" t="s">
        <v>2736</v>
      </c>
      <c r="C2137" t="s">
        <v>129</v>
      </c>
      <c r="D2137" t="s">
        <v>130</v>
      </c>
      <c r="E2137">
        <v>17</v>
      </c>
      <c r="F2137">
        <v>8.3000000000000007</v>
      </c>
      <c r="G2137">
        <v>0.49</v>
      </c>
      <c r="H2137">
        <v>8</v>
      </c>
      <c r="I2137">
        <v>5000</v>
      </c>
      <c r="J2137">
        <v>1000</v>
      </c>
      <c r="K2137" t="s">
        <v>76</v>
      </c>
      <c r="L2137" t="s">
        <v>77</v>
      </c>
      <c r="M2137" t="s">
        <v>48</v>
      </c>
      <c r="N2137" t="b">
        <v>0</v>
      </c>
      <c r="O2137" t="s">
        <v>317</v>
      </c>
    </row>
    <row r="2138" spans="1:15" ht="15" customHeight="1">
      <c r="A2138" t="s">
        <v>1308</v>
      </c>
      <c r="B2138" t="s">
        <v>2737</v>
      </c>
      <c r="C2138" t="s">
        <v>68</v>
      </c>
      <c r="D2138" t="s">
        <v>69</v>
      </c>
      <c r="E2138">
        <v>11</v>
      </c>
      <c r="F2138">
        <v>1.1000000000000001</v>
      </c>
      <c r="G2138">
        <v>0.1</v>
      </c>
      <c r="H2138">
        <v>2</v>
      </c>
      <c r="I2138">
        <v>30000</v>
      </c>
      <c r="J2138">
        <v>5000</v>
      </c>
      <c r="K2138" t="s">
        <v>162</v>
      </c>
      <c r="L2138" t="s">
        <v>91</v>
      </c>
      <c r="M2138" t="s">
        <v>44</v>
      </c>
      <c r="N2138" t="b">
        <v>1</v>
      </c>
      <c r="O2138" t="s">
        <v>163</v>
      </c>
    </row>
    <row r="2139" spans="1:15" ht="15" customHeight="1">
      <c r="A2139" t="s">
        <v>178</v>
      </c>
      <c r="B2139" t="s">
        <v>2738</v>
      </c>
      <c r="C2139" t="s">
        <v>81</v>
      </c>
      <c r="D2139" t="s">
        <v>69</v>
      </c>
      <c r="E2139">
        <v>8</v>
      </c>
      <c r="F2139">
        <v>5.7</v>
      </c>
      <c r="G2139">
        <v>0.71</v>
      </c>
      <c r="H2139">
        <v>13</v>
      </c>
      <c r="I2139">
        <v>10000</v>
      </c>
      <c r="J2139">
        <v>3000</v>
      </c>
      <c r="K2139" t="s">
        <v>203</v>
      </c>
      <c r="L2139" t="s">
        <v>91</v>
      </c>
      <c r="M2139" t="s">
        <v>47</v>
      </c>
      <c r="N2139" t="b">
        <v>1</v>
      </c>
      <c r="O2139" t="s">
        <v>204</v>
      </c>
    </row>
    <row r="2140" spans="1:15" ht="15" customHeight="1">
      <c r="A2140" t="s">
        <v>1480</v>
      </c>
      <c r="B2140" t="s">
        <v>2739</v>
      </c>
      <c r="C2140" t="s">
        <v>129</v>
      </c>
      <c r="D2140" t="s">
        <v>130</v>
      </c>
      <c r="E2140">
        <v>15</v>
      </c>
      <c r="F2140">
        <v>5.9</v>
      </c>
      <c r="G2140">
        <v>0.39</v>
      </c>
      <c r="H2140">
        <v>12</v>
      </c>
      <c r="I2140">
        <v>5000</v>
      </c>
      <c r="J2140">
        <v>1000</v>
      </c>
      <c r="K2140" t="s">
        <v>162</v>
      </c>
      <c r="L2140" t="s">
        <v>96</v>
      </c>
      <c r="M2140" t="s">
        <v>43</v>
      </c>
      <c r="N2140" t="b">
        <v>0</v>
      </c>
      <c r="O2140" t="s">
        <v>180</v>
      </c>
    </row>
    <row r="2141" spans="1:15" ht="15" customHeight="1">
      <c r="A2141" t="s">
        <v>156</v>
      </c>
      <c r="B2141" t="s">
        <v>2740</v>
      </c>
      <c r="C2141" t="s">
        <v>149</v>
      </c>
      <c r="D2141" t="s">
        <v>69</v>
      </c>
      <c r="E2141">
        <v>9</v>
      </c>
      <c r="F2141">
        <v>7.1</v>
      </c>
      <c r="G2141">
        <v>0.79</v>
      </c>
      <c r="H2141">
        <v>15</v>
      </c>
      <c r="I2141">
        <v>3000</v>
      </c>
      <c r="J2141">
        <v>1000</v>
      </c>
      <c r="K2141" t="s">
        <v>438</v>
      </c>
      <c r="L2141" t="s">
        <v>77</v>
      </c>
      <c r="M2141" t="s">
        <v>47</v>
      </c>
      <c r="N2141" t="b">
        <v>0</v>
      </c>
      <c r="O2141" t="s">
        <v>90</v>
      </c>
    </row>
    <row r="2142" spans="1:15" ht="15" customHeight="1">
      <c r="A2142" t="s">
        <v>801</v>
      </c>
      <c r="B2142" t="s">
        <v>2741</v>
      </c>
      <c r="C2142" t="s">
        <v>75</v>
      </c>
      <c r="D2142" t="s">
        <v>69</v>
      </c>
      <c r="E2142">
        <v>11</v>
      </c>
      <c r="F2142">
        <v>4.5</v>
      </c>
      <c r="G2142">
        <v>0.41</v>
      </c>
      <c r="H2142">
        <v>13</v>
      </c>
      <c r="I2142">
        <v>2000</v>
      </c>
      <c r="J2142">
        <v>1500</v>
      </c>
      <c r="K2142" t="s">
        <v>211</v>
      </c>
      <c r="L2142" t="s">
        <v>91</v>
      </c>
      <c r="M2142" t="s">
        <v>40</v>
      </c>
      <c r="N2142" t="b">
        <v>1</v>
      </c>
      <c r="O2142" t="s">
        <v>212</v>
      </c>
    </row>
    <row r="2143" spans="1:15" ht="15" customHeight="1">
      <c r="A2143" t="s">
        <v>273</v>
      </c>
      <c r="B2143" t="s">
        <v>2742</v>
      </c>
      <c r="C2143" t="s">
        <v>129</v>
      </c>
      <c r="D2143" t="s">
        <v>130</v>
      </c>
      <c r="E2143">
        <v>13</v>
      </c>
      <c r="F2143">
        <v>8.5</v>
      </c>
      <c r="G2143">
        <v>0.65</v>
      </c>
      <c r="H2143">
        <v>21</v>
      </c>
      <c r="I2143">
        <v>5000</v>
      </c>
      <c r="J2143">
        <v>1000</v>
      </c>
      <c r="K2143" t="s">
        <v>131</v>
      </c>
      <c r="L2143" t="s">
        <v>96</v>
      </c>
      <c r="M2143" t="s">
        <v>50</v>
      </c>
      <c r="N2143" t="b">
        <v>0</v>
      </c>
      <c r="O2143" t="s">
        <v>132</v>
      </c>
    </row>
    <row r="2144" spans="1:15" ht="15" customHeight="1">
      <c r="A2144" t="s">
        <v>1480</v>
      </c>
      <c r="B2144" t="s">
        <v>2743</v>
      </c>
      <c r="C2144" t="s">
        <v>81</v>
      </c>
      <c r="D2144" t="s">
        <v>69</v>
      </c>
      <c r="E2144">
        <v>17</v>
      </c>
      <c r="F2144">
        <v>10.3</v>
      </c>
      <c r="G2144">
        <v>0.61</v>
      </c>
      <c r="H2144">
        <v>25</v>
      </c>
      <c r="I2144">
        <v>10000</v>
      </c>
      <c r="J2144">
        <v>3000</v>
      </c>
      <c r="K2144" t="s">
        <v>138</v>
      </c>
      <c r="L2144" t="s">
        <v>96</v>
      </c>
      <c r="M2144" t="s">
        <v>43</v>
      </c>
      <c r="N2144" t="b">
        <v>0</v>
      </c>
      <c r="O2144" t="s">
        <v>139</v>
      </c>
    </row>
    <row r="2145" spans="1:15" ht="15" customHeight="1">
      <c r="A2145" t="s">
        <v>406</v>
      </c>
      <c r="B2145" t="s">
        <v>2744</v>
      </c>
      <c r="C2145" t="s">
        <v>75</v>
      </c>
      <c r="D2145" t="s">
        <v>69</v>
      </c>
      <c r="E2145">
        <v>11</v>
      </c>
      <c r="F2145">
        <v>5.0999999999999996</v>
      </c>
      <c r="G2145">
        <v>0.46</v>
      </c>
      <c r="H2145">
        <v>22</v>
      </c>
      <c r="I2145">
        <v>2000</v>
      </c>
      <c r="J2145">
        <v>1500</v>
      </c>
      <c r="K2145" t="s">
        <v>90</v>
      </c>
      <c r="L2145" t="s">
        <v>96</v>
      </c>
      <c r="M2145" t="s">
        <v>47</v>
      </c>
      <c r="N2145" t="b">
        <v>0</v>
      </c>
      <c r="O2145" t="s">
        <v>92</v>
      </c>
    </row>
    <row r="2146" spans="1:15" ht="15" customHeight="1">
      <c r="A2146" t="s">
        <v>1208</v>
      </c>
      <c r="B2146" t="s">
        <v>2745</v>
      </c>
      <c r="C2146" t="s">
        <v>129</v>
      </c>
      <c r="D2146" t="s">
        <v>130</v>
      </c>
      <c r="E2146">
        <v>10</v>
      </c>
      <c r="F2146">
        <v>7.9</v>
      </c>
      <c r="G2146">
        <v>0.79</v>
      </c>
      <c r="H2146">
        <v>17</v>
      </c>
      <c r="I2146">
        <v>5000</v>
      </c>
      <c r="J2146">
        <v>1000</v>
      </c>
      <c r="K2146" t="s">
        <v>109</v>
      </c>
      <c r="L2146" t="s">
        <v>117</v>
      </c>
      <c r="M2146" t="s">
        <v>43</v>
      </c>
      <c r="N2146" t="b">
        <v>1</v>
      </c>
      <c r="O2146" t="s">
        <v>176</v>
      </c>
    </row>
    <row r="2147" spans="1:15" ht="15" customHeight="1">
      <c r="A2147" t="s">
        <v>237</v>
      </c>
      <c r="B2147" t="s">
        <v>2746</v>
      </c>
      <c r="C2147" t="s">
        <v>149</v>
      </c>
      <c r="D2147" t="s">
        <v>69</v>
      </c>
      <c r="E2147">
        <v>11</v>
      </c>
      <c r="F2147">
        <v>9.6999999999999993</v>
      </c>
      <c r="G2147">
        <v>0.88</v>
      </c>
      <c r="H2147">
        <v>16</v>
      </c>
      <c r="I2147">
        <v>3000</v>
      </c>
      <c r="J2147">
        <v>1000</v>
      </c>
      <c r="K2147" t="s">
        <v>361</v>
      </c>
      <c r="L2147" t="s">
        <v>77</v>
      </c>
      <c r="M2147" t="s">
        <v>49</v>
      </c>
      <c r="N2147" t="b">
        <v>0</v>
      </c>
      <c r="O2147" t="s">
        <v>870</v>
      </c>
    </row>
    <row r="2148" spans="1:15" ht="15" customHeight="1">
      <c r="A2148" t="s">
        <v>1500</v>
      </c>
      <c r="B2148" t="s">
        <v>2747</v>
      </c>
      <c r="C2148" t="s">
        <v>149</v>
      </c>
      <c r="D2148" t="s">
        <v>69</v>
      </c>
      <c r="E2148">
        <v>12</v>
      </c>
      <c r="F2148">
        <v>11.8</v>
      </c>
      <c r="G2148">
        <v>0.98</v>
      </c>
      <c r="H2148">
        <v>40</v>
      </c>
      <c r="I2148">
        <v>3000</v>
      </c>
      <c r="J2148">
        <v>1000</v>
      </c>
      <c r="K2148" t="s">
        <v>95</v>
      </c>
      <c r="L2148" t="s">
        <v>117</v>
      </c>
      <c r="M2148" t="s">
        <v>51</v>
      </c>
      <c r="N2148" t="b">
        <v>1</v>
      </c>
      <c r="O2148" t="s">
        <v>217</v>
      </c>
    </row>
    <row r="2149" spans="1:15" ht="15" customHeight="1">
      <c r="A2149" t="s">
        <v>1168</v>
      </c>
      <c r="B2149" t="s">
        <v>2748</v>
      </c>
      <c r="C2149" t="s">
        <v>129</v>
      </c>
      <c r="D2149" t="s">
        <v>130</v>
      </c>
      <c r="E2149">
        <v>12</v>
      </c>
      <c r="F2149">
        <v>8</v>
      </c>
      <c r="G2149">
        <v>0.67</v>
      </c>
      <c r="H2149">
        <v>7</v>
      </c>
      <c r="I2149">
        <v>5000</v>
      </c>
      <c r="J2149">
        <v>1000</v>
      </c>
      <c r="K2149" t="s">
        <v>1135</v>
      </c>
      <c r="L2149" t="s">
        <v>91</v>
      </c>
      <c r="M2149" t="s">
        <v>46</v>
      </c>
      <c r="N2149" t="b">
        <v>1</v>
      </c>
      <c r="O2149" t="s">
        <v>862</v>
      </c>
    </row>
    <row r="2150" spans="1:15" ht="15" customHeight="1">
      <c r="A2150" t="s">
        <v>546</v>
      </c>
      <c r="B2150" t="s">
        <v>2749</v>
      </c>
      <c r="C2150" t="s">
        <v>68</v>
      </c>
      <c r="D2150" t="s">
        <v>69</v>
      </c>
      <c r="E2150">
        <v>11</v>
      </c>
      <c r="F2150">
        <v>1.8</v>
      </c>
      <c r="G2150">
        <v>0.16</v>
      </c>
      <c r="H2150">
        <v>3</v>
      </c>
      <c r="I2150">
        <v>30000</v>
      </c>
      <c r="J2150">
        <v>5000</v>
      </c>
      <c r="K2150" t="s">
        <v>108</v>
      </c>
      <c r="L2150" t="s">
        <v>100</v>
      </c>
      <c r="M2150" t="s">
        <v>45</v>
      </c>
      <c r="N2150" t="b">
        <v>0</v>
      </c>
      <c r="O2150" t="s">
        <v>109</v>
      </c>
    </row>
    <row r="2151" spans="1:15" ht="15" customHeight="1">
      <c r="A2151" t="s">
        <v>964</v>
      </c>
      <c r="B2151" t="s">
        <v>2750</v>
      </c>
      <c r="C2151" t="s">
        <v>68</v>
      </c>
      <c r="D2151" t="s">
        <v>69</v>
      </c>
      <c r="E2151">
        <v>9</v>
      </c>
      <c r="F2151">
        <v>0.9</v>
      </c>
      <c r="G2151">
        <v>0.1</v>
      </c>
      <c r="H2151">
        <v>4</v>
      </c>
      <c r="I2151">
        <v>30000</v>
      </c>
      <c r="J2151">
        <v>5000</v>
      </c>
      <c r="K2151" t="s">
        <v>95</v>
      </c>
      <c r="L2151" t="s">
        <v>96</v>
      </c>
      <c r="M2151" t="s">
        <v>48</v>
      </c>
      <c r="N2151" t="b">
        <v>0</v>
      </c>
      <c r="O2151" t="s">
        <v>97</v>
      </c>
    </row>
    <row r="2152" spans="1:15" ht="15" customHeight="1">
      <c r="A2152" t="s">
        <v>532</v>
      </c>
      <c r="B2152" t="s">
        <v>2751</v>
      </c>
      <c r="C2152" t="s">
        <v>129</v>
      </c>
      <c r="D2152" t="s">
        <v>130</v>
      </c>
      <c r="E2152">
        <v>17</v>
      </c>
      <c r="F2152">
        <v>15.7</v>
      </c>
      <c r="G2152">
        <v>0.92</v>
      </c>
      <c r="H2152">
        <v>25</v>
      </c>
      <c r="I2152">
        <v>5000</v>
      </c>
      <c r="J2152">
        <v>1000</v>
      </c>
      <c r="K2152" t="s">
        <v>245</v>
      </c>
      <c r="L2152" t="s">
        <v>71</v>
      </c>
      <c r="M2152" t="s">
        <v>43</v>
      </c>
      <c r="N2152" t="b">
        <v>0</v>
      </c>
      <c r="O2152" t="s">
        <v>246</v>
      </c>
    </row>
    <row r="2153" spans="1:15" ht="15" customHeight="1">
      <c r="A2153" t="s">
        <v>770</v>
      </c>
      <c r="B2153" t="s">
        <v>2752</v>
      </c>
      <c r="C2153" t="s">
        <v>68</v>
      </c>
      <c r="D2153" t="s">
        <v>69</v>
      </c>
      <c r="E2153">
        <v>16</v>
      </c>
      <c r="F2153">
        <v>1.2</v>
      </c>
      <c r="G2153">
        <v>7.0000000000000007E-2</v>
      </c>
      <c r="H2153">
        <v>2</v>
      </c>
      <c r="I2153">
        <v>30000</v>
      </c>
      <c r="J2153">
        <v>5000</v>
      </c>
      <c r="K2153" t="s">
        <v>162</v>
      </c>
      <c r="L2153" t="s">
        <v>104</v>
      </c>
      <c r="M2153" t="s">
        <v>48</v>
      </c>
      <c r="N2153" t="b">
        <v>0</v>
      </c>
      <c r="O2153" t="s">
        <v>163</v>
      </c>
    </row>
    <row r="2154" spans="1:15" ht="15" customHeight="1">
      <c r="A2154" t="s">
        <v>568</v>
      </c>
      <c r="B2154" t="s">
        <v>2753</v>
      </c>
      <c r="C2154" t="s">
        <v>68</v>
      </c>
      <c r="D2154" t="s">
        <v>69</v>
      </c>
      <c r="E2154">
        <v>9</v>
      </c>
      <c r="F2154">
        <v>2.8</v>
      </c>
      <c r="G2154">
        <v>0.31</v>
      </c>
      <c r="H2154">
        <v>1</v>
      </c>
      <c r="I2154">
        <v>30000</v>
      </c>
      <c r="J2154">
        <v>5000</v>
      </c>
      <c r="K2154" t="s">
        <v>70</v>
      </c>
      <c r="L2154" t="s">
        <v>77</v>
      </c>
      <c r="M2154" t="s">
        <v>41</v>
      </c>
      <c r="N2154" t="b">
        <v>0</v>
      </c>
      <c r="O2154" t="s">
        <v>72</v>
      </c>
    </row>
    <row r="2155" spans="1:15" ht="15" customHeight="1">
      <c r="A2155" t="s">
        <v>378</v>
      </c>
      <c r="B2155" t="s">
        <v>2754</v>
      </c>
      <c r="C2155" t="s">
        <v>129</v>
      </c>
      <c r="D2155" t="s">
        <v>130</v>
      </c>
      <c r="E2155">
        <v>20</v>
      </c>
      <c r="F2155">
        <v>14.3</v>
      </c>
      <c r="G2155">
        <v>0.72</v>
      </c>
      <c r="H2155">
        <v>27</v>
      </c>
      <c r="I2155">
        <v>5000</v>
      </c>
      <c r="J2155">
        <v>1000</v>
      </c>
      <c r="K2155" t="s">
        <v>172</v>
      </c>
      <c r="L2155" t="s">
        <v>71</v>
      </c>
      <c r="M2155" t="s">
        <v>42</v>
      </c>
      <c r="N2155" t="b">
        <v>0</v>
      </c>
      <c r="O2155" t="s">
        <v>173</v>
      </c>
    </row>
    <row r="2156" spans="1:15" ht="15" customHeight="1">
      <c r="A2156" t="s">
        <v>585</v>
      </c>
      <c r="B2156" t="s">
        <v>2755</v>
      </c>
      <c r="C2156" t="s">
        <v>81</v>
      </c>
      <c r="D2156" t="s">
        <v>69</v>
      </c>
      <c r="E2156">
        <v>15</v>
      </c>
      <c r="F2156">
        <v>8</v>
      </c>
      <c r="G2156">
        <v>0.53</v>
      </c>
      <c r="H2156">
        <v>22</v>
      </c>
      <c r="I2156">
        <v>10000</v>
      </c>
      <c r="J2156">
        <v>3000</v>
      </c>
      <c r="K2156" t="s">
        <v>548</v>
      </c>
      <c r="L2156" t="s">
        <v>100</v>
      </c>
      <c r="M2156" t="s">
        <v>44</v>
      </c>
      <c r="N2156" t="b">
        <v>0</v>
      </c>
      <c r="O2156" t="s">
        <v>549</v>
      </c>
    </row>
    <row r="2157" spans="1:15" ht="15" customHeight="1">
      <c r="A2157" t="s">
        <v>189</v>
      </c>
      <c r="B2157" t="s">
        <v>2756</v>
      </c>
      <c r="C2157" t="s">
        <v>75</v>
      </c>
      <c r="D2157" t="s">
        <v>69</v>
      </c>
      <c r="E2157">
        <v>11</v>
      </c>
      <c r="F2157">
        <v>3.9</v>
      </c>
      <c r="G2157">
        <v>0.35</v>
      </c>
      <c r="H2157">
        <v>13</v>
      </c>
      <c r="I2157">
        <v>2000</v>
      </c>
      <c r="J2157">
        <v>1500</v>
      </c>
      <c r="K2157" t="s">
        <v>211</v>
      </c>
      <c r="L2157" t="s">
        <v>104</v>
      </c>
      <c r="M2157" t="s">
        <v>51</v>
      </c>
      <c r="N2157" t="b">
        <v>0</v>
      </c>
      <c r="O2157" t="s">
        <v>212</v>
      </c>
    </row>
    <row r="2158" spans="1:15" ht="15" customHeight="1">
      <c r="A2158" t="s">
        <v>676</v>
      </c>
      <c r="B2158" t="s">
        <v>2757</v>
      </c>
      <c r="C2158" t="s">
        <v>129</v>
      </c>
      <c r="D2158" t="s">
        <v>130</v>
      </c>
      <c r="E2158">
        <v>10</v>
      </c>
      <c r="F2158">
        <v>9.6</v>
      </c>
      <c r="G2158">
        <v>0.96</v>
      </c>
      <c r="H2158">
        <v>10</v>
      </c>
      <c r="I2158">
        <v>5000</v>
      </c>
      <c r="J2158">
        <v>1000</v>
      </c>
      <c r="K2158" t="s">
        <v>158</v>
      </c>
      <c r="L2158" t="s">
        <v>71</v>
      </c>
      <c r="M2158" t="s">
        <v>49</v>
      </c>
      <c r="N2158" t="b">
        <v>0</v>
      </c>
      <c r="O2158" t="s">
        <v>159</v>
      </c>
    </row>
    <row r="2159" spans="1:15" ht="15" customHeight="1">
      <c r="A2159" t="s">
        <v>832</v>
      </c>
      <c r="B2159" t="s">
        <v>2758</v>
      </c>
      <c r="C2159" t="s">
        <v>81</v>
      </c>
      <c r="D2159" t="s">
        <v>69</v>
      </c>
      <c r="E2159">
        <v>11</v>
      </c>
      <c r="F2159">
        <v>10.8</v>
      </c>
      <c r="G2159">
        <v>0.98</v>
      </c>
      <c r="H2159">
        <v>15</v>
      </c>
      <c r="I2159">
        <v>10000</v>
      </c>
      <c r="J2159">
        <v>3000</v>
      </c>
      <c r="K2159" t="s">
        <v>112</v>
      </c>
      <c r="L2159" t="s">
        <v>117</v>
      </c>
      <c r="M2159" t="s">
        <v>50</v>
      </c>
      <c r="N2159" t="b">
        <v>1</v>
      </c>
      <c r="O2159" t="s">
        <v>234</v>
      </c>
    </row>
    <row r="2160" spans="1:15" ht="15" customHeight="1">
      <c r="A2160" t="s">
        <v>592</v>
      </c>
      <c r="B2160" t="s">
        <v>2759</v>
      </c>
      <c r="C2160" t="s">
        <v>81</v>
      </c>
      <c r="D2160" t="s">
        <v>69</v>
      </c>
      <c r="E2160">
        <v>12</v>
      </c>
      <c r="F2160">
        <v>11.9</v>
      </c>
      <c r="G2160">
        <v>0.99</v>
      </c>
      <c r="H2160">
        <v>7</v>
      </c>
      <c r="I2160">
        <v>10000</v>
      </c>
      <c r="J2160">
        <v>3000</v>
      </c>
      <c r="K2160" t="s">
        <v>82</v>
      </c>
      <c r="L2160" t="s">
        <v>91</v>
      </c>
      <c r="M2160" t="s">
        <v>51</v>
      </c>
      <c r="N2160" t="b">
        <v>1</v>
      </c>
      <c r="O2160" t="s">
        <v>83</v>
      </c>
    </row>
    <row r="2161" spans="1:15" ht="15" customHeight="1">
      <c r="A2161" t="s">
        <v>199</v>
      </c>
      <c r="B2161" t="s">
        <v>2760</v>
      </c>
      <c r="C2161" t="s">
        <v>75</v>
      </c>
      <c r="D2161" t="s">
        <v>69</v>
      </c>
      <c r="E2161">
        <v>8</v>
      </c>
      <c r="F2161">
        <v>6.7</v>
      </c>
      <c r="G2161">
        <v>0.84</v>
      </c>
      <c r="H2161">
        <v>18</v>
      </c>
      <c r="I2161">
        <v>2000</v>
      </c>
      <c r="J2161">
        <v>1500</v>
      </c>
      <c r="K2161" t="s">
        <v>225</v>
      </c>
      <c r="L2161" t="s">
        <v>100</v>
      </c>
      <c r="M2161" t="s">
        <v>44</v>
      </c>
      <c r="N2161" t="b">
        <v>0</v>
      </c>
      <c r="O2161" t="s">
        <v>226</v>
      </c>
    </row>
    <row r="2162" spans="1:15" ht="15" customHeight="1">
      <c r="A2162" t="s">
        <v>594</v>
      </c>
      <c r="B2162" t="s">
        <v>2761</v>
      </c>
      <c r="C2162" t="s">
        <v>81</v>
      </c>
      <c r="D2162" t="s">
        <v>69</v>
      </c>
      <c r="E2162">
        <v>10</v>
      </c>
      <c r="F2162">
        <v>3.2</v>
      </c>
      <c r="G2162">
        <v>0.32</v>
      </c>
      <c r="H2162">
        <v>18</v>
      </c>
      <c r="I2162">
        <v>10000</v>
      </c>
      <c r="J2162">
        <v>3000</v>
      </c>
      <c r="K2162" t="s">
        <v>142</v>
      </c>
      <c r="L2162" t="s">
        <v>91</v>
      </c>
      <c r="M2162" t="s">
        <v>43</v>
      </c>
      <c r="N2162" t="b">
        <v>1</v>
      </c>
      <c r="O2162" t="s">
        <v>143</v>
      </c>
    </row>
    <row r="2163" spans="1:15" ht="15" customHeight="1">
      <c r="A2163" t="s">
        <v>462</v>
      </c>
      <c r="B2163" t="s">
        <v>2762</v>
      </c>
      <c r="C2163" t="s">
        <v>81</v>
      </c>
      <c r="D2163" t="s">
        <v>69</v>
      </c>
      <c r="E2163">
        <v>9</v>
      </c>
      <c r="F2163">
        <v>5.0999999999999996</v>
      </c>
      <c r="G2163">
        <v>0.56999999999999995</v>
      </c>
      <c r="H2163">
        <v>14</v>
      </c>
      <c r="I2163">
        <v>10000</v>
      </c>
      <c r="J2163">
        <v>3000</v>
      </c>
      <c r="K2163" t="s">
        <v>116</v>
      </c>
      <c r="L2163" t="s">
        <v>71</v>
      </c>
      <c r="M2163" t="s">
        <v>43</v>
      </c>
      <c r="N2163" t="b">
        <v>0</v>
      </c>
      <c r="O2163" t="s">
        <v>118</v>
      </c>
    </row>
    <row r="2164" spans="1:15" ht="15" customHeight="1">
      <c r="A2164" t="s">
        <v>1026</v>
      </c>
      <c r="B2164" t="s">
        <v>2763</v>
      </c>
      <c r="C2164" t="s">
        <v>68</v>
      </c>
      <c r="D2164" t="s">
        <v>69</v>
      </c>
      <c r="E2164">
        <v>10</v>
      </c>
      <c r="F2164">
        <v>1.8</v>
      </c>
      <c r="G2164">
        <v>0.18</v>
      </c>
      <c r="H2164">
        <v>5</v>
      </c>
      <c r="I2164">
        <v>30000</v>
      </c>
      <c r="J2164">
        <v>5000</v>
      </c>
      <c r="K2164" t="s">
        <v>112</v>
      </c>
      <c r="L2164" t="s">
        <v>96</v>
      </c>
      <c r="M2164" t="s">
        <v>50</v>
      </c>
      <c r="N2164" t="b">
        <v>0</v>
      </c>
      <c r="O2164" t="s">
        <v>113</v>
      </c>
    </row>
    <row r="2165" spans="1:15" ht="15" customHeight="1">
      <c r="A2165" t="s">
        <v>178</v>
      </c>
      <c r="B2165" t="s">
        <v>2764</v>
      </c>
      <c r="C2165" t="s">
        <v>129</v>
      </c>
      <c r="D2165" t="s">
        <v>130</v>
      </c>
      <c r="E2165">
        <v>16</v>
      </c>
      <c r="F2165">
        <v>15.7</v>
      </c>
      <c r="G2165">
        <v>0.98</v>
      </c>
      <c r="H2165">
        <v>21</v>
      </c>
      <c r="I2165">
        <v>5000</v>
      </c>
      <c r="J2165">
        <v>1000</v>
      </c>
      <c r="K2165" t="s">
        <v>131</v>
      </c>
      <c r="L2165" t="s">
        <v>91</v>
      </c>
      <c r="M2165" t="s">
        <v>47</v>
      </c>
      <c r="N2165" t="b">
        <v>1</v>
      </c>
      <c r="O2165" t="s">
        <v>132</v>
      </c>
    </row>
    <row r="2166" spans="1:15" ht="15" customHeight="1">
      <c r="A2166" t="s">
        <v>292</v>
      </c>
      <c r="B2166" t="s">
        <v>2765</v>
      </c>
      <c r="C2166" t="s">
        <v>81</v>
      </c>
      <c r="D2166" t="s">
        <v>69</v>
      </c>
      <c r="E2166">
        <v>19</v>
      </c>
      <c r="F2166">
        <v>11.3</v>
      </c>
      <c r="G2166">
        <v>0.59</v>
      </c>
      <c r="H2166">
        <v>15</v>
      </c>
      <c r="I2166">
        <v>10000</v>
      </c>
      <c r="J2166">
        <v>3000</v>
      </c>
      <c r="K2166" t="s">
        <v>112</v>
      </c>
      <c r="L2166" t="s">
        <v>117</v>
      </c>
      <c r="M2166" t="s">
        <v>51</v>
      </c>
      <c r="N2166" t="b">
        <v>1</v>
      </c>
      <c r="O2166" t="s">
        <v>234</v>
      </c>
    </row>
    <row r="2167" spans="1:15" ht="15" customHeight="1">
      <c r="A2167" t="s">
        <v>430</v>
      </c>
      <c r="B2167" t="s">
        <v>2766</v>
      </c>
      <c r="C2167" t="s">
        <v>149</v>
      </c>
      <c r="D2167" t="s">
        <v>69</v>
      </c>
      <c r="E2167">
        <v>11</v>
      </c>
      <c r="F2167">
        <v>8.6999999999999993</v>
      </c>
      <c r="G2167">
        <v>0.79</v>
      </c>
      <c r="H2167">
        <v>17</v>
      </c>
      <c r="I2167">
        <v>3000</v>
      </c>
      <c r="J2167">
        <v>1000</v>
      </c>
      <c r="K2167" t="s">
        <v>634</v>
      </c>
      <c r="L2167" t="s">
        <v>104</v>
      </c>
      <c r="M2167" t="s">
        <v>42</v>
      </c>
      <c r="N2167" t="b">
        <v>0</v>
      </c>
      <c r="O2167" t="s">
        <v>158</v>
      </c>
    </row>
    <row r="2168" spans="1:15" ht="15" customHeight="1">
      <c r="A2168" t="s">
        <v>1123</v>
      </c>
      <c r="B2168" t="s">
        <v>2767</v>
      </c>
      <c r="C2168" t="s">
        <v>68</v>
      </c>
      <c r="D2168" t="s">
        <v>69</v>
      </c>
      <c r="E2168">
        <v>15</v>
      </c>
      <c r="F2168">
        <v>1.5</v>
      </c>
      <c r="G2168">
        <v>0.1</v>
      </c>
      <c r="H2168">
        <v>4</v>
      </c>
      <c r="I2168">
        <v>30000</v>
      </c>
      <c r="J2168">
        <v>5000</v>
      </c>
      <c r="K2168" t="s">
        <v>95</v>
      </c>
      <c r="L2168" t="s">
        <v>77</v>
      </c>
      <c r="M2168" t="s">
        <v>49</v>
      </c>
      <c r="N2168" t="b">
        <v>0</v>
      </c>
      <c r="O2168" t="s">
        <v>97</v>
      </c>
    </row>
    <row r="2169" spans="1:15" ht="15" customHeight="1">
      <c r="A2169" t="s">
        <v>1009</v>
      </c>
      <c r="B2169" t="s">
        <v>2768</v>
      </c>
      <c r="C2169" t="s">
        <v>68</v>
      </c>
      <c r="D2169" t="s">
        <v>69</v>
      </c>
      <c r="E2169">
        <v>10</v>
      </c>
      <c r="F2169">
        <v>0.7</v>
      </c>
      <c r="G2169">
        <v>7.0000000000000007E-2</v>
      </c>
      <c r="H2169">
        <v>5</v>
      </c>
      <c r="I2169">
        <v>30000</v>
      </c>
      <c r="J2169">
        <v>5000</v>
      </c>
      <c r="K2169" t="s">
        <v>112</v>
      </c>
      <c r="L2169" t="s">
        <v>117</v>
      </c>
      <c r="M2169" t="s">
        <v>42</v>
      </c>
      <c r="N2169" t="b">
        <v>1</v>
      </c>
      <c r="O2169" t="s">
        <v>113</v>
      </c>
    </row>
    <row r="2170" spans="1:15" ht="15" customHeight="1">
      <c r="A2170" t="s">
        <v>961</v>
      </c>
      <c r="B2170" t="s">
        <v>2769</v>
      </c>
      <c r="C2170" t="s">
        <v>68</v>
      </c>
      <c r="D2170" t="s">
        <v>69</v>
      </c>
      <c r="E2170">
        <v>10</v>
      </c>
      <c r="F2170">
        <v>2.2000000000000002</v>
      </c>
      <c r="G2170">
        <v>0.22</v>
      </c>
      <c r="H2170">
        <v>4</v>
      </c>
      <c r="I2170">
        <v>30000</v>
      </c>
      <c r="J2170">
        <v>5000</v>
      </c>
      <c r="K2170" t="s">
        <v>95</v>
      </c>
      <c r="L2170" t="s">
        <v>100</v>
      </c>
      <c r="M2170" t="s">
        <v>42</v>
      </c>
      <c r="N2170" t="b">
        <v>0</v>
      </c>
      <c r="O2170" t="s">
        <v>97</v>
      </c>
    </row>
    <row r="2171" spans="1:15" ht="15" customHeight="1">
      <c r="A2171" t="s">
        <v>1076</v>
      </c>
      <c r="B2171" t="s">
        <v>2770</v>
      </c>
      <c r="C2171" t="s">
        <v>129</v>
      </c>
      <c r="D2171" t="s">
        <v>130</v>
      </c>
      <c r="E2171">
        <v>16</v>
      </c>
      <c r="F2171">
        <v>5.2</v>
      </c>
      <c r="G2171">
        <v>0.33</v>
      </c>
      <c r="H2171">
        <v>17</v>
      </c>
      <c r="I2171">
        <v>5000</v>
      </c>
      <c r="J2171">
        <v>1000</v>
      </c>
      <c r="K2171" t="s">
        <v>109</v>
      </c>
      <c r="L2171" t="s">
        <v>91</v>
      </c>
      <c r="M2171" t="s">
        <v>51</v>
      </c>
      <c r="N2171" t="b">
        <v>1</v>
      </c>
      <c r="O2171" t="s">
        <v>176</v>
      </c>
    </row>
    <row r="2172" spans="1:15" ht="15" customHeight="1">
      <c r="A2172" t="s">
        <v>731</v>
      </c>
      <c r="B2172" t="s">
        <v>2771</v>
      </c>
      <c r="C2172" t="s">
        <v>149</v>
      </c>
      <c r="D2172" t="s">
        <v>69</v>
      </c>
      <c r="E2172">
        <v>12</v>
      </c>
      <c r="F2172">
        <v>7.1</v>
      </c>
      <c r="G2172">
        <v>0.59</v>
      </c>
      <c r="H2172">
        <v>15</v>
      </c>
      <c r="I2172">
        <v>3000</v>
      </c>
      <c r="J2172">
        <v>1000</v>
      </c>
      <c r="K2172" t="s">
        <v>438</v>
      </c>
      <c r="L2172" t="s">
        <v>117</v>
      </c>
      <c r="M2172" t="s">
        <v>44</v>
      </c>
      <c r="N2172" t="b">
        <v>1</v>
      </c>
      <c r="O2172" t="s">
        <v>90</v>
      </c>
    </row>
    <row r="2173" spans="1:15" ht="15" customHeight="1">
      <c r="A2173" t="s">
        <v>321</v>
      </c>
      <c r="B2173" t="s">
        <v>2772</v>
      </c>
      <c r="C2173" t="s">
        <v>75</v>
      </c>
      <c r="D2173" t="s">
        <v>69</v>
      </c>
      <c r="E2173">
        <v>17</v>
      </c>
      <c r="F2173">
        <v>4.5</v>
      </c>
      <c r="G2173">
        <v>0.26</v>
      </c>
      <c r="H2173">
        <v>23</v>
      </c>
      <c r="I2173">
        <v>2000</v>
      </c>
      <c r="J2173">
        <v>1500</v>
      </c>
      <c r="K2173" t="s">
        <v>207</v>
      </c>
      <c r="L2173" t="s">
        <v>91</v>
      </c>
      <c r="M2173" t="s">
        <v>50</v>
      </c>
      <c r="N2173" t="b">
        <v>1</v>
      </c>
      <c r="O2173" t="s">
        <v>208</v>
      </c>
    </row>
    <row r="2174" spans="1:15" ht="15" customHeight="1">
      <c r="A2174" t="s">
        <v>998</v>
      </c>
      <c r="B2174" t="s">
        <v>2773</v>
      </c>
      <c r="C2174" t="s">
        <v>68</v>
      </c>
      <c r="D2174" t="s">
        <v>69</v>
      </c>
      <c r="E2174">
        <v>15</v>
      </c>
      <c r="F2174">
        <v>2.4</v>
      </c>
      <c r="G2174">
        <v>0.16</v>
      </c>
      <c r="H2174">
        <v>5</v>
      </c>
      <c r="I2174">
        <v>30000</v>
      </c>
      <c r="J2174">
        <v>5000</v>
      </c>
      <c r="K2174" t="s">
        <v>112</v>
      </c>
      <c r="L2174" t="s">
        <v>96</v>
      </c>
      <c r="M2174" t="s">
        <v>44</v>
      </c>
      <c r="N2174" t="b">
        <v>0</v>
      </c>
      <c r="O2174" t="s">
        <v>113</v>
      </c>
    </row>
    <row r="2175" spans="1:15" ht="15" customHeight="1">
      <c r="A2175" t="s">
        <v>477</v>
      </c>
      <c r="B2175" t="s">
        <v>2774</v>
      </c>
      <c r="C2175" t="s">
        <v>68</v>
      </c>
      <c r="D2175" t="s">
        <v>69</v>
      </c>
      <c r="E2175">
        <v>15</v>
      </c>
      <c r="F2175">
        <v>0.7</v>
      </c>
      <c r="G2175">
        <v>0.05</v>
      </c>
      <c r="H2175">
        <v>5</v>
      </c>
      <c r="I2175">
        <v>30000</v>
      </c>
      <c r="J2175">
        <v>5000</v>
      </c>
      <c r="K2175" t="s">
        <v>112</v>
      </c>
      <c r="L2175" t="s">
        <v>71</v>
      </c>
      <c r="M2175" t="s">
        <v>42</v>
      </c>
      <c r="N2175" t="b">
        <v>0</v>
      </c>
      <c r="O2175" t="s">
        <v>113</v>
      </c>
    </row>
    <row r="2176" spans="1:15" ht="15" customHeight="1">
      <c r="A2176" t="s">
        <v>152</v>
      </c>
      <c r="B2176" t="s">
        <v>2775</v>
      </c>
      <c r="C2176" t="s">
        <v>81</v>
      </c>
      <c r="D2176" t="s">
        <v>69</v>
      </c>
      <c r="E2176">
        <v>20</v>
      </c>
      <c r="F2176">
        <v>12.1</v>
      </c>
      <c r="G2176">
        <v>0.6</v>
      </c>
      <c r="H2176">
        <v>9</v>
      </c>
      <c r="I2176">
        <v>10000</v>
      </c>
      <c r="J2176">
        <v>3000</v>
      </c>
      <c r="K2176" t="s">
        <v>108</v>
      </c>
      <c r="L2176" t="s">
        <v>71</v>
      </c>
      <c r="M2176" t="s">
        <v>48</v>
      </c>
      <c r="N2176" t="b">
        <v>0</v>
      </c>
      <c r="O2176" t="s">
        <v>303</v>
      </c>
    </row>
    <row r="2177" spans="1:15" ht="15" customHeight="1">
      <c r="A2177" t="s">
        <v>174</v>
      </c>
      <c r="B2177" t="s">
        <v>2776</v>
      </c>
      <c r="C2177" t="s">
        <v>75</v>
      </c>
      <c r="D2177" t="s">
        <v>69</v>
      </c>
      <c r="E2177">
        <v>8</v>
      </c>
      <c r="F2177">
        <v>5.4</v>
      </c>
      <c r="G2177">
        <v>0.68</v>
      </c>
      <c r="H2177">
        <v>8</v>
      </c>
      <c r="I2177">
        <v>2000</v>
      </c>
      <c r="J2177">
        <v>1500</v>
      </c>
      <c r="K2177" t="s">
        <v>275</v>
      </c>
      <c r="L2177" t="s">
        <v>77</v>
      </c>
      <c r="M2177" t="s">
        <v>47</v>
      </c>
      <c r="N2177" t="b">
        <v>0</v>
      </c>
      <c r="O2177" t="s">
        <v>276</v>
      </c>
    </row>
    <row r="2178" spans="1:15" ht="15" customHeight="1">
      <c r="A2178" t="s">
        <v>374</v>
      </c>
      <c r="B2178" t="s">
        <v>2777</v>
      </c>
      <c r="C2178" t="s">
        <v>81</v>
      </c>
      <c r="D2178" t="s">
        <v>69</v>
      </c>
      <c r="E2178">
        <v>20</v>
      </c>
      <c r="F2178">
        <v>6.4</v>
      </c>
      <c r="G2178">
        <v>0.32</v>
      </c>
      <c r="H2178">
        <v>21</v>
      </c>
      <c r="I2178">
        <v>10000</v>
      </c>
      <c r="J2178">
        <v>3000</v>
      </c>
      <c r="K2178" t="s">
        <v>279</v>
      </c>
      <c r="L2178" t="s">
        <v>104</v>
      </c>
      <c r="M2178" t="s">
        <v>42</v>
      </c>
      <c r="N2178" t="b">
        <v>0</v>
      </c>
      <c r="O2178" t="s">
        <v>280</v>
      </c>
    </row>
    <row r="2179" spans="1:15" ht="15" customHeight="1">
      <c r="A2179" t="s">
        <v>414</v>
      </c>
      <c r="B2179" t="s">
        <v>2778</v>
      </c>
      <c r="C2179" t="s">
        <v>129</v>
      </c>
      <c r="D2179" t="s">
        <v>130</v>
      </c>
      <c r="E2179">
        <v>17</v>
      </c>
      <c r="F2179">
        <v>8.6999999999999993</v>
      </c>
      <c r="G2179">
        <v>0.51</v>
      </c>
      <c r="H2179">
        <v>17</v>
      </c>
      <c r="I2179">
        <v>5000</v>
      </c>
      <c r="J2179">
        <v>1000</v>
      </c>
      <c r="K2179" t="s">
        <v>109</v>
      </c>
      <c r="L2179" t="s">
        <v>117</v>
      </c>
      <c r="M2179" t="s">
        <v>46</v>
      </c>
      <c r="N2179" t="b">
        <v>1</v>
      </c>
      <c r="O2179" t="s">
        <v>176</v>
      </c>
    </row>
    <row r="2180" spans="1:15" ht="15" customHeight="1">
      <c r="A2180" t="s">
        <v>1532</v>
      </c>
      <c r="B2180" t="s">
        <v>2779</v>
      </c>
      <c r="C2180" t="s">
        <v>129</v>
      </c>
      <c r="D2180" t="s">
        <v>130</v>
      </c>
      <c r="E2180">
        <v>8</v>
      </c>
      <c r="F2180">
        <v>3.6</v>
      </c>
      <c r="G2180">
        <v>0.45</v>
      </c>
      <c r="H2180">
        <v>12</v>
      </c>
      <c r="I2180">
        <v>5000</v>
      </c>
      <c r="J2180">
        <v>1000</v>
      </c>
      <c r="K2180" t="s">
        <v>162</v>
      </c>
      <c r="L2180" t="s">
        <v>71</v>
      </c>
      <c r="M2180" t="s">
        <v>40</v>
      </c>
      <c r="N2180" t="b">
        <v>0</v>
      </c>
      <c r="O2180" t="s">
        <v>180</v>
      </c>
    </row>
    <row r="2181" spans="1:15" ht="15" customHeight="1">
      <c r="A2181" t="s">
        <v>767</v>
      </c>
      <c r="B2181" t="s">
        <v>2780</v>
      </c>
      <c r="C2181" t="s">
        <v>75</v>
      </c>
      <c r="D2181" t="s">
        <v>69</v>
      </c>
      <c r="E2181">
        <v>15</v>
      </c>
      <c r="F2181">
        <v>9.8000000000000007</v>
      </c>
      <c r="G2181">
        <v>0.65</v>
      </c>
      <c r="H2181">
        <v>17</v>
      </c>
      <c r="I2181">
        <v>2000</v>
      </c>
      <c r="J2181">
        <v>1500</v>
      </c>
      <c r="K2181" t="s">
        <v>862</v>
      </c>
      <c r="L2181" t="s">
        <v>104</v>
      </c>
      <c r="M2181" t="s">
        <v>48</v>
      </c>
      <c r="N2181" t="b">
        <v>0</v>
      </c>
      <c r="O2181" t="s">
        <v>863</v>
      </c>
    </row>
    <row r="2182" spans="1:15" ht="15" customHeight="1">
      <c r="A2182" t="s">
        <v>685</v>
      </c>
      <c r="B2182" t="s">
        <v>2781</v>
      </c>
      <c r="C2182" t="s">
        <v>129</v>
      </c>
      <c r="D2182" t="s">
        <v>130</v>
      </c>
      <c r="E2182">
        <v>20</v>
      </c>
      <c r="F2182">
        <v>19.100000000000001</v>
      </c>
      <c r="G2182">
        <v>0.96</v>
      </c>
      <c r="H2182">
        <v>6</v>
      </c>
      <c r="I2182">
        <v>5000</v>
      </c>
      <c r="J2182">
        <v>1000</v>
      </c>
      <c r="K2182" t="s">
        <v>70</v>
      </c>
      <c r="L2182" t="s">
        <v>71</v>
      </c>
      <c r="M2182" t="s">
        <v>47</v>
      </c>
      <c r="N2182" t="b">
        <v>0</v>
      </c>
      <c r="O2182" t="s">
        <v>331</v>
      </c>
    </row>
    <row r="2183" spans="1:15" ht="15" customHeight="1">
      <c r="A2183" t="s">
        <v>799</v>
      </c>
      <c r="B2183" t="s">
        <v>2782</v>
      </c>
      <c r="C2183" t="s">
        <v>75</v>
      </c>
      <c r="D2183" t="s">
        <v>69</v>
      </c>
      <c r="E2183">
        <v>13</v>
      </c>
      <c r="F2183">
        <v>5.8</v>
      </c>
      <c r="G2183">
        <v>0.45</v>
      </c>
      <c r="H2183">
        <v>26</v>
      </c>
      <c r="I2183">
        <v>2000</v>
      </c>
      <c r="J2183">
        <v>1500</v>
      </c>
      <c r="K2183" t="s">
        <v>298</v>
      </c>
      <c r="L2183" t="s">
        <v>77</v>
      </c>
      <c r="M2183" t="s">
        <v>46</v>
      </c>
      <c r="N2183" t="b">
        <v>0</v>
      </c>
      <c r="O2183" t="s">
        <v>299</v>
      </c>
    </row>
    <row r="2184" spans="1:15" ht="15" customHeight="1">
      <c r="A2184" t="s">
        <v>487</v>
      </c>
      <c r="B2184" t="s">
        <v>2783</v>
      </c>
      <c r="C2184" t="s">
        <v>149</v>
      </c>
      <c r="D2184" t="s">
        <v>69</v>
      </c>
      <c r="E2184">
        <v>12</v>
      </c>
      <c r="F2184">
        <v>6.5</v>
      </c>
      <c r="G2184">
        <v>0.54</v>
      </c>
      <c r="H2184">
        <v>37</v>
      </c>
      <c r="I2184">
        <v>3000</v>
      </c>
      <c r="J2184">
        <v>1000</v>
      </c>
      <c r="K2184" t="s">
        <v>672</v>
      </c>
      <c r="L2184" t="s">
        <v>96</v>
      </c>
      <c r="M2184" t="s">
        <v>43</v>
      </c>
      <c r="N2184" t="b">
        <v>0</v>
      </c>
      <c r="O2184" t="s">
        <v>134</v>
      </c>
    </row>
    <row r="2185" spans="1:15" ht="15" customHeight="1">
      <c r="A2185" t="s">
        <v>462</v>
      </c>
      <c r="B2185" t="s">
        <v>2784</v>
      </c>
      <c r="C2185" t="s">
        <v>68</v>
      </c>
      <c r="D2185" t="s">
        <v>69</v>
      </c>
      <c r="E2185">
        <v>10</v>
      </c>
      <c r="F2185">
        <v>2.6</v>
      </c>
      <c r="G2185">
        <v>0.26</v>
      </c>
      <c r="H2185">
        <v>2</v>
      </c>
      <c r="I2185">
        <v>30000</v>
      </c>
      <c r="J2185">
        <v>5000</v>
      </c>
      <c r="K2185" t="s">
        <v>162</v>
      </c>
      <c r="L2185" t="s">
        <v>71</v>
      </c>
      <c r="M2185" t="s">
        <v>43</v>
      </c>
      <c r="N2185" t="b">
        <v>0</v>
      </c>
      <c r="O2185" t="s">
        <v>163</v>
      </c>
    </row>
    <row r="2186" spans="1:15" ht="15" customHeight="1">
      <c r="A2186" t="s">
        <v>477</v>
      </c>
      <c r="B2186" t="s">
        <v>2785</v>
      </c>
      <c r="C2186" t="s">
        <v>149</v>
      </c>
      <c r="D2186" t="s">
        <v>69</v>
      </c>
      <c r="E2186">
        <v>8</v>
      </c>
      <c r="F2186">
        <v>7.8</v>
      </c>
      <c r="G2186">
        <v>0.97</v>
      </c>
      <c r="H2186">
        <v>17</v>
      </c>
      <c r="I2186">
        <v>3000</v>
      </c>
      <c r="J2186">
        <v>1000</v>
      </c>
      <c r="K2186" t="s">
        <v>634</v>
      </c>
      <c r="L2186" t="s">
        <v>71</v>
      </c>
      <c r="M2186" t="s">
        <v>42</v>
      </c>
      <c r="N2186" t="b">
        <v>0</v>
      </c>
      <c r="O2186" t="s">
        <v>158</v>
      </c>
    </row>
    <row r="2187" spans="1:15" ht="15" customHeight="1">
      <c r="A2187" t="s">
        <v>378</v>
      </c>
      <c r="B2187" t="s">
        <v>2786</v>
      </c>
      <c r="C2187" t="s">
        <v>75</v>
      </c>
      <c r="D2187" t="s">
        <v>69</v>
      </c>
      <c r="E2187">
        <v>9</v>
      </c>
      <c r="F2187">
        <v>3.2</v>
      </c>
      <c r="G2187">
        <v>0.36</v>
      </c>
      <c r="H2187">
        <v>24</v>
      </c>
      <c r="I2187">
        <v>2000</v>
      </c>
      <c r="J2187">
        <v>1500</v>
      </c>
      <c r="K2187" t="s">
        <v>361</v>
      </c>
      <c r="L2187" t="s">
        <v>71</v>
      </c>
      <c r="M2187" t="s">
        <v>42</v>
      </c>
      <c r="N2187" t="b">
        <v>0</v>
      </c>
      <c r="O2187" t="s">
        <v>362</v>
      </c>
    </row>
    <row r="2188" spans="1:15" ht="15" customHeight="1">
      <c r="A2188" t="s">
        <v>846</v>
      </c>
      <c r="B2188" t="s">
        <v>2787</v>
      </c>
      <c r="C2188" t="s">
        <v>75</v>
      </c>
      <c r="D2188" t="s">
        <v>69</v>
      </c>
      <c r="E2188">
        <v>10</v>
      </c>
      <c r="F2188">
        <v>9.1</v>
      </c>
      <c r="G2188">
        <v>0.91</v>
      </c>
      <c r="H2188">
        <v>23</v>
      </c>
      <c r="I2188">
        <v>2000</v>
      </c>
      <c r="J2188">
        <v>1500</v>
      </c>
      <c r="K2188" t="s">
        <v>207</v>
      </c>
      <c r="L2188" t="s">
        <v>104</v>
      </c>
      <c r="M2188" t="s">
        <v>45</v>
      </c>
      <c r="N2188" t="b">
        <v>0</v>
      </c>
      <c r="O2188" t="s">
        <v>208</v>
      </c>
    </row>
    <row r="2189" spans="1:15" ht="15" customHeight="1">
      <c r="A2189" t="s">
        <v>954</v>
      </c>
      <c r="B2189" t="s">
        <v>2788</v>
      </c>
      <c r="C2189" t="s">
        <v>75</v>
      </c>
      <c r="D2189" t="s">
        <v>69</v>
      </c>
      <c r="E2189">
        <v>12</v>
      </c>
      <c r="F2189">
        <v>10.3</v>
      </c>
      <c r="G2189">
        <v>0.86</v>
      </c>
      <c r="H2189">
        <v>15</v>
      </c>
      <c r="I2189">
        <v>2000</v>
      </c>
      <c r="J2189">
        <v>1500</v>
      </c>
      <c r="K2189" t="s">
        <v>70</v>
      </c>
      <c r="L2189" t="s">
        <v>104</v>
      </c>
      <c r="M2189" t="s">
        <v>46</v>
      </c>
      <c r="N2189" t="b">
        <v>0</v>
      </c>
      <c r="O2189" t="s">
        <v>598</v>
      </c>
    </row>
    <row r="2190" spans="1:15" ht="15" customHeight="1">
      <c r="A2190" t="s">
        <v>183</v>
      </c>
      <c r="B2190" t="s">
        <v>2789</v>
      </c>
      <c r="C2190" t="s">
        <v>81</v>
      </c>
      <c r="D2190" t="s">
        <v>69</v>
      </c>
      <c r="E2190">
        <v>18</v>
      </c>
      <c r="F2190">
        <v>7.7</v>
      </c>
      <c r="G2190">
        <v>0.43</v>
      </c>
      <c r="H2190">
        <v>6</v>
      </c>
      <c r="I2190">
        <v>10000</v>
      </c>
      <c r="J2190">
        <v>3000</v>
      </c>
      <c r="K2190" t="s">
        <v>162</v>
      </c>
      <c r="L2190" t="s">
        <v>100</v>
      </c>
      <c r="M2190" t="s">
        <v>51</v>
      </c>
      <c r="N2190" t="b">
        <v>0</v>
      </c>
      <c r="O2190" t="s">
        <v>198</v>
      </c>
    </row>
    <row r="2191" spans="1:15" ht="15" customHeight="1">
      <c r="A2191" t="s">
        <v>1518</v>
      </c>
      <c r="B2191" t="s">
        <v>2790</v>
      </c>
      <c r="C2191" t="s">
        <v>149</v>
      </c>
      <c r="D2191" t="s">
        <v>69</v>
      </c>
      <c r="E2191">
        <v>11</v>
      </c>
      <c r="F2191">
        <v>10.7</v>
      </c>
      <c r="G2191">
        <v>0.97</v>
      </c>
      <c r="H2191">
        <v>15</v>
      </c>
      <c r="I2191">
        <v>3000</v>
      </c>
      <c r="J2191">
        <v>1000</v>
      </c>
      <c r="K2191" t="s">
        <v>438</v>
      </c>
      <c r="L2191" t="s">
        <v>117</v>
      </c>
      <c r="M2191" t="s">
        <v>51</v>
      </c>
      <c r="N2191" t="b">
        <v>1</v>
      </c>
      <c r="O2191" t="s">
        <v>90</v>
      </c>
    </row>
    <row r="2192" spans="1:15" ht="15" customHeight="1">
      <c r="A2192" t="s">
        <v>1044</v>
      </c>
      <c r="B2192" t="s">
        <v>2791</v>
      </c>
      <c r="C2192" t="s">
        <v>75</v>
      </c>
      <c r="D2192" t="s">
        <v>69</v>
      </c>
      <c r="E2192">
        <v>20</v>
      </c>
      <c r="F2192">
        <v>3.7</v>
      </c>
      <c r="G2192">
        <v>0.18</v>
      </c>
      <c r="H2192">
        <v>20</v>
      </c>
      <c r="I2192">
        <v>2000</v>
      </c>
      <c r="J2192">
        <v>1500</v>
      </c>
      <c r="K2192" t="s">
        <v>76</v>
      </c>
      <c r="L2192" t="s">
        <v>71</v>
      </c>
      <c r="M2192" t="s">
        <v>48</v>
      </c>
      <c r="N2192" t="b">
        <v>0</v>
      </c>
      <c r="O2192" t="s">
        <v>78</v>
      </c>
    </row>
    <row r="2193" spans="1:15" ht="15" customHeight="1">
      <c r="A2193" t="s">
        <v>1515</v>
      </c>
      <c r="B2193" t="s">
        <v>2792</v>
      </c>
      <c r="C2193" t="s">
        <v>75</v>
      </c>
      <c r="D2193" t="s">
        <v>69</v>
      </c>
      <c r="E2193">
        <v>14</v>
      </c>
      <c r="F2193">
        <v>10.5</v>
      </c>
      <c r="G2193">
        <v>0.75</v>
      </c>
      <c r="H2193">
        <v>19</v>
      </c>
      <c r="I2193">
        <v>2000</v>
      </c>
      <c r="J2193">
        <v>1500</v>
      </c>
      <c r="K2193" t="s">
        <v>408</v>
      </c>
      <c r="L2193" t="s">
        <v>104</v>
      </c>
      <c r="M2193" t="s">
        <v>51</v>
      </c>
      <c r="N2193" t="b">
        <v>0</v>
      </c>
      <c r="O2193" t="s">
        <v>409</v>
      </c>
    </row>
    <row r="2194" spans="1:15" ht="15" customHeight="1">
      <c r="A2194" t="s">
        <v>746</v>
      </c>
      <c r="B2194" t="s">
        <v>2793</v>
      </c>
      <c r="C2194" t="s">
        <v>75</v>
      </c>
      <c r="D2194" t="s">
        <v>69</v>
      </c>
      <c r="E2194">
        <v>11</v>
      </c>
      <c r="F2194">
        <v>10.1</v>
      </c>
      <c r="G2194">
        <v>0.92</v>
      </c>
      <c r="H2194">
        <v>21</v>
      </c>
      <c r="I2194">
        <v>2000</v>
      </c>
      <c r="J2194">
        <v>1500</v>
      </c>
      <c r="K2194" t="s">
        <v>365</v>
      </c>
      <c r="L2194" t="s">
        <v>71</v>
      </c>
      <c r="M2194" t="s">
        <v>50</v>
      </c>
      <c r="N2194" t="b">
        <v>0</v>
      </c>
      <c r="O2194" t="s">
        <v>366</v>
      </c>
    </row>
    <row r="2195" spans="1:15" ht="15" customHeight="1">
      <c r="A2195" t="s">
        <v>799</v>
      </c>
      <c r="B2195" t="s">
        <v>2794</v>
      </c>
      <c r="C2195" t="s">
        <v>81</v>
      </c>
      <c r="D2195" t="s">
        <v>69</v>
      </c>
      <c r="E2195">
        <v>12</v>
      </c>
      <c r="F2195">
        <v>11.9</v>
      </c>
      <c r="G2195">
        <v>0.99</v>
      </c>
      <c r="H2195">
        <v>24</v>
      </c>
      <c r="I2195">
        <v>10000</v>
      </c>
      <c r="J2195">
        <v>3000</v>
      </c>
      <c r="K2195" t="s">
        <v>306</v>
      </c>
      <c r="L2195" t="s">
        <v>77</v>
      </c>
      <c r="M2195" t="s">
        <v>46</v>
      </c>
      <c r="N2195" t="b">
        <v>0</v>
      </c>
      <c r="O2195" t="s">
        <v>307</v>
      </c>
    </row>
    <row r="2196" spans="1:15" ht="15" customHeight="1">
      <c r="A2196" t="s">
        <v>851</v>
      </c>
      <c r="B2196" t="s">
        <v>2795</v>
      </c>
      <c r="C2196" t="s">
        <v>129</v>
      </c>
      <c r="D2196" t="s">
        <v>130</v>
      </c>
      <c r="E2196">
        <v>19</v>
      </c>
      <c r="F2196">
        <v>16.3</v>
      </c>
      <c r="G2196">
        <v>0.86</v>
      </c>
      <c r="H2196">
        <v>22</v>
      </c>
      <c r="I2196">
        <v>5000</v>
      </c>
      <c r="J2196">
        <v>1000</v>
      </c>
      <c r="K2196" t="s">
        <v>134</v>
      </c>
      <c r="L2196" t="s">
        <v>104</v>
      </c>
      <c r="M2196" t="s">
        <v>45</v>
      </c>
      <c r="N2196" t="b">
        <v>0</v>
      </c>
      <c r="O2196" t="s">
        <v>135</v>
      </c>
    </row>
    <row r="2197" spans="1:15" ht="15" customHeight="1">
      <c r="A2197" t="s">
        <v>868</v>
      </c>
      <c r="B2197" t="s">
        <v>2796</v>
      </c>
      <c r="C2197" t="s">
        <v>81</v>
      </c>
      <c r="D2197" t="s">
        <v>69</v>
      </c>
      <c r="E2197">
        <v>9</v>
      </c>
      <c r="F2197">
        <v>4.8</v>
      </c>
      <c r="G2197">
        <v>0.53</v>
      </c>
      <c r="H2197">
        <v>16</v>
      </c>
      <c r="I2197">
        <v>10000</v>
      </c>
      <c r="J2197">
        <v>3000</v>
      </c>
      <c r="K2197" t="s">
        <v>283</v>
      </c>
      <c r="L2197" t="s">
        <v>117</v>
      </c>
      <c r="M2197" t="s">
        <v>45</v>
      </c>
      <c r="N2197" t="b">
        <v>1</v>
      </c>
      <c r="O2197" t="s">
        <v>284</v>
      </c>
    </row>
    <row r="2198" spans="1:15" ht="15" customHeight="1">
      <c r="A2198" t="s">
        <v>481</v>
      </c>
      <c r="B2198" t="s">
        <v>2797</v>
      </c>
      <c r="C2198" t="s">
        <v>129</v>
      </c>
      <c r="D2198" t="s">
        <v>130</v>
      </c>
      <c r="E2198">
        <v>19</v>
      </c>
      <c r="F2198">
        <v>8</v>
      </c>
      <c r="G2198">
        <v>0.42</v>
      </c>
      <c r="H2198">
        <v>8</v>
      </c>
      <c r="I2198">
        <v>5000</v>
      </c>
      <c r="J2198">
        <v>1000</v>
      </c>
      <c r="K2198" t="s">
        <v>76</v>
      </c>
      <c r="L2198" t="s">
        <v>104</v>
      </c>
      <c r="M2198" t="s">
        <v>41</v>
      </c>
      <c r="N2198" t="b">
        <v>0</v>
      </c>
      <c r="O2198" t="s">
        <v>317</v>
      </c>
    </row>
    <row r="2199" spans="1:15" ht="15" customHeight="1">
      <c r="A2199" t="s">
        <v>601</v>
      </c>
      <c r="B2199" t="s">
        <v>2798</v>
      </c>
      <c r="C2199" t="s">
        <v>129</v>
      </c>
      <c r="D2199" t="s">
        <v>130</v>
      </c>
      <c r="E2199">
        <v>20</v>
      </c>
      <c r="F2199">
        <v>17.600000000000001</v>
      </c>
      <c r="G2199">
        <v>0.88</v>
      </c>
      <c r="H2199">
        <v>8</v>
      </c>
      <c r="I2199">
        <v>5000</v>
      </c>
      <c r="J2199">
        <v>1000</v>
      </c>
      <c r="K2199" t="s">
        <v>76</v>
      </c>
      <c r="L2199" t="s">
        <v>117</v>
      </c>
      <c r="M2199" t="s">
        <v>40</v>
      </c>
      <c r="N2199" t="b">
        <v>1</v>
      </c>
      <c r="O2199" t="s">
        <v>317</v>
      </c>
    </row>
    <row r="2200" spans="1:15" ht="15" customHeight="1">
      <c r="A2200" t="s">
        <v>596</v>
      </c>
      <c r="B2200" t="s">
        <v>2799</v>
      </c>
      <c r="C2200" t="s">
        <v>129</v>
      </c>
      <c r="D2200" t="s">
        <v>130</v>
      </c>
      <c r="E2200">
        <v>20</v>
      </c>
      <c r="F2200">
        <v>8.3000000000000007</v>
      </c>
      <c r="G2200">
        <v>0.42</v>
      </c>
      <c r="H2200">
        <v>11</v>
      </c>
      <c r="I2200">
        <v>5000</v>
      </c>
      <c r="J2200">
        <v>1000</v>
      </c>
      <c r="K2200" t="s">
        <v>163</v>
      </c>
      <c r="L2200" t="s">
        <v>96</v>
      </c>
      <c r="M2200" t="s">
        <v>46</v>
      </c>
      <c r="N2200" t="b">
        <v>0</v>
      </c>
      <c r="O2200" t="s">
        <v>150</v>
      </c>
    </row>
    <row r="2201" spans="1:15" ht="15" customHeight="1">
      <c r="A2201" t="s">
        <v>843</v>
      </c>
      <c r="B2201" t="s">
        <v>2800</v>
      </c>
      <c r="C2201" t="s">
        <v>129</v>
      </c>
      <c r="D2201" t="s">
        <v>130</v>
      </c>
      <c r="E2201">
        <v>12</v>
      </c>
      <c r="F2201">
        <v>3.8</v>
      </c>
      <c r="G2201">
        <v>0.32</v>
      </c>
      <c r="H2201">
        <v>11</v>
      </c>
      <c r="I2201">
        <v>5000</v>
      </c>
      <c r="J2201">
        <v>1000</v>
      </c>
      <c r="K2201" t="s">
        <v>163</v>
      </c>
      <c r="L2201" t="s">
        <v>71</v>
      </c>
      <c r="M2201" t="s">
        <v>44</v>
      </c>
      <c r="N2201" t="b">
        <v>0</v>
      </c>
      <c r="O2201" t="s">
        <v>150</v>
      </c>
    </row>
    <row r="2202" spans="1:15" ht="15" customHeight="1">
      <c r="A2202" t="s">
        <v>1260</v>
      </c>
      <c r="B2202" t="s">
        <v>2801</v>
      </c>
      <c r="C2202" t="s">
        <v>75</v>
      </c>
      <c r="D2202" t="s">
        <v>69</v>
      </c>
      <c r="E2202">
        <v>14</v>
      </c>
      <c r="F2202">
        <v>10.3</v>
      </c>
      <c r="G2202">
        <v>0.74</v>
      </c>
      <c r="H2202">
        <v>26</v>
      </c>
      <c r="I2202">
        <v>2000</v>
      </c>
      <c r="J2202">
        <v>1500</v>
      </c>
      <c r="K2202" t="s">
        <v>298</v>
      </c>
      <c r="L2202" t="s">
        <v>117</v>
      </c>
      <c r="M2202" t="s">
        <v>51</v>
      </c>
      <c r="N2202" t="b">
        <v>1</v>
      </c>
      <c r="O2202" t="s">
        <v>299</v>
      </c>
    </row>
    <row r="2203" spans="1:15" ht="15" customHeight="1">
      <c r="A2203" t="s">
        <v>311</v>
      </c>
      <c r="B2203" t="s">
        <v>2802</v>
      </c>
      <c r="C2203" t="s">
        <v>129</v>
      </c>
      <c r="D2203" t="s">
        <v>130</v>
      </c>
      <c r="E2203">
        <v>9</v>
      </c>
      <c r="F2203">
        <v>6.7</v>
      </c>
      <c r="G2203">
        <v>0.74</v>
      </c>
      <c r="H2203">
        <v>26</v>
      </c>
      <c r="I2203">
        <v>5000</v>
      </c>
      <c r="J2203">
        <v>1000</v>
      </c>
      <c r="K2203" t="s">
        <v>203</v>
      </c>
      <c r="L2203" t="s">
        <v>91</v>
      </c>
      <c r="M2203" t="s">
        <v>41</v>
      </c>
      <c r="N2203" t="b">
        <v>1</v>
      </c>
      <c r="O2203" t="s">
        <v>623</v>
      </c>
    </row>
    <row r="2204" spans="1:15" ht="15" customHeight="1">
      <c r="A2204" t="s">
        <v>363</v>
      </c>
      <c r="B2204" t="s">
        <v>2803</v>
      </c>
      <c r="C2204" t="s">
        <v>149</v>
      </c>
      <c r="D2204" t="s">
        <v>69</v>
      </c>
      <c r="E2204">
        <v>8</v>
      </c>
      <c r="F2204">
        <v>7.3</v>
      </c>
      <c r="G2204">
        <v>0.91</v>
      </c>
      <c r="H2204">
        <v>33</v>
      </c>
      <c r="I2204">
        <v>3000</v>
      </c>
      <c r="J2204">
        <v>1000</v>
      </c>
      <c r="K2204" t="s">
        <v>169</v>
      </c>
      <c r="L2204" t="s">
        <v>71</v>
      </c>
      <c r="M2204" t="s">
        <v>43</v>
      </c>
      <c r="N2204" t="b">
        <v>0</v>
      </c>
      <c r="O2204" t="s">
        <v>702</v>
      </c>
    </row>
    <row r="2205" spans="1:15" ht="15" customHeight="1">
      <c r="A2205" t="s">
        <v>321</v>
      </c>
      <c r="B2205" t="s">
        <v>2804</v>
      </c>
      <c r="C2205" t="s">
        <v>75</v>
      </c>
      <c r="D2205" t="s">
        <v>69</v>
      </c>
      <c r="E2205">
        <v>19</v>
      </c>
      <c r="F2205">
        <v>4</v>
      </c>
      <c r="G2205">
        <v>0.21</v>
      </c>
      <c r="H2205">
        <v>22</v>
      </c>
      <c r="I2205">
        <v>2000</v>
      </c>
      <c r="J2205">
        <v>1500</v>
      </c>
      <c r="K2205" t="s">
        <v>90</v>
      </c>
      <c r="L2205" t="s">
        <v>91</v>
      </c>
      <c r="M2205" t="s">
        <v>50</v>
      </c>
      <c r="N2205" t="b">
        <v>1</v>
      </c>
      <c r="O2205" t="s">
        <v>92</v>
      </c>
    </row>
    <row r="2206" spans="1:15" ht="15" customHeight="1">
      <c r="A2206" t="s">
        <v>628</v>
      </c>
      <c r="B2206" t="s">
        <v>2805</v>
      </c>
      <c r="C2206" t="s">
        <v>149</v>
      </c>
      <c r="D2206" t="s">
        <v>69</v>
      </c>
      <c r="E2206">
        <v>9</v>
      </c>
      <c r="F2206">
        <v>8</v>
      </c>
      <c r="G2206">
        <v>0.89</v>
      </c>
      <c r="H2206">
        <v>33</v>
      </c>
      <c r="I2206">
        <v>3000</v>
      </c>
      <c r="J2206">
        <v>1000</v>
      </c>
      <c r="K2206" t="s">
        <v>169</v>
      </c>
      <c r="L2206" t="s">
        <v>96</v>
      </c>
      <c r="M2206" t="s">
        <v>40</v>
      </c>
      <c r="N2206" t="b">
        <v>0</v>
      </c>
      <c r="O2206" t="s">
        <v>702</v>
      </c>
    </row>
    <row r="2207" spans="1:15" ht="15" customHeight="1">
      <c r="A2207" t="s">
        <v>497</v>
      </c>
      <c r="B2207" t="s">
        <v>2806</v>
      </c>
      <c r="C2207" t="s">
        <v>129</v>
      </c>
      <c r="D2207" t="s">
        <v>130</v>
      </c>
      <c r="E2207">
        <v>10</v>
      </c>
      <c r="F2207">
        <v>8.3000000000000007</v>
      </c>
      <c r="G2207">
        <v>0.83</v>
      </c>
      <c r="H2207">
        <v>7</v>
      </c>
      <c r="I2207">
        <v>5000</v>
      </c>
      <c r="J2207">
        <v>1000</v>
      </c>
      <c r="K2207" t="s">
        <v>1135</v>
      </c>
      <c r="L2207" t="s">
        <v>104</v>
      </c>
      <c r="M2207" t="s">
        <v>44</v>
      </c>
      <c r="N2207" t="b">
        <v>0</v>
      </c>
      <c r="O2207" t="s">
        <v>862</v>
      </c>
    </row>
    <row r="2208" spans="1:15" ht="15" customHeight="1">
      <c r="A2208" t="s">
        <v>1532</v>
      </c>
      <c r="B2208" t="s">
        <v>2807</v>
      </c>
      <c r="C2208" t="s">
        <v>75</v>
      </c>
      <c r="D2208" t="s">
        <v>69</v>
      </c>
      <c r="E2208">
        <v>12</v>
      </c>
      <c r="F2208">
        <v>8.9</v>
      </c>
      <c r="G2208">
        <v>0.74</v>
      </c>
      <c r="H2208">
        <v>21</v>
      </c>
      <c r="I2208">
        <v>2000</v>
      </c>
      <c r="J2208">
        <v>1500</v>
      </c>
      <c r="K2208" t="s">
        <v>365</v>
      </c>
      <c r="L2208" t="s">
        <v>71</v>
      </c>
      <c r="M2208" t="s">
        <v>40</v>
      </c>
      <c r="N2208" t="b">
        <v>0</v>
      </c>
      <c r="O2208" t="s">
        <v>366</v>
      </c>
    </row>
    <row r="2209" spans="1:15" ht="15" customHeight="1">
      <c r="A2209" t="s">
        <v>736</v>
      </c>
      <c r="B2209" t="s">
        <v>2808</v>
      </c>
      <c r="C2209" t="s">
        <v>149</v>
      </c>
      <c r="D2209" t="s">
        <v>69</v>
      </c>
      <c r="E2209">
        <v>11</v>
      </c>
      <c r="F2209">
        <v>8.1</v>
      </c>
      <c r="G2209">
        <v>0.74</v>
      </c>
      <c r="H2209">
        <v>24</v>
      </c>
      <c r="I2209">
        <v>3000</v>
      </c>
      <c r="J2209">
        <v>1000</v>
      </c>
      <c r="K2209" t="s">
        <v>490</v>
      </c>
      <c r="L2209" t="s">
        <v>104</v>
      </c>
      <c r="M2209" t="s">
        <v>43</v>
      </c>
      <c r="N2209" t="b">
        <v>0</v>
      </c>
      <c r="O2209" t="s">
        <v>491</v>
      </c>
    </row>
    <row r="2210" spans="1:15" ht="15" customHeight="1">
      <c r="A2210" t="s">
        <v>1705</v>
      </c>
      <c r="B2210" t="s">
        <v>2809</v>
      </c>
      <c r="C2210" t="s">
        <v>149</v>
      </c>
      <c r="D2210" t="s">
        <v>69</v>
      </c>
      <c r="E2210">
        <v>10</v>
      </c>
      <c r="F2210">
        <v>6.1</v>
      </c>
      <c r="G2210">
        <v>0.61</v>
      </c>
      <c r="H2210">
        <v>25</v>
      </c>
      <c r="I2210">
        <v>3000</v>
      </c>
      <c r="J2210">
        <v>1000</v>
      </c>
      <c r="K2210" t="s">
        <v>479</v>
      </c>
      <c r="L2210" t="s">
        <v>100</v>
      </c>
      <c r="M2210" t="s">
        <v>43</v>
      </c>
      <c r="N2210" t="b">
        <v>0</v>
      </c>
      <c r="O2210" t="s">
        <v>480</v>
      </c>
    </row>
    <row r="2211" spans="1:15" ht="15" customHeight="1">
      <c r="A2211" t="s">
        <v>121</v>
      </c>
      <c r="B2211" t="s">
        <v>2810</v>
      </c>
      <c r="C2211" t="s">
        <v>129</v>
      </c>
      <c r="D2211" t="s">
        <v>130</v>
      </c>
      <c r="E2211">
        <v>18</v>
      </c>
      <c r="F2211">
        <v>4</v>
      </c>
      <c r="G2211">
        <v>0.22</v>
      </c>
      <c r="H2211">
        <v>8</v>
      </c>
      <c r="I2211">
        <v>5000</v>
      </c>
      <c r="J2211">
        <v>1000</v>
      </c>
      <c r="K2211" t="s">
        <v>76</v>
      </c>
      <c r="L2211" t="s">
        <v>91</v>
      </c>
      <c r="M2211" t="s">
        <v>47</v>
      </c>
      <c r="N2211" t="b">
        <v>1</v>
      </c>
      <c r="O2211" t="s">
        <v>317</v>
      </c>
    </row>
    <row r="2212" spans="1:15" ht="15" customHeight="1">
      <c r="A2212" t="s">
        <v>353</v>
      </c>
      <c r="B2212" t="s">
        <v>2811</v>
      </c>
      <c r="C2212" t="s">
        <v>149</v>
      </c>
      <c r="D2212" t="s">
        <v>69</v>
      </c>
      <c r="E2212">
        <v>11</v>
      </c>
      <c r="F2212">
        <v>9.1999999999999993</v>
      </c>
      <c r="G2212">
        <v>0.84</v>
      </c>
      <c r="H2212">
        <v>28</v>
      </c>
      <c r="I2212">
        <v>3000</v>
      </c>
      <c r="J2212">
        <v>1000</v>
      </c>
      <c r="K2212" t="s">
        <v>176</v>
      </c>
      <c r="L2212" t="s">
        <v>117</v>
      </c>
      <c r="M2212" t="s">
        <v>47</v>
      </c>
      <c r="N2212" t="b">
        <v>1</v>
      </c>
      <c r="O2212" t="s">
        <v>177</v>
      </c>
    </row>
    <row r="2213" spans="1:15" ht="15" customHeight="1">
      <c r="A2213" t="s">
        <v>156</v>
      </c>
      <c r="B2213" t="s">
        <v>2812</v>
      </c>
      <c r="C2213" t="s">
        <v>129</v>
      </c>
      <c r="D2213" t="s">
        <v>130</v>
      </c>
      <c r="E2213">
        <v>11</v>
      </c>
      <c r="F2213">
        <v>6.5</v>
      </c>
      <c r="G2213">
        <v>0.59</v>
      </c>
      <c r="H2213">
        <v>21</v>
      </c>
      <c r="I2213">
        <v>5000</v>
      </c>
      <c r="J2213">
        <v>1000</v>
      </c>
      <c r="K2213" t="s">
        <v>131</v>
      </c>
      <c r="L2213" t="s">
        <v>77</v>
      </c>
      <c r="M2213" t="s">
        <v>47</v>
      </c>
      <c r="N2213" t="b">
        <v>0</v>
      </c>
      <c r="O2213" t="s">
        <v>132</v>
      </c>
    </row>
    <row r="2214" spans="1:15" ht="15" customHeight="1">
      <c r="A2214" t="s">
        <v>439</v>
      </c>
      <c r="B2214" t="s">
        <v>2813</v>
      </c>
      <c r="C2214" t="s">
        <v>75</v>
      </c>
      <c r="D2214" t="s">
        <v>69</v>
      </c>
      <c r="E2214">
        <v>8</v>
      </c>
      <c r="F2214">
        <v>3.5</v>
      </c>
      <c r="G2214">
        <v>0.44</v>
      </c>
      <c r="H2214">
        <v>6</v>
      </c>
      <c r="I2214">
        <v>2000</v>
      </c>
      <c r="J2214">
        <v>1500</v>
      </c>
      <c r="K2214" t="s">
        <v>269</v>
      </c>
      <c r="L2214" t="s">
        <v>71</v>
      </c>
      <c r="M2214" t="s">
        <v>48</v>
      </c>
      <c r="N2214" t="b">
        <v>0</v>
      </c>
      <c r="O2214" t="s">
        <v>270</v>
      </c>
    </row>
    <row r="2215" spans="1:15" ht="15" customHeight="1">
      <c r="A2215" t="s">
        <v>1110</v>
      </c>
      <c r="B2215" t="s">
        <v>2814</v>
      </c>
      <c r="C2215" t="s">
        <v>75</v>
      </c>
      <c r="D2215" t="s">
        <v>69</v>
      </c>
      <c r="E2215">
        <v>8</v>
      </c>
      <c r="F2215">
        <v>4.4000000000000004</v>
      </c>
      <c r="G2215">
        <v>0.55000000000000004</v>
      </c>
      <c r="H2215">
        <v>18</v>
      </c>
      <c r="I2215">
        <v>2000</v>
      </c>
      <c r="J2215">
        <v>1500</v>
      </c>
      <c r="K2215" t="s">
        <v>225</v>
      </c>
      <c r="L2215" t="s">
        <v>96</v>
      </c>
      <c r="M2215" t="s">
        <v>45</v>
      </c>
      <c r="N2215" t="b">
        <v>0</v>
      </c>
      <c r="O2215" t="s">
        <v>226</v>
      </c>
    </row>
    <row r="2216" spans="1:15" ht="15" customHeight="1">
      <c r="A2216" t="s">
        <v>2352</v>
      </c>
      <c r="B2216" t="s">
        <v>2815</v>
      </c>
      <c r="C2216" t="s">
        <v>75</v>
      </c>
      <c r="D2216" t="s">
        <v>69</v>
      </c>
      <c r="E2216">
        <v>20</v>
      </c>
      <c r="F2216">
        <v>6.9</v>
      </c>
      <c r="G2216">
        <v>0.35</v>
      </c>
      <c r="H2216">
        <v>12</v>
      </c>
      <c r="I2216">
        <v>2000</v>
      </c>
      <c r="J2216">
        <v>1500</v>
      </c>
      <c r="K2216" t="s">
        <v>265</v>
      </c>
      <c r="L2216" t="s">
        <v>77</v>
      </c>
      <c r="M2216" t="s">
        <v>48</v>
      </c>
      <c r="N2216" t="b">
        <v>0</v>
      </c>
      <c r="O2216" t="s">
        <v>266</v>
      </c>
    </row>
    <row r="2217" spans="1:15" ht="15" customHeight="1">
      <c r="A2217" t="s">
        <v>682</v>
      </c>
      <c r="B2217" t="s">
        <v>2816</v>
      </c>
      <c r="C2217" t="s">
        <v>81</v>
      </c>
      <c r="D2217" t="s">
        <v>69</v>
      </c>
      <c r="E2217">
        <v>10</v>
      </c>
      <c r="F2217">
        <v>3.1</v>
      </c>
      <c r="G2217">
        <v>0.31</v>
      </c>
      <c r="H2217">
        <v>28</v>
      </c>
      <c r="I2217">
        <v>10000</v>
      </c>
      <c r="J2217">
        <v>3000</v>
      </c>
      <c r="K2217" t="s">
        <v>966</v>
      </c>
      <c r="L2217" t="s">
        <v>91</v>
      </c>
      <c r="M2217" t="s">
        <v>46</v>
      </c>
      <c r="N2217" t="b">
        <v>1</v>
      </c>
      <c r="O2217" t="s">
        <v>967</v>
      </c>
    </row>
    <row r="2218" spans="1:15" ht="15" customHeight="1">
      <c r="A2218" t="s">
        <v>321</v>
      </c>
      <c r="B2218" t="s">
        <v>2817</v>
      </c>
      <c r="C2218" t="s">
        <v>129</v>
      </c>
      <c r="D2218" t="s">
        <v>130</v>
      </c>
      <c r="E2218">
        <v>16</v>
      </c>
      <c r="F2218">
        <v>12.2</v>
      </c>
      <c r="G2218">
        <v>0.76</v>
      </c>
      <c r="H2218">
        <v>8</v>
      </c>
      <c r="I2218">
        <v>5000</v>
      </c>
      <c r="J2218">
        <v>1000</v>
      </c>
      <c r="K2218" t="s">
        <v>76</v>
      </c>
      <c r="L2218" t="s">
        <v>91</v>
      </c>
      <c r="M2218" t="s">
        <v>50</v>
      </c>
      <c r="N2218" t="b">
        <v>1</v>
      </c>
      <c r="O2218" t="s">
        <v>317</v>
      </c>
    </row>
    <row r="2219" spans="1:15" ht="15" customHeight="1">
      <c r="A2219" t="s">
        <v>624</v>
      </c>
      <c r="B2219" t="s">
        <v>2818</v>
      </c>
      <c r="C2219" t="s">
        <v>68</v>
      </c>
      <c r="D2219" t="s">
        <v>69</v>
      </c>
      <c r="E2219">
        <v>10</v>
      </c>
      <c r="F2219">
        <v>3.6</v>
      </c>
      <c r="G2219">
        <v>0.36</v>
      </c>
      <c r="H2219">
        <v>2</v>
      </c>
      <c r="I2219">
        <v>30000</v>
      </c>
      <c r="J2219">
        <v>5000</v>
      </c>
      <c r="K2219" t="s">
        <v>162</v>
      </c>
      <c r="L2219" t="s">
        <v>91</v>
      </c>
      <c r="M2219" t="s">
        <v>45</v>
      </c>
      <c r="N2219" t="b">
        <v>1</v>
      </c>
      <c r="O2219" t="s">
        <v>163</v>
      </c>
    </row>
    <row r="2220" spans="1:15" ht="15" customHeight="1">
      <c r="A2220" t="s">
        <v>73</v>
      </c>
      <c r="B2220" t="s">
        <v>2819</v>
      </c>
      <c r="C2220" t="s">
        <v>149</v>
      </c>
      <c r="D2220" t="s">
        <v>69</v>
      </c>
      <c r="E2220">
        <v>11</v>
      </c>
      <c r="F2220">
        <v>8</v>
      </c>
      <c r="G2220">
        <v>0.73</v>
      </c>
      <c r="H2220">
        <v>33</v>
      </c>
      <c r="I2220">
        <v>3000</v>
      </c>
      <c r="J2220">
        <v>1000</v>
      </c>
      <c r="K2220" t="s">
        <v>169</v>
      </c>
      <c r="L2220" t="s">
        <v>77</v>
      </c>
      <c r="M2220" t="s">
        <v>40</v>
      </c>
      <c r="N2220" t="b">
        <v>0</v>
      </c>
      <c r="O2220" t="s">
        <v>702</v>
      </c>
    </row>
    <row r="2221" spans="1:15" ht="15" customHeight="1">
      <c r="A2221" t="s">
        <v>804</v>
      </c>
      <c r="B2221" t="s">
        <v>2820</v>
      </c>
      <c r="C2221" t="s">
        <v>129</v>
      </c>
      <c r="D2221" t="s">
        <v>130</v>
      </c>
      <c r="E2221">
        <v>11</v>
      </c>
      <c r="F2221">
        <v>8.3000000000000007</v>
      </c>
      <c r="G2221">
        <v>0.75</v>
      </c>
      <c r="H2221">
        <v>30</v>
      </c>
      <c r="I2221">
        <v>5000</v>
      </c>
      <c r="J2221">
        <v>1000</v>
      </c>
      <c r="K2221" t="s">
        <v>112</v>
      </c>
      <c r="L2221" t="s">
        <v>104</v>
      </c>
      <c r="M2221" t="s">
        <v>40</v>
      </c>
      <c r="N2221" t="b">
        <v>0</v>
      </c>
      <c r="O2221" t="s">
        <v>195</v>
      </c>
    </row>
    <row r="2222" spans="1:15" ht="15" customHeight="1">
      <c r="A2222" t="s">
        <v>725</v>
      </c>
      <c r="B2222" t="s">
        <v>2821</v>
      </c>
      <c r="C2222" t="s">
        <v>68</v>
      </c>
      <c r="D2222" t="s">
        <v>69</v>
      </c>
      <c r="E2222">
        <v>8</v>
      </c>
      <c r="F2222">
        <v>1.3</v>
      </c>
      <c r="G2222">
        <v>0.16</v>
      </c>
      <c r="H2222">
        <v>3</v>
      </c>
      <c r="I2222">
        <v>30000</v>
      </c>
      <c r="J2222">
        <v>5000</v>
      </c>
      <c r="K2222" t="s">
        <v>108</v>
      </c>
      <c r="L2222" t="s">
        <v>117</v>
      </c>
      <c r="M2222" t="s">
        <v>50</v>
      </c>
      <c r="N2222" t="b">
        <v>1</v>
      </c>
      <c r="O2222" t="s">
        <v>109</v>
      </c>
    </row>
    <row r="2223" spans="1:15" ht="15" customHeight="1">
      <c r="A2223" t="s">
        <v>447</v>
      </c>
      <c r="B2223" t="s">
        <v>2822</v>
      </c>
      <c r="C2223" t="s">
        <v>81</v>
      </c>
      <c r="D2223" t="s">
        <v>69</v>
      </c>
      <c r="E2223">
        <v>16</v>
      </c>
      <c r="F2223">
        <v>6</v>
      </c>
      <c r="G2223">
        <v>0.38</v>
      </c>
      <c r="H2223">
        <v>30</v>
      </c>
      <c r="I2223">
        <v>10000</v>
      </c>
      <c r="J2223">
        <v>3000</v>
      </c>
      <c r="K2223" t="s">
        <v>185</v>
      </c>
      <c r="L2223" t="s">
        <v>71</v>
      </c>
      <c r="M2223" t="s">
        <v>44</v>
      </c>
      <c r="N2223" t="b">
        <v>0</v>
      </c>
      <c r="O2223" t="s">
        <v>186</v>
      </c>
    </row>
    <row r="2224" spans="1:15" ht="15" customHeight="1">
      <c r="A2224" t="s">
        <v>1705</v>
      </c>
      <c r="B2224" t="s">
        <v>2823</v>
      </c>
      <c r="C2224" t="s">
        <v>75</v>
      </c>
      <c r="D2224" t="s">
        <v>69</v>
      </c>
      <c r="E2224">
        <v>8</v>
      </c>
      <c r="F2224">
        <v>6.8</v>
      </c>
      <c r="G2224">
        <v>0.85</v>
      </c>
      <c r="H2224">
        <v>12</v>
      </c>
      <c r="I2224">
        <v>2000</v>
      </c>
      <c r="J2224">
        <v>1500</v>
      </c>
      <c r="K2224" t="s">
        <v>265</v>
      </c>
      <c r="L2224" t="s">
        <v>100</v>
      </c>
      <c r="M2224" t="s">
        <v>43</v>
      </c>
      <c r="N2224" t="b">
        <v>0</v>
      </c>
      <c r="O2224" t="s">
        <v>266</v>
      </c>
    </row>
    <row r="2225" spans="1:15" ht="15" customHeight="1">
      <c r="A2225" t="s">
        <v>753</v>
      </c>
      <c r="B2225" t="s">
        <v>2824</v>
      </c>
      <c r="C2225" t="s">
        <v>129</v>
      </c>
      <c r="D2225" t="s">
        <v>130</v>
      </c>
      <c r="E2225">
        <v>8</v>
      </c>
      <c r="F2225">
        <v>5.2</v>
      </c>
      <c r="G2225">
        <v>0.65</v>
      </c>
      <c r="H2225">
        <v>22</v>
      </c>
      <c r="I2225">
        <v>5000</v>
      </c>
      <c r="J2225">
        <v>1000</v>
      </c>
      <c r="K2225" t="s">
        <v>134</v>
      </c>
      <c r="L2225" t="s">
        <v>91</v>
      </c>
      <c r="M2225" t="s">
        <v>42</v>
      </c>
      <c r="N2225" t="b">
        <v>1</v>
      </c>
      <c r="O2225" t="s">
        <v>135</v>
      </c>
    </row>
    <row r="2226" spans="1:15" ht="15" customHeight="1">
      <c r="A2226" t="s">
        <v>1672</v>
      </c>
      <c r="B2226" t="s">
        <v>2825</v>
      </c>
      <c r="C2226" t="s">
        <v>149</v>
      </c>
      <c r="D2226" t="s">
        <v>69</v>
      </c>
      <c r="E2226">
        <v>10</v>
      </c>
      <c r="F2226">
        <v>7.5</v>
      </c>
      <c r="G2226">
        <v>0.75</v>
      </c>
      <c r="H2226">
        <v>22</v>
      </c>
      <c r="I2226">
        <v>3000</v>
      </c>
      <c r="J2226">
        <v>1000</v>
      </c>
      <c r="K2226" t="s">
        <v>556</v>
      </c>
      <c r="L2226" t="s">
        <v>117</v>
      </c>
      <c r="M2226" t="s">
        <v>43</v>
      </c>
      <c r="N2226" t="b">
        <v>1</v>
      </c>
      <c r="O2226" t="s">
        <v>313</v>
      </c>
    </row>
    <row r="2227" spans="1:15" ht="15" customHeight="1">
      <c r="A2227" t="s">
        <v>744</v>
      </c>
      <c r="B2227" t="s">
        <v>2826</v>
      </c>
      <c r="C2227" t="s">
        <v>75</v>
      </c>
      <c r="D2227" t="s">
        <v>69</v>
      </c>
      <c r="E2227">
        <v>12</v>
      </c>
      <c r="F2227">
        <v>6.7</v>
      </c>
      <c r="G2227">
        <v>0.56000000000000005</v>
      </c>
      <c r="H2227">
        <v>28</v>
      </c>
      <c r="I2227">
        <v>2000</v>
      </c>
      <c r="J2227">
        <v>1500</v>
      </c>
      <c r="K2227" t="s">
        <v>262</v>
      </c>
      <c r="L2227" t="s">
        <v>117</v>
      </c>
      <c r="M2227" t="s">
        <v>42</v>
      </c>
      <c r="N2227" t="b">
        <v>1</v>
      </c>
      <c r="O2227" t="s">
        <v>289</v>
      </c>
    </row>
    <row r="2228" spans="1:15" ht="15" customHeight="1">
      <c r="A2228" t="s">
        <v>1258</v>
      </c>
      <c r="B2228" t="s">
        <v>2827</v>
      </c>
      <c r="C2228" t="s">
        <v>149</v>
      </c>
      <c r="D2228" t="s">
        <v>69</v>
      </c>
      <c r="E2228">
        <v>9</v>
      </c>
      <c r="F2228">
        <v>6.9</v>
      </c>
      <c r="G2228">
        <v>0.77</v>
      </c>
      <c r="H2228">
        <v>18</v>
      </c>
      <c r="I2228">
        <v>3000</v>
      </c>
      <c r="J2228">
        <v>1000</v>
      </c>
      <c r="K2228" t="s">
        <v>150</v>
      </c>
      <c r="L2228" t="s">
        <v>91</v>
      </c>
      <c r="M2228" t="s">
        <v>48</v>
      </c>
      <c r="N2228" t="b">
        <v>1</v>
      </c>
      <c r="O2228" t="s">
        <v>151</v>
      </c>
    </row>
    <row r="2229" spans="1:15" ht="15" customHeight="1">
      <c r="A2229" t="s">
        <v>605</v>
      </c>
      <c r="B2229" t="s">
        <v>2828</v>
      </c>
      <c r="C2229" t="s">
        <v>81</v>
      </c>
      <c r="D2229" t="s">
        <v>69</v>
      </c>
      <c r="E2229">
        <v>11</v>
      </c>
      <c r="F2229">
        <v>10.8</v>
      </c>
      <c r="G2229">
        <v>0.98</v>
      </c>
      <c r="H2229">
        <v>7</v>
      </c>
      <c r="I2229">
        <v>10000</v>
      </c>
      <c r="J2229">
        <v>3000</v>
      </c>
      <c r="K2229" t="s">
        <v>82</v>
      </c>
      <c r="L2229" t="s">
        <v>91</v>
      </c>
      <c r="M2229" t="s">
        <v>42</v>
      </c>
      <c r="N2229" t="b">
        <v>1</v>
      </c>
      <c r="O2229" t="s">
        <v>83</v>
      </c>
    </row>
    <row r="2230" spans="1:15" ht="15" customHeight="1">
      <c r="A2230" t="s">
        <v>351</v>
      </c>
      <c r="B2230" t="s">
        <v>2829</v>
      </c>
      <c r="C2230" t="s">
        <v>149</v>
      </c>
      <c r="D2230" t="s">
        <v>69</v>
      </c>
      <c r="E2230">
        <v>11</v>
      </c>
      <c r="F2230">
        <v>9</v>
      </c>
      <c r="G2230">
        <v>0.82</v>
      </c>
      <c r="H2230">
        <v>27</v>
      </c>
      <c r="I2230">
        <v>3000</v>
      </c>
      <c r="J2230">
        <v>1000</v>
      </c>
      <c r="K2230" t="s">
        <v>845</v>
      </c>
      <c r="L2230" t="s">
        <v>71</v>
      </c>
      <c r="M2230" t="s">
        <v>45</v>
      </c>
      <c r="N2230" t="b">
        <v>0</v>
      </c>
      <c r="O2230" t="s">
        <v>357</v>
      </c>
    </row>
    <row r="2231" spans="1:15" ht="15" customHeight="1">
      <c r="A2231" t="s">
        <v>605</v>
      </c>
      <c r="B2231" t="s">
        <v>2830</v>
      </c>
      <c r="C2231" t="s">
        <v>129</v>
      </c>
      <c r="D2231" t="s">
        <v>130</v>
      </c>
      <c r="E2231">
        <v>8</v>
      </c>
      <c r="F2231">
        <v>7.3</v>
      </c>
      <c r="G2231">
        <v>0.91</v>
      </c>
      <c r="H2231">
        <v>20</v>
      </c>
      <c r="I2231">
        <v>5000</v>
      </c>
      <c r="J2231">
        <v>1000</v>
      </c>
      <c r="K2231" t="s">
        <v>103</v>
      </c>
      <c r="L2231" t="s">
        <v>91</v>
      </c>
      <c r="M2231" t="s">
        <v>42</v>
      </c>
      <c r="N2231" t="b">
        <v>1</v>
      </c>
      <c r="O2231" t="s">
        <v>169</v>
      </c>
    </row>
    <row r="2232" spans="1:15" ht="15" customHeight="1">
      <c r="A2232" t="s">
        <v>1211</v>
      </c>
      <c r="B2232" t="s">
        <v>2831</v>
      </c>
      <c r="C2232" t="s">
        <v>81</v>
      </c>
      <c r="D2232" t="s">
        <v>69</v>
      </c>
      <c r="E2232">
        <v>18</v>
      </c>
      <c r="F2232">
        <v>7.5</v>
      </c>
      <c r="G2232">
        <v>0.42</v>
      </c>
      <c r="H2232">
        <v>17</v>
      </c>
      <c r="I2232">
        <v>10000</v>
      </c>
      <c r="J2232">
        <v>3000</v>
      </c>
      <c r="K2232" t="s">
        <v>389</v>
      </c>
      <c r="L2232" t="s">
        <v>91</v>
      </c>
      <c r="M2232" t="s">
        <v>49</v>
      </c>
      <c r="N2232" t="b">
        <v>1</v>
      </c>
      <c r="O2232" t="s">
        <v>390</v>
      </c>
    </row>
    <row r="2233" spans="1:15" ht="15" customHeight="1">
      <c r="A2233" t="s">
        <v>1086</v>
      </c>
      <c r="B2233" t="s">
        <v>2832</v>
      </c>
      <c r="C2233" t="s">
        <v>149</v>
      </c>
      <c r="D2233" t="s">
        <v>69</v>
      </c>
      <c r="E2233">
        <v>10</v>
      </c>
      <c r="F2233">
        <v>6.7</v>
      </c>
      <c r="G2233">
        <v>0.67</v>
      </c>
      <c r="H2233">
        <v>38</v>
      </c>
      <c r="I2233">
        <v>3000</v>
      </c>
      <c r="J2233">
        <v>1000</v>
      </c>
      <c r="K2233" t="s">
        <v>220</v>
      </c>
      <c r="L2233" t="s">
        <v>71</v>
      </c>
      <c r="M2233" t="s">
        <v>44</v>
      </c>
      <c r="N2233" t="b">
        <v>0</v>
      </c>
      <c r="O2233" t="s">
        <v>785</v>
      </c>
    </row>
    <row r="2234" spans="1:15" ht="15" customHeight="1">
      <c r="A2234" t="s">
        <v>353</v>
      </c>
      <c r="B2234" t="s">
        <v>2833</v>
      </c>
      <c r="C2234" t="s">
        <v>149</v>
      </c>
      <c r="D2234" t="s">
        <v>69</v>
      </c>
      <c r="E2234">
        <v>11</v>
      </c>
      <c r="F2234">
        <v>7.9</v>
      </c>
      <c r="G2234">
        <v>0.72</v>
      </c>
      <c r="H2234">
        <v>29</v>
      </c>
      <c r="I2234">
        <v>3000</v>
      </c>
      <c r="J2234">
        <v>1000</v>
      </c>
      <c r="K2234" t="s">
        <v>303</v>
      </c>
      <c r="L2234" t="s">
        <v>117</v>
      </c>
      <c r="M2234" t="s">
        <v>47</v>
      </c>
      <c r="N2234" t="b">
        <v>1</v>
      </c>
      <c r="O2234" t="s">
        <v>323</v>
      </c>
    </row>
    <row r="2235" spans="1:15" ht="15" customHeight="1">
      <c r="A2235" t="s">
        <v>136</v>
      </c>
      <c r="B2235" t="s">
        <v>2834</v>
      </c>
      <c r="C2235" t="s">
        <v>149</v>
      </c>
      <c r="D2235" t="s">
        <v>69</v>
      </c>
      <c r="E2235">
        <v>11</v>
      </c>
      <c r="F2235">
        <v>7.9</v>
      </c>
      <c r="G2235">
        <v>0.72</v>
      </c>
      <c r="H2235">
        <v>21</v>
      </c>
      <c r="I2235">
        <v>3000</v>
      </c>
      <c r="J2235">
        <v>1000</v>
      </c>
      <c r="K2235" t="s">
        <v>380</v>
      </c>
      <c r="L2235" t="s">
        <v>96</v>
      </c>
      <c r="M2235" t="s">
        <v>41</v>
      </c>
      <c r="N2235" t="b">
        <v>0</v>
      </c>
      <c r="O2235" t="s">
        <v>381</v>
      </c>
    </row>
    <row r="2236" spans="1:15" ht="15" customHeight="1">
      <c r="A2236" t="s">
        <v>1258</v>
      </c>
      <c r="B2236" t="s">
        <v>2835</v>
      </c>
      <c r="C2236" t="s">
        <v>149</v>
      </c>
      <c r="D2236" t="s">
        <v>69</v>
      </c>
      <c r="E2236">
        <v>8</v>
      </c>
      <c r="F2236">
        <v>7</v>
      </c>
      <c r="G2236">
        <v>0.88</v>
      </c>
      <c r="H2236">
        <v>32</v>
      </c>
      <c r="I2236">
        <v>3000</v>
      </c>
      <c r="J2236">
        <v>1000</v>
      </c>
      <c r="K2236" t="s">
        <v>576</v>
      </c>
      <c r="L2236" t="s">
        <v>91</v>
      </c>
      <c r="M2236" t="s">
        <v>48</v>
      </c>
      <c r="N2236" t="b">
        <v>1</v>
      </c>
      <c r="O2236" t="s">
        <v>336</v>
      </c>
    </row>
    <row r="2237" spans="1:15" ht="15" customHeight="1">
      <c r="A2237" t="s">
        <v>423</v>
      </c>
      <c r="B2237" t="s">
        <v>2836</v>
      </c>
      <c r="C2237" t="s">
        <v>68</v>
      </c>
      <c r="D2237" t="s">
        <v>69</v>
      </c>
      <c r="E2237">
        <v>9</v>
      </c>
      <c r="F2237">
        <v>0.8</v>
      </c>
      <c r="G2237">
        <v>0.09</v>
      </c>
      <c r="H2237">
        <v>5</v>
      </c>
      <c r="I2237">
        <v>30000</v>
      </c>
      <c r="J2237">
        <v>5000</v>
      </c>
      <c r="K2237" t="s">
        <v>112</v>
      </c>
      <c r="L2237" t="s">
        <v>117</v>
      </c>
      <c r="M2237" t="s">
        <v>40</v>
      </c>
      <c r="N2237" t="b">
        <v>1</v>
      </c>
      <c r="O2237" t="s">
        <v>113</v>
      </c>
    </row>
    <row r="2238" spans="1:15" ht="15" customHeight="1">
      <c r="A2238" t="s">
        <v>641</v>
      </c>
      <c r="B2238" t="s">
        <v>2837</v>
      </c>
      <c r="C2238" t="s">
        <v>129</v>
      </c>
      <c r="D2238" t="s">
        <v>130</v>
      </c>
      <c r="E2238">
        <v>14</v>
      </c>
      <c r="F2238">
        <v>3</v>
      </c>
      <c r="G2238">
        <v>0.21</v>
      </c>
      <c r="H2238">
        <v>16</v>
      </c>
      <c r="I2238">
        <v>5000</v>
      </c>
      <c r="J2238">
        <v>1000</v>
      </c>
      <c r="K2238" t="s">
        <v>357</v>
      </c>
      <c r="L2238" t="s">
        <v>77</v>
      </c>
      <c r="M2238" t="s">
        <v>45</v>
      </c>
      <c r="N2238" t="b">
        <v>0</v>
      </c>
      <c r="O2238" t="s">
        <v>456</v>
      </c>
    </row>
    <row r="2239" spans="1:15" ht="15" customHeight="1">
      <c r="A2239" t="s">
        <v>561</v>
      </c>
      <c r="B2239" t="s">
        <v>2838</v>
      </c>
      <c r="C2239" t="s">
        <v>68</v>
      </c>
      <c r="D2239" t="s">
        <v>69</v>
      </c>
      <c r="E2239">
        <v>8</v>
      </c>
      <c r="F2239">
        <v>3</v>
      </c>
      <c r="G2239">
        <v>0.38</v>
      </c>
      <c r="H2239">
        <v>5</v>
      </c>
      <c r="I2239">
        <v>30000</v>
      </c>
      <c r="J2239">
        <v>5000</v>
      </c>
      <c r="K2239" t="s">
        <v>112</v>
      </c>
      <c r="L2239" t="s">
        <v>71</v>
      </c>
      <c r="M2239" t="s">
        <v>50</v>
      </c>
      <c r="N2239" t="b">
        <v>0</v>
      </c>
      <c r="O2239" t="s">
        <v>113</v>
      </c>
    </row>
    <row r="2240" spans="1:15" ht="15" customHeight="1">
      <c r="A2240" t="s">
        <v>687</v>
      </c>
      <c r="B2240" t="s">
        <v>2839</v>
      </c>
      <c r="C2240" t="s">
        <v>129</v>
      </c>
      <c r="D2240" t="s">
        <v>130</v>
      </c>
      <c r="E2240">
        <v>11</v>
      </c>
      <c r="F2240">
        <v>6.9</v>
      </c>
      <c r="G2240">
        <v>0.63</v>
      </c>
      <c r="H2240">
        <v>12</v>
      </c>
      <c r="I2240">
        <v>5000</v>
      </c>
      <c r="J2240">
        <v>1000</v>
      </c>
      <c r="K2240" t="s">
        <v>162</v>
      </c>
      <c r="L2240" t="s">
        <v>96</v>
      </c>
      <c r="M2240" t="s">
        <v>45</v>
      </c>
      <c r="N2240" t="b">
        <v>0</v>
      </c>
      <c r="O2240" t="s">
        <v>180</v>
      </c>
    </row>
    <row r="2241" spans="1:15" ht="15" customHeight="1">
      <c r="A2241" t="s">
        <v>1436</v>
      </c>
      <c r="B2241" t="s">
        <v>2840</v>
      </c>
      <c r="C2241" t="s">
        <v>75</v>
      </c>
      <c r="D2241" t="s">
        <v>69</v>
      </c>
      <c r="E2241">
        <v>17</v>
      </c>
      <c r="F2241">
        <v>7</v>
      </c>
      <c r="G2241">
        <v>0.41</v>
      </c>
      <c r="H2241">
        <v>18</v>
      </c>
      <c r="I2241">
        <v>2000</v>
      </c>
      <c r="J2241">
        <v>1500</v>
      </c>
      <c r="K2241" t="s">
        <v>225</v>
      </c>
      <c r="L2241" t="s">
        <v>91</v>
      </c>
      <c r="M2241" t="s">
        <v>48</v>
      </c>
      <c r="N2241" t="b">
        <v>1</v>
      </c>
      <c r="O2241" t="s">
        <v>226</v>
      </c>
    </row>
    <row r="2242" spans="1:15" ht="15" customHeight="1">
      <c r="A2242" t="s">
        <v>1338</v>
      </c>
      <c r="B2242" t="s">
        <v>2841</v>
      </c>
      <c r="C2242" t="s">
        <v>149</v>
      </c>
      <c r="D2242" t="s">
        <v>69</v>
      </c>
      <c r="E2242">
        <v>9</v>
      </c>
      <c r="F2242">
        <v>7.9</v>
      </c>
      <c r="G2242">
        <v>0.88</v>
      </c>
      <c r="H2242">
        <v>37</v>
      </c>
      <c r="I2242">
        <v>3000</v>
      </c>
      <c r="J2242">
        <v>1000</v>
      </c>
      <c r="K2242" t="s">
        <v>672</v>
      </c>
      <c r="L2242" t="s">
        <v>104</v>
      </c>
      <c r="M2242" t="s">
        <v>47</v>
      </c>
      <c r="N2242" t="b">
        <v>0</v>
      </c>
      <c r="O2242" t="s">
        <v>134</v>
      </c>
    </row>
    <row r="2243" spans="1:15" ht="15" customHeight="1">
      <c r="A2243" t="s">
        <v>237</v>
      </c>
      <c r="B2243" t="s">
        <v>2842</v>
      </c>
      <c r="C2243" t="s">
        <v>129</v>
      </c>
      <c r="D2243" t="s">
        <v>130</v>
      </c>
      <c r="E2243">
        <v>12</v>
      </c>
      <c r="F2243">
        <v>11.4</v>
      </c>
      <c r="G2243">
        <v>0.95</v>
      </c>
      <c r="H2243">
        <v>28</v>
      </c>
      <c r="I2243">
        <v>5000</v>
      </c>
      <c r="J2243">
        <v>1000</v>
      </c>
      <c r="K2243" t="s">
        <v>116</v>
      </c>
      <c r="L2243" t="s">
        <v>77</v>
      </c>
      <c r="M2243" t="s">
        <v>49</v>
      </c>
      <c r="N2243" t="b">
        <v>0</v>
      </c>
      <c r="O2243" t="s">
        <v>470</v>
      </c>
    </row>
    <row r="2244" spans="1:15" ht="15" customHeight="1">
      <c r="A2244" t="s">
        <v>557</v>
      </c>
      <c r="B2244" t="s">
        <v>2843</v>
      </c>
      <c r="C2244" t="s">
        <v>81</v>
      </c>
      <c r="D2244" t="s">
        <v>69</v>
      </c>
      <c r="E2244">
        <v>20</v>
      </c>
      <c r="F2244">
        <v>14.8</v>
      </c>
      <c r="G2244">
        <v>0.74</v>
      </c>
      <c r="H2244">
        <v>26</v>
      </c>
      <c r="I2244">
        <v>10000</v>
      </c>
      <c r="J2244">
        <v>3000</v>
      </c>
      <c r="K2244" t="s">
        <v>525</v>
      </c>
      <c r="L2244" t="s">
        <v>91</v>
      </c>
      <c r="M2244" t="s">
        <v>50</v>
      </c>
      <c r="N2244" t="b">
        <v>1</v>
      </c>
      <c r="O2244" t="s">
        <v>526</v>
      </c>
    </row>
    <row r="2245" spans="1:15" ht="15" customHeight="1">
      <c r="A2245" t="s">
        <v>119</v>
      </c>
      <c r="B2245" t="s">
        <v>2844</v>
      </c>
      <c r="C2245" t="s">
        <v>149</v>
      </c>
      <c r="D2245" t="s">
        <v>69</v>
      </c>
      <c r="E2245">
        <v>10</v>
      </c>
      <c r="F2245">
        <v>6.1</v>
      </c>
      <c r="G2245">
        <v>0.61</v>
      </c>
      <c r="H2245">
        <v>34</v>
      </c>
      <c r="I2245">
        <v>3000</v>
      </c>
      <c r="J2245">
        <v>1000</v>
      </c>
      <c r="K2245" t="s">
        <v>433</v>
      </c>
      <c r="L2245" t="s">
        <v>71</v>
      </c>
      <c r="M2245" t="s">
        <v>45</v>
      </c>
      <c r="N2245" t="b">
        <v>0</v>
      </c>
      <c r="O2245" t="s">
        <v>434</v>
      </c>
    </row>
    <row r="2246" spans="1:15" ht="15" customHeight="1">
      <c r="A2246" t="s">
        <v>787</v>
      </c>
      <c r="B2246" t="s">
        <v>2845</v>
      </c>
      <c r="C2246" t="s">
        <v>129</v>
      </c>
      <c r="D2246" t="s">
        <v>130</v>
      </c>
      <c r="E2246">
        <v>14</v>
      </c>
      <c r="F2246">
        <v>7.6</v>
      </c>
      <c r="G2246">
        <v>0.54</v>
      </c>
      <c r="H2246">
        <v>19</v>
      </c>
      <c r="I2246">
        <v>5000</v>
      </c>
      <c r="J2246">
        <v>1000</v>
      </c>
      <c r="K2246" t="s">
        <v>336</v>
      </c>
      <c r="L2246" t="s">
        <v>96</v>
      </c>
      <c r="M2246" t="s">
        <v>43</v>
      </c>
      <c r="N2246" t="b">
        <v>0</v>
      </c>
      <c r="O2246" t="s">
        <v>337</v>
      </c>
    </row>
    <row r="2247" spans="1:15" ht="15" customHeight="1">
      <c r="A2247" t="s">
        <v>565</v>
      </c>
      <c r="B2247" t="s">
        <v>2846</v>
      </c>
      <c r="C2247" t="s">
        <v>75</v>
      </c>
      <c r="D2247" t="s">
        <v>69</v>
      </c>
      <c r="E2247">
        <v>14</v>
      </c>
      <c r="F2247">
        <v>6.5</v>
      </c>
      <c r="G2247">
        <v>0.46</v>
      </c>
      <c r="H2247">
        <v>15</v>
      </c>
      <c r="I2247">
        <v>2000</v>
      </c>
      <c r="J2247">
        <v>1500</v>
      </c>
      <c r="K2247" t="s">
        <v>70</v>
      </c>
      <c r="L2247" t="s">
        <v>96</v>
      </c>
      <c r="M2247" t="s">
        <v>42</v>
      </c>
      <c r="N2247" t="b">
        <v>0</v>
      </c>
      <c r="O2247" t="s">
        <v>598</v>
      </c>
    </row>
    <row r="2248" spans="1:15" ht="15" customHeight="1">
      <c r="A2248" t="s">
        <v>410</v>
      </c>
      <c r="B2248" t="s">
        <v>2847</v>
      </c>
      <c r="C2248" t="s">
        <v>75</v>
      </c>
      <c r="D2248" t="s">
        <v>69</v>
      </c>
      <c r="E2248">
        <v>17</v>
      </c>
      <c r="F2248">
        <v>12.1</v>
      </c>
      <c r="G2248">
        <v>0.71</v>
      </c>
      <c r="H2248">
        <v>7</v>
      </c>
      <c r="I2248">
        <v>2000</v>
      </c>
      <c r="J2248">
        <v>1500</v>
      </c>
      <c r="K2248" t="s">
        <v>241</v>
      </c>
      <c r="L2248" t="s">
        <v>96</v>
      </c>
      <c r="M2248" t="s">
        <v>46</v>
      </c>
      <c r="N2248" t="b">
        <v>0</v>
      </c>
      <c r="O2248" t="s">
        <v>242</v>
      </c>
    </row>
    <row r="2249" spans="1:15" ht="15" customHeight="1">
      <c r="A2249" t="s">
        <v>414</v>
      </c>
      <c r="B2249" t="s">
        <v>2848</v>
      </c>
      <c r="C2249" t="s">
        <v>149</v>
      </c>
      <c r="D2249" t="s">
        <v>69</v>
      </c>
      <c r="E2249">
        <v>11</v>
      </c>
      <c r="F2249">
        <v>6.5</v>
      </c>
      <c r="G2249">
        <v>0.59</v>
      </c>
      <c r="H2249">
        <v>40</v>
      </c>
      <c r="I2249">
        <v>3000</v>
      </c>
      <c r="J2249">
        <v>1000</v>
      </c>
      <c r="K2249" t="s">
        <v>95</v>
      </c>
      <c r="L2249" t="s">
        <v>117</v>
      </c>
      <c r="M2249" t="s">
        <v>46</v>
      </c>
      <c r="N2249" t="b">
        <v>1</v>
      </c>
      <c r="O2249" t="s">
        <v>217</v>
      </c>
    </row>
    <row r="2250" spans="1:15" ht="15" customHeight="1">
      <c r="A2250" t="s">
        <v>475</v>
      </c>
      <c r="B2250" t="s">
        <v>2849</v>
      </c>
      <c r="C2250" t="s">
        <v>129</v>
      </c>
      <c r="D2250" t="s">
        <v>130</v>
      </c>
      <c r="E2250">
        <v>9</v>
      </c>
      <c r="F2250">
        <v>8.6999999999999993</v>
      </c>
      <c r="G2250">
        <v>0.97</v>
      </c>
      <c r="H2250">
        <v>9</v>
      </c>
      <c r="I2250">
        <v>5000</v>
      </c>
      <c r="J2250">
        <v>1000</v>
      </c>
      <c r="K2250" t="s">
        <v>438</v>
      </c>
      <c r="L2250" t="s">
        <v>91</v>
      </c>
      <c r="M2250" t="s">
        <v>47</v>
      </c>
      <c r="N2250" t="b">
        <v>1</v>
      </c>
      <c r="O2250" t="s">
        <v>90</v>
      </c>
    </row>
    <row r="2251" spans="1:15" ht="15" customHeight="1">
      <c r="A2251" t="s">
        <v>1054</v>
      </c>
      <c r="B2251" t="s">
        <v>2850</v>
      </c>
      <c r="C2251" t="s">
        <v>129</v>
      </c>
      <c r="D2251" t="s">
        <v>130</v>
      </c>
      <c r="E2251">
        <v>11</v>
      </c>
      <c r="F2251">
        <v>3.9</v>
      </c>
      <c r="G2251">
        <v>0.35</v>
      </c>
      <c r="H2251">
        <v>11</v>
      </c>
      <c r="I2251">
        <v>5000</v>
      </c>
      <c r="J2251">
        <v>1000</v>
      </c>
      <c r="K2251" t="s">
        <v>163</v>
      </c>
      <c r="L2251" t="s">
        <v>77</v>
      </c>
      <c r="M2251" t="s">
        <v>45</v>
      </c>
      <c r="N2251" t="b">
        <v>0</v>
      </c>
      <c r="O2251" t="s">
        <v>150</v>
      </c>
    </row>
    <row r="2252" spans="1:15" ht="15" customHeight="1">
      <c r="A2252" t="s">
        <v>759</v>
      </c>
      <c r="B2252" t="s">
        <v>2851</v>
      </c>
      <c r="C2252" t="s">
        <v>68</v>
      </c>
      <c r="D2252" t="s">
        <v>69</v>
      </c>
      <c r="E2252">
        <v>15</v>
      </c>
      <c r="F2252">
        <v>3.4</v>
      </c>
      <c r="G2252">
        <v>0.23</v>
      </c>
      <c r="H2252">
        <v>1</v>
      </c>
      <c r="I2252">
        <v>30000</v>
      </c>
      <c r="J2252">
        <v>5000</v>
      </c>
      <c r="K2252" t="s">
        <v>70</v>
      </c>
      <c r="L2252" t="s">
        <v>96</v>
      </c>
      <c r="M2252" t="s">
        <v>51</v>
      </c>
      <c r="N2252" t="b">
        <v>0</v>
      </c>
      <c r="O2252" t="s">
        <v>72</v>
      </c>
    </row>
    <row r="2253" spans="1:15" ht="15" customHeight="1">
      <c r="A2253" t="s">
        <v>2352</v>
      </c>
      <c r="B2253" t="s">
        <v>2852</v>
      </c>
      <c r="C2253" t="s">
        <v>149</v>
      </c>
      <c r="D2253" t="s">
        <v>69</v>
      </c>
      <c r="E2253">
        <v>8</v>
      </c>
      <c r="F2253">
        <v>6.1</v>
      </c>
      <c r="G2253">
        <v>0.76</v>
      </c>
      <c r="H2253">
        <v>24</v>
      </c>
      <c r="I2253">
        <v>3000</v>
      </c>
      <c r="J2253">
        <v>1000</v>
      </c>
      <c r="K2253" t="s">
        <v>490</v>
      </c>
      <c r="L2253" t="s">
        <v>77</v>
      </c>
      <c r="M2253" t="s">
        <v>48</v>
      </c>
      <c r="N2253" t="b">
        <v>0</v>
      </c>
      <c r="O2253" t="s">
        <v>491</v>
      </c>
    </row>
    <row r="2254" spans="1:15" ht="15" customHeight="1">
      <c r="A2254" t="s">
        <v>140</v>
      </c>
      <c r="B2254" t="s">
        <v>2853</v>
      </c>
      <c r="C2254" t="s">
        <v>75</v>
      </c>
      <c r="D2254" t="s">
        <v>69</v>
      </c>
      <c r="E2254">
        <v>18</v>
      </c>
      <c r="F2254">
        <v>12.5</v>
      </c>
      <c r="G2254">
        <v>0.69</v>
      </c>
      <c r="H2254">
        <v>9</v>
      </c>
      <c r="I2254">
        <v>2000</v>
      </c>
      <c r="J2254">
        <v>1500</v>
      </c>
      <c r="K2254" t="s">
        <v>740</v>
      </c>
      <c r="L2254" t="s">
        <v>96</v>
      </c>
      <c r="M2254" t="s">
        <v>50</v>
      </c>
      <c r="N2254" t="b">
        <v>0</v>
      </c>
      <c r="O2254" t="s">
        <v>741</v>
      </c>
    </row>
    <row r="2255" spans="1:15" ht="15" customHeight="1">
      <c r="A2255" t="s">
        <v>1518</v>
      </c>
      <c r="B2255" t="s">
        <v>2854</v>
      </c>
      <c r="C2255" t="s">
        <v>149</v>
      </c>
      <c r="D2255" t="s">
        <v>69</v>
      </c>
      <c r="E2255">
        <v>12</v>
      </c>
      <c r="F2255">
        <v>7</v>
      </c>
      <c r="G2255">
        <v>0.57999999999999996</v>
      </c>
      <c r="H2255">
        <v>38</v>
      </c>
      <c r="I2255">
        <v>3000</v>
      </c>
      <c r="J2255">
        <v>1000</v>
      </c>
      <c r="K2255" t="s">
        <v>220</v>
      </c>
      <c r="L2255" t="s">
        <v>117</v>
      </c>
      <c r="M2255" t="s">
        <v>51</v>
      </c>
      <c r="N2255" t="b">
        <v>1</v>
      </c>
      <c r="O2255" t="s">
        <v>785</v>
      </c>
    </row>
    <row r="2256" spans="1:15" ht="15" customHeight="1">
      <c r="A2256" t="s">
        <v>1166</v>
      </c>
      <c r="B2256" t="s">
        <v>2855</v>
      </c>
      <c r="C2256" t="s">
        <v>129</v>
      </c>
      <c r="D2256" t="s">
        <v>130</v>
      </c>
      <c r="E2256">
        <v>17</v>
      </c>
      <c r="F2256">
        <v>12.3</v>
      </c>
      <c r="G2256">
        <v>0.72</v>
      </c>
      <c r="H2256">
        <v>28</v>
      </c>
      <c r="I2256">
        <v>5000</v>
      </c>
      <c r="J2256">
        <v>1000</v>
      </c>
      <c r="K2256" t="s">
        <v>116</v>
      </c>
      <c r="L2256" t="s">
        <v>96</v>
      </c>
      <c r="M2256" t="s">
        <v>46</v>
      </c>
      <c r="N2256" t="b">
        <v>0</v>
      </c>
      <c r="O2256" t="s">
        <v>470</v>
      </c>
    </row>
    <row r="2257" spans="1:15" ht="15" customHeight="1">
      <c r="A2257" t="s">
        <v>1080</v>
      </c>
      <c r="B2257" t="s">
        <v>2856</v>
      </c>
      <c r="C2257" t="s">
        <v>75</v>
      </c>
      <c r="D2257" t="s">
        <v>69</v>
      </c>
      <c r="E2257">
        <v>18</v>
      </c>
      <c r="F2257">
        <v>15.6</v>
      </c>
      <c r="G2257">
        <v>0.87</v>
      </c>
      <c r="H2257">
        <v>11</v>
      </c>
      <c r="I2257">
        <v>2000</v>
      </c>
      <c r="J2257">
        <v>1500</v>
      </c>
      <c r="K2257" t="s">
        <v>689</v>
      </c>
      <c r="L2257" t="s">
        <v>117</v>
      </c>
      <c r="M2257" t="s">
        <v>49</v>
      </c>
      <c r="N2257" t="b">
        <v>1</v>
      </c>
      <c r="O2257" t="s">
        <v>690</v>
      </c>
    </row>
    <row r="2258" spans="1:15" ht="15" customHeight="1">
      <c r="A2258" t="s">
        <v>568</v>
      </c>
      <c r="B2258" t="s">
        <v>2857</v>
      </c>
      <c r="C2258" t="s">
        <v>81</v>
      </c>
      <c r="D2258" t="s">
        <v>69</v>
      </c>
      <c r="E2258">
        <v>19</v>
      </c>
      <c r="F2258">
        <v>12</v>
      </c>
      <c r="G2258">
        <v>0.63</v>
      </c>
      <c r="H2258">
        <v>30</v>
      </c>
      <c r="I2258">
        <v>10000</v>
      </c>
      <c r="J2258">
        <v>3000</v>
      </c>
      <c r="K2258" t="s">
        <v>185</v>
      </c>
      <c r="L2258" t="s">
        <v>77</v>
      </c>
      <c r="M2258" t="s">
        <v>41</v>
      </c>
      <c r="N2258" t="b">
        <v>0</v>
      </c>
      <c r="O2258" t="s">
        <v>186</v>
      </c>
    </row>
    <row r="2259" spans="1:15" ht="15" customHeight="1">
      <c r="A2259" t="s">
        <v>1308</v>
      </c>
      <c r="B2259" t="s">
        <v>2858</v>
      </c>
      <c r="C2259" t="s">
        <v>68</v>
      </c>
      <c r="D2259" t="s">
        <v>69</v>
      </c>
      <c r="E2259">
        <v>12</v>
      </c>
      <c r="F2259">
        <v>3</v>
      </c>
      <c r="G2259">
        <v>0.25</v>
      </c>
      <c r="H2259">
        <v>1</v>
      </c>
      <c r="I2259">
        <v>30000</v>
      </c>
      <c r="J2259">
        <v>5000</v>
      </c>
      <c r="K2259" t="s">
        <v>70</v>
      </c>
      <c r="L2259" t="s">
        <v>91</v>
      </c>
      <c r="M2259" t="s">
        <v>44</v>
      </c>
      <c r="N2259" t="b">
        <v>1</v>
      </c>
      <c r="O2259" t="s">
        <v>72</v>
      </c>
    </row>
    <row r="2260" spans="1:15" ht="15" customHeight="1">
      <c r="A2260" t="s">
        <v>1442</v>
      </c>
      <c r="B2260" t="s">
        <v>2859</v>
      </c>
      <c r="C2260" t="s">
        <v>149</v>
      </c>
      <c r="D2260" t="s">
        <v>69</v>
      </c>
      <c r="E2260">
        <v>12</v>
      </c>
      <c r="F2260">
        <v>8.8000000000000007</v>
      </c>
      <c r="G2260">
        <v>0.73</v>
      </c>
      <c r="H2260">
        <v>18</v>
      </c>
      <c r="I2260">
        <v>3000</v>
      </c>
      <c r="J2260">
        <v>1000</v>
      </c>
      <c r="K2260" t="s">
        <v>150</v>
      </c>
      <c r="L2260" t="s">
        <v>104</v>
      </c>
      <c r="M2260" t="s">
        <v>47</v>
      </c>
      <c r="N2260" t="b">
        <v>0</v>
      </c>
      <c r="O2260" t="s">
        <v>151</v>
      </c>
    </row>
    <row r="2261" spans="1:15" ht="15" customHeight="1">
      <c r="A2261" t="s">
        <v>670</v>
      </c>
      <c r="B2261" t="s">
        <v>2860</v>
      </c>
      <c r="C2261" t="s">
        <v>75</v>
      </c>
      <c r="D2261" t="s">
        <v>69</v>
      </c>
      <c r="E2261">
        <v>17</v>
      </c>
      <c r="F2261">
        <v>4.7</v>
      </c>
      <c r="G2261">
        <v>0.28000000000000003</v>
      </c>
      <c r="H2261">
        <v>16</v>
      </c>
      <c r="I2261">
        <v>2000</v>
      </c>
      <c r="J2261">
        <v>1500</v>
      </c>
      <c r="K2261" t="s">
        <v>938</v>
      </c>
      <c r="L2261" t="s">
        <v>91</v>
      </c>
      <c r="M2261" t="s">
        <v>42</v>
      </c>
      <c r="N2261" t="b">
        <v>1</v>
      </c>
      <c r="O2261" t="s">
        <v>939</v>
      </c>
    </row>
    <row r="2262" spans="1:15" ht="15" customHeight="1">
      <c r="A2262" t="s">
        <v>868</v>
      </c>
      <c r="B2262" t="s">
        <v>2861</v>
      </c>
      <c r="C2262" t="s">
        <v>129</v>
      </c>
      <c r="D2262" t="s">
        <v>130</v>
      </c>
      <c r="E2262">
        <v>14</v>
      </c>
      <c r="F2262">
        <v>11.1</v>
      </c>
      <c r="G2262">
        <v>0.79</v>
      </c>
      <c r="H2262">
        <v>18</v>
      </c>
      <c r="I2262">
        <v>5000</v>
      </c>
      <c r="J2262">
        <v>1000</v>
      </c>
      <c r="K2262" t="s">
        <v>108</v>
      </c>
      <c r="L2262" t="s">
        <v>117</v>
      </c>
      <c r="M2262" t="s">
        <v>45</v>
      </c>
      <c r="N2262" t="b">
        <v>1</v>
      </c>
      <c r="O2262" t="s">
        <v>166</v>
      </c>
    </row>
    <row r="2263" spans="1:15" ht="15" customHeight="1">
      <c r="A2263" t="s">
        <v>1329</v>
      </c>
      <c r="B2263" t="s">
        <v>2862</v>
      </c>
      <c r="C2263" t="s">
        <v>68</v>
      </c>
      <c r="D2263" t="s">
        <v>69</v>
      </c>
      <c r="E2263">
        <v>12</v>
      </c>
      <c r="F2263">
        <v>1</v>
      </c>
      <c r="G2263">
        <v>0.08</v>
      </c>
      <c r="H2263">
        <v>1</v>
      </c>
      <c r="I2263">
        <v>30000</v>
      </c>
      <c r="J2263">
        <v>5000</v>
      </c>
      <c r="K2263" t="s">
        <v>70</v>
      </c>
      <c r="L2263" t="s">
        <v>104</v>
      </c>
      <c r="M2263" t="s">
        <v>51</v>
      </c>
      <c r="N2263" t="b">
        <v>0</v>
      </c>
      <c r="O2263" t="s">
        <v>72</v>
      </c>
    </row>
    <row r="2264" spans="1:15" ht="15" customHeight="1">
      <c r="A2264" t="s">
        <v>1434</v>
      </c>
      <c r="B2264" t="s">
        <v>2863</v>
      </c>
      <c r="C2264" t="s">
        <v>68</v>
      </c>
      <c r="D2264" t="s">
        <v>69</v>
      </c>
      <c r="E2264">
        <v>8</v>
      </c>
      <c r="F2264">
        <v>1.3</v>
      </c>
      <c r="G2264">
        <v>0.16</v>
      </c>
      <c r="H2264">
        <v>4</v>
      </c>
      <c r="I2264">
        <v>30000</v>
      </c>
      <c r="J2264">
        <v>5000</v>
      </c>
      <c r="K2264" t="s">
        <v>95</v>
      </c>
      <c r="L2264" t="s">
        <v>77</v>
      </c>
      <c r="M2264" t="s">
        <v>42</v>
      </c>
      <c r="N2264" t="b">
        <v>0</v>
      </c>
      <c r="O2264" t="s">
        <v>97</v>
      </c>
    </row>
    <row r="2265" spans="1:15" ht="15" customHeight="1">
      <c r="A2265" t="s">
        <v>674</v>
      </c>
      <c r="B2265" t="s">
        <v>2864</v>
      </c>
      <c r="C2265" t="s">
        <v>129</v>
      </c>
      <c r="D2265" t="s">
        <v>130</v>
      </c>
      <c r="E2265">
        <v>19</v>
      </c>
      <c r="F2265">
        <v>5.9</v>
      </c>
      <c r="G2265">
        <v>0.31</v>
      </c>
      <c r="H2265">
        <v>29</v>
      </c>
      <c r="I2265">
        <v>5000</v>
      </c>
      <c r="J2265">
        <v>1000</v>
      </c>
      <c r="K2265" t="s">
        <v>113</v>
      </c>
      <c r="L2265" t="s">
        <v>100</v>
      </c>
      <c r="M2265" t="s">
        <v>40</v>
      </c>
      <c r="N2265" t="b">
        <v>0</v>
      </c>
      <c r="O2265" t="s">
        <v>146</v>
      </c>
    </row>
    <row r="2266" spans="1:15" ht="15" customHeight="1">
      <c r="A2266" t="s">
        <v>1258</v>
      </c>
      <c r="B2266" t="s">
        <v>2865</v>
      </c>
      <c r="C2266" t="s">
        <v>75</v>
      </c>
      <c r="D2266" t="s">
        <v>69</v>
      </c>
      <c r="E2266">
        <v>11</v>
      </c>
      <c r="F2266">
        <v>4</v>
      </c>
      <c r="G2266">
        <v>0.36</v>
      </c>
      <c r="H2266">
        <v>7</v>
      </c>
      <c r="I2266">
        <v>2000</v>
      </c>
      <c r="J2266">
        <v>1500</v>
      </c>
      <c r="K2266" t="s">
        <v>241</v>
      </c>
      <c r="L2266" t="s">
        <v>91</v>
      </c>
      <c r="M2266" t="s">
        <v>48</v>
      </c>
      <c r="N2266" t="b">
        <v>1</v>
      </c>
      <c r="O2266" t="s">
        <v>242</v>
      </c>
    </row>
    <row r="2267" spans="1:15" ht="15" customHeight="1">
      <c r="A2267" t="s">
        <v>1442</v>
      </c>
      <c r="B2267" t="s">
        <v>2866</v>
      </c>
      <c r="C2267" t="s">
        <v>129</v>
      </c>
      <c r="D2267" t="s">
        <v>130</v>
      </c>
      <c r="E2267">
        <v>11</v>
      </c>
      <c r="F2267">
        <v>10.4</v>
      </c>
      <c r="G2267">
        <v>0.95</v>
      </c>
      <c r="H2267">
        <v>16</v>
      </c>
      <c r="I2267">
        <v>5000</v>
      </c>
      <c r="J2267">
        <v>1000</v>
      </c>
      <c r="K2267" t="s">
        <v>357</v>
      </c>
      <c r="L2267" t="s">
        <v>104</v>
      </c>
      <c r="M2267" t="s">
        <v>47</v>
      </c>
      <c r="N2267" t="b">
        <v>0</v>
      </c>
      <c r="O2267" t="s">
        <v>456</v>
      </c>
    </row>
    <row r="2268" spans="1:15" ht="15" customHeight="1">
      <c r="A2268" t="s">
        <v>1317</v>
      </c>
      <c r="B2268" t="s">
        <v>2867</v>
      </c>
      <c r="C2268" t="s">
        <v>81</v>
      </c>
      <c r="D2268" t="s">
        <v>69</v>
      </c>
      <c r="E2268">
        <v>9</v>
      </c>
      <c r="F2268">
        <v>4.7</v>
      </c>
      <c r="G2268">
        <v>0.52</v>
      </c>
      <c r="H2268">
        <v>17</v>
      </c>
      <c r="I2268">
        <v>10000</v>
      </c>
      <c r="J2268">
        <v>3000</v>
      </c>
      <c r="K2268" t="s">
        <v>389</v>
      </c>
      <c r="L2268" t="s">
        <v>71</v>
      </c>
      <c r="M2268" t="s">
        <v>40</v>
      </c>
      <c r="N2268" t="b">
        <v>0</v>
      </c>
      <c r="O2268" t="s">
        <v>390</v>
      </c>
    </row>
    <row r="2269" spans="1:15" ht="15" customHeight="1">
      <c r="A2269" t="s">
        <v>412</v>
      </c>
      <c r="B2269" t="s">
        <v>2868</v>
      </c>
      <c r="C2269" t="s">
        <v>149</v>
      </c>
      <c r="D2269" t="s">
        <v>69</v>
      </c>
      <c r="E2269">
        <v>11</v>
      </c>
      <c r="F2269">
        <v>10.4</v>
      </c>
      <c r="G2269">
        <v>0.95</v>
      </c>
      <c r="H2269">
        <v>35</v>
      </c>
      <c r="I2269">
        <v>3000</v>
      </c>
      <c r="J2269">
        <v>1000</v>
      </c>
      <c r="K2269" t="s">
        <v>131</v>
      </c>
      <c r="L2269" t="s">
        <v>96</v>
      </c>
      <c r="M2269" t="s">
        <v>51</v>
      </c>
      <c r="N2269" t="b">
        <v>0</v>
      </c>
      <c r="O2269" t="s">
        <v>132</v>
      </c>
    </row>
    <row r="2270" spans="1:15" ht="15" customHeight="1">
      <c r="A2270" t="s">
        <v>1389</v>
      </c>
      <c r="B2270" t="s">
        <v>2869</v>
      </c>
      <c r="C2270" t="s">
        <v>68</v>
      </c>
      <c r="D2270" t="s">
        <v>69</v>
      </c>
      <c r="E2270">
        <v>11</v>
      </c>
      <c r="F2270">
        <v>2</v>
      </c>
      <c r="G2270">
        <v>0.18</v>
      </c>
      <c r="H2270">
        <v>3</v>
      </c>
      <c r="I2270">
        <v>30000</v>
      </c>
      <c r="J2270">
        <v>5000</v>
      </c>
      <c r="K2270" t="s">
        <v>108</v>
      </c>
      <c r="L2270" t="s">
        <v>91</v>
      </c>
      <c r="M2270" t="s">
        <v>44</v>
      </c>
      <c r="N2270" t="b">
        <v>1</v>
      </c>
      <c r="O2270" t="s">
        <v>109</v>
      </c>
    </row>
    <row r="2271" spans="1:15" ht="15" customHeight="1">
      <c r="A2271" t="s">
        <v>1009</v>
      </c>
      <c r="B2271" t="s">
        <v>2870</v>
      </c>
      <c r="C2271" t="s">
        <v>75</v>
      </c>
      <c r="D2271" t="s">
        <v>69</v>
      </c>
      <c r="E2271">
        <v>20</v>
      </c>
      <c r="F2271">
        <v>5.6</v>
      </c>
      <c r="G2271">
        <v>0.28000000000000003</v>
      </c>
      <c r="H2271">
        <v>27</v>
      </c>
      <c r="I2271">
        <v>2000</v>
      </c>
      <c r="J2271">
        <v>1500</v>
      </c>
      <c r="K2271" t="s">
        <v>150</v>
      </c>
      <c r="L2271" t="s">
        <v>117</v>
      </c>
      <c r="M2271" t="s">
        <v>42</v>
      </c>
      <c r="N2271" t="b">
        <v>1</v>
      </c>
      <c r="O2271" t="s">
        <v>528</v>
      </c>
    </row>
    <row r="2272" spans="1:15" ht="15" customHeight="1">
      <c r="A2272" t="s">
        <v>954</v>
      </c>
      <c r="B2272" t="s">
        <v>2871</v>
      </c>
      <c r="C2272" t="s">
        <v>129</v>
      </c>
      <c r="D2272" t="s">
        <v>130</v>
      </c>
      <c r="E2272">
        <v>13</v>
      </c>
      <c r="F2272">
        <v>3.8</v>
      </c>
      <c r="G2272">
        <v>0.28999999999999998</v>
      </c>
      <c r="H2272">
        <v>6</v>
      </c>
      <c r="I2272">
        <v>5000</v>
      </c>
      <c r="J2272">
        <v>1000</v>
      </c>
      <c r="K2272" t="s">
        <v>70</v>
      </c>
      <c r="L2272" t="s">
        <v>104</v>
      </c>
      <c r="M2272" t="s">
        <v>46</v>
      </c>
      <c r="N2272" t="b">
        <v>0</v>
      </c>
      <c r="O2272" t="s">
        <v>331</v>
      </c>
    </row>
    <row r="2273" spans="1:15" ht="15" customHeight="1">
      <c r="A2273" t="s">
        <v>2195</v>
      </c>
      <c r="B2273" t="s">
        <v>2872</v>
      </c>
      <c r="C2273" t="s">
        <v>81</v>
      </c>
      <c r="D2273" t="s">
        <v>69</v>
      </c>
      <c r="E2273">
        <v>13</v>
      </c>
      <c r="F2273">
        <v>10.6</v>
      </c>
      <c r="G2273">
        <v>0.82</v>
      </c>
      <c r="H2273">
        <v>18</v>
      </c>
      <c r="I2273">
        <v>10000</v>
      </c>
      <c r="J2273">
        <v>3000</v>
      </c>
      <c r="K2273" t="s">
        <v>142</v>
      </c>
      <c r="L2273" t="s">
        <v>91</v>
      </c>
      <c r="M2273" t="s">
        <v>49</v>
      </c>
      <c r="N2273" t="b">
        <v>1</v>
      </c>
      <c r="O2273" t="s">
        <v>143</v>
      </c>
    </row>
    <row r="2274" spans="1:15" ht="15" customHeight="1">
      <c r="A2274" t="s">
        <v>875</v>
      </c>
      <c r="B2274" t="s">
        <v>2873</v>
      </c>
      <c r="C2274" t="s">
        <v>149</v>
      </c>
      <c r="D2274" t="s">
        <v>69</v>
      </c>
      <c r="E2274">
        <v>12</v>
      </c>
      <c r="F2274">
        <v>7.2</v>
      </c>
      <c r="G2274">
        <v>0.6</v>
      </c>
      <c r="H2274">
        <v>35</v>
      </c>
      <c r="I2274">
        <v>3000</v>
      </c>
      <c r="J2274">
        <v>1000</v>
      </c>
      <c r="K2274" t="s">
        <v>131</v>
      </c>
      <c r="L2274" t="s">
        <v>96</v>
      </c>
      <c r="M2274" t="s">
        <v>47</v>
      </c>
      <c r="N2274" t="b">
        <v>0</v>
      </c>
      <c r="O2274" t="s">
        <v>132</v>
      </c>
    </row>
    <row r="2275" spans="1:15" ht="15" customHeight="1">
      <c r="A2275" t="s">
        <v>694</v>
      </c>
      <c r="B2275" t="s">
        <v>2874</v>
      </c>
      <c r="C2275" t="s">
        <v>68</v>
      </c>
      <c r="D2275" t="s">
        <v>69</v>
      </c>
      <c r="E2275">
        <v>15</v>
      </c>
      <c r="F2275">
        <v>2.5</v>
      </c>
      <c r="G2275">
        <v>0.17</v>
      </c>
      <c r="H2275">
        <v>2</v>
      </c>
      <c r="I2275">
        <v>30000</v>
      </c>
      <c r="J2275">
        <v>5000</v>
      </c>
      <c r="K2275" t="s">
        <v>162</v>
      </c>
      <c r="L2275" t="s">
        <v>96</v>
      </c>
      <c r="M2275" t="s">
        <v>46</v>
      </c>
      <c r="N2275" t="b">
        <v>0</v>
      </c>
      <c r="O2275" t="s">
        <v>163</v>
      </c>
    </row>
    <row r="2276" spans="1:15" ht="15" customHeight="1">
      <c r="A2276" t="s">
        <v>485</v>
      </c>
      <c r="B2276" t="s">
        <v>2875</v>
      </c>
      <c r="C2276" t="s">
        <v>75</v>
      </c>
      <c r="D2276" t="s">
        <v>69</v>
      </c>
      <c r="E2276">
        <v>20</v>
      </c>
      <c r="F2276">
        <v>15.5</v>
      </c>
      <c r="G2276">
        <v>0.78</v>
      </c>
      <c r="H2276">
        <v>27</v>
      </c>
      <c r="I2276">
        <v>2000</v>
      </c>
      <c r="J2276">
        <v>1500</v>
      </c>
      <c r="K2276" t="s">
        <v>150</v>
      </c>
      <c r="L2276" t="s">
        <v>100</v>
      </c>
      <c r="M2276" t="s">
        <v>50</v>
      </c>
      <c r="N2276" t="b">
        <v>0</v>
      </c>
      <c r="O2276" t="s">
        <v>528</v>
      </c>
    </row>
    <row r="2277" spans="1:15" ht="15" customHeight="1">
      <c r="A2277" t="s">
        <v>447</v>
      </c>
      <c r="B2277" t="s">
        <v>2876</v>
      </c>
      <c r="C2277" t="s">
        <v>68</v>
      </c>
      <c r="D2277" t="s">
        <v>69</v>
      </c>
      <c r="E2277">
        <v>8</v>
      </c>
      <c r="F2277">
        <v>3.7</v>
      </c>
      <c r="G2277">
        <v>0.46</v>
      </c>
      <c r="H2277">
        <v>1</v>
      </c>
      <c r="I2277">
        <v>30000</v>
      </c>
      <c r="J2277">
        <v>5000</v>
      </c>
      <c r="K2277" t="s">
        <v>70</v>
      </c>
      <c r="L2277" t="s">
        <v>71</v>
      </c>
      <c r="M2277" t="s">
        <v>44</v>
      </c>
      <c r="N2277" t="b">
        <v>0</v>
      </c>
      <c r="O2277" t="s">
        <v>72</v>
      </c>
    </row>
    <row r="2278" spans="1:15" ht="15" customHeight="1">
      <c r="A2278" t="s">
        <v>374</v>
      </c>
      <c r="B2278" t="s">
        <v>2877</v>
      </c>
      <c r="C2278" t="s">
        <v>81</v>
      </c>
      <c r="D2278" t="s">
        <v>69</v>
      </c>
      <c r="E2278">
        <v>19</v>
      </c>
      <c r="F2278">
        <v>13.6</v>
      </c>
      <c r="G2278">
        <v>0.72</v>
      </c>
      <c r="H2278">
        <v>16</v>
      </c>
      <c r="I2278">
        <v>10000</v>
      </c>
      <c r="J2278">
        <v>3000</v>
      </c>
      <c r="K2278" t="s">
        <v>283</v>
      </c>
      <c r="L2278" t="s">
        <v>104</v>
      </c>
      <c r="M2278" t="s">
        <v>42</v>
      </c>
      <c r="N2278" t="b">
        <v>0</v>
      </c>
      <c r="O2278" t="s">
        <v>284</v>
      </c>
    </row>
    <row r="2279" spans="1:15" ht="15" customHeight="1">
      <c r="A2279" t="s">
        <v>301</v>
      </c>
      <c r="B2279" t="s">
        <v>2878</v>
      </c>
      <c r="C2279" t="s">
        <v>129</v>
      </c>
      <c r="D2279" t="s">
        <v>130</v>
      </c>
      <c r="E2279">
        <v>18</v>
      </c>
      <c r="F2279">
        <v>4.9000000000000004</v>
      </c>
      <c r="G2279">
        <v>0.27</v>
      </c>
      <c r="H2279">
        <v>23</v>
      </c>
      <c r="I2279">
        <v>5000</v>
      </c>
      <c r="J2279">
        <v>1000</v>
      </c>
      <c r="K2279" t="s">
        <v>97</v>
      </c>
      <c r="L2279" t="s">
        <v>100</v>
      </c>
      <c r="M2279" t="s">
        <v>50</v>
      </c>
      <c r="N2279" t="b">
        <v>0</v>
      </c>
      <c r="O2279" t="s">
        <v>220</v>
      </c>
    </row>
    <row r="2280" spans="1:15" ht="15" customHeight="1">
      <c r="A2280" t="s">
        <v>391</v>
      </c>
      <c r="B2280" t="s">
        <v>2879</v>
      </c>
      <c r="C2280" t="s">
        <v>81</v>
      </c>
      <c r="D2280" t="s">
        <v>69</v>
      </c>
      <c r="E2280">
        <v>18</v>
      </c>
      <c r="F2280">
        <v>4.0999999999999996</v>
      </c>
      <c r="G2280">
        <v>0.23</v>
      </c>
      <c r="H2280">
        <v>30</v>
      </c>
      <c r="I2280">
        <v>10000</v>
      </c>
      <c r="J2280">
        <v>3000</v>
      </c>
      <c r="K2280" t="s">
        <v>185</v>
      </c>
      <c r="L2280" t="s">
        <v>71</v>
      </c>
      <c r="M2280" t="s">
        <v>46</v>
      </c>
      <c r="N2280" t="b">
        <v>0</v>
      </c>
      <c r="O2280" t="s">
        <v>186</v>
      </c>
    </row>
    <row r="2281" spans="1:15" ht="15" customHeight="1">
      <c r="A2281" t="s">
        <v>583</v>
      </c>
      <c r="B2281" t="s">
        <v>2880</v>
      </c>
      <c r="C2281" t="s">
        <v>68</v>
      </c>
      <c r="D2281" t="s">
        <v>69</v>
      </c>
      <c r="E2281">
        <v>9</v>
      </c>
      <c r="F2281">
        <v>1.4</v>
      </c>
      <c r="G2281">
        <v>0.16</v>
      </c>
      <c r="H2281">
        <v>3</v>
      </c>
      <c r="I2281">
        <v>30000</v>
      </c>
      <c r="J2281">
        <v>5000</v>
      </c>
      <c r="K2281" t="s">
        <v>108</v>
      </c>
      <c r="L2281" t="s">
        <v>100</v>
      </c>
      <c r="M2281" t="s">
        <v>40</v>
      </c>
      <c r="N2281" t="b">
        <v>0</v>
      </c>
      <c r="O2281" t="s">
        <v>109</v>
      </c>
    </row>
    <row r="2282" spans="1:15" ht="15" customHeight="1">
      <c r="A2282" t="s">
        <v>846</v>
      </c>
      <c r="B2282" t="s">
        <v>2881</v>
      </c>
      <c r="C2282" t="s">
        <v>68</v>
      </c>
      <c r="D2282" t="s">
        <v>69</v>
      </c>
      <c r="E2282">
        <v>12</v>
      </c>
      <c r="F2282">
        <v>0.8</v>
      </c>
      <c r="G2282">
        <v>7.0000000000000007E-2</v>
      </c>
      <c r="H2282">
        <v>4</v>
      </c>
      <c r="I2282">
        <v>30000</v>
      </c>
      <c r="J2282">
        <v>5000</v>
      </c>
      <c r="K2282" t="s">
        <v>95</v>
      </c>
      <c r="L2282" t="s">
        <v>104</v>
      </c>
      <c r="M2282" t="s">
        <v>45</v>
      </c>
      <c r="N2282" t="b">
        <v>0</v>
      </c>
      <c r="O2282" t="s">
        <v>97</v>
      </c>
    </row>
    <row r="2283" spans="1:15" ht="15" customHeight="1">
      <c r="A2283" t="s">
        <v>605</v>
      </c>
      <c r="B2283" t="s">
        <v>2882</v>
      </c>
      <c r="C2283" t="s">
        <v>68</v>
      </c>
      <c r="D2283" t="s">
        <v>69</v>
      </c>
      <c r="E2283">
        <v>9</v>
      </c>
      <c r="F2283">
        <v>0.6</v>
      </c>
      <c r="G2283">
        <v>7.0000000000000007E-2</v>
      </c>
      <c r="H2283">
        <v>3</v>
      </c>
      <c r="I2283">
        <v>30000</v>
      </c>
      <c r="J2283">
        <v>5000</v>
      </c>
      <c r="K2283" t="s">
        <v>108</v>
      </c>
      <c r="L2283" t="s">
        <v>91</v>
      </c>
      <c r="M2283" t="s">
        <v>42</v>
      </c>
      <c r="N2283" t="b">
        <v>1</v>
      </c>
      <c r="O2283" t="s">
        <v>109</v>
      </c>
    </row>
    <row r="2284" spans="1:15" ht="15" customHeight="1">
      <c r="A2284" t="s">
        <v>193</v>
      </c>
      <c r="B2284" t="s">
        <v>2883</v>
      </c>
      <c r="C2284" t="s">
        <v>75</v>
      </c>
      <c r="D2284" t="s">
        <v>69</v>
      </c>
      <c r="E2284">
        <v>8</v>
      </c>
      <c r="F2284">
        <v>7.3</v>
      </c>
      <c r="G2284">
        <v>0.91</v>
      </c>
      <c r="H2284">
        <v>20</v>
      </c>
      <c r="I2284">
        <v>2000</v>
      </c>
      <c r="J2284">
        <v>1500</v>
      </c>
      <c r="K2284" t="s">
        <v>76</v>
      </c>
      <c r="L2284" t="s">
        <v>117</v>
      </c>
      <c r="M2284" t="s">
        <v>50</v>
      </c>
      <c r="N2284" t="b">
        <v>1</v>
      </c>
      <c r="O2284" t="s">
        <v>78</v>
      </c>
    </row>
    <row r="2285" spans="1:15" ht="15" customHeight="1">
      <c r="A2285" t="s">
        <v>329</v>
      </c>
      <c r="B2285" t="s">
        <v>2884</v>
      </c>
      <c r="C2285" t="s">
        <v>75</v>
      </c>
      <c r="D2285" t="s">
        <v>69</v>
      </c>
      <c r="E2285">
        <v>20</v>
      </c>
      <c r="F2285">
        <v>15.9</v>
      </c>
      <c r="G2285">
        <v>0.8</v>
      </c>
      <c r="H2285">
        <v>22</v>
      </c>
      <c r="I2285">
        <v>2000</v>
      </c>
      <c r="J2285">
        <v>1500</v>
      </c>
      <c r="K2285" t="s">
        <v>90</v>
      </c>
      <c r="L2285" t="s">
        <v>96</v>
      </c>
      <c r="M2285" t="s">
        <v>49</v>
      </c>
      <c r="N2285" t="b">
        <v>0</v>
      </c>
      <c r="O2285" t="s">
        <v>92</v>
      </c>
    </row>
    <row r="2286" spans="1:15" ht="15" customHeight="1">
      <c r="A2286" t="s">
        <v>532</v>
      </c>
      <c r="B2286" t="s">
        <v>2885</v>
      </c>
      <c r="C2286" t="s">
        <v>68</v>
      </c>
      <c r="D2286" t="s">
        <v>69</v>
      </c>
      <c r="E2286">
        <v>8</v>
      </c>
      <c r="F2286">
        <v>0.7</v>
      </c>
      <c r="G2286">
        <v>0.09</v>
      </c>
      <c r="H2286">
        <v>5</v>
      </c>
      <c r="I2286">
        <v>30000</v>
      </c>
      <c r="J2286">
        <v>5000</v>
      </c>
      <c r="K2286" t="s">
        <v>112</v>
      </c>
      <c r="L2286" t="s">
        <v>71</v>
      </c>
      <c r="M2286" t="s">
        <v>43</v>
      </c>
      <c r="N2286" t="b">
        <v>0</v>
      </c>
      <c r="O2286" t="s">
        <v>113</v>
      </c>
    </row>
    <row r="2287" spans="1:15" ht="15" customHeight="1">
      <c r="A2287" t="s">
        <v>1799</v>
      </c>
      <c r="B2287" t="s">
        <v>2886</v>
      </c>
      <c r="C2287" t="s">
        <v>68</v>
      </c>
      <c r="D2287" t="s">
        <v>69</v>
      </c>
      <c r="E2287">
        <v>13</v>
      </c>
      <c r="F2287">
        <v>3.9</v>
      </c>
      <c r="G2287">
        <v>0.3</v>
      </c>
      <c r="H2287">
        <v>4</v>
      </c>
      <c r="I2287">
        <v>30000</v>
      </c>
      <c r="J2287">
        <v>5000</v>
      </c>
      <c r="K2287" t="s">
        <v>95</v>
      </c>
      <c r="L2287" t="s">
        <v>71</v>
      </c>
      <c r="M2287" t="s">
        <v>50</v>
      </c>
      <c r="N2287" t="b">
        <v>0</v>
      </c>
      <c r="O2287" t="s">
        <v>97</v>
      </c>
    </row>
    <row r="2288" spans="1:15" ht="15" customHeight="1">
      <c r="A2288" t="s">
        <v>705</v>
      </c>
      <c r="B2288" t="s">
        <v>2887</v>
      </c>
      <c r="C2288" t="s">
        <v>75</v>
      </c>
      <c r="D2288" t="s">
        <v>69</v>
      </c>
      <c r="E2288">
        <v>17</v>
      </c>
      <c r="F2288">
        <v>12.1</v>
      </c>
      <c r="G2288">
        <v>0.71</v>
      </c>
      <c r="H2288">
        <v>27</v>
      </c>
      <c r="I2288">
        <v>2000</v>
      </c>
      <c r="J2288">
        <v>1500</v>
      </c>
      <c r="K2288" t="s">
        <v>150</v>
      </c>
      <c r="L2288" t="s">
        <v>71</v>
      </c>
      <c r="M2288" t="s">
        <v>41</v>
      </c>
      <c r="N2288" t="b">
        <v>0</v>
      </c>
      <c r="O2288" t="s">
        <v>528</v>
      </c>
    </row>
    <row r="2289" spans="1:15" ht="15" customHeight="1">
      <c r="A2289" t="s">
        <v>694</v>
      </c>
      <c r="B2289" t="s">
        <v>2888</v>
      </c>
      <c r="C2289" t="s">
        <v>149</v>
      </c>
      <c r="D2289" t="s">
        <v>69</v>
      </c>
      <c r="E2289">
        <v>9</v>
      </c>
      <c r="F2289">
        <v>6.4</v>
      </c>
      <c r="G2289">
        <v>0.71</v>
      </c>
      <c r="H2289">
        <v>16</v>
      </c>
      <c r="I2289">
        <v>3000</v>
      </c>
      <c r="J2289">
        <v>1000</v>
      </c>
      <c r="K2289" t="s">
        <v>361</v>
      </c>
      <c r="L2289" t="s">
        <v>96</v>
      </c>
      <c r="M2289" t="s">
        <v>46</v>
      </c>
      <c r="N2289" t="b">
        <v>0</v>
      </c>
      <c r="O2289" t="s">
        <v>870</v>
      </c>
    </row>
    <row r="2290" spans="1:15" ht="15" customHeight="1">
      <c r="A2290" t="s">
        <v>507</v>
      </c>
      <c r="B2290" t="s">
        <v>2889</v>
      </c>
      <c r="C2290" t="s">
        <v>75</v>
      </c>
      <c r="D2290" t="s">
        <v>69</v>
      </c>
      <c r="E2290">
        <v>16</v>
      </c>
      <c r="F2290">
        <v>10.9</v>
      </c>
      <c r="G2290">
        <v>0.68</v>
      </c>
      <c r="H2290">
        <v>7</v>
      </c>
      <c r="I2290">
        <v>2000</v>
      </c>
      <c r="J2290">
        <v>1500</v>
      </c>
      <c r="K2290" t="s">
        <v>241</v>
      </c>
      <c r="L2290" t="s">
        <v>104</v>
      </c>
      <c r="M2290" t="s">
        <v>40</v>
      </c>
      <c r="N2290" t="b">
        <v>0</v>
      </c>
      <c r="O2290" t="s">
        <v>242</v>
      </c>
    </row>
    <row r="2291" spans="1:15" ht="15" customHeight="1">
      <c r="A2291" t="s">
        <v>1477</v>
      </c>
      <c r="B2291" t="s">
        <v>2890</v>
      </c>
      <c r="C2291" t="s">
        <v>81</v>
      </c>
      <c r="D2291" t="s">
        <v>69</v>
      </c>
      <c r="E2291">
        <v>17</v>
      </c>
      <c r="F2291">
        <v>4.5</v>
      </c>
      <c r="G2291">
        <v>0.26</v>
      </c>
      <c r="H2291">
        <v>11</v>
      </c>
      <c r="I2291">
        <v>10000</v>
      </c>
      <c r="J2291">
        <v>3000</v>
      </c>
      <c r="K2291" t="s">
        <v>134</v>
      </c>
      <c r="L2291" t="s">
        <v>91</v>
      </c>
      <c r="M2291" t="s">
        <v>43</v>
      </c>
      <c r="N2291" t="b">
        <v>1</v>
      </c>
      <c r="O2291" t="s">
        <v>155</v>
      </c>
    </row>
    <row r="2292" spans="1:15" ht="15" customHeight="1">
      <c r="A2292" t="s">
        <v>215</v>
      </c>
      <c r="B2292" t="s">
        <v>2891</v>
      </c>
      <c r="C2292" t="s">
        <v>68</v>
      </c>
      <c r="D2292" t="s">
        <v>69</v>
      </c>
      <c r="E2292">
        <v>10</v>
      </c>
      <c r="F2292">
        <v>0.9</v>
      </c>
      <c r="G2292">
        <v>0.09</v>
      </c>
      <c r="H2292">
        <v>3</v>
      </c>
      <c r="I2292">
        <v>30000</v>
      </c>
      <c r="J2292">
        <v>5000</v>
      </c>
      <c r="K2292" t="s">
        <v>108</v>
      </c>
      <c r="L2292" t="s">
        <v>117</v>
      </c>
      <c r="M2292" t="s">
        <v>48</v>
      </c>
      <c r="N2292" t="b">
        <v>1</v>
      </c>
      <c r="O2292" t="s">
        <v>109</v>
      </c>
    </row>
    <row r="2293" spans="1:15" ht="15" customHeight="1">
      <c r="A2293" t="s">
        <v>1258</v>
      </c>
      <c r="B2293" t="s">
        <v>2892</v>
      </c>
      <c r="C2293" t="s">
        <v>149</v>
      </c>
      <c r="D2293" t="s">
        <v>69</v>
      </c>
      <c r="E2293">
        <v>9</v>
      </c>
      <c r="F2293">
        <v>6</v>
      </c>
      <c r="G2293">
        <v>0.67</v>
      </c>
      <c r="H2293">
        <v>24</v>
      </c>
      <c r="I2293">
        <v>3000</v>
      </c>
      <c r="J2293">
        <v>1000</v>
      </c>
      <c r="K2293" t="s">
        <v>490</v>
      </c>
      <c r="L2293" t="s">
        <v>91</v>
      </c>
      <c r="M2293" t="s">
        <v>48</v>
      </c>
      <c r="N2293" t="b">
        <v>1</v>
      </c>
      <c r="O2293" t="s">
        <v>491</v>
      </c>
    </row>
    <row r="2294" spans="1:15" ht="15" customHeight="1">
      <c r="A2294" t="s">
        <v>243</v>
      </c>
      <c r="B2294" t="s">
        <v>2893</v>
      </c>
      <c r="C2294" t="s">
        <v>75</v>
      </c>
      <c r="D2294" t="s">
        <v>69</v>
      </c>
      <c r="E2294">
        <v>14</v>
      </c>
      <c r="F2294">
        <v>13.2</v>
      </c>
      <c r="G2294">
        <v>0.94</v>
      </c>
      <c r="H2294">
        <v>28</v>
      </c>
      <c r="I2294">
        <v>2000</v>
      </c>
      <c r="J2294">
        <v>1500</v>
      </c>
      <c r="K2294" t="s">
        <v>262</v>
      </c>
      <c r="L2294" t="s">
        <v>117</v>
      </c>
      <c r="M2294" t="s">
        <v>40</v>
      </c>
      <c r="N2294" t="b">
        <v>1</v>
      </c>
      <c r="O2294" t="s">
        <v>289</v>
      </c>
    </row>
    <row r="2295" spans="1:15" ht="15" customHeight="1">
      <c r="A2295" t="s">
        <v>458</v>
      </c>
      <c r="B2295" t="s">
        <v>2894</v>
      </c>
      <c r="C2295" t="s">
        <v>129</v>
      </c>
      <c r="D2295" t="s">
        <v>130</v>
      </c>
      <c r="E2295">
        <v>8</v>
      </c>
      <c r="F2295">
        <v>7.1</v>
      </c>
      <c r="G2295">
        <v>0.89</v>
      </c>
      <c r="H2295">
        <v>19</v>
      </c>
      <c r="I2295">
        <v>5000</v>
      </c>
      <c r="J2295">
        <v>1000</v>
      </c>
      <c r="K2295" t="s">
        <v>336</v>
      </c>
      <c r="L2295" t="s">
        <v>77</v>
      </c>
      <c r="M2295" t="s">
        <v>41</v>
      </c>
      <c r="N2295" t="b">
        <v>0</v>
      </c>
      <c r="O2295" t="s">
        <v>337</v>
      </c>
    </row>
    <row r="2296" spans="1:15" ht="15" customHeight="1">
      <c r="A2296" t="s">
        <v>273</v>
      </c>
      <c r="B2296" t="s">
        <v>2895</v>
      </c>
      <c r="C2296" t="s">
        <v>75</v>
      </c>
      <c r="D2296" t="s">
        <v>69</v>
      </c>
      <c r="E2296">
        <v>19</v>
      </c>
      <c r="F2296">
        <v>5.8</v>
      </c>
      <c r="G2296">
        <v>0.31</v>
      </c>
      <c r="H2296">
        <v>20</v>
      </c>
      <c r="I2296">
        <v>2000</v>
      </c>
      <c r="J2296">
        <v>1500</v>
      </c>
      <c r="K2296" t="s">
        <v>76</v>
      </c>
      <c r="L2296" t="s">
        <v>96</v>
      </c>
      <c r="M2296" t="s">
        <v>50</v>
      </c>
      <c r="N2296" t="b">
        <v>0</v>
      </c>
      <c r="O2296" t="s">
        <v>78</v>
      </c>
    </row>
    <row r="2297" spans="1:15" ht="15" customHeight="1">
      <c r="A2297" t="s">
        <v>1379</v>
      </c>
      <c r="B2297" t="s">
        <v>2896</v>
      </c>
      <c r="C2297" t="s">
        <v>75</v>
      </c>
      <c r="D2297" t="s">
        <v>69</v>
      </c>
      <c r="E2297">
        <v>13</v>
      </c>
      <c r="F2297">
        <v>12.9</v>
      </c>
      <c r="G2297">
        <v>0.99</v>
      </c>
      <c r="H2297">
        <v>22</v>
      </c>
      <c r="I2297">
        <v>2000</v>
      </c>
      <c r="J2297">
        <v>1500</v>
      </c>
      <c r="K2297" t="s">
        <v>90</v>
      </c>
      <c r="L2297" t="s">
        <v>117</v>
      </c>
      <c r="M2297" t="s">
        <v>46</v>
      </c>
      <c r="N2297" t="b">
        <v>1</v>
      </c>
      <c r="O2297" t="s">
        <v>92</v>
      </c>
    </row>
    <row r="2298" spans="1:15" ht="15" customHeight="1">
      <c r="A2298" t="s">
        <v>477</v>
      </c>
      <c r="B2298" t="s">
        <v>2897</v>
      </c>
      <c r="C2298" t="s">
        <v>129</v>
      </c>
      <c r="D2298" t="s">
        <v>130</v>
      </c>
      <c r="E2298">
        <v>8</v>
      </c>
      <c r="F2298">
        <v>7.1</v>
      </c>
      <c r="G2298">
        <v>0.89</v>
      </c>
      <c r="H2298">
        <v>9</v>
      </c>
      <c r="I2298">
        <v>5000</v>
      </c>
      <c r="J2298">
        <v>1000</v>
      </c>
      <c r="K2298" t="s">
        <v>438</v>
      </c>
      <c r="L2298" t="s">
        <v>71</v>
      </c>
      <c r="M2298" t="s">
        <v>42</v>
      </c>
      <c r="N2298" t="b">
        <v>0</v>
      </c>
      <c r="O2298" t="s">
        <v>90</v>
      </c>
    </row>
    <row r="2299" spans="1:15" ht="15" customHeight="1">
      <c r="A2299" t="s">
        <v>1208</v>
      </c>
      <c r="B2299" t="s">
        <v>2898</v>
      </c>
      <c r="C2299" t="s">
        <v>129</v>
      </c>
      <c r="D2299" t="s">
        <v>130</v>
      </c>
      <c r="E2299">
        <v>13</v>
      </c>
      <c r="F2299">
        <v>8.1999999999999993</v>
      </c>
      <c r="G2299">
        <v>0.63</v>
      </c>
      <c r="H2299">
        <v>29</v>
      </c>
      <c r="I2299">
        <v>5000</v>
      </c>
      <c r="J2299">
        <v>1000</v>
      </c>
      <c r="K2299" t="s">
        <v>113</v>
      </c>
      <c r="L2299" t="s">
        <v>117</v>
      </c>
      <c r="M2299" t="s">
        <v>43</v>
      </c>
      <c r="N2299" t="b">
        <v>1</v>
      </c>
      <c r="O2299" t="s">
        <v>146</v>
      </c>
    </row>
    <row r="2300" spans="1:15" ht="15" customHeight="1">
      <c r="A2300" t="s">
        <v>751</v>
      </c>
      <c r="B2300" t="s">
        <v>2899</v>
      </c>
      <c r="C2300" t="s">
        <v>81</v>
      </c>
      <c r="D2300" t="s">
        <v>69</v>
      </c>
      <c r="E2300">
        <v>20</v>
      </c>
      <c r="F2300">
        <v>8.6</v>
      </c>
      <c r="G2300">
        <v>0.43</v>
      </c>
      <c r="H2300">
        <v>18</v>
      </c>
      <c r="I2300">
        <v>10000</v>
      </c>
      <c r="J2300">
        <v>3000</v>
      </c>
      <c r="K2300" t="s">
        <v>142</v>
      </c>
      <c r="L2300" t="s">
        <v>100</v>
      </c>
      <c r="M2300" t="s">
        <v>41</v>
      </c>
      <c r="N2300" t="b">
        <v>0</v>
      </c>
      <c r="O2300" t="s">
        <v>143</v>
      </c>
    </row>
    <row r="2301" spans="1:15" ht="15" customHeight="1">
      <c r="A2301" t="s">
        <v>1477</v>
      </c>
      <c r="B2301" t="s">
        <v>2900</v>
      </c>
      <c r="C2301" t="s">
        <v>149</v>
      </c>
      <c r="D2301" t="s">
        <v>69</v>
      </c>
      <c r="E2301">
        <v>11</v>
      </c>
      <c r="F2301">
        <v>9.1999999999999993</v>
      </c>
      <c r="G2301">
        <v>0.84</v>
      </c>
      <c r="H2301">
        <v>39</v>
      </c>
      <c r="I2301">
        <v>3000</v>
      </c>
      <c r="J2301">
        <v>1000</v>
      </c>
      <c r="K2301" t="s">
        <v>257</v>
      </c>
      <c r="L2301" t="s">
        <v>91</v>
      </c>
      <c r="M2301" t="s">
        <v>43</v>
      </c>
      <c r="N2301" t="b">
        <v>1</v>
      </c>
      <c r="O2301" t="s">
        <v>258</v>
      </c>
    </row>
    <row r="2302" spans="1:15" ht="15" customHeight="1">
      <c r="A2302" t="s">
        <v>1379</v>
      </c>
      <c r="B2302" t="s">
        <v>2901</v>
      </c>
      <c r="C2302" t="s">
        <v>149</v>
      </c>
      <c r="D2302" t="s">
        <v>69</v>
      </c>
      <c r="E2302">
        <v>11</v>
      </c>
      <c r="F2302">
        <v>7.2</v>
      </c>
      <c r="G2302">
        <v>0.65</v>
      </c>
      <c r="H2302">
        <v>33</v>
      </c>
      <c r="I2302">
        <v>3000</v>
      </c>
      <c r="J2302">
        <v>1000</v>
      </c>
      <c r="K2302" t="s">
        <v>169</v>
      </c>
      <c r="L2302" t="s">
        <v>117</v>
      </c>
      <c r="M2302" t="s">
        <v>46</v>
      </c>
      <c r="N2302" t="b">
        <v>1</v>
      </c>
      <c r="O2302" t="s">
        <v>702</v>
      </c>
    </row>
    <row r="2303" spans="1:15" ht="15" customHeight="1">
      <c r="A2303" t="s">
        <v>327</v>
      </c>
      <c r="B2303" t="s">
        <v>2902</v>
      </c>
      <c r="C2303" t="s">
        <v>129</v>
      </c>
      <c r="D2303" t="s">
        <v>130</v>
      </c>
      <c r="E2303">
        <v>19</v>
      </c>
      <c r="F2303">
        <v>9.6999999999999993</v>
      </c>
      <c r="G2303">
        <v>0.51</v>
      </c>
      <c r="H2303">
        <v>10</v>
      </c>
      <c r="I2303">
        <v>5000</v>
      </c>
      <c r="J2303">
        <v>1000</v>
      </c>
      <c r="K2303" t="s">
        <v>158</v>
      </c>
      <c r="L2303" t="s">
        <v>77</v>
      </c>
      <c r="M2303" t="s">
        <v>49</v>
      </c>
      <c r="N2303" t="b">
        <v>0</v>
      </c>
      <c r="O2303" t="s">
        <v>159</v>
      </c>
    </row>
    <row r="2304" spans="1:15" ht="15" customHeight="1">
      <c r="A2304" t="s">
        <v>2036</v>
      </c>
      <c r="B2304" t="s">
        <v>2903</v>
      </c>
      <c r="C2304" t="s">
        <v>129</v>
      </c>
      <c r="D2304" t="s">
        <v>130</v>
      </c>
      <c r="E2304">
        <v>12</v>
      </c>
      <c r="F2304">
        <v>9.8000000000000007</v>
      </c>
      <c r="G2304">
        <v>0.82</v>
      </c>
      <c r="H2304">
        <v>26</v>
      </c>
      <c r="I2304">
        <v>5000</v>
      </c>
      <c r="J2304">
        <v>1000</v>
      </c>
      <c r="K2304" t="s">
        <v>203</v>
      </c>
      <c r="L2304" t="s">
        <v>117</v>
      </c>
      <c r="M2304" t="s">
        <v>48</v>
      </c>
      <c r="N2304" t="b">
        <v>1</v>
      </c>
      <c r="O2304" t="s">
        <v>623</v>
      </c>
    </row>
    <row r="2305" spans="1:15" ht="15" customHeight="1">
      <c r="A2305" t="s">
        <v>718</v>
      </c>
      <c r="B2305" t="s">
        <v>2904</v>
      </c>
      <c r="C2305" t="s">
        <v>75</v>
      </c>
      <c r="D2305" t="s">
        <v>69</v>
      </c>
      <c r="E2305">
        <v>13</v>
      </c>
      <c r="F2305">
        <v>8.6</v>
      </c>
      <c r="G2305">
        <v>0.66</v>
      </c>
      <c r="H2305">
        <v>20</v>
      </c>
      <c r="I2305">
        <v>2000</v>
      </c>
      <c r="J2305">
        <v>1500</v>
      </c>
      <c r="K2305" t="s">
        <v>76</v>
      </c>
      <c r="L2305" t="s">
        <v>71</v>
      </c>
      <c r="M2305" t="s">
        <v>50</v>
      </c>
      <c r="N2305" t="b">
        <v>0</v>
      </c>
      <c r="O2305" t="s">
        <v>78</v>
      </c>
    </row>
    <row r="2306" spans="1:15" ht="15" customHeight="1">
      <c r="A2306" t="s">
        <v>656</v>
      </c>
      <c r="B2306" t="s">
        <v>2905</v>
      </c>
      <c r="C2306" t="s">
        <v>68</v>
      </c>
      <c r="D2306" t="s">
        <v>69</v>
      </c>
      <c r="E2306">
        <v>14</v>
      </c>
      <c r="F2306">
        <v>3.8</v>
      </c>
      <c r="G2306">
        <v>0.27</v>
      </c>
      <c r="H2306">
        <v>5</v>
      </c>
      <c r="I2306">
        <v>30000</v>
      </c>
      <c r="J2306">
        <v>5000</v>
      </c>
      <c r="K2306" t="s">
        <v>112</v>
      </c>
      <c r="L2306" t="s">
        <v>96</v>
      </c>
      <c r="M2306" t="s">
        <v>41</v>
      </c>
      <c r="N2306" t="b">
        <v>0</v>
      </c>
      <c r="O2306" t="s">
        <v>113</v>
      </c>
    </row>
    <row r="2307" spans="1:15" ht="15" customHeight="1">
      <c r="A2307" t="s">
        <v>1515</v>
      </c>
      <c r="B2307" t="s">
        <v>2906</v>
      </c>
      <c r="C2307" t="s">
        <v>75</v>
      </c>
      <c r="D2307" t="s">
        <v>69</v>
      </c>
      <c r="E2307">
        <v>9</v>
      </c>
      <c r="F2307">
        <v>4.5</v>
      </c>
      <c r="G2307">
        <v>0.5</v>
      </c>
      <c r="H2307">
        <v>15</v>
      </c>
      <c r="I2307">
        <v>2000</v>
      </c>
      <c r="J2307">
        <v>1500</v>
      </c>
      <c r="K2307" t="s">
        <v>70</v>
      </c>
      <c r="L2307" t="s">
        <v>104</v>
      </c>
      <c r="M2307" t="s">
        <v>51</v>
      </c>
      <c r="N2307" t="b">
        <v>0</v>
      </c>
      <c r="O2307" t="s">
        <v>598</v>
      </c>
    </row>
    <row r="2308" spans="1:15" ht="15" customHeight="1">
      <c r="A2308" t="s">
        <v>503</v>
      </c>
      <c r="B2308" t="s">
        <v>2907</v>
      </c>
      <c r="C2308" t="s">
        <v>149</v>
      </c>
      <c r="D2308" t="s">
        <v>69</v>
      </c>
      <c r="E2308">
        <v>12</v>
      </c>
      <c r="F2308">
        <v>6.2</v>
      </c>
      <c r="G2308">
        <v>0.52</v>
      </c>
      <c r="H2308">
        <v>20</v>
      </c>
      <c r="I2308">
        <v>3000</v>
      </c>
      <c r="J2308">
        <v>1000</v>
      </c>
      <c r="K2308" t="s">
        <v>162</v>
      </c>
      <c r="L2308" t="s">
        <v>91</v>
      </c>
      <c r="M2308" t="s">
        <v>43</v>
      </c>
      <c r="N2308" t="b">
        <v>1</v>
      </c>
      <c r="O2308" t="s">
        <v>180</v>
      </c>
    </row>
    <row r="2309" spans="1:15" ht="15" customHeight="1">
      <c r="A2309" t="s">
        <v>1389</v>
      </c>
      <c r="B2309" t="s">
        <v>2908</v>
      </c>
      <c r="C2309" t="s">
        <v>81</v>
      </c>
      <c r="D2309" t="s">
        <v>69</v>
      </c>
      <c r="E2309">
        <v>13</v>
      </c>
      <c r="F2309">
        <v>11</v>
      </c>
      <c r="G2309">
        <v>0.85</v>
      </c>
      <c r="H2309">
        <v>21</v>
      </c>
      <c r="I2309">
        <v>10000</v>
      </c>
      <c r="J2309">
        <v>3000</v>
      </c>
      <c r="K2309" t="s">
        <v>279</v>
      </c>
      <c r="L2309" t="s">
        <v>91</v>
      </c>
      <c r="M2309" t="s">
        <v>44</v>
      </c>
      <c r="N2309" t="b">
        <v>1</v>
      </c>
      <c r="O2309" t="s">
        <v>280</v>
      </c>
    </row>
    <row r="2310" spans="1:15" ht="15" customHeight="1">
      <c r="A2310" t="s">
        <v>762</v>
      </c>
      <c r="B2310" t="s">
        <v>2909</v>
      </c>
      <c r="C2310" t="s">
        <v>75</v>
      </c>
      <c r="D2310" t="s">
        <v>69</v>
      </c>
      <c r="E2310">
        <v>13</v>
      </c>
      <c r="F2310">
        <v>3.7</v>
      </c>
      <c r="G2310">
        <v>0.28000000000000003</v>
      </c>
      <c r="H2310">
        <v>8</v>
      </c>
      <c r="I2310">
        <v>2000</v>
      </c>
      <c r="J2310">
        <v>1500</v>
      </c>
      <c r="K2310" t="s">
        <v>275</v>
      </c>
      <c r="L2310" t="s">
        <v>100</v>
      </c>
      <c r="M2310" t="s">
        <v>44</v>
      </c>
      <c r="N2310" t="b">
        <v>0</v>
      </c>
      <c r="O2310" t="s">
        <v>276</v>
      </c>
    </row>
    <row r="2311" spans="1:15" ht="15" customHeight="1">
      <c r="A2311" t="s">
        <v>402</v>
      </c>
      <c r="B2311" t="s">
        <v>2910</v>
      </c>
      <c r="C2311" t="s">
        <v>149</v>
      </c>
      <c r="D2311" t="s">
        <v>69</v>
      </c>
      <c r="E2311">
        <v>11</v>
      </c>
      <c r="F2311">
        <v>9.5</v>
      </c>
      <c r="G2311">
        <v>0.86</v>
      </c>
      <c r="H2311">
        <v>31</v>
      </c>
      <c r="I2311">
        <v>3000</v>
      </c>
      <c r="J2311">
        <v>1000</v>
      </c>
      <c r="K2311" t="s">
        <v>530</v>
      </c>
      <c r="L2311" t="s">
        <v>71</v>
      </c>
      <c r="M2311" t="s">
        <v>41</v>
      </c>
      <c r="N2311" t="b">
        <v>0</v>
      </c>
      <c r="O2311" t="s">
        <v>531</v>
      </c>
    </row>
    <row r="2312" spans="1:15" ht="15" customHeight="1">
      <c r="A2312" t="s">
        <v>73</v>
      </c>
      <c r="B2312" t="s">
        <v>2911</v>
      </c>
      <c r="C2312" t="s">
        <v>68</v>
      </c>
      <c r="D2312" t="s">
        <v>69</v>
      </c>
      <c r="E2312">
        <v>12</v>
      </c>
      <c r="F2312">
        <v>3</v>
      </c>
      <c r="G2312">
        <v>0.25</v>
      </c>
      <c r="H2312">
        <v>1</v>
      </c>
      <c r="I2312">
        <v>30000</v>
      </c>
      <c r="J2312">
        <v>5000</v>
      </c>
      <c r="K2312" t="s">
        <v>70</v>
      </c>
      <c r="L2312" t="s">
        <v>77</v>
      </c>
      <c r="M2312" t="s">
        <v>40</v>
      </c>
      <c r="N2312" t="b">
        <v>0</v>
      </c>
      <c r="O2312" t="s">
        <v>72</v>
      </c>
    </row>
    <row r="2313" spans="1:15" ht="15" customHeight="1">
      <c r="A2313" t="s">
        <v>1480</v>
      </c>
      <c r="B2313" t="s">
        <v>2912</v>
      </c>
      <c r="C2313" t="s">
        <v>149</v>
      </c>
      <c r="D2313" t="s">
        <v>69</v>
      </c>
      <c r="E2313">
        <v>12</v>
      </c>
      <c r="F2313">
        <v>8</v>
      </c>
      <c r="G2313">
        <v>0.67</v>
      </c>
      <c r="H2313">
        <v>30</v>
      </c>
      <c r="I2313">
        <v>3000</v>
      </c>
      <c r="J2313">
        <v>1000</v>
      </c>
      <c r="K2313" t="s">
        <v>108</v>
      </c>
      <c r="L2313" t="s">
        <v>96</v>
      </c>
      <c r="M2313" t="s">
        <v>43</v>
      </c>
      <c r="N2313" t="b">
        <v>0</v>
      </c>
      <c r="O2313" t="s">
        <v>166</v>
      </c>
    </row>
    <row r="2314" spans="1:15" ht="15" customHeight="1">
      <c r="A2314" t="s">
        <v>1080</v>
      </c>
      <c r="B2314" t="s">
        <v>2913</v>
      </c>
      <c r="C2314" t="s">
        <v>149</v>
      </c>
      <c r="D2314" t="s">
        <v>69</v>
      </c>
      <c r="E2314">
        <v>9</v>
      </c>
      <c r="F2314">
        <v>8.1</v>
      </c>
      <c r="G2314">
        <v>0.9</v>
      </c>
      <c r="H2314">
        <v>16</v>
      </c>
      <c r="I2314">
        <v>3000</v>
      </c>
      <c r="J2314">
        <v>1000</v>
      </c>
      <c r="K2314" t="s">
        <v>361</v>
      </c>
      <c r="L2314" t="s">
        <v>117</v>
      </c>
      <c r="M2314" t="s">
        <v>49</v>
      </c>
      <c r="N2314" t="b">
        <v>1</v>
      </c>
      <c r="O2314" t="s">
        <v>870</v>
      </c>
    </row>
    <row r="2315" spans="1:15" ht="15" customHeight="1">
      <c r="A2315" t="s">
        <v>936</v>
      </c>
      <c r="B2315" t="s">
        <v>2914</v>
      </c>
      <c r="C2315" t="s">
        <v>81</v>
      </c>
      <c r="D2315" t="s">
        <v>69</v>
      </c>
      <c r="E2315">
        <v>14</v>
      </c>
      <c r="F2315">
        <v>12.4</v>
      </c>
      <c r="G2315">
        <v>0.89</v>
      </c>
      <c r="H2315">
        <v>10</v>
      </c>
      <c r="I2315">
        <v>10000</v>
      </c>
      <c r="J2315">
        <v>3000</v>
      </c>
      <c r="K2315" t="s">
        <v>103</v>
      </c>
      <c r="L2315" t="s">
        <v>100</v>
      </c>
      <c r="M2315" t="s">
        <v>47</v>
      </c>
      <c r="N2315" t="b">
        <v>0</v>
      </c>
      <c r="O2315" t="s">
        <v>105</v>
      </c>
    </row>
    <row r="2316" spans="1:15" ht="15" customHeight="1">
      <c r="A2316" t="s">
        <v>920</v>
      </c>
      <c r="B2316" t="s">
        <v>2915</v>
      </c>
      <c r="C2316" t="s">
        <v>75</v>
      </c>
      <c r="D2316" t="s">
        <v>69</v>
      </c>
      <c r="E2316">
        <v>12</v>
      </c>
      <c r="F2316">
        <v>5.5</v>
      </c>
      <c r="G2316">
        <v>0.46</v>
      </c>
      <c r="H2316">
        <v>6</v>
      </c>
      <c r="I2316">
        <v>2000</v>
      </c>
      <c r="J2316">
        <v>1500</v>
      </c>
      <c r="K2316" t="s">
        <v>269</v>
      </c>
      <c r="L2316" t="s">
        <v>96</v>
      </c>
      <c r="M2316" t="s">
        <v>51</v>
      </c>
      <c r="N2316" t="b">
        <v>0</v>
      </c>
      <c r="O2316" t="s">
        <v>270</v>
      </c>
    </row>
    <row r="2317" spans="1:15" ht="15" customHeight="1">
      <c r="A2317" t="s">
        <v>296</v>
      </c>
      <c r="B2317" t="s">
        <v>2916</v>
      </c>
      <c r="C2317" t="s">
        <v>68</v>
      </c>
      <c r="D2317" t="s">
        <v>69</v>
      </c>
      <c r="E2317">
        <v>10</v>
      </c>
      <c r="F2317">
        <v>3.9</v>
      </c>
      <c r="G2317">
        <v>0.39</v>
      </c>
      <c r="H2317">
        <v>5</v>
      </c>
      <c r="I2317">
        <v>30000</v>
      </c>
      <c r="J2317">
        <v>5000</v>
      </c>
      <c r="K2317" t="s">
        <v>112</v>
      </c>
      <c r="L2317" t="s">
        <v>100</v>
      </c>
      <c r="M2317" t="s">
        <v>50</v>
      </c>
      <c r="N2317" t="b">
        <v>0</v>
      </c>
      <c r="O2317" t="s">
        <v>113</v>
      </c>
    </row>
    <row r="2318" spans="1:15" ht="15" customHeight="1">
      <c r="A2318" t="s">
        <v>961</v>
      </c>
      <c r="B2318" t="s">
        <v>2917</v>
      </c>
      <c r="C2318" t="s">
        <v>75</v>
      </c>
      <c r="D2318" t="s">
        <v>69</v>
      </c>
      <c r="E2318">
        <v>20</v>
      </c>
      <c r="F2318">
        <v>8.8000000000000007</v>
      </c>
      <c r="G2318">
        <v>0.44</v>
      </c>
      <c r="H2318">
        <v>27</v>
      </c>
      <c r="I2318">
        <v>2000</v>
      </c>
      <c r="J2318">
        <v>1500</v>
      </c>
      <c r="K2318" t="s">
        <v>150</v>
      </c>
      <c r="L2318" t="s">
        <v>100</v>
      </c>
      <c r="M2318" t="s">
        <v>42</v>
      </c>
      <c r="N2318" t="b">
        <v>0</v>
      </c>
      <c r="O2318" t="s">
        <v>528</v>
      </c>
    </row>
    <row r="2319" spans="1:15" ht="15" customHeight="1">
      <c r="A2319" t="s">
        <v>834</v>
      </c>
      <c r="B2319" t="s">
        <v>2918</v>
      </c>
      <c r="C2319" t="s">
        <v>81</v>
      </c>
      <c r="D2319" t="s">
        <v>69</v>
      </c>
      <c r="E2319">
        <v>13</v>
      </c>
      <c r="F2319">
        <v>3.8</v>
      </c>
      <c r="G2319">
        <v>0.28999999999999998</v>
      </c>
      <c r="H2319">
        <v>19</v>
      </c>
      <c r="I2319">
        <v>10000</v>
      </c>
      <c r="J2319">
        <v>3000</v>
      </c>
      <c r="K2319" t="s">
        <v>309</v>
      </c>
      <c r="L2319" t="s">
        <v>117</v>
      </c>
      <c r="M2319" t="s">
        <v>41</v>
      </c>
      <c r="N2319" t="b">
        <v>1</v>
      </c>
      <c r="O2319" t="s">
        <v>310</v>
      </c>
    </row>
    <row r="2320" spans="1:15" ht="15" customHeight="1">
      <c r="A2320" t="s">
        <v>1379</v>
      </c>
      <c r="B2320" t="s">
        <v>2919</v>
      </c>
      <c r="C2320" t="s">
        <v>149</v>
      </c>
      <c r="D2320" t="s">
        <v>69</v>
      </c>
      <c r="E2320">
        <v>9</v>
      </c>
      <c r="F2320">
        <v>7.4</v>
      </c>
      <c r="G2320">
        <v>0.82</v>
      </c>
      <c r="H2320">
        <v>32</v>
      </c>
      <c r="I2320">
        <v>3000</v>
      </c>
      <c r="J2320">
        <v>1000</v>
      </c>
      <c r="K2320" t="s">
        <v>576</v>
      </c>
      <c r="L2320" t="s">
        <v>117</v>
      </c>
      <c r="M2320" t="s">
        <v>46</v>
      </c>
      <c r="N2320" t="b">
        <v>1</v>
      </c>
      <c r="O2320" t="s">
        <v>336</v>
      </c>
    </row>
    <row r="2321" spans="1:15" ht="15" customHeight="1">
      <c r="A2321" t="s">
        <v>1101</v>
      </c>
      <c r="B2321" t="s">
        <v>2920</v>
      </c>
      <c r="C2321" t="s">
        <v>149</v>
      </c>
      <c r="D2321" t="s">
        <v>69</v>
      </c>
      <c r="E2321">
        <v>11</v>
      </c>
      <c r="F2321">
        <v>6.2</v>
      </c>
      <c r="G2321">
        <v>0.56000000000000005</v>
      </c>
      <c r="H2321">
        <v>29</v>
      </c>
      <c r="I2321">
        <v>3000</v>
      </c>
      <c r="J2321">
        <v>1000</v>
      </c>
      <c r="K2321" t="s">
        <v>303</v>
      </c>
      <c r="L2321" t="s">
        <v>77</v>
      </c>
      <c r="M2321" t="s">
        <v>49</v>
      </c>
      <c r="N2321" t="b">
        <v>0</v>
      </c>
      <c r="O2321" t="s">
        <v>323</v>
      </c>
    </row>
    <row r="2322" spans="1:15" ht="15" customHeight="1">
      <c r="A2322" t="s">
        <v>485</v>
      </c>
      <c r="B2322" t="s">
        <v>2921</v>
      </c>
      <c r="C2322" t="s">
        <v>129</v>
      </c>
      <c r="D2322" t="s">
        <v>130</v>
      </c>
      <c r="E2322">
        <v>14</v>
      </c>
      <c r="F2322">
        <v>6</v>
      </c>
      <c r="G2322">
        <v>0.43</v>
      </c>
      <c r="H2322">
        <v>16</v>
      </c>
      <c r="I2322">
        <v>5000</v>
      </c>
      <c r="J2322">
        <v>1000</v>
      </c>
      <c r="K2322" t="s">
        <v>357</v>
      </c>
      <c r="L2322" t="s">
        <v>100</v>
      </c>
      <c r="M2322" t="s">
        <v>50</v>
      </c>
      <c r="N2322" t="b">
        <v>0</v>
      </c>
      <c r="O2322" t="s">
        <v>456</v>
      </c>
    </row>
    <row r="2323" spans="1:15" ht="15" customHeight="1">
      <c r="A2323" t="s">
        <v>505</v>
      </c>
      <c r="B2323" t="s">
        <v>2922</v>
      </c>
      <c r="C2323" t="s">
        <v>129</v>
      </c>
      <c r="D2323" t="s">
        <v>130</v>
      </c>
      <c r="E2323">
        <v>15</v>
      </c>
      <c r="F2323">
        <v>15</v>
      </c>
      <c r="G2323">
        <v>1</v>
      </c>
      <c r="H2323">
        <v>11</v>
      </c>
      <c r="I2323">
        <v>5000</v>
      </c>
      <c r="J2323">
        <v>1000</v>
      </c>
      <c r="K2323" t="s">
        <v>163</v>
      </c>
      <c r="L2323" t="s">
        <v>100</v>
      </c>
      <c r="M2323" t="s">
        <v>51</v>
      </c>
      <c r="N2323" t="b">
        <v>0</v>
      </c>
      <c r="O2323" t="s">
        <v>150</v>
      </c>
    </row>
    <row r="2324" spans="1:15" ht="15" customHeight="1">
      <c r="A2324" t="s">
        <v>505</v>
      </c>
      <c r="B2324" t="s">
        <v>2923</v>
      </c>
      <c r="C2324" t="s">
        <v>149</v>
      </c>
      <c r="D2324" t="s">
        <v>69</v>
      </c>
      <c r="E2324">
        <v>10</v>
      </c>
      <c r="F2324">
        <v>9.1999999999999993</v>
      </c>
      <c r="G2324">
        <v>0.92</v>
      </c>
      <c r="H2324">
        <v>21</v>
      </c>
      <c r="I2324">
        <v>3000</v>
      </c>
      <c r="J2324">
        <v>1000</v>
      </c>
      <c r="K2324" t="s">
        <v>380</v>
      </c>
      <c r="L2324" t="s">
        <v>100</v>
      </c>
      <c r="M2324" t="s">
        <v>51</v>
      </c>
      <c r="N2324" t="b">
        <v>0</v>
      </c>
      <c r="O2324" t="s">
        <v>381</v>
      </c>
    </row>
    <row r="2325" spans="1:15" ht="15" customHeight="1">
      <c r="A2325" t="s">
        <v>742</v>
      </c>
      <c r="B2325" t="s">
        <v>2924</v>
      </c>
      <c r="C2325" t="s">
        <v>81</v>
      </c>
      <c r="D2325" t="s">
        <v>69</v>
      </c>
      <c r="E2325">
        <v>17</v>
      </c>
      <c r="F2325">
        <v>8.1999999999999993</v>
      </c>
      <c r="G2325">
        <v>0.48</v>
      </c>
      <c r="H2325">
        <v>29</v>
      </c>
      <c r="I2325">
        <v>10000</v>
      </c>
      <c r="J2325">
        <v>3000</v>
      </c>
      <c r="K2325" t="s">
        <v>603</v>
      </c>
      <c r="L2325" t="s">
        <v>117</v>
      </c>
      <c r="M2325" t="s">
        <v>48</v>
      </c>
      <c r="N2325" t="b">
        <v>1</v>
      </c>
      <c r="O2325" t="s">
        <v>604</v>
      </c>
    </row>
    <row r="2326" spans="1:15" ht="15" customHeight="1">
      <c r="A2326" t="s">
        <v>811</v>
      </c>
      <c r="B2326" t="s">
        <v>2925</v>
      </c>
      <c r="C2326" t="s">
        <v>81</v>
      </c>
      <c r="D2326" t="s">
        <v>69</v>
      </c>
      <c r="E2326">
        <v>10</v>
      </c>
      <c r="F2326">
        <v>8.6999999999999993</v>
      </c>
      <c r="G2326">
        <v>0.87</v>
      </c>
      <c r="H2326">
        <v>21</v>
      </c>
      <c r="I2326">
        <v>10000</v>
      </c>
      <c r="J2326">
        <v>3000</v>
      </c>
      <c r="K2326" t="s">
        <v>279</v>
      </c>
      <c r="L2326" t="s">
        <v>91</v>
      </c>
      <c r="M2326" t="s">
        <v>46</v>
      </c>
      <c r="N2326" t="b">
        <v>1</v>
      </c>
      <c r="O2326" t="s">
        <v>280</v>
      </c>
    </row>
    <row r="2327" spans="1:15" ht="15" customHeight="1">
      <c r="A2327" t="s">
        <v>167</v>
      </c>
      <c r="B2327" t="s">
        <v>2926</v>
      </c>
      <c r="C2327" t="s">
        <v>149</v>
      </c>
      <c r="D2327" t="s">
        <v>69</v>
      </c>
      <c r="E2327">
        <v>9</v>
      </c>
      <c r="F2327">
        <v>8.4</v>
      </c>
      <c r="G2327">
        <v>0.93</v>
      </c>
      <c r="H2327">
        <v>22</v>
      </c>
      <c r="I2327">
        <v>3000</v>
      </c>
      <c r="J2327">
        <v>1000</v>
      </c>
      <c r="K2327" t="s">
        <v>556</v>
      </c>
      <c r="L2327" t="s">
        <v>104</v>
      </c>
      <c r="M2327" t="s">
        <v>49</v>
      </c>
      <c r="N2327" t="b">
        <v>0</v>
      </c>
      <c r="O2327" t="s">
        <v>313</v>
      </c>
    </row>
    <row r="2328" spans="1:15" ht="15" customHeight="1">
      <c r="A2328" t="s">
        <v>152</v>
      </c>
      <c r="B2328" t="s">
        <v>2927</v>
      </c>
      <c r="C2328" t="s">
        <v>129</v>
      </c>
      <c r="D2328" t="s">
        <v>130</v>
      </c>
      <c r="E2328">
        <v>8</v>
      </c>
      <c r="F2328">
        <v>4.2</v>
      </c>
      <c r="G2328">
        <v>0.53</v>
      </c>
      <c r="H2328">
        <v>26</v>
      </c>
      <c r="I2328">
        <v>5000</v>
      </c>
      <c r="J2328">
        <v>1000</v>
      </c>
      <c r="K2328" t="s">
        <v>203</v>
      </c>
      <c r="L2328" t="s">
        <v>71</v>
      </c>
      <c r="M2328" t="s">
        <v>48</v>
      </c>
      <c r="N2328" t="b">
        <v>0</v>
      </c>
      <c r="O2328" t="s">
        <v>623</v>
      </c>
    </row>
    <row r="2329" spans="1:15" ht="15" customHeight="1">
      <c r="A2329" t="s">
        <v>304</v>
      </c>
      <c r="B2329" t="s">
        <v>2928</v>
      </c>
      <c r="C2329" t="s">
        <v>129</v>
      </c>
      <c r="D2329" t="s">
        <v>130</v>
      </c>
      <c r="E2329">
        <v>20</v>
      </c>
      <c r="F2329">
        <v>18.600000000000001</v>
      </c>
      <c r="G2329">
        <v>0.93</v>
      </c>
      <c r="H2329">
        <v>8</v>
      </c>
      <c r="I2329">
        <v>5000</v>
      </c>
      <c r="J2329">
        <v>1000</v>
      </c>
      <c r="K2329" t="s">
        <v>76</v>
      </c>
      <c r="L2329" t="s">
        <v>104</v>
      </c>
      <c r="M2329" t="s">
        <v>45</v>
      </c>
      <c r="N2329" t="b">
        <v>0</v>
      </c>
      <c r="O2329" t="s">
        <v>317</v>
      </c>
    </row>
    <row r="2330" spans="1:15" ht="15" customHeight="1">
      <c r="A2330" t="s">
        <v>538</v>
      </c>
      <c r="B2330" t="s">
        <v>2929</v>
      </c>
      <c r="C2330" t="s">
        <v>149</v>
      </c>
      <c r="D2330" t="s">
        <v>69</v>
      </c>
      <c r="E2330">
        <v>10</v>
      </c>
      <c r="F2330">
        <v>7.1</v>
      </c>
      <c r="G2330">
        <v>0.71</v>
      </c>
      <c r="H2330">
        <v>32</v>
      </c>
      <c r="I2330">
        <v>3000</v>
      </c>
      <c r="J2330">
        <v>1000</v>
      </c>
      <c r="K2330" t="s">
        <v>576</v>
      </c>
      <c r="L2330" t="s">
        <v>96</v>
      </c>
      <c r="M2330" t="s">
        <v>50</v>
      </c>
      <c r="N2330" t="b">
        <v>0</v>
      </c>
      <c r="O2330" t="s">
        <v>336</v>
      </c>
    </row>
    <row r="2331" spans="1:15" ht="15" customHeight="1">
      <c r="A2331" t="s">
        <v>957</v>
      </c>
      <c r="B2331" t="s">
        <v>2930</v>
      </c>
      <c r="C2331" t="s">
        <v>75</v>
      </c>
      <c r="D2331" t="s">
        <v>69</v>
      </c>
      <c r="E2331">
        <v>17</v>
      </c>
      <c r="F2331">
        <v>15.4</v>
      </c>
      <c r="G2331">
        <v>0.91</v>
      </c>
      <c r="H2331">
        <v>15</v>
      </c>
      <c r="I2331">
        <v>2000</v>
      </c>
      <c r="J2331">
        <v>1500</v>
      </c>
      <c r="K2331" t="s">
        <v>70</v>
      </c>
      <c r="L2331" t="s">
        <v>96</v>
      </c>
      <c r="M2331" t="s">
        <v>48</v>
      </c>
      <c r="N2331" t="b">
        <v>0</v>
      </c>
      <c r="O2331" t="s">
        <v>598</v>
      </c>
    </row>
    <row r="2332" spans="1:15" ht="15" customHeight="1">
      <c r="A2332" t="s">
        <v>144</v>
      </c>
      <c r="B2332" t="s">
        <v>2931</v>
      </c>
      <c r="C2332" t="s">
        <v>81</v>
      </c>
      <c r="D2332" t="s">
        <v>69</v>
      </c>
      <c r="E2332">
        <v>19</v>
      </c>
      <c r="F2332">
        <v>4.5</v>
      </c>
      <c r="G2332">
        <v>0.24</v>
      </c>
      <c r="H2332">
        <v>24</v>
      </c>
      <c r="I2332">
        <v>10000</v>
      </c>
      <c r="J2332">
        <v>3000</v>
      </c>
      <c r="K2332" t="s">
        <v>306</v>
      </c>
      <c r="L2332" t="s">
        <v>100</v>
      </c>
      <c r="M2332" t="s">
        <v>44</v>
      </c>
      <c r="N2332" t="b">
        <v>0</v>
      </c>
      <c r="O2332" t="s">
        <v>307</v>
      </c>
    </row>
    <row r="2333" spans="1:15" ht="15" customHeight="1">
      <c r="A2333" t="s">
        <v>1153</v>
      </c>
      <c r="B2333" t="s">
        <v>2932</v>
      </c>
      <c r="C2333" t="s">
        <v>149</v>
      </c>
      <c r="D2333" t="s">
        <v>69</v>
      </c>
      <c r="E2333">
        <v>8</v>
      </c>
      <c r="F2333">
        <v>7.1</v>
      </c>
      <c r="G2333">
        <v>0.89</v>
      </c>
      <c r="H2333">
        <v>26</v>
      </c>
      <c r="I2333">
        <v>3000</v>
      </c>
      <c r="J2333">
        <v>1000</v>
      </c>
      <c r="K2333" t="s">
        <v>294</v>
      </c>
      <c r="L2333" t="s">
        <v>104</v>
      </c>
      <c r="M2333" t="s">
        <v>40</v>
      </c>
      <c r="N2333" t="b">
        <v>0</v>
      </c>
      <c r="O2333" t="s">
        <v>295</v>
      </c>
    </row>
    <row r="2334" spans="1:15" ht="15" customHeight="1">
      <c r="A2334" t="s">
        <v>834</v>
      </c>
      <c r="B2334" t="s">
        <v>2933</v>
      </c>
      <c r="C2334" t="s">
        <v>75</v>
      </c>
      <c r="D2334" t="s">
        <v>69</v>
      </c>
      <c r="E2334">
        <v>19</v>
      </c>
      <c r="F2334">
        <v>10.5</v>
      </c>
      <c r="G2334">
        <v>0.55000000000000004</v>
      </c>
      <c r="H2334">
        <v>10</v>
      </c>
      <c r="I2334">
        <v>2000</v>
      </c>
      <c r="J2334">
        <v>1500</v>
      </c>
      <c r="K2334" t="s">
        <v>418</v>
      </c>
      <c r="L2334" t="s">
        <v>117</v>
      </c>
      <c r="M2334" t="s">
        <v>41</v>
      </c>
      <c r="N2334" t="b">
        <v>1</v>
      </c>
      <c r="O2334" t="s">
        <v>419</v>
      </c>
    </row>
    <row r="2335" spans="1:15" ht="15" customHeight="1">
      <c r="A2335" t="s">
        <v>738</v>
      </c>
      <c r="B2335" t="s">
        <v>2934</v>
      </c>
      <c r="C2335" t="s">
        <v>81</v>
      </c>
      <c r="D2335" t="s">
        <v>69</v>
      </c>
      <c r="E2335">
        <v>16</v>
      </c>
      <c r="F2335">
        <v>9.8000000000000007</v>
      </c>
      <c r="G2335">
        <v>0.61</v>
      </c>
      <c r="H2335">
        <v>17</v>
      </c>
      <c r="I2335">
        <v>10000</v>
      </c>
      <c r="J2335">
        <v>3000</v>
      </c>
      <c r="K2335" t="s">
        <v>389</v>
      </c>
      <c r="L2335" t="s">
        <v>71</v>
      </c>
      <c r="M2335" t="s">
        <v>43</v>
      </c>
      <c r="N2335" t="b">
        <v>0</v>
      </c>
      <c r="O2335" t="s">
        <v>390</v>
      </c>
    </row>
    <row r="2336" spans="1:15" ht="15" customHeight="1">
      <c r="A2336" t="s">
        <v>976</v>
      </c>
      <c r="B2336" t="s">
        <v>2935</v>
      </c>
      <c r="C2336" t="s">
        <v>68</v>
      </c>
      <c r="D2336" t="s">
        <v>69</v>
      </c>
      <c r="E2336">
        <v>10</v>
      </c>
      <c r="F2336">
        <v>3.6</v>
      </c>
      <c r="G2336">
        <v>0.36</v>
      </c>
      <c r="H2336">
        <v>2</v>
      </c>
      <c r="I2336">
        <v>30000</v>
      </c>
      <c r="J2336">
        <v>5000</v>
      </c>
      <c r="K2336" t="s">
        <v>162</v>
      </c>
      <c r="L2336" t="s">
        <v>71</v>
      </c>
      <c r="M2336" t="s">
        <v>48</v>
      </c>
      <c r="N2336" t="b">
        <v>0</v>
      </c>
      <c r="O2336" t="s">
        <v>163</v>
      </c>
    </row>
    <row r="2337" spans="1:15" ht="15" customHeight="1">
      <c r="A2337" t="s">
        <v>946</v>
      </c>
      <c r="B2337" t="s">
        <v>2936</v>
      </c>
      <c r="C2337" t="s">
        <v>81</v>
      </c>
      <c r="D2337" t="s">
        <v>69</v>
      </c>
      <c r="E2337">
        <v>18</v>
      </c>
      <c r="F2337">
        <v>14.9</v>
      </c>
      <c r="G2337">
        <v>0.83</v>
      </c>
      <c r="H2337">
        <v>22</v>
      </c>
      <c r="I2337">
        <v>10000</v>
      </c>
      <c r="J2337">
        <v>3000</v>
      </c>
      <c r="K2337" t="s">
        <v>548</v>
      </c>
      <c r="L2337" t="s">
        <v>100</v>
      </c>
      <c r="M2337" t="s">
        <v>51</v>
      </c>
      <c r="N2337" t="b">
        <v>0</v>
      </c>
      <c r="O2337" t="s">
        <v>549</v>
      </c>
    </row>
    <row r="2338" spans="1:15" ht="15" customHeight="1">
      <c r="A2338" t="s">
        <v>801</v>
      </c>
      <c r="B2338" t="s">
        <v>2937</v>
      </c>
      <c r="C2338" t="s">
        <v>75</v>
      </c>
      <c r="D2338" t="s">
        <v>69</v>
      </c>
      <c r="E2338">
        <v>12</v>
      </c>
      <c r="F2338">
        <v>10.3</v>
      </c>
      <c r="G2338">
        <v>0.86</v>
      </c>
      <c r="H2338">
        <v>9</v>
      </c>
      <c r="I2338">
        <v>2000</v>
      </c>
      <c r="J2338">
        <v>1500</v>
      </c>
      <c r="K2338" t="s">
        <v>740</v>
      </c>
      <c r="L2338" t="s">
        <v>91</v>
      </c>
      <c r="M2338" t="s">
        <v>40</v>
      </c>
      <c r="N2338" t="b">
        <v>1</v>
      </c>
      <c r="O2338" t="s">
        <v>741</v>
      </c>
    </row>
    <row r="2339" spans="1:15" ht="15" customHeight="1">
      <c r="A2339" t="s">
        <v>428</v>
      </c>
      <c r="B2339" t="s">
        <v>2938</v>
      </c>
      <c r="C2339" t="s">
        <v>75</v>
      </c>
      <c r="D2339" t="s">
        <v>69</v>
      </c>
      <c r="E2339">
        <v>15</v>
      </c>
      <c r="F2339">
        <v>13.2</v>
      </c>
      <c r="G2339">
        <v>0.88</v>
      </c>
      <c r="H2339">
        <v>6</v>
      </c>
      <c r="I2339">
        <v>2000</v>
      </c>
      <c r="J2339">
        <v>1500</v>
      </c>
      <c r="K2339" t="s">
        <v>269</v>
      </c>
      <c r="L2339" t="s">
        <v>104</v>
      </c>
      <c r="M2339" t="s">
        <v>46</v>
      </c>
      <c r="N2339" t="b">
        <v>0</v>
      </c>
      <c r="O2339" t="s">
        <v>270</v>
      </c>
    </row>
    <row r="2340" spans="1:15" ht="15" customHeight="1">
      <c r="A2340" t="s">
        <v>830</v>
      </c>
      <c r="B2340" t="s">
        <v>2939</v>
      </c>
      <c r="C2340" t="s">
        <v>129</v>
      </c>
      <c r="D2340" t="s">
        <v>130</v>
      </c>
      <c r="E2340">
        <v>8</v>
      </c>
      <c r="F2340">
        <v>6.7</v>
      </c>
      <c r="G2340">
        <v>0.84</v>
      </c>
      <c r="H2340">
        <v>26</v>
      </c>
      <c r="I2340">
        <v>5000</v>
      </c>
      <c r="J2340">
        <v>1000</v>
      </c>
      <c r="K2340" t="s">
        <v>203</v>
      </c>
      <c r="L2340" t="s">
        <v>117</v>
      </c>
      <c r="M2340" t="s">
        <v>51</v>
      </c>
      <c r="N2340" t="b">
        <v>1</v>
      </c>
      <c r="O2340" t="s">
        <v>623</v>
      </c>
    </row>
    <row r="2341" spans="1:15" ht="15" customHeight="1">
      <c r="A2341" t="s">
        <v>1809</v>
      </c>
      <c r="B2341" t="s">
        <v>2940</v>
      </c>
      <c r="C2341" t="s">
        <v>81</v>
      </c>
      <c r="D2341" t="s">
        <v>69</v>
      </c>
      <c r="E2341">
        <v>16</v>
      </c>
      <c r="F2341">
        <v>7.8</v>
      </c>
      <c r="G2341">
        <v>0.49</v>
      </c>
      <c r="H2341">
        <v>25</v>
      </c>
      <c r="I2341">
        <v>10000</v>
      </c>
      <c r="J2341">
        <v>3000</v>
      </c>
      <c r="K2341" t="s">
        <v>138</v>
      </c>
      <c r="L2341" t="s">
        <v>91</v>
      </c>
      <c r="M2341" t="s">
        <v>40</v>
      </c>
      <c r="N2341" t="b">
        <v>1</v>
      </c>
      <c r="O2341" t="s">
        <v>139</v>
      </c>
    </row>
    <row r="2342" spans="1:15" ht="15" customHeight="1">
      <c r="A2342" t="s">
        <v>218</v>
      </c>
      <c r="B2342" t="s">
        <v>2941</v>
      </c>
      <c r="C2342" t="s">
        <v>149</v>
      </c>
      <c r="D2342" t="s">
        <v>69</v>
      </c>
      <c r="E2342">
        <v>12</v>
      </c>
      <c r="F2342">
        <v>9.5</v>
      </c>
      <c r="G2342">
        <v>0.79</v>
      </c>
      <c r="H2342">
        <v>21</v>
      </c>
      <c r="I2342">
        <v>3000</v>
      </c>
      <c r="J2342">
        <v>1000</v>
      </c>
      <c r="K2342" t="s">
        <v>380</v>
      </c>
      <c r="L2342" t="s">
        <v>77</v>
      </c>
      <c r="M2342" t="s">
        <v>45</v>
      </c>
      <c r="N2342" t="b">
        <v>0</v>
      </c>
      <c r="O2342" t="s">
        <v>381</v>
      </c>
    </row>
    <row r="2343" spans="1:15" ht="15" customHeight="1">
      <c r="A2343" t="s">
        <v>191</v>
      </c>
      <c r="B2343" t="s">
        <v>2942</v>
      </c>
      <c r="C2343" t="s">
        <v>149</v>
      </c>
      <c r="D2343" t="s">
        <v>69</v>
      </c>
      <c r="E2343">
        <v>12</v>
      </c>
      <c r="F2343">
        <v>10.7</v>
      </c>
      <c r="G2343">
        <v>0.89</v>
      </c>
      <c r="H2343">
        <v>21</v>
      </c>
      <c r="I2343">
        <v>3000</v>
      </c>
      <c r="J2343">
        <v>1000</v>
      </c>
      <c r="K2343" t="s">
        <v>380</v>
      </c>
      <c r="L2343" t="s">
        <v>71</v>
      </c>
      <c r="M2343" t="s">
        <v>49</v>
      </c>
      <c r="N2343" t="b">
        <v>0</v>
      </c>
      <c r="O2343" t="s">
        <v>381</v>
      </c>
    </row>
    <row r="2344" spans="1:15" ht="15" customHeight="1">
      <c r="A2344" t="s">
        <v>517</v>
      </c>
      <c r="B2344" t="s">
        <v>2943</v>
      </c>
      <c r="C2344" t="s">
        <v>149</v>
      </c>
      <c r="D2344" t="s">
        <v>69</v>
      </c>
      <c r="E2344">
        <v>9</v>
      </c>
      <c r="F2344">
        <v>8.6</v>
      </c>
      <c r="G2344">
        <v>0.96</v>
      </c>
      <c r="H2344">
        <v>27</v>
      </c>
      <c r="I2344">
        <v>3000</v>
      </c>
      <c r="J2344">
        <v>1000</v>
      </c>
      <c r="K2344" t="s">
        <v>845</v>
      </c>
      <c r="L2344" t="s">
        <v>100</v>
      </c>
      <c r="M2344" t="s">
        <v>46</v>
      </c>
      <c r="N2344" t="b">
        <v>0</v>
      </c>
      <c r="O2344" t="s">
        <v>357</v>
      </c>
    </row>
    <row r="2345" spans="1:15" ht="15" customHeight="1">
      <c r="A2345" t="s">
        <v>748</v>
      </c>
      <c r="B2345" t="s">
        <v>2944</v>
      </c>
      <c r="C2345" t="s">
        <v>129</v>
      </c>
      <c r="D2345" t="s">
        <v>130</v>
      </c>
      <c r="E2345">
        <v>18</v>
      </c>
      <c r="F2345">
        <v>8.1999999999999993</v>
      </c>
      <c r="G2345">
        <v>0.46</v>
      </c>
      <c r="H2345">
        <v>22</v>
      </c>
      <c r="I2345">
        <v>5000</v>
      </c>
      <c r="J2345">
        <v>1000</v>
      </c>
      <c r="K2345" t="s">
        <v>134</v>
      </c>
      <c r="L2345" t="s">
        <v>117</v>
      </c>
      <c r="M2345" t="s">
        <v>42</v>
      </c>
      <c r="N2345" t="b">
        <v>1</v>
      </c>
      <c r="O2345" t="s">
        <v>135</v>
      </c>
    </row>
    <row r="2346" spans="1:15" ht="15" customHeight="1">
      <c r="A2346" t="s">
        <v>644</v>
      </c>
      <c r="B2346" t="s">
        <v>2945</v>
      </c>
      <c r="C2346" t="s">
        <v>68</v>
      </c>
      <c r="D2346" t="s">
        <v>69</v>
      </c>
      <c r="E2346">
        <v>16</v>
      </c>
      <c r="F2346">
        <v>2.2000000000000002</v>
      </c>
      <c r="G2346">
        <v>0.14000000000000001</v>
      </c>
      <c r="H2346">
        <v>2</v>
      </c>
      <c r="I2346">
        <v>30000</v>
      </c>
      <c r="J2346">
        <v>5000</v>
      </c>
      <c r="K2346" t="s">
        <v>162</v>
      </c>
      <c r="L2346" t="s">
        <v>117</v>
      </c>
      <c r="M2346" t="s">
        <v>45</v>
      </c>
      <c r="N2346" t="b">
        <v>1</v>
      </c>
      <c r="O2346" t="s">
        <v>163</v>
      </c>
    </row>
    <row r="2347" spans="1:15" ht="15" customHeight="1">
      <c r="A2347" t="s">
        <v>891</v>
      </c>
      <c r="B2347" t="s">
        <v>2946</v>
      </c>
      <c r="C2347" t="s">
        <v>149</v>
      </c>
      <c r="D2347" t="s">
        <v>69</v>
      </c>
      <c r="E2347">
        <v>11</v>
      </c>
      <c r="F2347">
        <v>7.3</v>
      </c>
      <c r="G2347">
        <v>0.66</v>
      </c>
      <c r="H2347">
        <v>34</v>
      </c>
      <c r="I2347">
        <v>3000</v>
      </c>
      <c r="J2347">
        <v>1000</v>
      </c>
      <c r="K2347" t="s">
        <v>433</v>
      </c>
      <c r="L2347" t="s">
        <v>77</v>
      </c>
      <c r="M2347" t="s">
        <v>48</v>
      </c>
      <c r="N2347" t="b">
        <v>0</v>
      </c>
      <c r="O2347" t="s">
        <v>434</v>
      </c>
    </row>
    <row r="2348" spans="1:15" ht="15" customHeight="1">
      <c r="A2348" t="s">
        <v>811</v>
      </c>
      <c r="B2348" t="s">
        <v>2947</v>
      </c>
      <c r="C2348" t="s">
        <v>149</v>
      </c>
      <c r="D2348" t="s">
        <v>69</v>
      </c>
      <c r="E2348">
        <v>12</v>
      </c>
      <c r="F2348">
        <v>10.7</v>
      </c>
      <c r="G2348">
        <v>0.89</v>
      </c>
      <c r="H2348">
        <v>40</v>
      </c>
      <c r="I2348">
        <v>3000</v>
      </c>
      <c r="J2348">
        <v>1000</v>
      </c>
      <c r="K2348" t="s">
        <v>95</v>
      </c>
      <c r="L2348" t="s">
        <v>91</v>
      </c>
      <c r="M2348" t="s">
        <v>46</v>
      </c>
      <c r="N2348" t="b">
        <v>1</v>
      </c>
      <c r="O2348" t="s">
        <v>217</v>
      </c>
    </row>
    <row r="2349" spans="1:15" ht="15" customHeight="1">
      <c r="A2349" t="s">
        <v>1411</v>
      </c>
      <c r="B2349" t="s">
        <v>2948</v>
      </c>
      <c r="C2349" t="s">
        <v>149</v>
      </c>
      <c r="D2349" t="s">
        <v>69</v>
      </c>
      <c r="E2349">
        <v>10</v>
      </c>
      <c r="F2349">
        <v>9.1999999999999993</v>
      </c>
      <c r="G2349">
        <v>0.92</v>
      </c>
      <c r="H2349">
        <v>27</v>
      </c>
      <c r="I2349">
        <v>3000</v>
      </c>
      <c r="J2349">
        <v>1000</v>
      </c>
      <c r="K2349" t="s">
        <v>845</v>
      </c>
      <c r="L2349" t="s">
        <v>77</v>
      </c>
      <c r="M2349" t="s">
        <v>48</v>
      </c>
      <c r="N2349" t="b">
        <v>0</v>
      </c>
      <c r="O2349" t="s">
        <v>357</v>
      </c>
    </row>
    <row r="2350" spans="1:15" ht="15" customHeight="1">
      <c r="A2350" t="s">
        <v>1086</v>
      </c>
      <c r="B2350" t="s">
        <v>2949</v>
      </c>
      <c r="C2350" t="s">
        <v>81</v>
      </c>
      <c r="D2350" t="s">
        <v>69</v>
      </c>
      <c r="E2350">
        <v>14</v>
      </c>
      <c r="F2350">
        <v>5.5</v>
      </c>
      <c r="G2350">
        <v>0.39</v>
      </c>
      <c r="H2350">
        <v>10</v>
      </c>
      <c r="I2350">
        <v>10000</v>
      </c>
      <c r="J2350">
        <v>3000</v>
      </c>
      <c r="K2350" t="s">
        <v>103</v>
      </c>
      <c r="L2350" t="s">
        <v>71</v>
      </c>
      <c r="M2350" t="s">
        <v>44</v>
      </c>
      <c r="N2350" t="b">
        <v>0</v>
      </c>
      <c r="O2350" t="s">
        <v>105</v>
      </c>
    </row>
    <row r="2351" spans="1:15" ht="15" customHeight="1">
      <c r="A2351" t="s">
        <v>296</v>
      </c>
      <c r="B2351" t="s">
        <v>2950</v>
      </c>
      <c r="C2351" t="s">
        <v>149</v>
      </c>
      <c r="D2351" t="s">
        <v>69</v>
      </c>
      <c r="E2351">
        <v>8</v>
      </c>
      <c r="F2351">
        <v>6.3</v>
      </c>
      <c r="G2351">
        <v>0.79</v>
      </c>
      <c r="H2351">
        <v>37</v>
      </c>
      <c r="I2351">
        <v>3000</v>
      </c>
      <c r="J2351">
        <v>1000</v>
      </c>
      <c r="K2351" t="s">
        <v>672</v>
      </c>
      <c r="L2351" t="s">
        <v>100</v>
      </c>
      <c r="M2351" t="s">
        <v>50</v>
      </c>
      <c r="N2351" t="b">
        <v>0</v>
      </c>
      <c r="O2351" t="s">
        <v>134</v>
      </c>
    </row>
    <row r="2352" spans="1:15" ht="15" customHeight="1">
      <c r="A2352" t="s">
        <v>592</v>
      </c>
      <c r="B2352" t="s">
        <v>2951</v>
      </c>
      <c r="C2352" t="s">
        <v>68</v>
      </c>
      <c r="D2352" t="s">
        <v>69</v>
      </c>
      <c r="E2352">
        <v>14</v>
      </c>
      <c r="F2352">
        <v>3.7</v>
      </c>
      <c r="G2352">
        <v>0.26</v>
      </c>
      <c r="H2352">
        <v>5</v>
      </c>
      <c r="I2352">
        <v>30000</v>
      </c>
      <c r="J2352">
        <v>5000</v>
      </c>
      <c r="K2352" t="s">
        <v>112</v>
      </c>
      <c r="L2352" t="s">
        <v>91</v>
      </c>
      <c r="M2352" t="s">
        <v>51</v>
      </c>
      <c r="N2352" t="b">
        <v>1</v>
      </c>
      <c r="O2352" t="s">
        <v>113</v>
      </c>
    </row>
    <row r="2353" spans="1:15" ht="15" customHeight="1">
      <c r="A2353" t="s">
        <v>1188</v>
      </c>
      <c r="B2353" t="s">
        <v>2952</v>
      </c>
      <c r="C2353" t="s">
        <v>129</v>
      </c>
      <c r="D2353" t="s">
        <v>130</v>
      </c>
      <c r="E2353">
        <v>9</v>
      </c>
      <c r="F2353">
        <v>7.7</v>
      </c>
      <c r="G2353">
        <v>0.86</v>
      </c>
      <c r="H2353">
        <v>26</v>
      </c>
      <c r="I2353">
        <v>5000</v>
      </c>
      <c r="J2353">
        <v>1000</v>
      </c>
      <c r="K2353" t="s">
        <v>203</v>
      </c>
      <c r="L2353" t="s">
        <v>117</v>
      </c>
      <c r="M2353" t="s">
        <v>50</v>
      </c>
      <c r="N2353" t="b">
        <v>1</v>
      </c>
      <c r="O2353" t="s">
        <v>623</v>
      </c>
    </row>
    <row r="2354" spans="1:15" ht="15" customHeight="1">
      <c r="A2354" t="s">
        <v>891</v>
      </c>
      <c r="B2354" t="s">
        <v>2953</v>
      </c>
      <c r="C2354" t="s">
        <v>81</v>
      </c>
      <c r="D2354" t="s">
        <v>69</v>
      </c>
      <c r="E2354">
        <v>14</v>
      </c>
      <c r="F2354">
        <v>10.5</v>
      </c>
      <c r="G2354">
        <v>0.75</v>
      </c>
      <c r="H2354">
        <v>30</v>
      </c>
      <c r="I2354">
        <v>10000</v>
      </c>
      <c r="J2354">
        <v>3000</v>
      </c>
      <c r="K2354" t="s">
        <v>185</v>
      </c>
      <c r="L2354" t="s">
        <v>77</v>
      </c>
      <c r="M2354" t="s">
        <v>48</v>
      </c>
      <c r="N2354" t="b">
        <v>0</v>
      </c>
      <c r="O2354" t="s">
        <v>186</v>
      </c>
    </row>
    <row r="2355" spans="1:15" ht="15" customHeight="1">
      <c r="A2355" t="s">
        <v>961</v>
      </c>
      <c r="B2355" t="s">
        <v>2954</v>
      </c>
      <c r="C2355" t="s">
        <v>129</v>
      </c>
      <c r="D2355" t="s">
        <v>130</v>
      </c>
      <c r="E2355">
        <v>16</v>
      </c>
      <c r="F2355">
        <v>5.6</v>
      </c>
      <c r="G2355">
        <v>0.35</v>
      </c>
      <c r="H2355">
        <v>28</v>
      </c>
      <c r="I2355">
        <v>5000</v>
      </c>
      <c r="J2355">
        <v>1000</v>
      </c>
      <c r="K2355" t="s">
        <v>116</v>
      </c>
      <c r="L2355" t="s">
        <v>100</v>
      </c>
      <c r="M2355" t="s">
        <v>42</v>
      </c>
      <c r="N2355" t="b">
        <v>0</v>
      </c>
      <c r="O2355" t="s">
        <v>470</v>
      </c>
    </row>
    <row r="2356" spans="1:15" ht="15" customHeight="1">
      <c r="A2356" t="s">
        <v>1504</v>
      </c>
      <c r="B2356" t="s">
        <v>2955</v>
      </c>
      <c r="C2356" t="s">
        <v>129</v>
      </c>
      <c r="D2356" t="s">
        <v>130</v>
      </c>
      <c r="E2356">
        <v>15</v>
      </c>
      <c r="F2356">
        <v>6.8</v>
      </c>
      <c r="G2356">
        <v>0.45</v>
      </c>
      <c r="H2356">
        <v>20</v>
      </c>
      <c r="I2356">
        <v>5000</v>
      </c>
      <c r="J2356">
        <v>1000</v>
      </c>
      <c r="K2356" t="s">
        <v>103</v>
      </c>
      <c r="L2356" t="s">
        <v>104</v>
      </c>
      <c r="M2356" t="s">
        <v>46</v>
      </c>
      <c r="N2356" t="b">
        <v>0</v>
      </c>
      <c r="O2356" t="s">
        <v>169</v>
      </c>
    </row>
    <row r="2357" spans="1:15" ht="15" customHeight="1">
      <c r="A2357" t="s">
        <v>846</v>
      </c>
      <c r="B2357" t="s">
        <v>2956</v>
      </c>
      <c r="C2357" t="s">
        <v>68</v>
      </c>
      <c r="D2357" t="s">
        <v>69</v>
      </c>
      <c r="E2357">
        <v>16</v>
      </c>
      <c r="F2357">
        <v>3</v>
      </c>
      <c r="G2357">
        <v>0.19</v>
      </c>
      <c r="H2357">
        <v>3</v>
      </c>
      <c r="I2357">
        <v>30000</v>
      </c>
      <c r="J2357">
        <v>5000</v>
      </c>
      <c r="K2357" t="s">
        <v>108</v>
      </c>
      <c r="L2357" t="s">
        <v>104</v>
      </c>
      <c r="M2357" t="s">
        <v>45</v>
      </c>
      <c r="N2357" t="b">
        <v>0</v>
      </c>
      <c r="O2357" t="s">
        <v>109</v>
      </c>
    </row>
    <row r="2358" spans="1:15" ht="15" customHeight="1">
      <c r="A2358" t="s">
        <v>1126</v>
      </c>
      <c r="B2358" t="s">
        <v>2957</v>
      </c>
      <c r="C2358" t="s">
        <v>81</v>
      </c>
      <c r="D2358" t="s">
        <v>69</v>
      </c>
      <c r="E2358">
        <v>14</v>
      </c>
      <c r="F2358">
        <v>4.5999999999999996</v>
      </c>
      <c r="G2358">
        <v>0.33</v>
      </c>
      <c r="H2358">
        <v>23</v>
      </c>
      <c r="I2358">
        <v>10000</v>
      </c>
      <c r="J2358">
        <v>3000</v>
      </c>
      <c r="K2358" t="s">
        <v>626</v>
      </c>
      <c r="L2358" t="s">
        <v>104</v>
      </c>
      <c r="M2358" t="s">
        <v>46</v>
      </c>
      <c r="N2358" t="b">
        <v>0</v>
      </c>
      <c r="O2358" t="s">
        <v>627</v>
      </c>
    </row>
    <row r="2359" spans="1:15" ht="15" customHeight="1">
      <c r="A2359" t="s">
        <v>830</v>
      </c>
      <c r="B2359" t="s">
        <v>2958</v>
      </c>
      <c r="C2359" t="s">
        <v>68</v>
      </c>
      <c r="D2359" t="s">
        <v>69</v>
      </c>
      <c r="E2359">
        <v>10</v>
      </c>
      <c r="F2359">
        <v>1.6</v>
      </c>
      <c r="G2359">
        <v>0.16</v>
      </c>
      <c r="H2359">
        <v>2</v>
      </c>
      <c r="I2359">
        <v>30000</v>
      </c>
      <c r="J2359">
        <v>5000</v>
      </c>
      <c r="K2359" t="s">
        <v>162</v>
      </c>
      <c r="L2359" t="s">
        <v>117</v>
      </c>
      <c r="M2359" t="s">
        <v>51</v>
      </c>
      <c r="N2359" t="b">
        <v>1</v>
      </c>
      <c r="O2359" t="s">
        <v>163</v>
      </c>
    </row>
    <row r="2360" spans="1:15" ht="15" customHeight="1">
      <c r="A2360" t="s">
        <v>324</v>
      </c>
      <c r="B2360" t="s">
        <v>2959</v>
      </c>
      <c r="C2360" t="s">
        <v>75</v>
      </c>
      <c r="D2360" t="s">
        <v>69</v>
      </c>
      <c r="E2360">
        <v>16</v>
      </c>
      <c r="F2360">
        <v>3.5</v>
      </c>
      <c r="G2360">
        <v>0.22</v>
      </c>
      <c r="H2360">
        <v>14</v>
      </c>
      <c r="I2360">
        <v>2000</v>
      </c>
      <c r="J2360">
        <v>1500</v>
      </c>
      <c r="K2360" t="s">
        <v>396</v>
      </c>
      <c r="L2360" t="s">
        <v>91</v>
      </c>
      <c r="M2360" t="s">
        <v>48</v>
      </c>
      <c r="N2360" t="b">
        <v>1</v>
      </c>
      <c r="O2360" t="s">
        <v>397</v>
      </c>
    </row>
    <row r="2361" spans="1:15" ht="15" customHeight="1">
      <c r="A2361" t="s">
        <v>1051</v>
      </c>
      <c r="B2361" t="s">
        <v>2960</v>
      </c>
      <c r="C2361" t="s">
        <v>75</v>
      </c>
      <c r="D2361" t="s">
        <v>69</v>
      </c>
      <c r="E2361">
        <v>18</v>
      </c>
      <c r="F2361">
        <v>13.3</v>
      </c>
      <c r="G2361">
        <v>0.74</v>
      </c>
      <c r="H2361">
        <v>18</v>
      </c>
      <c r="I2361">
        <v>2000</v>
      </c>
      <c r="J2361">
        <v>1500</v>
      </c>
      <c r="K2361" t="s">
        <v>225</v>
      </c>
      <c r="L2361" t="s">
        <v>117</v>
      </c>
      <c r="M2361" t="s">
        <v>41</v>
      </c>
      <c r="N2361" t="b">
        <v>1</v>
      </c>
      <c r="O2361" t="s">
        <v>226</v>
      </c>
    </row>
    <row r="2362" spans="1:15" ht="15" customHeight="1">
      <c r="A2362" t="s">
        <v>1329</v>
      </c>
      <c r="B2362" t="s">
        <v>2961</v>
      </c>
      <c r="C2362" t="s">
        <v>68</v>
      </c>
      <c r="D2362" t="s">
        <v>69</v>
      </c>
      <c r="E2362">
        <v>14</v>
      </c>
      <c r="F2362">
        <v>1.6</v>
      </c>
      <c r="G2362">
        <v>0.11</v>
      </c>
      <c r="H2362">
        <v>3</v>
      </c>
      <c r="I2362">
        <v>30000</v>
      </c>
      <c r="J2362">
        <v>5000</v>
      </c>
      <c r="K2362" t="s">
        <v>108</v>
      </c>
      <c r="L2362" t="s">
        <v>104</v>
      </c>
      <c r="M2362" t="s">
        <v>51</v>
      </c>
      <c r="N2362" t="b">
        <v>0</v>
      </c>
      <c r="O2362" t="s">
        <v>109</v>
      </c>
    </row>
    <row r="2363" spans="1:15" ht="15" customHeight="1">
      <c r="A2363" t="s">
        <v>596</v>
      </c>
      <c r="B2363" t="s">
        <v>2962</v>
      </c>
      <c r="C2363" t="s">
        <v>81</v>
      </c>
      <c r="D2363" t="s">
        <v>69</v>
      </c>
      <c r="E2363">
        <v>15</v>
      </c>
      <c r="F2363">
        <v>6.4</v>
      </c>
      <c r="G2363">
        <v>0.43</v>
      </c>
      <c r="H2363">
        <v>8</v>
      </c>
      <c r="I2363">
        <v>10000</v>
      </c>
      <c r="J2363">
        <v>3000</v>
      </c>
      <c r="K2363" t="s">
        <v>357</v>
      </c>
      <c r="L2363" t="s">
        <v>96</v>
      </c>
      <c r="M2363" t="s">
        <v>46</v>
      </c>
      <c r="N2363" t="b">
        <v>0</v>
      </c>
      <c r="O2363" t="s">
        <v>295</v>
      </c>
    </row>
    <row r="2364" spans="1:15" ht="15" customHeight="1">
      <c r="A2364" t="s">
        <v>563</v>
      </c>
      <c r="B2364" t="s">
        <v>2963</v>
      </c>
      <c r="C2364" t="s">
        <v>81</v>
      </c>
      <c r="D2364" t="s">
        <v>69</v>
      </c>
      <c r="E2364">
        <v>18</v>
      </c>
      <c r="F2364">
        <v>8.9</v>
      </c>
      <c r="G2364">
        <v>0.49</v>
      </c>
      <c r="H2364">
        <v>26</v>
      </c>
      <c r="I2364">
        <v>10000</v>
      </c>
      <c r="J2364">
        <v>3000</v>
      </c>
      <c r="K2364" t="s">
        <v>525</v>
      </c>
      <c r="L2364" t="s">
        <v>91</v>
      </c>
      <c r="M2364" t="s">
        <v>46</v>
      </c>
      <c r="N2364" t="b">
        <v>1</v>
      </c>
      <c r="O2364" t="s">
        <v>526</v>
      </c>
    </row>
    <row r="2365" spans="1:15" ht="15" customHeight="1">
      <c r="A2365" t="s">
        <v>450</v>
      </c>
      <c r="B2365" t="s">
        <v>2964</v>
      </c>
      <c r="C2365" t="s">
        <v>75</v>
      </c>
      <c r="D2365" t="s">
        <v>69</v>
      </c>
      <c r="E2365">
        <v>15</v>
      </c>
      <c r="F2365">
        <v>4.2</v>
      </c>
      <c r="G2365">
        <v>0.28000000000000003</v>
      </c>
      <c r="H2365">
        <v>30</v>
      </c>
      <c r="I2365">
        <v>2000</v>
      </c>
      <c r="J2365">
        <v>1500</v>
      </c>
      <c r="K2365" t="s">
        <v>162</v>
      </c>
      <c r="L2365" t="s">
        <v>117</v>
      </c>
      <c r="M2365" t="s">
        <v>49</v>
      </c>
      <c r="N2365" t="b">
        <v>1</v>
      </c>
      <c r="O2365" t="s">
        <v>510</v>
      </c>
    </row>
    <row r="2366" spans="1:15" ht="15" customHeight="1">
      <c r="A2366" t="s">
        <v>304</v>
      </c>
      <c r="B2366" t="s">
        <v>2965</v>
      </c>
      <c r="C2366" t="s">
        <v>68</v>
      </c>
      <c r="D2366" t="s">
        <v>69</v>
      </c>
      <c r="E2366">
        <v>12</v>
      </c>
      <c r="F2366">
        <v>3</v>
      </c>
      <c r="G2366">
        <v>0.25</v>
      </c>
      <c r="H2366">
        <v>2</v>
      </c>
      <c r="I2366">
        <v>30000</v>
      </c>
      <c r="J2366">
        <v>5000</v>
      </c>
      <c r="K2366" t="s">
        <v>162</v>
      </c>
      <c r="L2366" t="s">
        <v>104</v>
      </c>
      <c r="M2366" t="s">
        <v>45</v>
      </c>
      <c r="N2366" t="b">
        <v>0</v>
      </c>
      <c r="O2366" t="s">
        <v>163</v>
      </c>
    </row>
    <row r="2367" spans="1:15" ht="15" customHeight="1">
      <c r="A2367" t="s">
        <v>445</v>
      </c>
      <c r="B2367" t="s">
        <v>2966</v>
      </c>
      <c r="C2367" t="s">
        <v>75</v>
      </c>
      <c r="D2367" t="s">
        <v>69</v>
      </c>
      <c r="E2367">
        <v>14</v>
      </c>
      <c r="F2367">
        <v>10.9</v>
      </c>
      <c r="G2367">
        <v>0.78</v>
      </c>
      <c r="H2367">
        <v>16</v>
      </c>
      <c r="I2367">
        <v>2000</v>
      </c>
      <c r="J2367">
        <v>1500</v>
      </c>
      <c r="K2367" t="s">
        <v>938</v>
      </c>
      <c r="L2367" t="s">
        <v>117</v>
      </c>
      <c r="M2367" t="s">
        <v>45</v>
      </c>
      <c r="N2367" t="b">
        <v>1</v>
      </c>
      <c r="O2367" t="s">
        <v>939</v>
      </c>
    </row>
    <row r="2368" spans="1:15" ht="15" customHeight="1">
      <c r="A2368" t="s">
        <v>1074</v>
      </c>
      <c r="B2368" t="s">
        <v>2967</v>
      </c>
      <c r="C2368" t="s">
        <v>68</v>
      </c>
      <c r="D2368" t="s">
        <v>69</v>
      </c>
      <c r="E2368">
        <v>12</v>
      </c>
      <c r="F2368">
        <v>0.7</v>
      </c>
      <c r="G2368">
        <v>0.06</v>
      </c>
      <c r="H2368">
        <v>3</v>
      </c>
      <c r="I2368">
        <v>30000</v>
      </c>
      <c r="J2368">
        <v>5000</v>
      </c>
      <c r="K2368" t="s">
        <v>108</v>
      </c>
      <c r="L2368" t="s">
        <v>71</v>
      </c>
      <c r="M2368" t="s">
        <v>42</v>
      </c>
      <c r="N2368" t="b">
        <v>0</v>
      </c>
      <c r="O2368" t="s">
        <v>109</v>
      </c>
    </row>
    <row r="2369" spans="1:15" ht="15" customHeight="1">
      <c r="A2369" t="s">
        <v>428</v>
      </c>
      <c r="B2369" t="s">
        <v>2968</v>
      </c>
      <c r="C2369" t="s">
        <v>68</v>
      </c>
      <c r="D2369" t="s">
        <v>69</v>
      </c>
      <c r="E2369">
        <v>12</v>
      </c>
      <c r="F2369">
        <v>3.4</v>
      </c>
      <c r="G2369">
        <v>0.28000000000000003</v>
      </c>
      <c r="H2369">
        <v>3</v>
      </c>
      <c r="I2369">
        <v>30000</v>
      </c>
      <c r="J2369">
        <v>5000</v>
      </c>
      <c r="K2369" t="s">
        <v>108</v>
      </c>
      <c r="L2369" t="s">
        <v>104</v>
      </c>
      <c r="M2369" t="s">
        <v>46</v>
      </c>
      <c r="N2369" t="b">
        <v>0</v>
      </c>
      <c r="O2369" t="s">
        <v>109</v>
      </c>
    </row>
    <row r="2370" spans="1:15" ht="15" customHeight="1">
      <c r="A2370" t="s">
        <v>1208</v>
      </c>
      <c r="B2370" t="s">
        <v>2969</v>
      </c>
      <c r="C2370" t="s">
        <v>75</v>
      </c>
      <c r="D2370" t="s">
        <v>69</v>
      </c>
      <c r="E2370">
        <v>14</v>
      </c>
      <c r="F2370">
        <v>8.6999999999999993</v>
      </c>
      <c r="G2370">
        <v>0.62</v>
      </c>
      <c r="H2370">
        <v>20</v>
      </c>
      <c r="I2370">
        <v>2000</v>
      </c>
      <c r="J2370">
        <v>1500</v>
      </c>
      <c r="K2370" t="s">
        <v>76</v>
      </c>
      <c r="L2370" t="s">
        <v>117</v>
      </c>
      <c r="M2370" t="s">
        <v>43</v>
      </c>
      <c r="N2370" t="b">
        <v>1</v>
      </c>
      <c r="O2370" t="s">
        <v>78</v>
      </c>
    </row>
    <row r="2371" spans="1:15" ht="15" customHeight="1">
      <c r="A2371" t="s">
        <v>650</v>
      </c>
      <c r="B2371" t="s">
        <v>2970</v>
      </c>
      <c r="C2371" t="s">
        <v>68</v>
      </c>
      <c r="D2371" t="s">
        <v>69</v>
      </c>
      <c r="E2371">
        <v>8</v>
      </c>
      <c r="F2371">
        <v>1.9</v>
      </c>
      <c r="G2371">
        <v>0.24</v>
      </c>
      <c r="H2371">
        <v>3</v>
      </c>
      <c r="I2371">
        <v>30000</v>
      </c>
      <c r="J2371">
        <v>5000</v>
      </c>
      <c r="K2371" t="s">
        <v>108</v>
      </c>
      <c r="L2371" t="s">
        <v>100</v>
      </c>
      <c r="M2371" t="s">
        <v>46</v>
      </c>
      <c r="N2371" t="b">
        <v>0</v>
      </c>
      <c r="O2371" t="s">
        <v>109</v>
      </c>
    </row>
    <row r="2372" spans="1:15" ht="15" customHeight="1">
      <c r="A2372" t="s">
        <v>311</v>
      </c>
      <c r="B2372" t="s">
        <v>2971</v>
      </c>
      <c r="C2372" t="s">
        <v>75</v>
      </c>
      <c r="D2372" t="s">
        <v>69</v>
      </c>
      <c r="E2372">
        <v>19</v>
      </c>
      <c r="F2372">
        <v>18.899999999999999</v>
      </c>
      <c r="G2372">
        <v>0.99</v>
      </c>
      <c r="H2372">
        <v>18</v>
      </c>
      <c r="I2372">
        <v>2000</v>
      </c>
      <c r="J2372">
        <v>1500</v>
      </c>
      <c r="K2372" t="s">
        <v>225</v>
      </c>
      <c r="L2372" t="s">
        <v>91</v>
      </c>
      <c r="M2372" t="s">
        <v>41</v>
      </c>
      <c r="N2372" t="b">
        <v>1</v>
      </c>
      <c r="O2372" t="s">
        <v>226</v>
      </c>
    </row>
    <row r="2373" spans="1:15" ht="15" customHeight="1">
      <c r="A2373" t="s">
        <v>347</v>
      </c>
      <c r="B2373" t="s">
        <v>2972</v>
      </c>
      <c r="C2373" t="s">
        <v>75</v>
      </c>
      <c r="D2373" t="s">
        <v>69</v>
      </c>
      <c r="E2373">
        <v>11</v>
      </c>
      <c r="F2373">
        <v>7</v>
      </c>
      <c r="G2373">
        <v>0.64</v>
      </c>
      <c r="H2373">
        <v>13</v>
      </c>
      <c r="I2373">
        <v>2000</v>
      </c>
      <c r="J2373">
        <v>1500</v>
      </c>
      <c r="K2373" t="s">
        <v>211</v>
      </c>
      <c r="L2373" t="s">
        <v>104</v>
      </c>
      <c r="M2373" t="s">
        <v>42</v>
      </c>
      <c r="N2373" t="b">
        <v>0</v>
      </c>
      <c r="O2373" t="s">
        <v>212</v>
      </c>
    </row>
    <row r="2374" spans="1:15" ht="15" customHeight="1">
      <c r="A2374" t="s">
        <v>1084</v>
      </c>
      <c r="B2374" t="s">
        <v>2973</v>
      </c>
      <c r="C2374" t="s">
        <v>129</v>
      </c>
      <c r="D2374" t="s">
        <v>130</v>
      </c>
      <c r="E2374">
        <v>14</v>
      </c>
      <c r="F2374">
        <v>6.3</v>
      </c>
      <c r="G2374">
        <v>0.45</v>
      </c>
      <c r="H2374">
        <v>30</v>
      </c>
      <c r="I2374">
        <v>5000</v>
      </c>
      <c r="J2374">
        <v>1000</v>
      </c>
      <c r="K2374" t="s">
        <v>112</v>
      </c>
      <c r="L2374" t="s">
        <v>77</v>
      </c>
      <c r="M2374" t="s">
        <v>44</v>
      </c>
      <c r="N2374" t="b">
        <v>0</v>
      </c>
      <c r="O2374" t="s">
        <v>195</v>
      </c>
    </row>
    <row r="2375" spans="1:15" ht="15" customHeight="1">
      <c r="A2375" t="s">
        <v>594</v>
      </c>
      <c r="B2375" t="s">
        <v>2974</v>
      </c>
      <c r="C2375" t="s">
        <v>129</v>
      </c>
      <c r="D2375" t="s">
        <v>130</v>
      </c>
      <c r="E2375">
        <v>16</v>
      </c>
      <c r="F2375">
        <v>4.5999999999999996</v>
      </c>
      <c r="G2375">
        <v>0.28999999999999998</v>
      </c>
      <c r="H2375">
        <v>28</v>
      </c>
      <c r="I2375">
        <v>5000</v>
      </c>
      <c r="J2375">
        <v>1000</v>
      </c>
      <c r="K2375" t="s">
        <v>116</v>
      </c>
      <c r="L2375" t="s">
        <v>91</v>
      </c>
      <c r="M2375" t="s">
        <v>43</v>
      </c>
      <c r="N2375" t="b">
        <v>1</v>
      </c>
      <c r="O2375" t="s">
        <v>470</v>
      </c>
    </row>
    <row r="2376" spans="1:15" ht="15" customHeight="1">
      <c r="A2376" t="s">
        <v>770</v>
      </c>
      <c r="B2376" t="s">
        <v>2975</v>
      </c>
      <c r="C2376" t="s">
        <v>81</v>
      </c>
      <c r="D2376" t="s">
        <v>69</v>
      </c>
      <c r="E2376">
        <v>8</v>
      </c>
      <c r="F2376">
        <v>5.3</v>
      </c>
      <c r="G2376">
        <v>0.66</v>
      </c>
      <c r="H2376">
        <v>15</v>
      </c>
      <c r="I2376">
        <v>10000</v>
      </c>
      <c r="J2376">
        <v>3000</v>
      </c>
      <c r="K2376" t="s">
        <v>112</v>
      </c>
      <c r="L2376" t="s">
        <v>104</v>
      </c>
      <c r="M2376" t="s">
        <v>48</v>
      </c>
      <c r="N2376" t="b">
        <v>0</v>
      </c>
      <c r="O2376" t="s">
        <v>234</v>
      </c>
    </row>
    <row r="2377" spans="1:15" ht="15" customHeight="1">
      <c r="A2377" t="s">
        <v>891</v>
      </c>
      <c r="B2377" t="s">
        <v>2976</v>
      </c>
      <c r="C2377" t="s">
        <v>149</v>
      </c>
      <c r="D2377" t="s">
        <v>69</v>
      </c>
      <c r="E2377">
        <v>11</v>
      </c>
      <c r="F2377">
        <v>8</v>
      </c>
      <c r="G2377">
        <v>0.73</v>
      </c>
      <c r="H2377">
        <v>27</v>
      </c>
      <c r="I2377">
        <v>3000</v>
      </c>
      <c r="J2377">
        <v>1000</v>
      </c>
      <c r="K2377" t="s">
        <v>845</v>
      </c>
      <c r="L2377" t="s">
        <v>77</v>
      </c>
      <c r="M2377" t="s">
        <v>48</v>
      </c>
      <c r="N2377" t="b">
        <v>0</v>
      </c>
      <c r="O2377" t="s">
        <v>357</v>
      </c>
    </row>
    <row r="2378" spans="1:15" ht="15" customHeight="1">
      <c r="A2378" t="s">
        <v>1500</v>
      </c>
      <c r="B2378" t="s">
        <v>2977</v>
      </c>
      <c r="C2378" t="s">
        <v>75</v>
      </c>
      <c r="D2378" t="s">
        <v>69</v>
      </c>
      <c r="E2378">
        <v>19</v>
      </c>
      <c r="F2378">
        <v>10.9</v>
      </c>
      <c r="G2378">
        <v>0.56999999999999995</v>
      </c>
      <c r="H2378">
        <v>26</v>
      </c>
      <c r="I2378">
        <v>2000</v>
      </c>
      <c r="J2378">
        <v>1500</v>
      </c>
      <c r="K2378" t="s">
        <v>298</v>
      </c>
      <c r="L2378" t="s">
        <v>117</v>
      </c>
      <c r="M2378" t="s">
        <v>51</v>
      </c>
      <c r="N2378" t="b">
        <v>1</v>
      </c>
      <c r="O2378" t="s">
        <v>299</v>
      </c>
    </row>
    <row r="2379" spans="1:15" ht="15" customHeight="1">
      <c r="A2379" t="s">
        <v>1553</v>
      </c>
      <c r="B2379" t="s">
        <v>2978</v>
      </c>
      <c r="C2379" t="s">
        <v>129</v>
      </c>
      <c r="D2379" t="s">
        <v>130</v>
      </c>
      <c r="E2379">
        <v>10</v>
      </c>
      <c r="F2379">
        <v>5</v>
      </c>
      <c r="G2379">
        <v>0.5</v>
      </c>
      <c r="H2379">
        <v>13</v>
      </c>
      <c r="I2379">
        <v>5000</v>
      </c>
      <c r="J2379">
        <v>1000</v>
      </c>
      <c r="K2379" t="s">
        <v>313</v>
      </c>
      <c r="L2379" t="s">
        <v>71</v>
      </c>
      <c r="M2379" t="s">
        <v>44</v>
      </c>
      <c r="N2379" t="b">
        <v>0</v>
      </c>
      <c r="O2379" t="s">
        <v>314</v>
      </c>
    </row>
    <row r="2380" spans="1:15" ht="15" customHeight="1">
      <c r="A2380" t="s">
        <v>1188</v>
      </c>
      <c r="B2380" t="s">
        <v>2979</v>
      </c>
      <c r="C2380" t="s">
        <v>68</v>
      </c>
      <c r="D2380" t="s">
        <v>69</v>
      </c>
      <c r="E2380">
        <v>15</v>
      </c>
      <c r="F2380">
        <v>1.3</v>
      </c>
      <c r="G2380">
        <v>0.09</v>
      </c>
      <c r="H2380">
        <v>3</v>
      </c>
      <c r="I2380">
        <v>30000</v>
      </c>
      <c r="J2380">
        <v>5000</v>
      </c>
      <c r="K2380" t="s">
        <v>108</v>
      </c>
      <c r="L2380" t="s">
        <v>117</v>
      </c>
      <c r="M2380" t="s">
        <v>50</v>
      </c>
      <c r="N2380" t="b">
        <v>1</v>
      </c>
      <c r="O2380" t="s">
        <v>109</v>
      </c>
    </row>
    <row r="2381" spans="1:15" ht="15" customHeight="1">
      <c r="A2381" t="s">
        <v>1086</v>
      </c>
      <c r="B2381" t="s">
        <v>2980</v>
      </c>
      <c r="C2381" t="s">
        <v>68</v>
      </c>
      <c r="D2381" t="s">
        <v>69</v>
      </c>
      <c r="E2381">
        <v>14</v>
      </c>
      <c r="F2381">
        <v>1.1000000000000001</v>
      </c>
      <c r="G2381">
        <v>0.08</v>
      </c>
      <c r="H2381">
        <v>1</v>
      </c>
      <c r="I2381">
        <v>30000</v>
      </c>
      <c r="J2381">
        <v>5000</v>
      </c>
      <c r="K2381" t="s">
        <v>70</v>
      </c>
      <c r="L2381" t="s">
        <v>71</v>
      </c>
      <c r="M2381" t="s">
        <v>44</v>
      </c>
      <c r="N2381" t="b">
        <v>0</v>
      </c>
      <c r="O2381" t="s">
        <v>72</v>
      </c>
    </row>
    <row r="2382" spans="1:15" ht="15" customHeight="1">
      <c r="A2382" t="s">
        <v>136</v>
      </c>
      <c r="B2382" t="s">
        <v>2981</v>
      </c>
      <c r="C2382" t="s">
        <v>68</v>
      </c>
      <c r="D2382" t="s">
        <v>69</v>
      </c>
      <c r="E2382">
        <v>10</v>
      </c>
      <c r="F2382">
        <v>2.9</v>
      </c>
      <c r="G2382">
        <v>0.28999999999999998</v>
      </c>
      <c r="H2382">
        <v>2</v>
      </c>
      <c r="I2382">
        <v>30000</v>
      </c>
      <c r="J2382">
        <v>5000</v>
      </c>
      <c r="K2382" t="s">
        <v>162</v>
      </c>
      <c r="L2382" t="s">
        <v>96</v>
      </c>
      <c r="M2382" t="s">
        <v>41</v>
      </c>
      <c r="N2382" t="b">
        <v>0</v>
      </c>
      <c r="O2382" t="s">
        <v>163</v>
      </c>
    </row>
    <row r="2383" spans="1:15" ht="15" customHeight="1">
      <c r="A2383" t="s">
        <v>232</v>
      </c>
      <c r="B2383" t="s">
        <v>2982</v>
      </c>
      <c r="C2383" t="s">
        <v>68</v>
      </c>
      <c r="D2383" t="s">
        <v>69</v>
      </c>
      <c r="E2383">
        <v>9</v>
      </c>
      <c r="F2383">
        <v>1.6</v>
      </c>
      <c r="G2383">
        <v>0.18</v>
      </c>
      <c r="H2383">
        <v>4</v>
      </c>
      <c r="I2383">
        <v>30000</v>
      </c>
      <c r="J2383">
        <v>5000</v>
      </c>
      <c r="K2383" t="s">
        <v>95</v>
      </c>
      <c r="L2383" t="s">
        <v>91</v>
      </c>
      <c r="M2383" t="s">
        <v>45</v>
      </c>
      <c r="N2383" t="b">
        <v>1</v>
      </c>
      <c r="O2383" t="s">
        <v>97</v>
      </c>
    </row>
    <row r="2384" spans="1:15" ht="15" customHeight="1">
      <c r="A2384" t="s">
        <v>828</v>
      </c>
      <c r="B2384" t="s">
        <v>2983</v>
      </c>
      <c r="C2384" t="s">
        <v>129</v>
      </c>
      <c r="D2384" t="s">
        <v>130</v>
      </c>
      <c r="E2384">
        <v>9</v>
      </c>
      <c r="F2384">
        <v>3.2</v>
      </c>
      <c r="G2384">
        <v>0.36</v>
      </c>
      <c r="H2384">
        <v>27</v>
      </c>
      <c r="I2384">
        <v>5000</v>
      </c>
      <c r="J2384">
        <v>1000</v>
      </c>
      <c r="K2384" t="s">
        <v>172</v>
      </c>
      <c r="L2384" t="s">
        <v>117</v>
      </c>
      <c r="M2384" t="s">
        <v>43</v>
      </c>
      <c r="N2384" t="b">
        <v>1</v>
      </c>
      <c r="O2384" t="s">
        <v>173</v>
      </c>
    </row>
    <row r="2385" spans="1:15" ht="15" customHeight="1">
      <c r="A2385" t="s">
        <v>1352</v>
      </c>
      <c r="B2385" t="s">
        <v>2984</v>
      </c>
      <c r="C2385" t="s">
        <v>129</v>
      </c>
      <c r="D2385" t="s">
        <v>130</v>
      </c>
      <c r="E2385">
        <v>19</v>
      </c>
      <c r="F2385">
        <v>18.399999999999999</v>
      </c>
      <c r="G2385">
        <v>0.97</v>
      </c>
      <c r="H2385">
        <v>21</v>
      </c>
      <c r="I2385">
        <v>5000</v>
      </c>
      <c r="J2385">
        <v>1000</v>
      </c>
      <c r="K2385" t="s">
        <v>131</v>
      </c>
      <c r="L2385" t="s">
        <v>91</v>
      </c>
      <c r="M2385" t="s">
        <v>49</v>
      </c>
      <c r="N2385" t="b">
        <v>1</v>
      </c>
      <c r="O2385" t="s">
        <v>132</v>
      </c>
    </row>
    <row r="2386" spans="1:15" ht="15" customHeight="1">
      <c r="A2386" t="s">
        <v>170</v>
      </c>
      <c r="B2386" t="s">
        <v>2985</v>
      </c>
      <c r="C2386" t="s">
        <v>68</v>
      </c>
      <c r="D2386" t="s">
        <v>69</v>
      </c>
      <c r="E2386">
        <v>9</v>
      </c>
      <c r="F2386">
        <v>2.2999999999999998</v>
      </c>
      <c r="G2386">
        <v>0.26</v>
      </c>
      <c r="H2386">
        <v>4</v>
      </c>
      <c r="I2386">
        <v>30000</v>
      </c>
      <c r="J2386">
        <v>5000</v>
      </c>
      <c r="K2386" t="s">
        <v>95</v>
      </c>
      <c r="L2386" t="s">
        <v>96</v>
      </c>
      <c r="M2386" t="s">
        <v>44</v>
      </c>
      <c r="N2386" t="b">
        <v>0</v>
      </c>
      <c r="O2386" t="s">
        <v>97</v>
      </c>
    </row>
    <row r="2387" spans="1:15" ht="15" customHeight="1">
      <c r="A2387" t="s">
        <v>644</v>
      </c>
      <c r="B2387" t="s">
        <v>2986</v>
      </c>
      <c r="C2387" t="s">
        <v>81</v>
      </c>
      <c r="D2387" t="s">
        <v>69</v>
      </c>
      <c r="E2387">
        <v>14</v>
      </c>
      <c r="F2387">
        <v>3.3</v>
      </c>
      <c r="G2387">
        <v>0.24</v>
      </c>
      <c r="H2387">
        <v>11</v>
      </c>
      <c r="I2387">
        <v>10000</v>
      </c>
      <c r="J2387">
        <v>3000</v>
      </c>
      <c r="K2387" t="s">
        <v>134</v>
      </c>
      <c r="L2387" t="s">
        <v>117</v>
      </c>
      <c r="M2387" t="s">
        <v>45</v>
      </c>
      <c r="N2387" t="b">
        <v>1</v>
      </c>
      <c r="O2387" t="s">
        <v>155</v>
      </c>
    </row>
    <row r="2388" spans="1:15" ht="15" customHeight="1">
      <c r="A2388" t="s">
        <v>152</v>
      </c>
      <c r="B2388" t="s">
        <v>2987</v>
      </c>
      <c r="C2388" t="s">
        <v>75</v>
      </c>
      <c r="D2388" t="s">
        <v>69</v>
      </c>
      <c r="E2388">
        <v>17</v>
      </c>
      <c r="F2388">
        <v>8.6999999999999993</v>
      </c>
      <c r="G2388">
        <v>0.51</v>
      </c>
      <c r="H2388">
        <v>15</v>
      </c>
      <c r="I2388">
        <v>2000</v>
      </c>
      <c r="J2388">
        <v>1500</v>
      </c>
      <c r="K2388" t="s">
        <v>70</v>
      </c>
      <c r="L2388" t="s">
        <v>71</v>
      </c>
      <c r="M2388" t="s">
        <v>48</v>
      </c>
      <c r="N2388" t="b">
        <v>0</v>
      </c>
      <c r="O2388" t="s">
        <v>598</v>
      </c>
    </row>
    <row r="2389" spans="1:15" ht="15" customHeight="1">
      <c r="A2389" t="s">
        <v>1799</v>
      </c>
      <c r="B2389" t="s">
        <v>2988</v>
      </c>
      <c r="C2389" t="s">
        <v>68</v>
      </c>
      <c r="D2389" t="s">
        <v>69</v>
      </c>
      <c r="E2389">
        <v>16</v>
      </c>
      <c r="F2389">
        <v>2.2000000000000002</v>
      </c>
      <c r="G2389">
        <v>0.14000000000000001</v>
      </c>
      <c r="H2389">
        <v>1</v>
      </c>
      <c r="I2389">
        <v>30000</v>
      </c>
      <c r="J2389">
        <v>5000</v>
      </c>
      <c r="K2389" t="s">
        <v>70</v>
      </c>
      <c r="L2389" t="s">
        <v>71</v>
      </c>
      <c r="M2389" t="s">
        <v>50</v>
      </c>
      <c r="N2389" t="b">
        <v>0</v>
      </c>
      <c r="O2389" t="s">
        <v>72</v>
      </c>
    </row>
    <row r="2390" spans="1:15" ht="15" customHeight="1">
      <c r="A2390" t="s">
        <v>391</v>
      </c>
      <c r="B2390" t="s">
        <v>2989</v>
      </c>
      <c r="C2390" t="s">
        <v>129</v>
      </c>
      <c r="D2390" t="s">
        <v>130</v>
      </c>
      <c r="E2390">
        <v>8</v>
      </c>
      <c r="F2390">
        <v>4.4000000000000004</v>
      </c>
      <c r="G2390">
        <v>0.55000000000000004</v>
      </c>
      <c r="H2390">
        <v>7</v>
      </c>
      <c r="I2390">
        <v>5000</v>
      </c>
      <c r="J2390">
        <v>1000</v>
      </c>
      <c r="K2390" t="s">
        <v>1135</v>
      </c>
      <c r="L2390" t="s">
        <v>71</v>
      </c>
      <c r="M2390" t="s">
        <v>46</v>
      </c>
      <c r="N2390" t="b">
        <v>0</v>
      </c>
      <c r="O2390" t="s">
        <v>862</v>
      </c>
    </row>
    <row r="2391" spans="1:15" ht="15" customHeight="1">
      <c r="A2391" t="s">
        <v>271</v>
      </c>
      <c r="B2391" t="s">
        <v>2990</v>
      </c>
      <c r="C2391" t="s">
        <v>149</v>
      </c>
      <c r="D2391" t="s">
        <v>69</v>
      </c>
      <c r="E2391">
        <v>8</v>
      </c>
      <c r="F2391">
        <v>6.4</v>
      </c>
      <c r="G2391">
        <v>0.8</v>
      </c>
      <c r="H2391">
        <v>37</v>
      </c>
      <c r="I2391">
        <v>3000</v>
      </c>
      <c r="J2391">
        <v>1000</v>
      </c>
      <c r="K2391" t="s">
        <v>672</v>
      </c>
      <c r="L2391" t="s">
        <v>91</v>
      </c>
      <c r="M2391" t="s">
        <v>41</v>
      </c>
      <c r="N2391" t="b">
        <v>1</v>
      </c>
      <c r="O2391" t="s">
        <v>134</v>
      </c>
    </row>
    <row r="2392" spans="1:15" ht="15" customHeight="1">
      <c r="A2392" t="s">
        <v>127</v>
      </c>
      <c r="B2392" t="s">
        <v>2991</v>
      </c>
      <c r="C2392" t="s">
        <v>68</v>
      </c>
      <c r="D2392" t="s">
        <v>69</v>
      </c>
      <c r="E2392">
        <v>8</v>
      </c>
      <c r="F2392">
        <v>3.4</v>
      </c>
      <c r="G2392">
        <v>0.42</v>
      </c>
      <c r="H2392">
        <v>3</v>
      </c>
      <c r="I2392">
        <v>30000</v>
      </c>
      <c r="J2392">
        <v>5000</v>
      </c>
      <c r="K2392" t="s">
        <v>108</v>
      </c>
      <c r="L2392" t="s">
        <v>117</v>
      </c>
      <c r="M2392" t="s">
        <v>44</v>
      </c>
      <c r="N2392" t="b">
        <v>1</v>
      </c>
      <c r="O2392" t="s">
        <v>109</v>
      </c>
    </row>
    <row r="2393" spans="1:15" ht="15" customHeight="1">
      <c r="A2393" t="s">
        <v>412</v>
      </c>
      <c r="B2393" t="s">
        <v>2992</v>
      </c>
      <c r="C2393" t="s">
        <v>149</v>
      </c>
      <c r="D2393" t="s">
        <v>69</v>
      </c>
      <c r="E2393">
        <v>12</v>
      </c>
      <c r="F2393">
        <v>10.8</v>
      </c>
      <c r="G2393">
        <v>0.9</v>
      </c>
      <c r="H2393">
        <v>36</v>
      </c>
      <c r="I2393">
        <v>3000</v>
      </c>
      <c r="J2393">
        <v>1000</v>
      </c>
      <c r="K2393" t="s">
        <v>154</v>
      </c>
      <c r="L2393" t="s">
        <v>96</v>
      </c>
      <c r="M2393" t="s">
        <v>51</v>
      </c>
      <c r="N2393" t="b">
        <v>0</v>
      </c>
      <c r="O2393" t="s">
        <v>155</v>
      </c>
    </row>
    <row r="2394" spans="1:15" ht="15" customHeight="1">
      <c r="A2394" t="s">
        <v>601</v>
      </c>
      <c r="B2394" t="s">
        <v>2993</v>
      </c>
      <c r="C2394" t="s">
        <v>129</v>
      </c>
      <c r="D2394" t="s">
        <v>130</v>
      </c>
      <c r="E2394">
        <v>12</v>
      </c>
      <c r="F2394">
        <v>10.5</v>
      </c>
      <c r="G2394">
        <v>0.88</v>
      </c>
      <c r="H2394">
        <v>21</v>
      </c>
      <c r="I2394">
        <v>5000</v>
      </c>
      <c r="J2394">
        <v>1000</v>
      </c>
      <c r="K2394" t="s">
        <v>131</v>
      </c>
      <c r="L2394" t="s">
        <v>117</v>
      </c>
      <c r="M2394" t="s">
        <v>40</v>
      </c>
      <c r="N2394" t="b">
        <v>1</v>
      </c>
      <c r="O2394" t="s">
        <v>132</v>
      </c>
    </row>
    <row r="2395" spans="1:15" ht="15" customHeight="1">
      <c r="A2395" t="s">
        <v>340</v>
      </c>
      <c r="B2395" t="s">
        <v>2994</v>
      </c>
      <c r="C2395" t="s">
        <v>129</v>
      </c>
      <c r="D2395" t="s">
        <v>130</v>
      </c>
      <c r="E2395">
        <v>14</v>
      </c>
      <c r="F2395">
        <v>8.3000000000000007</v>
      </c>
      <c r="G2395">
        <v>0.59</v>
      </c>
      <c r="H2395">
        <v>11</v>
      </c>
      <c r="I2395">
        <v>5000</v>
      </c>
      <c r="J2395">
        <v>1000</v>
      </c>
      <c r="K2395" t="s">
        <v>163</v>
      </c>
      <c r="L2395" t="s">
        <v>117</v>
      </c>
      <c r="M2395" t="s">
        <v>45</v>
      </c>
      <c r="N2395" t="b">
        <v>1</v>
      </c>
      <c r="O2395" t="s">
        <v>150</v>
      </c>
    </row>
    <row r="2396" spans="1:15" ht="15" customHeight="1">
      <c r="A2396" t="s">
        <v>691</v>
      </c>
      <c r="B2396" t="s">
        <v>2995</v>
      </c>
      <c r="C2396" t="s">
        <v>68</v>
      </c>
      <c r="D2396" t="s">
        <v>69</v>
      </c>
      <c r="E2396">
        <v>10</v>
      </c>
      <c r="F2396">
        <v>0.9</v>
      </c>
      <c r="G2396">
        <v>0.09</v>
      </c>
      <c r="H2396">
        <v>4</v>
      </c>
      <c r="I2396">
        <v>30000</v>
      </c>
      <c r="J2396">
        <v>5000</v>
      </c>
      <c r="K2396" t="s">
        <v>95</v>
      </c>
      <c r="L2396" t="s">
        <v>100</v>
      </c>
      <c r="M2396" t="s">
        <v>47</v>
      </c>
      <c r="N2396" t="b">
        <v>0</v>
      </c>
      <c r="O2396" t="s">
        <v>97</v>
      </c>
    </row>
    <row r="2397" spans="1:15" ht="15" customHeight="1">
      <c r="A2397" t="s">
        <v>794</v>
      </c>
      <c r="B2397" t="s">
        <v>2996</v>
      </c>
      <c r="C2397" t="s">
        <v>129</v>
      </c>
      <c r="D2397" t="s">
        <v>130</v>
      </c>
      <c r="E2397">
        <v>15</v>
      </c>
      <c r="F2397">
        <v>12.4</v>
      </c>
      <c r="G2397">
        <v>0.83</v>
      </c>
      <c r="H2397">
        <v>21</v>
      </c>
      <c r="I2397">
        <v>5000</v>
      </c>
      <c r="J2397">
        <v>1000</v>
      </c>
      <c r="K2397" t="s">
        <v>131</v>
      </c>
      <c r="L2397" t="s">
        <v>96</v>
      </c>
      <c r="M2397" t="s">
        <v>45</v>
      </c>
      <c r="N2397" t="b">
        <v>0</v>
      </c>
      <c r="O2397" t="s">
        <v>132</v>
      </c>
    </row>
    <row r="2398" spans="1:15" ht="15" customHeight="1">
      <c r="A2398" t="s">
        <v>329</v>
      </c>
      <c r="B2398" t="s">
        <v>2997</v>
      </c>
      <c r="C2398" t="s">
        <v>75</v>
      </c>
      <c r="D2398" t="s">
        <v>69</v>
      </c>
      <c r="E2398">
        <v>9</v>
      </c>
      <c r="F2398">
        <v>7.5</v>
      </c>
      <c r="G2398">
        <v>0.83</v>
      </c>
      <c r="H2398">
        <v>12</v>
      </c>
      <c r="I2398">
        <v>2000</v>
      </c>
      <c r="J2398">
        <v>1500</v>
      </c>
      <c r="K2398" t="s">
        <v>265</v>
      </c>
      <c r="L2398" t="s">
        <v>96</v>
      </c>
      <c r="M2398" t="s">
        <v>49</v>
      </c>
      <c r="N2398" t="b">
        <v>0</v>
      </c>
      <c r="O2398" t="s">
        <v>266</v>
      </c>
    </row>
    <row r="2399" spans="1:15" ht="15" customHeight="1">
      <c r="A2399" t="s">
        <v>315</v>
      </c>
      <c r="B2399" t="s">
        <v>2998</v>
      </c>
      <c r="C2399" t="s">
        <v>81</v>
      </c>
      <c r="D2399" t="s">
        <v>69</v>
      </c>
      <c r="E2399">
        <v>17</v>
      </c>
      <c r="F2399">
        <v>3.2</v>
      </c>
      <c r="G2399">
        <v>0.19</v>
      </c>
      <c r="H2399">
        <v>23</v>
      </c>
      <c r="I2399">
        <v>10000</v>
      </c>
      <c r="J2399">
        <v>3000</v>
      </c>
      <c r="K2399" t="s">
        <v>626</v>
      </c>
      <c r="L2399" t="s">
        <v>104</v>
      </c>
      <c r="M2399" t="s">
        <v>50</v>
      </c>
      <c r="N2399" t="b">
        <v>0</v>
      </c>
      <c r="O2399" t="s">
        <v>627</v>
      </c>
    </row>
    <row r="2400" spans="1:15" ht="15" customHeight="1">
      <c r="A2400" t="s">
        <v>1816</v>
      </c>
      <c r="B2400" t="s">
        <v>2999</v>
      </c>
      <c r="C2400" t="s">
        <v>68</v>
      </c>
      <c r="D2400" t="s">
        <v>69</v>
      </c>
      <c r="E2400">
        <v>13</v>
      </c>
      <c r="F2400">
        <v>0.5</v>
      </c>
      <c r="G2400">
        <v>0.04</v>
      </c>
      <c r="H2400">
        <v>3</v>
      </c>
      <c r="I2400">
        <v>30000</v>
      </c>
      <c r="J2400">
        <v>5000</v>
      </c>
      <c r="K2400" t="s">
        <v>108</v>
      </c>
      <c r="L2400" t="s">
        <v>91</v>
      </c>
      <c r="M2400" t="s">
        <v>41</v>
      </c>
      <c r="N2400" t="b">
        <v>1</v>
      </c>
      <c r="O2400" t="s">
        <v>109</v>
      </c>
    </row>
    <row r="2401" spans="1:15" ht="15" customHeight="1">
      <c r="A2401" t="s">
        <v>503</v>
      </c>
      <c r="B2401" t="s">
        <v>3000</v>
      </c>
      <c r="C2401" t="s">
        <v>68</v>
      </c>
      <c r="D2401" t="s">
        <v>69</v>
      </c>
      <c r="E2401">
        <v>9</v>
      </c>
      <c r="F2401">
        <v>2.2000000000000002</v>
      </c>
      <c r="G2401">
        <v>0.24</v>
      </c>
      <c r="H2401">
        <v>2</v>
      </c>
      <c r="I2401">
        <v>30000</v>
      </c>
      <c r="J2401">
        <v>5000</v>
      </c>
      <c r="K2401" t="s">
        <v>162</v>
      </c>
      <c r="L2401" t="s">
        <v>91</v>
      </c>
      <c r="M2401" t="s">
        <v>43</v>
      </c>
      <c r="N2401" t="b">
        <v>1</v>
      </c>
      <c r="O2401" t="s">
        <v>163</v>
      </c>
    </row>
    <row r="2402" spans="1:15" ht="15" customHeight="1">
      <c r="A2402" t="s">
        <v>123</v>
      </c>
      <c r="B2402" t="s">
        <v>3001</v>
      </c>
      <c r="C2402" t="s">
        <v>129</v>
      </c>
      <c r="D2402" t="s">
        <v>130</v>
      </c>
      <c r="E2402">
        <v>13</v>
      </c>
      <c r="F2402">
        <v>11.2</v>
      </c>
      <c r="G2402">
        <v>0.86</v>
      </c>
      <c r="H2402">
        <v>27</v>
      </c>
      <c r="I2402">
        <v>5000</v>
      </c>
      <c r="J2402">
        <v>1000</v>
      </c>
      <c r="K2402" t="s">
        <v>172</v>
      </c>
      <c r="L2402" t="s">
        <v>91</v>
      </c>
      <c r="M2402" t="s">
        <v>42</v>
      </c>
      <c r="N2402" t="b">
        <v>1</v>
      </c>
      <c r="O2402" t="s">
        <v>173</v>
      </c>
    </row>
    <row r="2403" spans="1:15" ht="15" customHeight="1">
      <c r="A2403" t="s">
        <v>670</v>
      </c>
      <c r="B2403" t="s">
        <v>3002</v>
      </c>
      <c r="C2403" t="s">
        <v>129</v>
      </c>
      <c r="D2403" t="s">
        <v>130</v>
      </c>
      <c r="E2403">
        <v>14</v>
      </c>
      <c r="F2403">
        <v>3.8</v>
      </c>
      <c r="G2403">
        <v>0.27</v>
      </c>
      <c r="H2403">
        <v>29</v>
      </c>
      <c r="I2403">
        <v>5000</v>
      </c>
      <c r="J2403">
        <v>1000</v>
      </c>
      <c r="K2403" t="s">
        <v>113</v>
      </c>
      <c r="L2403" t="s">
        <v>91</v>
      </c>
      <c r="M2403" t="s">
        <v>42</v>
      </c>
      <c r="N2403" t="b">
        <v>1</v>
      </c>
      <c r="O2403" t="s">
        <v>146</v>
      </c>
    </row>
    <row r="2404" spans="1:15" ht="15" customHeight="1">
      <c r="A2404" t="s">
        <v>363</v>
      </c>
      <c r="B2404" t="s">
        <v>3003</v>
      </c>
      <c r="C2404" t="s">
        <v>75</v>
      </c>
      <c r="D2404" t="s">
        <v>69</v>
      </c>
      <c r="E2404">
        <v>12</v>
      </c>
      <c r="F2404">
        <v>6.9</v>
      </c>
      <c r="G2404">
        <v>0.57999999999999996</v>
      </c>
      <c r="H2404">
        <v>18</v>
      </c>
      <c r="I2404">
        <v>2000</v>
      </c>
      <c r="J2404">
        <v>1500</v>
      </c>
      <c r="K2404" t="s">
        <v>225</v>
      </c>
      <c r="L2404" t="s">
        <v>71</v>
      </c>
      <c r="M2404" t="s">
        <v>43</v>
      </c>
      <c r="N2404" t="b">
        <v>0</v>
      </c>
      <c r="O2404" t="s">
        <v>226</v>
      </c>
    </row>
    <row r="2405" spans="1:15" ht="15" customHeight="1">
      <c r="A2405" t="s">
        <v>1321</v>
      </c>
      <c r="B2405" t="s">
        <v>3004</v>
      </c>
      <c r="C2405" t="s">
        <v>149</v>
      </c>
      <c r="D2405" t="s">
        <v>69</v>
      </c>
      <c r="E2405">
        <v>12</v>
      </c>
      <c r="F2405">
        <v>9.4</v>
      </c>
      <c r="G2405">
        <v>0.78</v>
      </c>
      <c r="H2405">
        <v>22</v>
      </c>
      <c r="I2405">
        <v>3000</v>
      </c>
      <c r="J2405">
        <v>1000</v>
      </c>
      <c r="K2405" t="s">
        <v>556</v>
      </c>
      <c r="L2405" t="s">
        <v>71</v>
      </c>
      <c r="M2405" t="s">
        <v>40</v>
      </c>
      <c r="N2405" t="b">
        <v>0</v>
      </c>
      <c r="O2405" t="s">
        <v>313</v>
      </c>
    </row>
    <row r="2406" spans="1:15" ht="15" customHeight="1">
      <c r="A2406" t="s">
        <v>790</v>
      </c>
      <c r="B2406" t="s">
        <v>3005</v>
      </c>
      <c r="C2406" t="s">
        <v>129</v>
      </c>
      <c r="D2406" t="s">
        <v>130</v>
      </c>
      <c r="E2406">
        <v>17</v>
      </c>
      <c r="F2406">
        <v>5.0999999999999996</v>
      </c>
      <c r="G2406">
        <v>0.3</v>
      </c>
      <c r="H2406">
        <v>22</v>
      </c>
      <c r="I2406">
        <v>5000</v>
      </c>
      <c r="J2406">
        <v>1000</v>
      </c>
      <c r="K2406" t="s">
        <v>134</v>
      </c>
      <c r="L2406" t="s">
        <v>71</v>
      </c>
      <c r="M2406" t="s">
        <v>48</v>
      </c>
      <c r="N2406" t="b">
        <v>0</v>
      </c>
      <c r="O2406" t="s">
        <v>135</v>
      </c>
    </row>
    <row r="2407" spans="1:15" ht="15" customHeight="1">
      <c r="A2407" t="s">
        <v>1004</v>
      </c>
      <c r="B2407" t="s">
        <v>3006</v>
      </c>
      <c r="C2407" t="s">
        <v>75</v>
      </c>
      <c r="D2407" t="s">
        <v>69</v>
      </c>
      <c r="E2407">
        <v>18</v>
      </c>
      <c r="F2407">
        <v>3.4</v>
      </c>
      <c r="G2407">
        <v>0.19</v>
      </c>
      <c r="H2407">
        <v>6</v>
      </c>
      <c r="I2407">
        <v>2000</v>
      </c>
      <c r="J2407">
        <v>1500</v>
      </c>
      <c r="K2407" t="s">
        <v>269</v>
      </c>
      <c r="L2407" t="s">
        <v>77</v>
      </c>
      <c r="M2407" t="s">
        <v>43</v>
      </c>
      <c r="N2407" t="b">
        <v>0</v>
      </c>
      <c r="O2407" t="s">
        <v>270</v>
      </c>
    </row>
    <row r="2408" spans="1:15" ht="15" customHeight="1">
      <c r="A2408" t="s">
        <v>374</v>
      </c>
      <c r="B2408" t="s">
        <v>3007</v>
      </c>
      <c r="C2408" t="s">
        <v>129</v>
      </c>
      <c r="D2408" t="s">
        <v>130</v>
      </c>
      <c r="E2408">
        <v>16</v>
      </c>
      <c r="F2408">
        <v>15.1</v>
      </c>
      <c r="G2408">
        <v>0.94</v>
      </c>
      <c r="H2408">
        <v>18</v>
      </c>
      <c r="I2408">
        <v>5000</v>
      </c>
      <c r="J2408">
        <v>1000</v>
      </c>
      <c r="K2408" t="s">
        <v>108</v>
      </c>
      <c r="L2408" t="s">
        <v>104</v>
      </c>
      <c r="M2408" t="s">
        <v>42</v>
      </c>
      <c r="N2408" t="b">
        <v>0</v>
      </c>
      <c r="O2408" t="s">
        <v>166</v>
      </c>
    </row>
    <row r="2409" spans="1:15" ht="15" customHeight="1">
      <c r="A2409" t="s">
        <v>624</v>
      </c>
      <c r="B2409" t="s">
        <v>3008</v>
      </c>
      <c r="C2409" t="s">
        <v>75</v>
      </c>
      <c r="D2409" t="s">
        <v>69</v>
      </c>
      <c r="E2409">
        <v>16</v>
      </c>
      <c r="F2409">
        <v>13.5</v>
      </c>
      <c r="G2409">
        <v>0.84</v>
      </c>
      <c r="H2409">
        <v>23</v>
      </c>
      <c r="I2409">
        <v>2000</v>
      </c>
      <c r="J2409">
        <v>1500</v>
      </c>
      <c r="K2409" t="s">
        <v>207</v>
      </c>
      <c r="L2409" t="s">
        <v>91</v>
      </c>
      <c r="M2409" t="s">
        <v>45</v>
      </c>
      <c r="N2409" t="b">
        <v>1</v>
      </c>
      <c r="O2409" t="s">
        <v>208</v>
      </c>
    </row>
    <row r="2410" spans="1:15" ht="15" customHeight="1">
      <c r="A2410" t="s">
        <v>583</v>
      </c>
      <c r="B2410" t="s">
        <v>3009</v>
      </c>
      <c r="C2410" t="s">
        <v>129</v>
      </c>
      <c r="D2410" t="s">
        <v>130</v>
      </c>
      <c r="E2410">
        <v>15</v>
      </c>
      <c r="F2410">
        <v>5.3</v>
      </c>
      <c r="G2410">
        <v>0.35</v>
      </c>
      <c r="H2410">
        <v>7</v>
      </c>
      <c r="I2410">
        <v>5000</v>
      </c>
      <c r="J2410">
        <v>1000</v>
      </c>
      <c r="K2410" t="s">
        <v>1135</v>
      </c>
      <c r="L2410" t="s">
        <v>100</v>
      </c>
      <c r="M2410" t="s">
        <v>40</v>
      </c>
      <c r="N2410" t="b">
        <v>0</v>
      </c>
      <c r="O2410" t="s">
        <v>862</v>
      </c>
    </row>
    <row r="2411" spans="1:15" ht="15" customHeight="1">
      <c r="A2411" t="s">
        <v>1186</v>
      </c>
      <c r="B2411" t="s">
        <v>3010</v>
      </c>
      <c r="C2411" t="s">
        <v>75</v>
      </c>
      <c r="D2411" t="s">
        <v>69</v>
      </c>
      <c r="E2411">
        <v>10</v>
      </c>
      <c r="F2411">
        <v>7.8</v>
      </c>
      <c r="G2411">
        <v>0.78</v>
      </c>
      <c r="H2411">
        <v>27</v>
      </c>
      <c r="I2411">
        <v>2000</v>
      </c>
      <c r="J2411">
        <v>1500</v>
      </c>
      <c r="K2411" t="s">
        <v>150</v>
      </c>
      <c r="L2411" t="s">
        <v>96</v>
      </c>
      <c r="M2411" t="s">
        <v>42</v>
      </c>
      <c r="N2411" t="b">
        <v>0</v>
      </c>
      <c r="O2411" t="s">
        <v>528</v>
      </c>
    </row>
    <row r="2412" spans="1:15" ht="15" customHeight="1">
      <c r="A2412" t="s">
        <v>926</v>
      </c>
      <c r="B2412" t="s">
        <v>3011</v>
      </c>
      <c r="C2412" t="s">
        <v>129</v>
      </c>
      <c r="D2412" t="s">
        <v>130</v>
      </c>
      <c r="E2412">
        <v>15</v>
      </c>
      <c r="F2412">
        <v>14</v>
      </c>
      <c r="G2412">
        <v>0.93</v>
      </c>
      <c r="H2412">
        <v>12</v>
      </c>
      <c r="I2412">
        <v>5000</v>
      </c>
      <c r="J2412">
        <v>1000</v>
      </c>
      <c r="K2412" t="s">
        <v>162</v>
      </c>
      <c r="L2412" t="s">
        <v>91</v>
      </c>
      <c r="M2412" t="s">
        <v>41</v>
      </c>
      <c r="N2412" t="b">
        <v>1</v>
      </c>
      <c r="O2412" t="s">
        <v>180</v>
      </c>
    </row>
    <row r="2413" spans="1:15" ht="15" customHeight="1">
      <c r="A2413" t="s">
        <v>1371</v>
      </c>
      <c r="B2413" t="s">
        <v>3012</v>
      </c>
      <c r="C2413" t="s">
        <v>81</v>
      </c>
      <c r="D2413" t="s">
        <v>69</v>
      </c>
      <c r="E2413">
        <v>19</v>
      </c>
      <c r="F2413">
        <v>4.0999999999999996</v>
      </c>
      <c r="G2413">
        <v>0.22</v>
      </c>
      <c r="H2413">
        <v>15</v>
      </c>
      <c r="I2413">
        <v>10000</v>
      </c>
      <c r="J2413">
        <v>3000</v>
      </c>
      <c r="K2413" t="s">
        <v>112</v>
      </c>
      <c r="L2413" t="s">
        <v>104</v>
      </c>
      <c r="M2413" t="s">
        <v>43</v>
      </c>
      <c r="N2413" t="b">
        <v>0</v>
      </c>
      <c r="O2413" t="s">
        <v>234</v>
      </c>
    </row>
    <row r="2414" spans="1:15" ht="15" customHeight="1">
      <c r="A2414" t="s">
        <v>988</v>
      </c>
      <c r="B2414" t="s">
        <v>3013</v>
      </c>
      <c r="C2414" t="s">
        <v>149</v>
      </c>
      <c r="D2414" t="s">
        <v>69</v>
      </c>
      <c r="E2414">
        <v>9</v>
      </c>
      <c r="F2414">
        <v>6.6</v>
      </c>
      <c r="G2414">
        <v>0.73</v>
      </c>
      <c r="H2414">
        <v>22</v>
      </c>
      <c r="I2414">
        <v>3000</v>
      </c>
      <c r="J2414">
        <v>1000</v>
      </c>
      <c r="K2414" t="s">
        <v>556</v>
      </c>
      <c r="L2414" t="s">
        <v>104</v>
      </c>
      <c r="M2414" t="s">
        <v>50</v>
      </c>
      <c r="N2414" t="b">
        <v>0</v>
      </c>
      <c r="O2414" t="s">
        <v>313</v>
      </c>
    </row>
    <row r="2415" spans="1:15" ht="15" customHeight="1">
      <c r="A2415" t="s">
        <v>568</v>
      </c>
      <c r="B2415" t="s">
        <v>3014</v>
      </c>
      <c r="C2415" t="s">
        <v>68</v>
      </c>
      <c r="D2415" t="s">
        <v>69</v>
      </c>
      <c r="E2415">
        <v>9</v>
      </c>
      <c r="F2415">
        <v>2.6</v>
      </c>
      <c r="G2415">
        <v>0.28999999999999998</v>
      </c>
      <c r="H2415">
        <v>1</v>
      </c>
      <c r="I2415">
        <v>30000</v>
      </c>
      <c r="J2415">
        <v>5000</v>
      </c>
      <c r="K2415" t="s">
        <v>70</v>
      </c>
      <c r="L2415" t="s">
        <v>77</v>
      </c>
      <c r="M2415" t="s">
        <v>41</v>
      </c>
      <c r="N2415" t="b">
        <v>0</v>
      </c>
      <c r="O2415" t="s">
        <v>72</v>
      </c>
    </row>
    <row r="2416" spans="1:15" ht="15" customHeight="1">
      <c r="A2416" t="s">
        <v>609</v>
      </c>
      <c r="B2416" t="s">
        <v>3015</v>
      </c>
      <c r="C2416" t="s">
        <v>149</v>
      </c>
      <c r="D2416" t="s">
        <v>69</v>
      </c>
      <c r="E2416">
        <v>10</v>
      </c>
      <c r="F2416">
        <v>8</v>
      </c>
      <c r="G2416">
        <v>0.8</v>
      </c>
      <c r="H2416">
        <v>40</v>
      </c>
      <c r="I2416">
        <v>3000</v>
      </c>
      <c r="J2416">
        <v>1000</v>
      </c>
      <c r="K2416" t="s">
        <v>95</v>
      </c>
      <c r="L2416" t="s">
        <v>91</v>
      </c>
      <c r="M2416" t="s">
        <v>40</v>
      </c>
      <c r="N2416" t="b">
        <v>1</v>
      </c>
      <c r="O2416" t="s">
        <v>217</v>
      </c>
    </row>
    <row r="2417" spans="1:15" ht="15" customHeight="1">
      <c r="A2417" t="s">
        <v>1012</v>
      </c>
      <c r="B2417" t="s">
        <v>3016</v>
      </c>
      <c r="C2417" t="s">
        <v>81</v>
      </c>
      <c r="D2417" t="s">
        <v>69</v>
      </c>
      <c r="E2417">
        <v>16</v>
      </c>
      <c r="F2417">
        <v>13.5</v>
      </c>
      <c r="G2417">
        <v>0.84</v>
      </c>
      <c r="H2417">
        <v>7</v>
      </c>
      <c r="I2417">
        <v>10000</v>
      </c>
      <c r="J2417">
        <v>3000</v>
      </c>
      <c r="K2417" t="s">
        <v>82</v>
      </c>
      <c r="L2417" t="s">
        <v>96</v>
      </c>
      <c r="M2417" t="s">
        <v>41</v>
      </c>
      <c r="N2417" t="b">
        <v>0</v>
      </c>
      <c r="O2417" t="s">
        <v>83</v>
      </c>
    </row>
    <row r="2418" spans="1:15" ht="15" customHeight="1">
      <c r="A2418" t="s">
        <v>414</v>
      </c>
      <c r="B2418" t="s">
        <v>3017</v>
      </c>
      <c r="C2418" t="s">
        <v>81</v>
      </c>
      <c r="D2418" t="s">
        <v>69</v>
      </c>
      <c r="E2418">
        <v>9</v>
      </c>
      <c r="F2418">
        <v>5.9</v>
      </c>
      <c r="G2418">
        <v>0.66</v>
      </c>
      <c r="H2418">
        <v>19</v>
      </c>
      <c r="I2418">
        <v>10000</v>
      </c>
      <c r="J2418">
        <v>3000</v>
      </c>
      <c r="K2418" t="s">
        <v>309</v>
      </c>
      <c r="L2418" t="s">
        <v>117</v>
      </c>
      <c r="M2418" t="s">
        <v>46</v>
      </c>
      <c r="N2418" t="b">
        <v>1</v>
      </c>
      <c r="O2418" t="s">
        <v>310</v>
      </c>
    </row>
    <row r="2419" spans="1:15" ht="15" customHeight="1">
      <c r="A2419" t="s">
        <v>1672</v>
      </c>
      <c r="B2419" t="s">
        <v>3018</v>
      </c>
      <c r="C2419" t="s">
        <v>68</v>
      </c>
      <c r="D2419" t="s">
        <v>69</v>
      </c>
      <c r="E2419">
        <v>10</v>
      </c>
      <c r="F2419">
        <v>3.9</v>
      </c>
      <c r="G2419">
        <v>0.39</v>
      </c>
      <c r="H2419">
        <v>2</v>
      </c>
      <c r="I2419">
        <v>30000</v>
      </c>
      <c r="J2419">
        <v>5000</v>
      </c>
      <c r="K2419" t="s">
        <v>162</v>
      </c>
      <c r="L2419" t="s">
        <v>117</v>
      </c>
      <c r="M2419" t="s">
        <v>43</v>
      </c>
      <c r="N2419" t="b">
        <v>1</v>
      </c>
      <c r="O2419" t="s">
        <v>163</v>
      </c>
    </row>
    <row r="2420" spans="1:15" ht="15" customHeight="1">
      <c r="A2420" t="s">
        <v>110</v>
      </c>
      <c r="B2420" t="s">
        <v>3019</v>
      </c>
      <c r="C2420" t="s">
        <v>149</v>
      </c>
      <c r="D2420" t="s">
        <v>69</v>
      </c>
      <c r="E2420">
        <v>8</v>
      </c>
      <c r="F2420">
        <v>7.7</v>
      </c>
      <c r="G2420">
        <v>0.96</v>
      </c>
      <c r="H2420">
        <v>34</v>
      </c>
      <c r="I2420">
        <v>3000</v>
      </c>
      <c r="J2420">
        <v>1000</v>
      </c>
      <c r="K2420" t="s">
        <v>433</v>
      </c>
      <c r="L2420" t="s">
        <v>100</v>
      </c>
      <c r="M2420" t="s">
        <v>43</v>
      </c>
      <c r="N2420" t="b">
        <v>0</v>
      </c>
      <c r="O2420" t="s">
        <v>434</v>
      </c>
    </row>
    <row r="2421" spans="1:15" ht="15" customHeight="1">
      <c r="A2421" t="s">
        <v>1672</v>
      </c>
      <c r="B2421" t="s">
        <v>3020</v>
      </c>
      <c r="C2421" t="s">
        <v>149</v>
      </c>
      <c r="D2421" t="s">
        <v>69</v>
      </c>
      <c r="E2421">
        <v>12</v>
      </c>
      <c r="F2421">
        <v>8.6999999999999993</v>
      </c>
      <c r="G2421">
        <v>0.72</v>
      </c>
      <c r="H2421">
        <v>24</v>
      </c>
      <c r="I2421">
        <v>3000</v>
      </c>
      <c r="J2421">
        <v>1000</v>
      </c>
      <c r="K2421" t="s">
        <v>490</v>
      </c>
      <c r="L2421" t="s">
        <v>117</v>
      </c>
      <c r="M2421" t="s">
        <v>43</v>
      </c>
      <c r="N2421" t="b">
        <v>1</v>
      </c>
      <c r="O2421" t="s">
        <v>491</v>
      </c>
    </row>
    <row r="2422" spans="1:15" ht="15" customHeight="1">
      <c r="A2422" t="s">
        <v>765</v>
      </c>
      <c r="B2422" t="s">
        <v>3021</v>
      </c>
      <c r="C2422" t="s">
        <v>75</v>
      </c>
      <c r="D2422" t="s">
        <v>69</v>
      </c>
      <c r="E2422">
        <v>12</v>
      </c>
      <c r="F2422">
        <v>11.2</v>
      </c>
      <c r="G2422">
        <v>0.93</v>
      </c>
      <c r="H2422">
        <v>29</v>
      </c>
      <c r="I2422">
        <v>2000</v>
      </c>
      <c r="J2422">
        <v>1500</v>
      </c>
      <c r="K2422" t="s">
        <v>519</v>
      </c>
      <c r="L2422" t="s">
        <v>71</v>
      </c>
      <c r="M2422" t="s">
        <v>42</v>
      </c>
      <c r="N2422" t="b">
        <v>0</v>
      </c>
      <c r="O2422" t="s">
        <v>520</v>
      </c>
    </row>
    <row r="2423" spans="1:15" ht="15" customHeight="1">
      <c r="A2423" t="s">
        <v>699</v>
      </c>
      <c r="B2423" t="s">
        <v>3022</v>
      </c>
      <c r="C2423" t="s">
        <v>81</v>
      </c>
      <c r="D2423" t="s">
        <v>69</v>
      </c>
      <c r="E2423">
        <v>16</v>
      </c>
      <c r="F2423">
        <v>9.6999999999999993</v>
      </c>
      <c r="G2423">
        <v>0.61</v>
      </c>
      <c r="H2423">
        <v>26</v>
      </c>
      <c r="I2423">
        <v>10000</v>
      </c>
      <c r="J2423">
        <v>3000</v>
      </c>
      <c r="K2423" t="s">
        <v>525</v>
      </c>
      <c r="L2423" t="s">
        <v>77</v>
      </c>
      <c r="M2423" t="s">
        <v>40</v>
      </c>
      <c r="N2423" t="b">
        <v>0</v>
      </c>
      <c r="O2423" t="s">
        <v>526</v>
      </c>
    </row>
    <row r="2424" spans="1:15" ht="15" customHeight="1">
      <c r="A2424" t="s">
        <v>458</v>
      </c>
      <c r="B2424" t="s">
        <v>3023</v>
      </c>
      <c r="C2424" t="s">
        <v>68</v>
      </c>
      <c r="D2424" t="s">
        <v>69</v>
      </c>
      <c r="E2424">
        <v>8</v>
      </c>
      <c r="F2424">
        <v>1.1000000000000001</v>
      </c>
      <c r="G2424">
        <v>0.14000000000000001</v>
      </c>
      <c r="H2424">
        <v>1</v>
      </c>
      <c r="I2424">
        <v>30000</v>
      </c>
      <c r="J2424">
        <v>5000</v>
      </c>
      <c r="K2424" t="s">
        <v>70</v>
      </c>
      <c r="L2424" t="s">
        <v>77</v>
      </c>
      <c r="M2424" t="s">
        <v>41</v>
      </c>
      <c r="N2424" t="b">
        <v>0</v>
      </c>
      <c r="O2424" t="s">
        <v>72</v>
      </c>
    </row>
    <row r="2425" spans="1:15" ht="15" customHeight="1">
      <c r="A2425" t="s">
        <v>570</v>
      </c>
      <c r="B2425" t="s">
        <v>3024</v>
      </c>
      <c r="C2425" t="s">
        <v>68</v>
      </c>
      <c r="D2425" t="s">
        <v>69</v>
      </c>
      <c r="E2425">
        <v>11</v>
      </c>
      <c r="F2425">
        <v>1.3</v>
      </c>
      <c r="G2425">
        <v>0.12</v>
      </c>
      <c r="H2425">
        <v>2</v>
      </c>
      <c r="I2425">
        <v>30000</v>
      </c>
      <c r="J2425">
        <v>5000</v>
      </c>
      <c r="K2425" t="s">
        <v>162</v>
      </c>
      <c r="L2425" t="s">
        <v>96</v>
      </c>
      <c r="M2425" t="s">
        <v>44</v>
      </c>
      <c r="N2425" t="b">
        <v>0</v>
      </c>
      <c r="O2425" t="s">
        <v>163</v>
      </c>
    </row>
    <row r="2426" spans="1:15" ht="15" customHeight="1">
      <c r="A2426" t="s">
        <v>1026</v>
      </c>
      <c r="B2426" t="s">
        <v>3025</v>
      </c>
      <c r="C2426" t="s">
        <v>129</v>
      </c>
      <c r="D2426" t="s">
        <v>130</v>
      </c>
      <c r="E2426">
        <v>15</v>
      </c>
      <c r="F2426">
        <v>12.2</v>
      </c>
      <c r="G2426">
        <v>0.81</v>
      </c>
      <c r="H2426">
        <v>20</v>
      </c>
      <c r="I2426">
        <v>5000</v>
      </c>
      <c r="J2426">
        <v>1000</v>
      </c>
      <c r="K2426" t="s">
        <v>103</v>
      </c>
      <c r="L2426" t="s">
        <v>96</v>
      </c>
      <c r="M2426" t="s">
        <v>50</v>
      </c>
      <c r="N2426" t="b">
        <v>0</v>
      </c>
      <c r="O2426" t="s">
        <v>169</v>
      </c>
    </row>
    <row r="2427" spans="1:15" ht="15" customHeight="1">
      <c r="A2427" t="s">
        <v>1504</v>
      </c>
      <c r="B2427" t="s">
        <v>3026</v>
      </c>
      <c r="C2427" t="s">
        <v>75</v>
      </c>
      <c r="D2427" t="s">
        <v>69</v>
      </c>
      <c r="E2427">
        <v>10</v>
      </c>
      <c r="F2427">
        <v>3.8</v>
      </c>
      <c r="G2427">
        <v>0.38</v>
      </c>
      <c r="H2427">
        <v>20</v>
      </c>
      <c r="I2427">
        <v>2000</v>
      </c>
      <c r="J2427">
        <v>1500</v>
      </c>
      <c r="K2427" t="s">
        <v>76</v>
      </c>
      <c r="L2427" t="s">
        <v>104</v>
      </c>
      <c r="M2427" t="s">
        <v>46</v>
      </c>
      <c r="N2427" t="b">
        <v>0</v>
      </c>
      <c r="O2427" t="s">
        <v>78</v>
      </c>
    </row>
    <row r="2428" spans="1:15" ht="15" customHeight="1">
      <c r="A2428" t="s">
        <v>239</v>
      </c>
      <c r="B2428" t="s">
        <v>3027</v>
      </c>
      <c r="C2428" t="s">
        <v>129</v>
      </c>
      <c r="D2428" t="s">
        <v>130</v>
      </c>
      <c r="E2428">
        <v>17</v>
      </c>
      <c r="F2428">
        <v>3.9</v>
      </c>
      <c r="G2428">
        <v>0.23</v>
      </c>
      <c r="H2428">
        <v>21</v>
      </c>
      <c r="I2428">
        <v>5000</v>
      </c>
      <c r="J2428">
        <v>1000</v>
      </c>
      <c r="K2428" t="s">
        <v>131</v>
      </c>
      <c r="L2428" t="s">
        <v>71</v>
      </c>
      <c r="M2428" t="s">
        <v>51</v>
      </c>
      <c r="N2428" t="b">
        <v>0</v>
      </c>
      <c r="O2428" t="s">
        <v>132</v>
      </c>
    </row>
    <row r="2429" spans="1:15" ht="15" customHeight="1">
      <c r="A2429" t="s">
        <v>705</v>
      </c>
      <c r="B2429" t="s">
        <v>3028</v>
      </c>
      <c r="C2429" t="s">
        <v>68</v>
      </c>
      <c r="D2429" t="s">
        <v>69</v>
      </c>
      <c r="E2429">
        <v>9</v>
      </c>
      <c r="F2429">
        <v>2.2000000000000002</v>
      </c>
      <c r="G2429">
        <v>0.24</v>
      </c>
      <c r="H2429">
        <v>5</v>
      </c>
      <c r="I2429">
        <v>30000</v>
      </c>
      <c r="J2429">
        <v>5000</v>
      </c>
      <c r="K2429" t="s">
        <v>112</v>
      </c>
      <c r="L2429" t="s">
        <v>71</v>
      </c>
      <c r="M2429" t="s">
        <v>41</v>
      </c>
      <c r="N2429" t="b">
        <v>0</v>
      </c>
      <c r="O2429" t="s">
        <v>113</v>
      </c>
    </row>
    <row r="2430" spans="1:15" ht="15" customHeight="1">
      <c r="A2430" t="s">
        <v>414</v>
      </c>
      <c r="B2430" t="s">
        <v>3029</v>
      </c>
      <c r="C2430" t="s">
        <v>81</v>
      </c>
      <c r="D2430" t="s">
        <v>69</v>
      </c>
      <c r="E2430">
        <v>20</v>
      </c>
      <c r="F2430">
        <v>19.8</v>
      </c>
      <c r="G2430">
        <v>0.99</v>
      </c>
      <c r="H2430">
        <v>28</v>
      </c>
      <c r="I2430">
        <v>10000</v>
      </c>
      <c r="J2430">
        <v>3000</v>
      </c>
      <c r="K2430" t="s">
        <v>966</v>
      </c>
      <c r="L2430" t="s">
        <v>117</v>
      </c>
      <c r="M2430" t="s">
        <v>46</v>
      </c>
      <c r="N2430" t="b">
        <v>1</v>
      </c>
      <c r="O2430" t="s">
        <v>967</v>
      </c>
    </row>
    <row r="2431" spans="1:15" ht="15" customHeight="1">
      <c r="A2431" t="s">
        <v>580</v>
      </c>
      <c r="B2431" t="s">
        <v>3030</v>
      </c>
      <c r="C2431" t="s">
        <v>68</v>
      </c>
      <c r="D2431" t="s">
        <v>69</v>
      </c>
      <c r="E2431">
        <v>14</v>
      </c>
      <c r="F2431">
        <v>3.8</v>
      </c>
      <c r="G2431">
        <v>0.27</v>
      </c>
      <c r="H2431">
        <v>4</v>
      </c>
      <c r="I2431">
        <v>30000</v>
      </c>
      <c r="J2431">
        <v>5000</v>
      </c>
      <c r="K2431" t="s">
        <v>95</v>
      </c>
      <c r="L2431" t="s">
        <v>96</v>
      </c>
      <c r="M2431" t="s">
        <v>43</v>
      </c>
      <c r="N2431" t="b">
        <v>0</v>
      </c>
      <c r="O2431" t="s">
        <v>97</v>
      </c>
    </row>
    <row r="2432" spans="1:15" ht="15" customHeight="1">
      <c r="A2432" t="s">
        <v>374</v>
      </c>
      <c r="B2432" t="s">
        <v>3031</v>
      </c>
      <c r="C2432" t="s">
        <v>149</v>
      </c>
      <c r="D2432" t="s">
        <v>69</v>
      </c>
      <c r="E2432">
        <v>9</v>
      </c>
      <c r="F2432">
        <v>8.6</v>
      </c>
      <c r="G2432">
        <v>0.96</v>
      </c>
      <c r="H2432">
        <v>23</v>
      </c>
      <c r="I2432">
        <v>3000</v>
      </c>
      <c r="J2432">
        <v>1000</v>
      </c>
      <c r="K2432" t="s">
        <v>229</v>
      </c>
      <c r="L2432" t="s">
        <v>104</v>
      </c>
      <c r="M2432" t="s">
        <v>42</v>
      </c>
      <c r="N2432" t="b">
        <v>0</v>
      </c>
      <c r="O2432" t="s">
        <v>249</v>
      </c>
    </row>
    <row r="2433" spans="1:15" ht="15" customHeight="1">
      <c r="A2433" t="s">
        <v>232</v>
      </c>
      <c r="B2433" t="s">
        <v>3032</v>
      </c>
      <c r="C2433" t="s">
        <v>68</v>
      </c>
      <c r="D2433" t="s">
        <v>69</v>
      </c>
      <c r="E2433">
        <v>9</v>
      </c>
      <c r="F2433">
        <v>0.7</v>
      </c>
      <c r="G2433">
        <v>0.08</v>
      </c>
      <c r="H2433">
        <v>2</v>
      </c>
      <c r="I2433">
        <v>30000</v>
      </c>
      <c r="J2433">
        <v>5000</v>
      </c>
      <c r="K2433" t="s">
        <v>162</v>
      </c>
      <c r="L2433" t="s">
        <v>91</v>
      </c>
      <c r="M2433" t="s">
        <v>45</v>
      </c>
      <c r="N2433" t="b">
        <v>1</v>
      </c>
      <c r="O2433" t="s">
        <v>163</v>
      </c>
    </row>
    <row r="2434" spans="1:15" ht="15" customHeight="1">
      <c r="A2434" t="s">
        <v>1365</v>
      </c>
      <c r="B2434" t="s">
        <v>3033</v>
      </c>
      <c r="C2434" t="s">
        <v>75</v>
      </c>
      <c r="D2434" t="s">
        <v>69</v>
      </c>
      <c r="E2434">
        <v>18</v>
      </c>
      <c r="F2434">
        <v>10.6</v>
      </c>
      <c r="G2434">
        <v>0.59</v>
      </c>
      <c r="H2434">
        <v>30</v>
      </c>
      <c r="I2434">
        <v>2000</v>
      </c>
      <c r="J2434">
        <v>1500</v>
      </c>
      <c r="K2434" t="s">
        <v>162</v>
      </c>
      <c r="L2434" t="s">
        <v>77</v>
      </c>
      <c r="M2434" t="s">
        <v>43</v>
      </c>
      <c r="N2434" t="b">
        <v>0</v>
      </c>
      <c r="O2434" t="s">
        <v>510</v>
      </c>
    </row>
    <row r="2435" spans="1:15" ht="15" customHeight="1">
      <c r="A2435" t="s">
        <v>542</v>
      </c>
      <c r="B2435" t="s">
        <v>3034</v>
      </c>
      <c r="C2435" t="s">
        <v>75</v>
      </c>
      <c r="D2435" t="s">
        <v>69</v>
      </c>
      <c r="E2435">
        <v>15</v>
      </c>
      <c r="F2435">
        <v>8.8000000000000007</v>
      </c>
      <c r="G2435">
        <v>0.59</v>
      </c>
      <c r="H2435">
        <v>11</v>
      </c>
      <c r="I2435">
        <v>2000</v>
      </c>
      <c r="J2435">
        <v>1500</v>
      </c>
      <c r="K2435" t="s">
        <v>689</v>
      </c>
      <c r="L2435" t="s">
        <v>77</v>
      </c>
      <c r="M2435" t="s">
        <v>44</v>
      </c>
      <c r="N2435" t="b">
        <v>0</v>
      </c>
      <c r="O2435" t="s">
        <v>690</v>
      </c>
    </row>
    <row r="2436" spans="1:15" ht="15" customHeight="1">
      <c r="A2436" t="s">
        <v>565</v>
      </c>
      <c r="B2436" t="s">
        <v>3035</v>
      </c>
      <c r="C2436" t="s">
        <v>81</v>
      </c>
      <c r="D2436" t="s">
        <v>69</v>
      </c>
      <c r="E2436">
        <v>16</v>
      </c>
      <c r="F2436">
        <v>5.4</v>
      </c>
      <c r="G2436">
        <v>0.34</v>
      </c>
      <c r="H2436">
        <v>9</v>
      </c>
      <c r="I2436">
        <v>10000</v>
      </c>
      <c r="J2436">
        <v>3000</v>
      </c>
      <c r="K2436" t="s">
        <v>108</v>
      </c>
      <c r="L2436" t="s">
        <v>96</v>
      </c>
      <c r="M2436" t="s">
        <v>42</v>
      </c>
      <c r="N2436" t="b">
        <v>0</v>
      </c>
      <c r="O2436" t="s">
        <v>303</v>
      </c>
    </row>
    <row r="2437" spans="1:15" ht="15" customHeight="1">
      <c r="A2437" t="s">
        <v>232</v>
      </c>
      <c r="B2437" t="s">
        <v>3036</v>
      </c>
      <c r="C2437" t="s">
        <v>129</v>
      </c>
      <c r="D2437" t="s">
        <v>130</v>
      </c>
      <c r="E2437">
        <v>10</v>
      </c>
      <c r="F2437">
        <v>6.1</v>
      </c>
      <c r="G2437">
        <v>0.61</v>
      </c>
      <c r="H2437">
        <v>7</v>
      </c>
      <c r="I2437">
        <v>5000</v>
      </c>
      <c r="J2437">
        <v>1000</v>
      </c>
      <c r="K2437" t="s">
        <v>1135</v>
      </c>
      <c r="L2437" t="s">
        <v>91</v>
      </c>
      <c r="M2437" t="s">
        <v>45</v>
      </c>
      <c r="N2437" t="b">
        <v>1</v>
      </c>
      <c r="O2437" t="s">
        <v>862</v>
      </c>
    </row>
    <row r="2438" spans="1:15" ht="15" customHeight="1">
      <c r="A2438" t="s">
        <v>340</v>
      </c>
      <c r="B2438" t="s">
        <v>3037</v>
      </c>
      <c r="C2438" t="s">
        <v>75</v>
      </c>
      <c r="D2438" t="s">
        <v>69</v>
      </c>
      <c r="E2438">
        <v>13</v>
      </c>
      <c r="F2438">
        <v>5.9</v>
      </c>
      <c r="G2438">
        <v>0.45</v>
      </c>
      <c r="H2438">
        <v>12</v>
      </c>
      <c r="I2438">
        <v>2000</v>
      </c>
      <c r="J2438">
        <v>1500</v>
      </c>
      <c r="K2438" t="s">
        <v>265</v>
      </c>
      <c r="L2438" t="s">
        <v>117</v>
      </c>
      <c r="M2438" t="s">
        <v>45</v>
      </c>
      <c r="N2438" t="b">
        <v>1</v>
      </c>
      <c r="O2438" t="s">
        <v>266</v>
      </c>
    </row>
    <row r="2439" spans="1:15" ht="15" customHeight="1">
      <c r="A2439" t="s">
        <v>1022</v>
      </c>
      <c r="B2439" t="s">
        <v>3038</v>
      </c>
      <c r="C2439" t="s">
        <v>68</v>
      </c>
      <c r="D2439" t="s">
        <v>69</v>
      </c>
      <c r="E2439">
        <v>13</v>
      </c>
      <c r="F2439">
        <v>1.8</v>
      </c>
      <c r="G2439">
        <v>0.14000000000000001</v>
      </c>
      <c r="H2439">
        <v>1</v>
      </c>
      <c r="I2439">
        <v>30000</v>
      </c>
      <c r="J2439">
        <v>5000</v>
      </c>
      <c r="K2439" t="s">
        <v>70</v>
      </c>
      <c r="L2439" t="s">
        <v>104</v>
      </c>
      <c r="M2439" t="s">
        <v>41</v>
      </c>
      <c r="N2439" t="b">
        <v>0</v>
      </c>
      <c r="O2439" t="s">
        <v>72</v>
      </c>
    </row>
    <row r="2440" spans="1:15" ht="15" customHeight="1">
      <c r="A2440" t="s">
        <v>1544</v>
      </c>
      <c r="B2440" t="s">
        <v>3039</v>
      </c>
      <c r="C2440" t="s">
        <v>129</v>
      </c>
      <c r="D2440" t="s">
        <v>130</v>
      </c>
      <c r="E2440">
        <v>11</v>
      </c>
      <c r="F2440">
        <v>8.9</v>
      </c>
      <c r="G2440">
        <v>0.81</v>
      </c>
      <c r="H2440">
        <v>6</v>
      </c>
      <c r="I2440">
        <v>5000</v>
      </c>
      <c r="J2440">
        <v>1000</v>
      </c>
      <c r="K2440" t="s">
        <v>70</v>
      </c>
      <c r="L2440" t="s">
        <v>100</v>
      </c>
      <c r="M2440" t="s">
        <v>42</v>
      </c>
      <c r="N2440" t="b">
        <v>0</v>
      </c>
      <c r="O2440" t="s">
        <v>331</v>
      </c>
    </row>
    <row r="2441" spans="1:15" ht="15" customHeight="1">
      <c r="A2441" t="s">
        <v>799</v>
      </c>
      <c r="B2441" t="s">
        <v>3040</v>
      </c>
      <c r="C2441" t="s">
        <v>75</v>
      </c>
      <c r="D2441" t="s">
        <v>69</v>
      </c>
      <c r="E2441">
        <v>9</v>
      </c>
      <c r="F2441">
        <v>7</v>
      </c>
      <c r="G2441">
        <v>0.78</v>
      </c>
      <c r="H2441">
        <v>25</v>
      </c>
      <c r="I2441">
        <v>2000</v>
      </c>
      <c r="J2441">
        <v>1500</v>
      </c>
      <c r="K2441" t="s">
        <v>158</v>
      </c>
      <c r="L2441" t="s">
        <v>77</v>
      </c>
      <c r="M2441" t="s">
        <v>46</v>
      </c>
      <c r="N2441" t="b">
        <v>0</v>
      </c>
      <c r="O2441" t="s">
        <v>400</v>
      </c>
    </row>
    <row r="2442" spans="1:15" ht="15" customHeight="1">
      <c r="A2442" t="s">
        <v>263</v>
      </c>
      <c r="B2442" t="s">
        <v>3041</v>
      </c>
      <c r="C2442" t="s">
        <v>75</v>
      </c>
      <c r="D2442" t="s">
        <v>69</v>
      </c>
      <c r="E2442">
        <v>14</v>
      </c>
      <c r="F2442">
        <v>8.6999999999999993</v>
      </c>
      <c r="G2442">
        <v>0.62</v>
      </c>
      <c r="H2442">
        <v>8</v>
      </c>
      <c r="I2442">
        <v>2000</v>
      </c>
      <c r="J2442">
        <v>1500</v>
      </c>
      <c r="K2442" t="s">
        <v>275</v>
      </c>
      <c r="L2442" t="s">
        <v>96</v>
      </c>
      <c r="M2442" t="s">
        <v>44</v>
      </c>
      <c r="N2442" t="b">
        <v>0</v>
      </c>
      <c r="O2442" t="s">
        <v>276</v>
      </c>
    </row>
    <row r="2443" spans="1:15" ht="15" customHeight="1">
      <c r="A2443" t="s">
        <v>1711</v>
      </c>
      <c r="B2443" t="s">
        <v>3042</v>
      </c>
      <c r="C2443" t="s">
        <v>81</v>
      </c>
      <c r="D2443" t="s">
        <v>69</v>
      </c>
      <c r="E2443">
        <v>17</v>
      </c>
      <c r="F2443">
        <v>3.9</v>
      </c>
      <c r="G2443">
        <v>0.23</v>
      </c>
      <c r="H2443">
        <v>27</v>
      </c>
      <c r="I2443">
        <v>10000</v>
      </c>
      <c r="J2443">
        <v>3000</v>
      </c>
      <c r="K2443" t="s">
        <v>125</v>
      </c>
      <c r="L2443" t="s">
        <v>96</v>
      </c>
      <c r="M2443" t="s">
        <v>47</v>
      </c>
      <c r="N2443" t="b">
        <v>0</v>
      </c>
      <c r="O2443" t="s">
        <v>126</v>
      </c>
    </row>
    <row r="2444" spans="1:15" ht="15" customHeight="1">
      <c r="A2444" t="s">
        <v>263</v>
      </c>
      <c r="B2444" t="s">
        <v>3043</v>
      </c>
      <c r="C2444" t="s">
        <v>149</v>
      </c>
      <c r="D2444" t="s">
        <v>69</v>
      </c>
      <c r="E2444">
        <v>10</v>
      </c>
      <c r="F2444">
        <v>7.6</v>
      </c>
      <c r="G2444">
        <v>0.76</v>
      </c>
      <c r="H2444">
        <v>39</v>
      </c>
      <c r="I2444">
        <v>3000</v>
      </c>
      <c r="J2444">
        <v>1000</v>
      </c>
      <c r="K2444" t="s">
        <v>257</v>
      </c>
      <c r="L2444" t="s">
        <v>96</v>
      </c>
      <c r="M2444" t="s">
        <v>44</v>
      </c>
      <c r="N2444" t="b">
        <v>0</v>
      </c>
      <c r="O2444" t="s">
        <v>258</v>
      </c>
    </row>
    <row r="2445" spans="1:15" ht="15" customHeight="1">
      <c r="A2445" t="s">
        <v>1258</v>
      </c>
      <c r="B2445" t="s">
        <v>3044</v>
      </c>
      <c r="C2445" t="s">
        <v>75</v>
      </c>
      <c r="D2445" t="s">
        <v>69</v>
      </c>
      <c r="E2445">
        <v>20</v>
      </c>
      <c r="F2445">
        <v>5</v>
      </c>
      <c r="G2445">
        <v>0.25</v>
      </c>
      <c r="H2445">
        <v>7</v>
      </c>
      <c r="I2445">
        <v>2000</v>
      </c>
      <c r="J2445">
        <v>1500</v>
      </c>
      <c r="K2445" t="s">
        <v>241</v>
      </c>
      <c r="L2445" t="s">
        <v>91</v>
      </c>
      <c r="M2445" t="s">
        <v>48</v>
      </c>
      <c r="N2445" t="b">
        <v>1</v>
      </c>
      <c r="O2445" t="s">
        <v>242</v>
      </c>
    </row>
    <row r="2446" spans="1:15" ht="15" customHeight="1">
      <c r="A2446" t="s">
        <v>1500</v>
      </c>
      <c r="B2446" t="s">
        <v>3045</v>
      </c>
      <c r="C2446" t="s">
        <v>149</v>
      </c>
      <c r="D2446" t="s">
        <v>69</v>
      </c>
      <c r="E2446">
        <v>10</v>
      </c>
      <c r="F2446">
        <v>9.4</v>
      </c>
      <c r="G2446">
        <v>0.94</v>
      </c>
      <c r="H2446">
        <v>31</v>
      </c>
      <c r="I2446">
        <v>3000</v>
      </c>
      <c r="J2446">
        <v>1000</v>
      </c>
      <c r="K2446" t="s">
        <v>530</v>
      </c>
      <c r="L2446" t="s">
        <v>117</v>
      </c>
      <c r="M2446" t="s">
        <v>51</v>
      </c>
      <c r="N2446" t="b">
        <v>1</v>
      </c>
      <c r="O2446" t="s">
        <v>531</v>
      </c>
    </row>
    <row r="2447" spans="1:15" ht="15" customHeight="1">
      <c r="A2447" t="s">
        <v>731</v>
      </c>
      <c r="B2447" t="s">
        <v>3046</v>
      </c>
      <c r="C2447" t="s">
        <v>68</v>
      </c>
      <c r="D2447" t="s">
        <v>69</v>
      </c>
      <c r="E2447">
        <v>11</v>
      </c>
      <c r="F2447">
        <v>0.6</v>
      </c>
      <c r="G2447">
        <v>0.05</v>
      </c>
      <c r="H2447">
        <v>3</v>
      </c>
      <c r="I2447">
        <v>30000</v>
      </c>
      <c r="J2447">
        <v>5000</v>
      </c>
      <c r="K2447" t="s">
        <v>108</v>
      </c>
      <c r="L2447" t="s">
        <v>117</v>
      </c>
      <c r="M2447" t="s">
        <v>44</v>
      </c>
      <c r="N2447" t="b">
        <v>1</v>
      </c>
      <c r="O2447" t="s">
        <v>109</v>
      </c>
    </row>
    <row r="2448" spans="1:15" ht="15" customHeight="1">
      <c r="A2448" t="s">
        <v>1250</v>
      </c>
      <c r="B2448" t="s">
        <v>3047</v>
      </c>
      <c r="C2448" t="s">
        <v>75</v>
      </c>
      <c r="D2448" t="s">
        <v>69</v>
      </c>
      <c r="E2448">
        <v>15</v>
      </c>
      <c r="F2448">
        <v>8.3000000000000007</v>
      </c>
      <c r="G2448">
        <v>0.55000000000000004</v>
      </c>
      <c r="H2448">
        <v>24</v>
      </c>
      <c r="I2448">
        <v>2000</v>
      </c>
      <c r="J2448">
        <v>1500</v>
      </c>
      <c r="K2448" t="s">
        <v>361</v>
      </c>
      <c r="L2448" t="s">
        <v>96</v>
      </c>
      <c r="M2448" t="s">
        <v>41</v>
      </c>
      <c r="N2448" t="b">
        <v>0</v>
      </c>
      <c r="O2448" t="s">
        <v>362</v>
      </c>
    </row>
    <row r="2449" spans="1:15" ht="15" customHeight="1">
      <c r="A2449" t="s">
        <v>1080</v>
      </c>
      <c r="B2449" t="s">
        <v>3048</v>
      </c>
      <c r="C2449" t="s">
        <v>68</v>
      </c>
      <c r="D2449" t="s">
        <v>69</v>
      </c>
      <c r="E2449">
        <v>12</v>
      </c>
      <c r="F2449">
        <v>2.8</v>
      </c>
      <c r="G2449">
        <v>0.23</v>
      </c>
      <c r="H2449">
        <v>2</v>
      </c>
      <c r="I2449">
        <v>30000</v>
      </c>
      <c r="J2449">
        <v>5000</v>
      </c>
      <c r="K2449" t="s">
        <v>162</v>
      </c>
      <c r="L2449" t="s">
        <v>117</v>
      </c>
      <c r="M2449" t="s">
        <v>49</v>
      </c>
      <c r="N2449" t="b">
        <v>1</v>
      </c>
      <c r="O2449" t="s">
        <v>163</v>
      </c>
    </row>
    <row r="2450" spans="1:15" ht="15" customHeight="1">
      <c r="A2450" t="s">
        <v>230</v>
      </c>
      <c r="B2450" t="s">
        <v>3049</v>
      </c>
      <c r="C2450" t="s">
        <v>149</v>
      </c>
      <c r="D2450" t="s">
        <v>69</v>
      </c>
      <c r="E2450">
        <v>8</v>
      </c>
      <c r="F2450">
        <v>7</v>
      </c>
      <c r="G2450">
        <v>0.88</v>
      </c>
      <c r="H2450">
        <v>29</v>
      </c>
      <c r="I2450">
        <v>3000</v>
      </c>
      <c r="J2450">
        <v>1000</v>
      </c>
      <c r="K2450" t="s">
        <v>303</v>
      </c>
      <c r="L2450" t="s">
        <v>91</v>
      </c>
      <c r="M2450" t="s">
        <v>40</v>
      </c>
      <c r="N2450" t="b">
        <v>1</v>
      </c>
      <c r="O2450" t="s">
        <v>323</v>
      </c>
    </row>
    <row r="2451" spans="1:15" ht="15" customHeight="1">
      <c r="A2451" t="s">
        <v>304</v>
      </c>
      <c r="B2451" t="s">
        <v>3050</v>
      </c>
      <c r="C2451" t="s">
        <v>75</v>
      </c>
      <c r="D2451" t="s">
        <v>69</v>
      </c>
      <c r="E2451">
        <v>17</v>
      </c>
      <c r="F2451">
        <v>3.1</v>
      </c>
      <c r="G2451">
        <v>0.18</v>
      </c>
      <c r="H2451">
        <v>12</v>
      </c>
      <c r="I2451">
        <v>2000</v>
      </c>
      <c r="J2451">
        <v>1500</v>
      </c>
      <c r="K2451" t="s">
        <v>265</v>
      </c>
      <c r="L2451" t="s">
        <v>104</v>
      </c>
      <c r="M2451" t="s">
        <v>45</v>
      </c>
      <c r="N2451" t="b">
        <v>0</v>
      </c>
      <c r="O2451" t="s">
        <v>266</v>
      </c>
    </row>
    <row r="2452" spans="1:15" ht="15" customHeight="1">
      <c r="A2452" t="s">
        <v>1442</v>
      </c>
      <c r="B2452" t="s">
        <v>3051</v>
      </c>
      <c r="C2452" t="s">
        <v>149</v>
      </c>
      <c r="D2452" t="s">
        <v>69</v>
      </c>
      <c r="E2452">
        <v>9</v>
      </c>
      <c r="F2452">
        <v>8</v>
      </c>
      <c r="G2452">
        <v>0.89</v>
      </c>
      <c r="H2452">
        <v>28</v>
      </c>
      <c r="I2452">
        <v>3000</v>
      </c>
      <c r="J2452">
        <v>1000</v>
      </c>
      <c r="K2452" t="s">
        <v>176</v>
      </c>
      <c r="L2452" t="s">
        <v>104</v>
      </c>
      <c r="M2452" t="s">
        <v>47</v>
      </c>
      <c r="N2452" t="b">
        <v>0</v>
      </c>
      <c r="O2452" t="s">
        <v>177</v>
      </c>
    </row>
    <row r="2453" spans="1:15" ht="15" customHeight="1">
      <c r="A2453" t="s">
        <v>1411</v>
      </c>
      <c r="B2453" t="s">
        <v>3052</v>
      </c>
      <c r="C2453" t="s">
        <v>75</v>
      </c>
      <c r="D2453" t="s">
        <v>69</v>
      </c>
      <c r="E2453">
        <v>9</v>
      </c>
      <c r="F2453">
        <v>3.3</v>
      </c>
      <c r="G2453">
        <v>0.37</v>
      </c>
      <c r="H2453">
        <v>20</v>
      </c>
      <c r="I2453">
        <v>2000</v>
      </c>
      <c r="J2453">
        <v>1500</v>
      </c>
      <c r="K2453" t="s">
        <v>76</v>
      </c>
      <c r="L2453" t="s">
        <v>77</v>
      </c>
      <c r="M2453" t="s">
        <v>48</v>
      </c>
      <c r="N2453" t="b">
        <v>0</v>
      </c>
      <c r="O2453" t="s">
        <v>78</v>
      </c>
    </row>
    <row r="2454" spans="1:15" ht="15" customHeight="1">
      <c r="A2454" t="s">
        <v>1126</v>
      </c>
      <c r="B2454" t="s">
        <v>3053</v>
      </c>
      <c r="C2454" t="s">
        <v>75</v>
      </c>
      <c r="D2454" t="s">
        <v>69</v>
      </c>
      <c r="E2454">
        <v>10</v>
      </c>
      <c r="F2454">
        <v>9.1999999999999993</v>
      </c>
      <c r="G2454">
        <v>0.92</v>
      </c>
      <c r="H2454">
        <v>16</v>
      </c>
      <c r="I2454">
        <v>2000</v>
      </c>
      <c r="J2454">
        <v>1500</v>
      </c>
      <c r="K2454" t="s">
        <v>938</v>
      </c>
      <c r="L2454" t="s">
        <v>104</v>
      </c>
      <c r="M2454" t="s">
        <v>46</v>
      </c>
      <c r="N2454" t="b">
        <v>0</v>
      </c>
      <c r="O2454" t="s">
        <v>939</v>
      </c>
    </row>
    <row r="2455" spans="1:15" ht="15" customHeight="1">
      <c r="A2455" t="s">
        <v>416</v>
      </c>
      <c r="B2455" t="s">
        <v>3054</v>
      </c>
      <c r="C2455" t="s">
        <v>68</v>
      </c>
      <c r="D2455" t="s">
        <v>69</v>
      </c>
      <c r="E2455">
        <v>16</v>
      </c>
      <c r="F2455">
        <v>2.5</v>
      </c>
      <c r="G2455">
        <v>0.16</v>
      </c>
      <c r="H2455">
        <v>5</v>
      </c>
      <c r="I2455">
        <v>30000</v>
      </c>
      <c r="J2455">
        <v>5000</v>
      </c>
      <c r="K2455" t="s">
        <v>112</v>
      </c>
      <c r="L2455" t="s">
        <v>77</v>
      </c>
      <c r="M2455" t="s">
        <v>44</v>
      </c>
      <c r="N2455" t="b">
        <v>0</v>
      </c>
      <c r="O2455" t="s">
        <v>113</v>
      </c>
    </row>
    <row r="2456" spans="1:15" ht="15" customHeight="1">
      <c r="A2456" t="s">
        <v>1500</v>
      </c>
      <c r="B2456" t="s">
        <v>3055</v>
      </c>
      <c r="C2456" t="s">
        <v>75</v>
      </c>
      <c r="D2456" t="s">
        <v>69</v>
      </c>
      <c r="E2456">
        <v>11</v>
      </c>
      <c r="F2456">
        <v>4.5</v>
      </c>
      <c r="G2456">
        <v>0.41</v>
      </c>
      <c r="H2456">
        <v>18</v>
      </c>
      <c r="I2456">
        <v>2000</v>
      </c>
      <c r="J2456">
        <v>1500</v>
      </c>
      <c r="K2456" t="s">
        <v>225</v>
      </c>
      <c r="L2456" t="s">
        <v>117</v>
      </c>
      <c r="M2456" t="s">
        <v>51</v>
      </c>
      <c r="N2456" t="b">
        <v>1</v>
      </c>
      <c r="O2456" t="s">
        <v>226</v>
      </c>
    </row>
    <row r="2457" spans="1:15" ht="15" customHeight="1">
      <c r="A2457" t="s">
        <v>920</v>
      </c>
      <c r="B2457" t="s">
        <v>3056</v>
      </c>
      <c r="C2457" t="s">
        <v>68</v>
      </c>
      <c r="D2457" t="s">
        <v>69</v>
      </c>
      <c r="E2457">
        <v>8</v>
      </c>
      <c r="F2457">
        <v>2.6</v>
      </c>
      <c r="G2457">
        <v>0.33</v>
      </c>
      <c r="H2457">
        <v>1</v>
      </c>
      <c r="I2457">
        <v>30000</v>
      </c>
      <c r="J2457">
        <v>5000</v>
      </c>
      <c r="K2457" t="s">
        <v>70</v>
      </c>
      <c r="L2457" t="s">
        <v>96</v>
      </c>
      <c r="M2457" t="s">
        <v>51</v>
      </c>
      <c r="N2457" t="b">
        <v>0</v>
      </c>
      <c r="O2457" t="s">
        <v>72</v>
      </c>
    </row>
    <row r="2458" spans="1:15" ht="15" customHeight="1">
      <c r="A2458" t="s">
        <v>976</v>
      </c>
      <c r="B2458" t="s">
        <v>3057</v>
      </c>
      <c r="C2458" t="s">
        <v>129</v>
      </c>
      <c r="D2458" t="s">
        <v>130</v>
      </c>
      <c r="E2458">
        <v>17</v>
      </c>
      <c r="F2458">
        <v>3.9</v>
      </c>
      <c r="G2458">
        <v>0.23</v>
      </c>
      <c r="H2458">
        <v>22</v>
      </c>
      <c r="I2458">
        <v>5000</v>
      </c>
      <c r="J2458">
        <v>1000</v>
      </c>
      <c r="K2458" t="s">
        <v>134</v>
      </c>
      <c r="L2458" t="s">
        <v>71</v>
      </c>
      <c r="M2458" t="s">
        <v>48</v>
      </c>
      <c r="N2458" t="b">
        <v>0</v>
      </c>
      <c r="O2458" t="s">
        <v>135</v>
      </c>
    </row>
    <row r="2459" spans="1:15" ht="15" customHeight="1">
      <c r="A2459" t="s">
        <v>319</v>
      </c>
      <c r="B2459" t="s">
        <v>3058</v>
      </c>
      <c r="C2459" t="s">
        <v>75</v>
      </c>
      <c r="D2459" t="s">
        <v>69</v>
      </c>
      <c r="E2459">
        <v>15</v>
      </c>
      <c r="F2459">
        <v>4.9000000000000004</v>
      </c>
      <c r="G2459">
        <v>0.33</v>
      </c>
      <c r="H2459">
        <v>7</v>
      </c>
      <c r="I2459">
        <v>2000</v>
      </c>
      <c r="J2459">
        <v>1500</v>
      </c>
      <c r="K2459" t="s">
        <v>241</v>
      </c>
      <c r="L2459" t="s">
        <v>96</v>
      </c>
      <c r="M2459" t="s">
        <v>51</v>
      </c>
      <c r="N2459" t="b">
        <v>0</v>
      </c>
      <c r="O2459" t="s">
        <v>242</v>
      </c>
    </row>
    <row r="2460" spans="1:15" ht="15" customHeight="1">
      <c r="A2460" t="s">
        <v>696</v>
      </c>
      <c r="B2460" t="s">
        <v>3059</v>
      </c>
      <c r="C2460" t="s">
        <v>149</v>
      </c>
      <c r="D2460" t="s">
        <v>69</v>
      </c>
      <c r="E2460">
        <v>11</v>
      </c>
      <c r="F2460">
        <v>6.2</v>
      </c>
      <c r="G2460">
        <v>0.56000000000000005</v>
      </c>
      <c r="H2460">
        <v>37</v>
      </c>
      <c r="I2460">
        <v>3000</v>
      </c>
      <c r="J2460">
        <v>1000</v>
      </c>
      <c r="K2460" t="s">
        <v>672</v>
      </c>
      <c r="L2460" t="s">
        <v>96</v>
      </c>
      <c r="M2460" t="s">
        <v>47</v>
      </c>
      <c r="N2460" t="b">
        <v>0</v>
      </c>
      <c r="O2460" t="s">
        <v>134</v>
      </c>
    </row>
    <row r="2461" spans="1:15" ht="15" customHeight="1">
      <c r="A2461" t="s">
        <v>809</v>
      </c>
      <c r="B2461" t="s">
        <v>3060</v>
      </c>
      <c r="C2461" t="s">
        <v>149</v>
      </c>
      <c r="D2461" t="s">
        <v>69</v>
      </c>
      <c r="E2461">
        <v>9</v>
      </c>
      <c r="F2461">
        <v>9</v>
      </c>
      <c r="G2461">
        <v>1</v>
      </c>
      <c r="H2461">
        <v>39</v>
      </c>
      <c r="I2461">
        <v>3000</v>
      </c>
      <c r="J2461">
        <v>1000</v>
      </c>
      <c r="K2461" t="s">
        <v>257</v>
      </c>
      <c r="L2461" t="s">
        <v>104</v>
      </c>
      <c r="M2461" t="s">
        <v>45</v>
      </c>
      <c r="N2461" t="b">
        <v>0</v>
      </c>
      <c r="O2461" t="s">
        <v>258</v>
      </c>
    </row>
    <row r="2462" spans="1:15" ht="15" customHeight="1">
      <c r="A2462" t="s">
        <v>351</v>
      </c>
      <c r="B2462" t="s">
        <v>3061</v>
      </c>
      <c r="C2462" t="s">
        <v>81</v>
      </c>
      <c r="D2462" t="s">
        <v>69</v>
      </c>
      <c r="E2462">
        <v>11</v>
      </c>
      <c r="F2462">
        <v>6.4</v>
      </c>
      <c r="G2462">
        <v>0.57999999999999996</v>
      </c>
      <c r="H2462">
        <v>26</v>
      </c>
      <c r="I2462">
        <v>10000</v>
      </c>
      <c r="J2462">
        <v>3000</v>
      </c>
      <c r="K2462" t="s">
        <v>525</v>
      </c>
      <c r="L2462" t="s">
        <v>71</v>
      </c>
      <c r="M2462" t="s">
        <v>45</v>
      </c>
      <c r="N2462" t="b">
        <v>0</v>
      </c>
      <c r="O2462" t="s">
        <v>526</v>
      </c>
    </row>
    <row r="2463" spans="1:15" ht="15" customHeight="1">
      <c r="A2463" t="s">
        <v>961</v>
      </c>
      <c r="B2463" t="s">
        <v>3062</v>
      </c>
      <c r="C2463" t="s">
        <v>75</v>
      </c>
      <c r="D2463" t="s">
        <v>69</v>
      </c>
      <c r="E2463">
        <v>14</v>
      </c>
      <c r="F2463">
        <v>13.2</v>
      </c>
      <c r="G2463">
        <v>0.94</v>
      </c>
      <c r="H2463">
        <v>22</v>
      </c>
      <c r="I2463">
        <v>2000</v>
      </c>
      <c r="J2463">
        <v>1500</v>
      </c>
      <c r="K2463" t="s">
        <v>90</v>
      </c>
      <c r="L2463" t="s">
        <v>100</v>
      </c>
      <c r="M2463" t="s">
        <v>42</v>
      </c>
      <c r="N2463" t="b">
        <v>0</v>
      </c>
      <c r="O2463" t="s">
        <v>92</v>
      </c>
    </row>
    <row r="2464" spans="1:15" ht="15" customHeight="1">
      <c r="A2464" t="s">
        <v>1026</v>
      </c>
      <c r="B2464" t="s">
        <v>3063</v>
      </c>
      <c r="C2464" t="s">
        <v>75</v>
      </c>
      <c r="D2464" t="s">
        <v>69</v>
      </c>
      <c r="E2464">
        <v>18</v>
      </c>
      <c r="F2464">
        <v>12.4</v>
      </c>
      <c r="G2464">
        <v>0.69</v>
      </c>
      <c r="H2464">
        <v>27</v>
      </c>
      <c r="I2464">
        <v>2000</v>
      </c>
      <c r="J2464">
        <v>1500</v>
      </c>
      <c r="K2464" t="s">
        <v>150</v>
      </c>
      <c r="L2464" t="s">
        <v>96</v>
      </c>
      <c r="M2464" t="s">
        <v>50</v>
      </c>
      <c r="N2464" t="b">
        <v>0</v>
      </c>
      <c r="O2464" t="s">
        <v>528</v>
      </c>
    </row>
    <row r="2465" spans="1:15" ht="15" customHeight="1">
      <c r="A2465" t="s">
        <v>481</v>
      </c>
      <c r="B2465" t="s">
        <v>3064</v>
      </c>
      <c r="C2465" t="s">
        <v>68</v>
      </c>
      <c r="D2465" t="s">
        <v>69</v>
      </c>
      <c r="E2465">
        <v>15</v>
      </c>
      <c r="F2465">
        <v>2.7</v>
      </c>
      <c r="G2465">
        <v>0.18</v>
      </c>
      <c r="H2465">
        <v>5</v>
      </c>
      <c r="I2465">
        <v>30000</v>
      </c>
      <c r="J2465">
        <v>5000</v>
      </c>
      <c r="K2465" t="s">
        <v>112</v>
      </c>
      <c r="L2465" t="s">
        <v>104</v>
      </c>
      <c r="M2465" t="s">
        <v>41</v>
      </c>
      <c r="N2465" t="b">
        <v>0</v>
      </c>
      <c r="O2465" t="s">
        <v>113</v>
      </c>
    </row>
    <row r="2466" spans="1:15" ht="15" customHeight="1">
      <c r="A2466" t="s">
        <v>230</v>
      </c>
      <c r="B2466" t="s">
        <v>3065</v>
      </c>
      <c r="C2466" t="s">
        <v>149</v>
      </c>
      <c r="D2466" t="s">
        <v>69</v>
      </c>
      <c r="E2466">
        <v>8</v>
      </c>
      <c r="F2466">
        <v>6.4</v>
      </c>
      <c r="G2466">
        <v>0.8</v>
      </c>
      <c r="H2466">
        <v>18</v>
      </c>
      <c r="I2466">
        <v>3000</v>
      </c>
      <c r="J2466">
        <v>1000</v>
      </c>
      <c r="K2466" t="s">
        <v>150</v>
      </c>
      <c r="L2466" t="s">
        <v>91</v>
      </c>
      <c r="M2466" t="s">
        <v>40</v>
      </c>
      <c r="N2466" t="b">
        <v>1</v>
      </c>
      <c r="O2466" t="s">
        <v>151</v>
      </c>
    </row>
    <row r="2467" spans="1:15" ht="15" customHeight="1">
      <c r="A2467" t="s">
        <v>694</v>
      </c>
      <c r="B2467" t="s">
        <v>3066</v>
      </c>
      <c r="C2467" t="s">
        <v>68</v>
      </c>
      <c r="D2467" t="s">
        <v>69</v>
      </c>
      <c r="E2467">
        <v>14</v>
      </c>
      <c r="F2467">
        <v>3.5</v>
      </c>
      <c r="G2467">
        <v>0.25</v>
      </c>
      <c r="H2467">
        <v>5</v>
      </c>
      <c r="I2467">
        <v>30000</v>
      </c>
      <c r="J2467">
        <v>5000</v>
      </c>
      <c r="K2467" t="s">
        <v>112</v>
      </c>
      <c r="L2467" t="s">
        <v>96</v>
      </c>
      <c r="M2467" t="s">
        <v>46</v>
      </c>
      <c r="N2467" t="b">
        <v>0</v>
      </c>
      <c r="O2467" t="s">
        <v>113</v>
      </c>
    </row>
    <row r="2468" spans="1:15" ht="15" customHeight="1">
      <c r="A2468" t="s">
        <v>304</v>
      </c>
      <c r="B2468" t="s">
        <v>3067</v>
      </c>
      <c r="C2468" t="s">
        <v>68</v>
      </c>
      <c r="D2468" t="s">
        <v>69</v>
      </c>
      <c r="E2468">
        <v>9</v>
      </c>
      <c r="F2468">
        <v>2.7</v>
      </c>
      <c r="G2468">
        <v>0.3</v>
      </c>
      <c r="H2468">
        <v>5</v>
      </c>
      <c r="I2468">
        <v>30000</v>
      </c>
      <c r="J2468">
        <v>5000</v>
      </c>
      <c r="K2468" t="s">
        <v>112</v>
      </c>
      <c r="L2468" t="s">
        <v>104</v>
      </c>
      <c r="M2468" t="s">
        <v>45</v>
      </c>
      <c r="N2468" t="b">
        <v>0</v>
      </c>
      <c r="O2468" t="s">
        <v>113</v>
      </c>
    </row>
    <row r="2469" spans="1:15" ht="15" customHeight="1">
      <c r="A2469" t="s">
        <v>507</v>
      </c>
      <c r="B2469" t="s">
        <v>3068</v>
      </c>
      <c r="C2469" t="s">
        <v>149</v>
      </c>
      <c r="D2469" t="s">
        <v>69</v>
      </c>
      <c r="E2469">
        <v>11</v>
      </c>
      <c r="F2469">
        <v>7.5</v>
      </c>
      <c r="G2469">
        <v>0.68</v>
      </c>
      <c r="H2469">
        <v>21</v>
      </c>
      <c r="I2469">
        <v>3000</v>
      </c>
      <c r="J2469">
        <v>1000</v>
      </c>
      <c r="K2469" t="s">
        <v>380</v>
      </c>
      <c r="L2469" t="s">
        <v>104</v>
      </c>
      <c r="M2469" t="s">
        <v>40</v>
      </c>
      <c r="N2469" t="b">
        <v>0</v>
      </c>
      <c r="O2469" t="s">
        <v>381</v>
      </c>
    </row>
    <row r="2470" spans="1:15" ht="15" customHeight="1">
      <c r="A2470" t="s">
        <v>580</v>
      </c>
      <c r="B2470" t="s">
        <v>3069</v>
      </c>
      <c r="C2470" t="s">
        <v>129</v>
      </c>
      <c r="D2470" t="s">
        <v>130</v>
      </c>
      <c r="E2470">
        <v>15</v>
      </c>
      <c r="F2470">
        <v>12.7</v>
      </c>
      <c r="G2470">
        <v>0.85</v>
      </c>
      <c r="H2470">
        <v>29</v>
      </c>
      <c r="I2470">
        <v>5000</v>
      </c>
      <c r="J2470">
        <v>1000</v>
      </c>
      <c r="K2470" t="s">
        <v>113</v>
      </c>
      <c r="L2470" t="s">
        <v>96</v>
      </c>
      <c r="M2470" t="s">
        <v>43</v>
      </c>
      <c r="N2470" t="b">
        <v>0</v>
      </c>
      <c r="O2470" t="s">
        <v>146</v>
      </c>
    </row>
    <row r="2471" spans="1:15" ht="15" customHeight="1">
      <c r="A2471" t="s">
        <v>221</v>
      </c>
      <c r="B2471" t="s">
        <v>3070</v>
      </c>
      <c r="C2471" t="s">
        <v>149</v>
      </c>
      <c r="D2471" t="s">
        <v>69</v>
      </c>
      <c r="E2471">
        <v>12</v>
      </c>
      <c r="F2471">
        <v>7.5</v>
      </c>
      <c r="G2471">
        <v>0.62</v>
      </c>
      <c r="H2471">
        <v>22</v>
      </c>
      <c r="I2471">
        <v>3000</v>
      </c>
      <c r="J2471">
        <v>1000</v>
      </c>
      <c r="K2471" t="s">
        <v>556</v>
      </c>
      <c r="L2471" t="s">
        <v>71</v>
      </c>
      <c r="M2471" t="s">
        <v>49</v>
      </c>
      <c r="N2471" t="b">
        <v>0</v>
      </c>
      <c r="O2471" t="s">
        <v>313</v>
      </c>
    </row>
    <row r="2472" spans="1:15" ht="15" customHeight="1">
      <c r="A2472" t="s">
        <v>1159</v>
      </c>
      <c r="B2472" t="s">
        <v>3071</v>
      </c>
      <c r="C2472" t="s">
        <v>81</v>
      </c>
      <c r="D2472" t="s">
        <v>69</v>
      </c>
      <c r="E2472">
        <v>14</v>
      </c>
      <c r="F2472">
        <v>12.2</v>
      </c>
      <c r="G2472">
        <v>0.87</v>
      </c>
      <c r="H2472">
        <v>9</v>
      </c>
      <c r="I2472">
        <v>10000</v>
      </c>
      <c r="J2472">
        <v>3000</v>
      </c>
      <c r="K2472" t="s">
        <v>108</v>
      </c>
      <c r="L2472" t="s">
        <v>100</v>
      </c>
      <c r="M2472" t="s">
        <v>48</v>
      </c>
      <c r="N2472" t="b">
        <v>0</v>
      </c>
      <c r="O2472" t="s">
        <v>303</v>
      </c>
    </row>
    <row r="2473" spans="1:15" ht="15" customHeight="1">
      <c r="A2473" t="s">
        <v>481</v>
      </c>
      <c r="B2473" t="s">
        <v>3072</v>
      </c>
      <c r="C2473" t="s">
        <v>149</v>
      </c>
      <c r="D2473" t="s">
        <v>69</v>
      </c>
      <c r="E2473">
        <v>11</v>
      </c>
      <c r="F2473">
        <v>10.8</v>
      </c>
      <c r="G2473">
        <v>0.98</v>
      </c>
      <c r="H2473">
        <v>21</v>
      </c>
      <c r="I2473">
        <v>3000</v>
      </c>
      <c r="J2473">
        <v>1000</v>
      </c>
      <c r="K2473" t="s">
        <v>380</v>
      </c>
      <c r="L2473" t="s">
        <v>104</v>
      </c>
      <c r="M2473" t="s">
        <v>41</v>
      </c>
      <c r="N2473" t="b">
        <v>0</v>
      </c>
      <c r="O2473" t="s">
        <v>381</v>
      </c>
    </row>
    <row r="2474" spans="1:15" ht="15" customHeight="1">
      <c r="A2474" t="s">
        <v>609</v>
      </c>
      <c r="B2474" t="s">
        <v>3073</v>
      </c>
      <c r="C2474" t="s">
        <v>129</v>
      </c>
      <c r="D2474" t="s">
        <v>130</v>
      </c>
      <c r="E2474">
        <v>18</v>
      </c>
      <c r="F2474">
        <v>6.3</v>
      </c>
      <c r="G2474">
        <v>0.35</v>
      </c>
      <c r="H2474">
        <v>8</v>
      </c>
      <c r="I2474">
        <v>5000</v>
      </c>
      <c r="J2474">
        <v>1000</v>
      </c>
      <c r="K2474" t="s">
        <v>76</v>
      </c>
      <c r="L2474" t="s">
        <v>91</v>
      </c>
      <c r="M2474" t="s">
        <v>40</v>
      </c>
      <c r="N2474" t="b">
        <v>1</v>
      </c>
      <c r="O2474" t="s">
        <v>317</v>
      </c>
    </row>
    <row r="2475" spans="1:15" ht="15" customHeight="1">
      <c r="A2475" t="s">
        <v>964</v>
      </c>
      <c r="B2475" t="s">
        <v>3074</v>
      </c>
      <c r="C2475" t="s">
        <v>81</v>
      </c>
      <c r="D2475" t="s">
        <v>69</v>
      </c>
      <c r="E2475">
        <v>14</v>
      </c>
      <c r="F2475">
        <v>8.3000000000000007</v>
      </c>
      <c r="G2475">
        <v>0.59</v>
      </c>
      <c r="H2475">
        <v>30</v>
      </c>
      <c r="I2475">
        <v>10000</v>
      </c>
      <c r="J2475">
        <v>3000</v>
      </c>
      <c r="K2475" t="s">
        <v>185</v>
      </c>
      <c r="L2475" t="s">
        <v>96</v>
      </c>
      <c r="M2475" t="s">
        <v>48</v>
      </c>
      <c r="N2475" t="b">
        <v>0</v>
      </c>
      <c r="O2475" t="s">
        <v>186</v>
      </c>
    </row>
    <row r="2476" spans="1:15" ht="15" customHeight="1">
      <c r="A2476" t="s">
        <v>517</v>
      </c>
      <c r="B2476" t="s">
        <v>3075</v>
      </c>
      <c r="C2476" t="s">
        <v>81</v>
      </c>
      <c r="D2476" t="s">
        <v>69</v>
      </c>
      <c r="E2476">
        <v>11</v>
      </c>
      <c r="F2476">
        <v>7.7</v>
      </c>
      <c r="G2476">
        <v>0.7</v>
      </c>
      <c r="H2476">
        <v>12</v>
      </c>
      <c r="I2476">
        <v>10000</v>
      </c>
      <c r="J2476">
        <v>3000</v>
      </c>
      <c r="K2476" t="s">
        <v>95</v>
      </c>
      <c r="L2476" t="s">
        <v>100</v>
      </c>
      <c r="M2476" t="s">
        <v>46</v>
      </c>
      <c r="N2476" t="b">
        <v>0</v>
      </c>
      <c r="O2476" t="s">
        <v>257</v>
      </c>
    </row>
    <row r="2477" spans="1:15" ht="15" customHeight="1">
      <c r="A2477" t="s">
        <v>632</v>
      </c>
      <c r="B2477" t="s">
        <v>3076</v>
      </c>
      <c r="C2477" t="s">
        <v>149</v>
      </c>
      <c r="D2477" t="s">
        <v>69</v>
      </c>
      <c r="E2477">
        <v>11</v>
      </c>
      <c r="F2477">
        <v>6.5</v>
      </c>
      <c r="G2477">
        <v>0.59</v>
      </c>
      <c r="H2477">
        <v>19</v>
      </c>
      <c r="I2477">
        <v>3000</v>
      </c>
      <c r="J2477">
        <v>1000</v>
      </c>
      <c r="K2477" t="s">
        <v>198</v>
      </c>
      <c r="L2477" t="s">
        <v>117</v>
      </c>
      <c r="M2477" t="s">
        <v>41</v>
      </c>
      <c r="N2477" t="b">
        <v>1</v>
      </c>
      <c r="O2477" t="s">
        <v>262</v>
      </c>
    </row>
    <row r="2478" spans="1:15" ht="15" customHeight="1">
      <c r="A2478" t="s">
        <v>554</v>
      </c>
      <c r="B2478" t="s">
        <v>3077</v>
      </c>
      <c r="C2478" t="s">
        <v>81</v>
      </c>
      <c r="D2478" t="s">
        <v>69</v>
      </c>
      <c r="E2478">
        <v>11</v>
      </c>
      <c r="F2478">
        <v>7.2</v>
      </c>
      <c r="G2478">
        <v>0.65</v>
      </c>
      <c r="H2478">
        <v>19</v>
      </c>
      <c r="I2478">
        <v>10000</v>
      </c>
      <c r="J2478">
        <v>3000</v>
      </c>
      <c r="K2478" t="s">
        <v>309</v>
      </c>
      <c r="L2478" t="s">
        <v>71</v>
      </c>
      <c r="M2478" t="s">
        <v>40</v>
      </c>
      <c r="N2478" t="b">
        <v>0</v>
      </c>
      <c r="O2478" t="s">
        <v>310</v>
      </c>
    </row>
    <row r="2479" spans="1:15" ht="15" customHeight="1">
      <c r="A2479" t="s">
        <v>404</v>
      </c>
      <c r="B2479" t="s">
        <v>3078</v>
      </c>
      <c r="C2479" t="s">
        <v>68</v>
      </c>
      <c r="D2479" t="s">
        <v>69</v>
      </c>
      <c r="E2479">
        <v>11</v>
      </c>
      <c r="F2479">
        <v>3.6</v>
      </c>
      <c r="G2479">
        <v>0.33</v>
      </c>
      <c r="H2479">
        <v>5</v>
      </c>
      <c r="I2479">
        <v>30000</v>
      </c>
      <c r="J2479">
        <v>5000</v>
      </c>
      <c r="K2479" t="s">
        <v>112</v>
      </c>
      <c r="L2479" t="s">
        <v>77</v>
      </c>
      <c r="M2479" t="s">
        <v>44</v>
      </c>
      <c r="N2479" t="b">
        <v>0</v>
      </c>
      <c r="O2479" t="s">
        <v>113</v>
      </c>
    </row>
    <row r="2480" spans="1:15" ht="15" customHeight="1">
      <c r="A2480" t="s">
        <v>1405</v>
      </c>
      <c r="B2480" t="s">
        <v>3079</v>
      </c>
      <c r="C2480" t="s">
        <v>129</v>
      </c>
      <c r="D2480" t="s">
        <v>130</v>
      </c>
      <c r="E2480">
        <v>11</v>
      </c>
      <c r="F2480">
        <v>11</v>
      </c>
      <c r="G2480">
        <v>1</v>
      </c>
      <c r="H2480">
        <v>21</v>
      </c>
      <c r="I2480">
        <v>5000</v>
      </c>
      <c r="J2480">
        <v>1000</v>
      </c>
      <c r="K2480" t="s">
        <v>131</v>
      </c>
      <c r="L2480" t="s">
        <v>100</v>
      </c>
      <c r="M2480" t="s">
        <v>42</v>
      </c>
      <c r="N2480" t="b">
        <v>0</v>
      </c>
      <c r="O2480" t="s">
        <v>132</v>
      </c>
    </row>
    <row r="2481" spans="1:15" ht="15" customHeight="1">
      <c r="A2481" t="s">
        <v>66</v>
      </c>
      <c r="B2481" t="s">
        <v>3080</v>
      </c>
      <c r="C2481" t="s">
        <v>68</v>
      </c>
      <c r="D2481" t="s">
        <v>69</v>
      </c>
      <c r="E2481">
        <v>9</v>
      </c>
      <c r="F2481">
        <v>2.4</v>
      </c>
      <c r="G2481">
        <v>0.27</v>
      </c>
      <c r="H2481">
        <v>5</v>
      </c>
      <c r="I2481">
        <v>30000</v>
      </c>
      <c r="J2481">
        <v>5000</v>
      </c>
      <c r="K2481" t="s">
        <v>112</v>
      </c>
      <c r="L2481" t="s">
        <v>71</v>
      </c>
      <c r="M2481" t="s">
        <v>51</v>
      </c>
      <c r="N2481" t="b">
        <v>0</v>
      </c>
      <c r="O2481" t="s">
        <v>113</v>
      </c>
    </row>
    <row r="2482" spans="1:15" ht="15" customHeight="1">
      <c r="A2482" t="s">
        <v>386</v>
      </c>
      <c r="B2482" t="s">
        <v>3081</v>
      </c>
      <c r="C2482" t="s">
        <v>81</v>
      </c>
      <c r="D2482" t="s">
        <v>69</v>
      </c>
      <c r="E2482">
        <v>14</v>
      </c>
      <c r="F2482">
        <v>3.9</v>
      </c>
      <c r="G2482">
        <v>0.28000000000000003</v>
      </c>
      <c r="H2482">
        <v>28</v>
      </c>
      <c r="I2482">
        <v>10000</v>
      </c>
      <c r="J2482">
        <v>3000</v>
      </c>
      <c r="K2482" t="s">
        <v>966</v>
      </c>
      <c r="L2482" t="s">
        <v>77</v>
      </c>
      <c r="M2482" t="s">
        <v>42</v>
      </c>
      <c r="N2482" t="b">
        <v>0</v>
      </c>
      <c r="O2482" t="s">
        <v>967</v>
      </c>
    </row>
    <row r="2483" spans="1:15" ht="15" customHeight="1">
      <c r="A2483" t="s">
        <v>585</v>
      </c>
      <c r="B2483" t="s">
        <v>3082</v>
      </c>
      <c r="C2483" t="s">
        <v>75</v>
      </c>
      <c r="D2483" t="s">
        <v>69</v>
      </c>
      <c r="E2483">
        <v>15</v>
      </c>
      <c r="F2483">
        <v>6.2</v>
      </c>
      <c r="G2483">
        <v>0.41</v>
      </c>
      <c r="H2483">
        <v>13</v>
      </c>
      <c r="I2483">
        <v>2000</v>
      </c>
      <c r="J2483">
        <v>1500</v>
      </c>
      <c r="K2483" t="s">
        <v>211</v>
      </c>
      <c r="L2483" t="s">
        <v>100</v>
      </c>
      <c r="M2483" t="s">
        <v>44</v>
      </c>
      <c r="N2483" t="b">
        <v>0</v>
      </c>
      <c r="O2483" t="s">
        <v>212</v>
      </c>
    </row>
    <row r="2484" spans="1:15" ht="15" customHeight="1">
      <c r="A2484" t="s">
        <v>1076</v>
      </c>
      <c r="B2484" t="s">
        <v>3083</v>
      </c>
      <c r="C2484" t="s">
        <v>129</v>
      </c>
      <c r="D2484" t="s">
        <v>130</v>
      </c>
      <c r="E2484">
        <v>13</v>
      </c>
      <c r="F2484">
        <v>5</v>
      </c>
      <c r="G2484">
        <v>0.38</v>
      </c>
      <c r="H2484">
        <v>24</v>
      </c>
      <c r="I2484">
        <v>5000</v>
      </c>
      <c r="J2484">
        <v>1000</v>
      </c>
      <c r="K2484" t="s">
        <v>95</v>
      </c>
      <c r="L2484" t="s">
        <v>91</v>
      </c>
      <c r="M2484" t="s">
        <v>51</v>
      </c>
      <c r="N2484" t="b">
        <v>1</v>
      </c>
      <c r="O2484" t="s">
        <v>217</v>
      </c>
    </row>
    <row r="2485" spans="1:15" ht="15" customHeight="1">
      <c r="A2485" t="s">
        <v>903</v>
      </c>
      <c r="B2485" t="s">
        <v>3084</v>
      </c>
      <c r="C2485" t="s">
        <v>129</v>
      </c>
      <c r="D2485" t="s">
        <v>130</v>
      </c>
      <c r="E2485">
        <v>17</v>
      </c>
      <c r="F2485">
        <v>12</v>
      </c>
      <c r="G2485">
        <v>0.71</v>
      </c>
      <c r="H2485">
        <v>30</v>
      </c>
      <c r="I2485">
        <v>5000</v>
      </c>
      <c r="J2485">
        <v>1000</v>
      </c>
      <c r="K2485" t="s">
        <v>112</v>
      </c>
      <c r="L2485" t="s">
        <v>117</v>
      </c>
      <c r="M2485" t="s">
        <v>49</v>
      </c>
      <c r="N2485" t="b">
        <v>1</v>
      </c>
      <c r="O2485" t="s">
        <v>195</v>
      </c>
    </row>
    <row r="2486" spans="1:15" ht="15" customHeight="1">
      <c r="A2486" t="s">
        <v>500</v>
      </c>
      <c r="B2486" t="s">
        <v>3085</v>
      </c>
      <c r="C2486" t="s">
        <v>81</v>
      </c>
      <c r="D2486" t="s">
        <v>69</v>
      </c>
      <c r="E2486">
        <v>18</v>
      </c>
      <c r="F2486">
        <v>15.1</v>
      </c>
      <c r="G2486">
        <v>0.84</v>
      </c>
      <c r="H2486">
        <v>26</v>
      </c>
      <c r="I2486">
        <v>10000</v>
      </c>
      <c r="J2486">
        <v>3000</v>
      </c>
      <c r="K2486" t="s">
        <v>525</v>
      </c>
      <c r="L2486" t="s">
        <v>77</v>
      </c>
      <c r="M2486" t="s">
        <v>47</v>
      </c>
      <c r="N2486" t="b">
        <v>0</v>
      </c>
      <c r="O2486" t="s">
        <v>526</v>
      </c>
    </row>
    <row r="2487" spans="1:15" ht="15" customHeight="1">
      <c r="A2487" t="s">
        <v>119</v>
      </c>
      <c r="B2487" t="s">
        <v>3086</v>
      </c>
      <c r="C2487" t="s">
        <v>81</v>
      </c>
      <c r="D2487" t="s">
        <v>69</v>
      </c>
      <c r="E2487">
        <v>17</v>
      </c>
      <c r="F2487">
        <v>10.3</v>
      </c>
      <c r="G2487">
        <v>0.61</v>
      </c>
      <c r="H2487">
        <v>28</v>
      </c>
      <c r="I2487">
        <v>10000</v>
      </c>
      <c r="J2487">
        <v>3000</v>
      </c>
      <c r="K2487" t="s">
        <v>966</v>
      </c>
      <c r="L2487" t="s">
        <v>71</v>
      </c>
      <c r="M2487" t="s">
        <v>45</v>
      </c>
      <c r="N2487" t="b">
        <v>0</v>
      </c>
      <c r="O2487" t="s">
        <v>967</v>
      </c>
    </row>
    <row r="2488" spans="1:15" ht="15" customHeight="1">
      <c r="A2488" t="s">
        <v>404</v>
      </c>
      <c r="B2488" t="s">
        <v>3087</v>
      </c>
      <c r="C2488" t="s">
        <v>75</v>
      </c>
      <c r="D2488" t="s">
        <v>69</v>
      </c>
      <c r="E2488">
        <v>11</v>
      </c>
      <c r="F2488">
        <v>6.9</v>
      </c>
      <c r="G2488">
        <v>0.63</v>
      </c>
      <c r="H2488">
        <v>24</v>
      </c>
      <c r="I2488">
        <v>2000</v>
      </c>
      <c r="J2488">
        <v>1500</v>
      </c>
      <c r="K2488" t="s">
        <v>361</v>
      </c>
      <c r="L2488" t="s">
        <v>77</v>
      </c>
      <c r="M2488" t="s">
        <v>44</v>
      </c>
      <c r="N2488" t="b">
        <v>0</v>
      </c>
      <c r="O2488" t="s">
        <v>362</v>
      </c>
    </row>
    <row r="2489" spans="1:15" ht="15" customHeight="1">
      <c r="A2489" t="s">
        <v>794</v>
      </c>
      <c r="B2489" t="s">
        <v>3088</v>
      </c>
      <c r="C2489" t="s">
        <v>149</v>
      </c>
      <c r="D2489" t="s">
        <v>69</v>
      </c>
      <c r="E2489">
        <v>11</v>
      </c>
      <c r="F2489">
        <v>9</v>
      </c>
      <c r="G2489">
        <v>0.82</v>
      </c>
      <c r="H2489">
        <v>18</v>
      </c>
      <c r="I2489">
        <v>3000</v>
      </c>
      <c r="J2489">
        <v>1000</v>
      </c>
      <c r="K2489" t="s">
        <v>150</v>
      </c>
      <c r="L2489" t="s">
        <v>96</v>
      </c>
      <c r="M2489" t="s">
        <v>45</v>
      </c>
      <c r="N2489" t="b">
        <v>0</v>
      </c>
      <c r="O2489" t="s">
        <v>151</v>
      </c>
    </row>
    <row r="2490" spans="1:15" ht="15" customHeight="1">
      <c r="A2490" t="s">
        <v>1321</v>
      </c>
      <c r="B2490" t="s">
        <v>3089</v>
      </c>
      <c r="C2490" t="s">
        <v>81</v>
      </c>
      <c r="D2490" t="s">
        <v>69</v>
      </c>
      <c r="E2490">
        <v>18</v>
      </c>
      <c r="F2490">
        <v>10.7</v>
      </c>
      <c r="G2490">
        <v>0.59</v>
      </c>
      <c r="H2490">
        <v>7</v>
      </c>
      <c r="I2490">
        <v>10000</v>
      </c>
      <c r="J2490">
        <v>3000</v>
      </c>
      <c r="K2490" t="s">
        <v>82</v>
      </c>
      <c r="L2490" t="s">
        <v>71</v>
      </c>
      <c r="M2490" t="s">
        <v>40</v>
      </c>
      <c r="N2490" t="b">
        <v>0</v>
      </c>
      <c r="O2490" t="s">
        <v>83</v>
      </c>
    </row>
    <row r="2491" spans="1:15" ht="15" customHeight="1">
      <c r="A2491" t="s">
        <v>872</v>
      </c>
      <c r="B2491" t="s">
        <v>3090</v>
      </c>
      <c r="C2491" t="s">
        <v>81</v>
      </c>
      <c r="D2491" t="s">
        <v>69</v>
      </c>
      <c r="E2491">
        <v>12</v>
      </c>
      <c r="F2491">
        <v>11.1</v>
      </c>
      <c r="G2491">
        <v>0.92</v>
      </c>
      <c r="H2491">
        <v>23</v>
      </c>
      <c r="I2491">
        <v>10000</v>
      </c>
      <c r="J2491">
        <v>3000</v>
      </c>
      <c r="K2491" t="s">
        <v>626</v>
      </c>
      <c r="L2491" t="s">
        <v>100</v>
      </c>
      <c r="M2491" t="s">
        <v>43</v>
      </c>
      <c r="N2491" t="b">
        <v>0</v>
      </c>
      <c r="O2491" t="s">
        <v>627</v>
      </c>
    </row>
    <row r="2492" spans="1:15" ht="15" customHeight="1">
      <c r="A2492" t="s">
        <v>572</v>
      </c>
      <c r="B2492" t="s">
        <v>3091</v>
      </c>
      <c r="C2492" t="s">
        <v>75</v>
      </c>
      <c r="D2492" t="s">
        <v>69</v>
      </c>
      <c r="E2492">
        <v>19</v>
      </c>
      <c r="F2492">
        <v>6.8</v>
      </c>
      <c r="G2492">
        <v>0.36</v>
      </c>
      <c r="H2492">
        <v>27</v>
      </c>
      <c r="I2492">
        <v>2000</v>
      </c>
      <c r="J2492">
        <v>1500</v>
      </c>
      <c r="K2492" t="s">
        <v>150</v>
      </c>
      <c r="L2492" t="s">
        <v>100</v>
      </c>
      <c r="M2492" t="s">
        <v>46</v>
      </c>
      <c r="N2492" t="b">
        <v>0</v>
      </c>
      <c r="O2492" t="s">
        <v>528</v>
      </c>
    </row>
    <row r="2493" spans="1:15" ht="15" customHeight="1">
      <c r="A2493" t="s">
        <v>534</v>
      </c>
      <c r="B2493" t="s">
        <v>3092</v>
      </c>
      <c r="C2493" t="s">
        <v>81</v>
      </c>
      <c r="D2493" t="s">
        <v>69</v>
      </c>
      <c r="E2493">
        <v>12</v>
      </c>
      <c r="F2493">
        <v>11.1</v>
      </c>
      <c r="G2493">
        <v>0.92</v>
      </c>
      <c r="H2493">
        <v>24</v>
      </c>
      <c r="I2493">
        <v>10000</v>
      </c>
      <c r="J2493">
        <v>3000</v>
      </c>
      <c r="K2493" t="s">
        <v>306</v>
      </c>
      <c r="L2493" t="s">
        <v>71</v>
      </c>
      <c r="M2493" t="s">
        <v>51</v>
      </c>
      <c r="N2493" t="b">
        <v>0</v>
      </c>
      <c r="O2493" t="s">
        <v>307</v>
      </c>
    </row>
    <row r="2494" spans="1:15" ht="15" customHeight="1">
      <c r="A2494" t="s">
        <v>332</v>
      </c>
      <c r="B2494" t="s">
        <v>3093</v>
      </c>
      <c r="C2494" t="s">
        <v>68</v>
      </c>
      <c r="D2494" t="s">
        <v>69</v>
      </c>
      <c r="E2494">
        <v>9</v>
      </c>
      <c r="F2494">
        <v>3.1</v>
      </c>
      <c r="G2494">
        <v>0.34</v>
      </c>
      <c r="H2494">
        <v>3</v>
      </c>
      <c r="I2494">
        <v>30000</v>
      </c>
      <c r="J2494">
        <v>5000</v>
      </c>
      <c r="K2494" t="s">
        <v>108</v>
      </c>
      <c r="L2494" t="s">
        <v>96</v>
      </c>
      <c r="M2494" t="s">
        <v>42</v>
      </c>
      <c r="N2494" t="b">
        <v>0</v>
      </c>
      <c r="O2494" t="s">
        <v>109</v>
      </c>
    </row>
    <row r="2495" spans="1:15" ht="15" customHeight="1">
      <c r="A2495" t="s">
        <v>292</v>
      </c>
      <c r="B2495" t="s">
        <v>3094</v>
      </c>
      <c r="C2495" t="s">
        <v>129</v>
      </c>
      <c r="D2495" t="s">
        <v>130</v>
      </c>
      <c r="E2495">
        <v>12</v>
      </c>
      <c r="F2495">
        <v>7</v>
      </c>
      <c r="G2495">
        <v>0.57999999999999996</v>
      </c>
      <c r="H2495">
        <v>6</v>
      </c>
      <c r="I2495">
        <v>5000</v>
      </c>
      <c r="J2495">
        <v>1000</v>
      </c>
      <c r="K2495" t="s">
        <v>70</v>
      </c>
      <c r="L2495" t="s">
        <v>117</v>
      </c>
      <c r="M2495" t="s">
        <v>51</v>
      </c>
      <c r="N2495" t="b">
        <v>1</v>
      </c>
      <c r="O2495" t="s">
        <v>331</v>
      </c>
    </row>
    <row r="2496" spans="1:15" ht="15" customHeight="1">
      <c r="A2496" t="s">
        <v>924</v>
      </c>
      <c r="B2496" t="s">
        <v>3095</v>
      </c>
      <c r="C2496" t="s">
        <v>129</v>
      </c>
      <c r="D2496" t="s">
        <v>130</v>
      </c>
      <c r="E2496">
        <v>10</v>
      </c>
      <c r="F2496">
        <v>9.6999999999999993</v>
      </c>
      <c r="G2496">
        <v>0.97</v>
      </c>
      <c r="H2496">
        <v>24</v>
      </c>
      <c r="I2496">
        <v>5000</v>
      </c>
      <c r="J2496">
        <v>1000</v>
      </c>
      <c r="K2496" t="s">
        <v>95</v>
      </c>
      <c r="L2496" t="s">
        <v>104</v>
      </c>
      <c r="M2496" t="s">
        <v>49</v>
      </c>
      <c r="N2496" t="b">
        <v>0</v>
      </c>
      <c r="O2496" t="s">
        <v>217</v>
      </c>
    </row>
    <row r="2497" spans="1:15" ht="15" customHeight="1">
      <c r="A2497" t="s">
        <v>382</v>
      </c>
      <c r="B2497" t="s">
        <v>3096</v>
      </c>
      <c r="C2497" t="s">
        <v>81</v>
      </c>
      <c r="D2497" t="s">
        <v>69</v>
      </c>
      <c r="E2497">
        <v>10</v>
      </c>
      <c r="F2497">
        <v>8.9</v>
      </c>
      <c r="G2497">
        <v>0.89</v>
      </c>
      <c r="H2497">
        <v>24</v>
      </c>
      <c r="I2497">
        <v>10000</v>
      </c>
      <c r="J2497">
        <v>3000</v>
      </c>
      <c r="K2497" t="s">
        <v>306</v>
      </c>
      <c r="L2497" t="s">
        <v>71</v>
      </c>
      <c r="M2497" t="s">
        <v>46</v>
      </c>
      <c r="N2497" t="b">
        <v>0</v>
      </c>
      <c r="O2497" t="s">
        <v>307</v>
      </c>
    </row>
    <row r="2498" spans="1:15" ht="15" customHeight="1">
      <c r="A2498" t="s">
        <v>338</v>
      </c>
      <c r="B2498" t="s">
        <v>3097</v>
      </c>
      <c r="C2498" t="s">
        <v>129</v>
      </c>
      <c r="D2498" t="s">
        <v>130</v>
      </c>
      <c r="E2498">
        <v>11</v>
      </c>
      <c r="F2498">
        <v>6.2</v>
      </c>
      <c r="G2498">
        <v>0.56000000000000005</v>
      </c>
      <c r="H2498">
        <v>28</v>
      </c>
      <c r="I2498">
        <v>5000</v>
      </c>
      <c r="J2498">
        <v>1000</v>
      </c>
      <c r="K2498" t="s">
        <v>116</v>
      </c>
      <c r="L2498" t="s">
        <v>117</v>
      </c>
      <c r="M2498" t="s">
        <v>40</v>
      </c>
      <c r="N2498" t="b">
        <v>1</v>
      </c>
      <c r="O2498" t="s">
        <v>470</v>
      </c>
    </row>
    <row r="2499" spans="1:15" ht="15" customHeight="1">
      <c r="A2499" t="s">
        <v>1672</v>
      </c>
      <c r="B2499" t="s">
        <v>3098</v>
      </c>
      <c r="C2499" t="s">
        <v>81</v>
      </c>
      <c r="D2499" t="s">
        <v>69</v>
      </c>
      <c r="E2499">
        <v>19</v>
      </c>
      <c r="F2499">
        <v>16.600000000000001</v>
      </c>
      <c r="G2499">
        <v>0.87</v>
      </c>
      <c r="H2499">
        <v>10</v>
      </c>
      <c r="I2499">
        <v>10000</v>
      </c>
      <c r="J2499">
        <v>3000</v>
      </c>
      <c r="K2499" t="s">
        <v>103</v>
      </c>
      <c r="L2499" t="s">
        <v>117</v>
      </c>
      <c r="M2499" t="s">
        <v>43</v>
      </c>
      <c r="N2499" t="b">
        <v>1</v>
      </c>
      <c r="O2499" t="s">
        <v>105</v>
      </c>
    </row>
    <row r="2500" spans="1:15" ht="15" customHeight="1">
      <c r="A2500" t="s">
        <v>215</v>
      </c>
      <c r="B2500" t="s">
        <v>3099</v>
      </c>
      <c r="C2500" t="s">
        <v>81</v>
      </c>
      <c r="D2500" t="s">
        <v>69</v>
      </c>
      <c r="E2500">
        <v>14</v>
      </c>
      <c r="F2500">
        <v>9.4</v>
      </c>
      <c r="G2500">
        <v>0.67</v>
      </c>
      <c r="H2500">
        <v>18</v>
      </c>
      <c r="I2500">
        <v>10000</v>
      </c>
      <c r="J2500">
        <v>3000</v>
      </c>
      <c r="K2500" t="s">
        <v>142</v>
      </c>
      <c r="L2500" t="s">
        <v>117</v>
      </c>
      <c r="M2500" t="s">
        <v>48</v>
      </c>
      <c r="N2500" t="b">
        <v>1</v>
      </c>
      <c r="O2500" t="s">
        <v>143</v>
      </c>
    </row>
    <row r="2501" spans="1:15" ht="15" customHeight="1">
      <c r="A2501" t="s">
        <v>583</v>
      </c>
      <c r="B2501" t="s">
        <v>3100</v>
      </c>
      <c r="C2501" t="s">
        <v>68</v>
      </c>
      <c r="D2501" t="s">
        <v>69</v>
      </c>
      <c r="E2501">
        <v>9</v>
      </c>
      <c r="F2501">
        <v>3.9</v>
      </c>
      <c r="G2501">
        <v>0.43</v>
      </c>
      <c r="H2501">
        <v>2</v>
      </c>
      <c r="I2501">
        <v>30000</v>
      </c>
      <c r="J2501">
        <v>5000</v>
      </c>
      <c r="K2501" t="s">
        <v>162</v>
      </c>
      <c r="L2501" t="s">
        <v>100</v>
      </c>
      <c r="M2501" t="s">
        <v>40</v>
      </c>
      <c r="N2501" t="b">
        <v>0</v>
      </c>
      <c r="O2501" t="s">
        <v>163</v>
      </c>
    </row>
    <row r="2502" spans="1:15" ht="15" customHeight="1">
      <c r="A2502" t="s">
        <v>183</v>
      </c>
      <c r="B2502" t="s">
        <v>3101</v>
      </c>
      <c r="C2502" t="s">
        <v>129</v>
      </c>
      <c r="D2502" t="s">
        <v>130</v>
      </c>
      <c r="E2502">
        <v>8</v>
      </c>
      <c r="F2502">
        <v>4</v>
      </c>
      <c r="G2502">
        <v>0.5</v>
      </c>
      <c r="H2502">
        <v>25</v>
      </c>
      <c r="I2502">
        <v>5000</v>
      </c>
      <c r="J2502">
        <v>1000</v>
      </c>
      <c r="K2502" t="s">
        <v>245</v>
      </c>
      <c r="L2502" t="s">
        <v>100</v>
      </c>
      <c r="M2502" t="s">
        <v>51</v>
      </c>
      <c r="N2502" t="b">
        <v>0</v>
      </c>
      <c r="O2502" t="s">
        <v>246</v>
      </c>
    </row>
    <row r="2503" spans="1:15" ht="15" customHeight="1">
      <c r="A2503" t="s">
        <v>462</v>
      </c>
      <c r="B2503" t="s">
        <v>3102</v>
      </c>
      <c r="C2503" t="s">
        <v>149</v>
      </c>
      <c r="D2503" t="s">
        <v>69</v>
      </c>
      <c r="E2503">
        <v>8</v>
      </c>
      <c r="F2503">
        <v>6.7</v>
      </c>
      <c r="G2503">
        <v>0.84</v>
      </c>
      <c r="H2503">
        <v>21</v>
      </c>
      <c r="I2503">
        <v>3000</v>
      </c>
      <c r="J2503">
        <v>1000</v>
      </c>
      <c r="K2503" t="s">
        <v>380</v>
      </c>
      <c r="L2503" t="s">
        <v>71</v>
      </c>
      <c r="M2503" t="s">
        <v>43</v>
      </c>
      <c r="N2503" t="b">
        <v>0</v>
      </c>
      <c r="O2503" t="s">
        <v>381</v>
      </c>
    </row>
    <row r="2504" spans="1:15" ht="15" customHeight="1">
      <c r="A2504" t="s">
        <v>260</v>
      </c>
      <c r="B2504" t="s">
        <v>3103</v>
      </c>
      <c r="C2504" t="s">
        <v>129</v>
      </c>
      <c r="D2504" t="s">
        <v>130</v>
      </c>
      <c r="E2504">
        <v>13</v>
      </c>
      <c r="F2504">
        <v>12.2</v>
      </c>
      <c r="G2504">
        <v>0.94</v>
      </c>
      <c r="H2504">
        <v>19</v>
      </c>
      <c r="I2504">
        <v>5000</v>
      </c>
      <c r="J2504">
        <v>1000</v>
      </c>
      <c r="K2504" t="s">
        <v>336</v>
      </c>
      <c r="L2504" t="s">
        <v>96</v>
      </c>
      <c r="M2504" t="s">
        <v>49</v>
      </c>
      <c r="N2504" t="b">
        <v>0</v>
      </c>
      <c r="O2504" t="s">
        <v>337</v>
      </c>
    </row>
    <row r="2505" spans="1:15" ht="15" customHeight="1">
      <c r="A2505" t="s">
        <v>507</v>
      </c>
      <c r="B2505" t="s">
        <v>3104</v>
      </c>
      <c r="C2505" t="s">
        <v>129</v>
      </c>
      <c r="D2505" t="s">
        <v>130</v>
      </c>
      <c r="E2505">
        <v>11</v>
      </c>
      <c r="F2505">
        <v>4.7</v>
      </c>
      <c r="G2505">
        <v>0.43</v>
      </c>
      <c r="H2505">
        <v>19</v>
      </c>
      <c r="I2505">
        <v>5000</v>
      </c>
      <c r="J2505">
        <v>1000</v>
      </c>
      <c r="K2505" t="s">
        <v>336</v>
      </c>
      <c r="L2505" t="s">
        <v>104</v>
      </c>
      <c r="M2505" t="s">
        <v>40</v>
      </c>
      <c r="N2505" t="b">
        <v>0</v>
      </c>
      <c r="O2505" t="s">
        <v>337</v>
      </c>
    </row>
    <row r="2506" spans="1:15" ht="15" customHeight="1">
      <c r="A2506" t="s">
        <v>386</v>
      </c>
      <c r="B2506" t="s">
        <v>3105</v>
      </c>
      <c r="C2506" t="s">
        <v>129</v>
      </c>
      <c r="D2506" t="s">
        <v>130</v>
      </c>
      <c r="E2506">
        <v>18</v>
      </c>
      <c r="F2506">
        <v>4.0999999999999996</v>
      </c>
      <c r="G2506">
        <v>0.23</v>
      </c>
      <c r="H2506">
        <v>29</v>
      </c>
      <c r="I2506">
        <v>5000</v>
      </c>
      <c r="J2506">
        <v>1000</v>
      </c>
      <c r="K2506" t="s">
        <v>113</v>
      </c>
      <c r="L2506" t="s">
        <v>77</v>
      </c>
      <c r="M2506" t="s">
        <v>42</v>
      </c>
      <c r="N2506" t="b">
        <v>0</v>
      </c>
      <c r="O2506" t="s">
        <v>146</v>
      </c>
    </row>
    <row r="2507" spans="1:15" ht="15" customHeight="1">
      <c r="A2507" t="s">
        <v>247</v>
      </c>
      <c r="B2507" t="s">
        <v>3106</v>
      </c>
      <c r="C2507" t="s">
        <v>81</v>
      </c>
      <c r="D2507" t="s">
        <v>69</v>
      </c>
      <c r="E2507">
        <v>14</v>
      </c>
      <c r="F2507">
        <v>10.4</v>
      </c>
      <c r="G2507">
        <v>0.74</v>
      </c>
      <c r="H2507">
        <v>18</v>
      </c>
      <c r="I2507">
        <v>10000</v>
      </c>
      <c r="J2507">
        <v>3000</v>
      </c>
      <c r="K2507" t="s">
        <v>142</v>
      </c>
      <c r="L2507" t="s">
        <v>100</v>
      </c>
      <c r="M2507" t="s">
        <v>45</v>
      </c>
      <c r="N2507" t="b">
        <v>0</v>
      </c>
      <c r="O2507" t="s">
        <v>143</v>
      </c>
    </row>
    <row r="2508" spans="1:15" ht="15" customHeight="1">
      <c r="A2508" t="s">
        <v>183</v>
      </c>
      <c r="B2508" t="s">
        <v>3107</v>
      </c>
      <c r="C2508" t="s">
        <v>129</v>
      </c>
      <c r="D2508" t="s">
        <v>130</v>
      </c>
      <c r="E2508">
        <v>16</v>
      </c>
      <c r="F2508">
        <v>9</v>
      </c>
      <c r="G2508">
        <v>0.56000000000000005</v>
      </c>
      <c r="H2508">
        <v>26</v>
      </c>
      <c r="I2508">
        <v>5000</v>
      </c>
      <c r="J2508">
        <v>1000</v>
      </c>
      <c r="K2508" t="s">
        <v>203</v>
      </c>
      <c r="L2508" t="s">
        <v>100</v>
      </c>
      <c r="M2508" t="s">
        <v>51</v>
      </c>
      <c r="N2508" t="b">
        <v>0</v>
      </c>
      <c r="O2508" t="s">
        <v>623</v>
      </c>
    </row>
    <row r="2509" spans="1:15" ht="15" customHeight="1">
      <c r="A2509" t="s">
        <v>1405</v>
      </c>
      <c r="B2509" t="s">
        <v>3108</v>
      </c>
      <c r="C2509" t="s">
        <v>75</v>
      </c>
      <c r="D2509" t="s">
        <v>69</v>
      </c>
      <c r="E2509">
        <v>10</v>
      </c>
      <c r="F2509">
        <v>9.8000000000000007</v>
      </c>
      <c r="G2509">
        <v>0.98</v>
      </c>
      <c r="H2509">
        <v>10</v>
      </c>
      <c r="I2509">
        <v>2000</v>
      </c>
      <c r="J2509">
        <v>1500</v>
      </c>
      <c r="K2509" t="s">
        <v>418</v>
      </c>
      <c r="L2509" t="s">
        <v>100</v>
      </c>
      <c r="M2509" t="s">
        <v>42</v>
      </c>
      <c r="N2509" t="b">
        <v>0</v>
      </c>
      <c r="O2509" t="s">
        <v>419</v>
      </c>
    </row>
    <row r="2510" spans="1:15" ht="15" customHeight="1">
      <c r="A2510" t="s">
        <v>725</v>
      </c>
      <c r="B2510" t="s">
        <v>3109</v>
      </c>
      <c r="C2510" t="s">
        <v>129</v>
      </c>
      <c r="D2510" t="s">
        <v>130</v>
      </c>
      <c r="E2510">
        <v>18</v>
      </c>
      <c r="F2510">
        <v>7.1</v>
      </c>
      <c r="G2510">
        <v>0.39</v>
      </c>
      <c r="H2510">
        <v>26</v>
      </c>
      <c r="I2510">
        <v>5000</v>
      </c>
      <c r="J2510">
        <v>1000</v>
      </c>
      <c r="K2510" t="s">
        <v>203</v>
      </c>
      <c r="L2510" t="s">
        <v>117</v>
      </c>
      <c r="M2510" t="s">
        <v>50</v>
      </c>
      <c r="N2510" t="b">
        <v>1</v>
      </c>
      <c r="O2510" t="s">
        <v>623</v>
      </c>
    </row>
    <row r="2511" spans="1:15" ht="15" customHeight="1">
      <c r="A2511" t="s">
        <v>1208</v>
      </c>
      <c r="B2511" t="s">
        <v>3110</v>
      </c>
      <c r="C2511" t="s">
        <v>68</v>
      </c>
      <c r="D2511" t="s">
        <v>69</v>
      </c>
      <c r="E2511">
        <v>12</v>
      </c>
      <c r="F2511">
        <v>2.6</v>
      </c>
      <c r="G2511">
        <v>0.22</v>
      </c>
      <c r="H2511">
        <v>1</v>
      </c>
      <c r="I2511">
        <v>30000</v>
      </c>
      <c r="J2511">
        <v>5000</v>
      </c>
      <c r="K2511" t="s">
        <v>70</v>
      </c>
      <c r="L2511" t="s">
        <v>117</v>
      </c>
      <c r="M2511" t="s">
        <v>43</v>
      </c>
      <c r="N2511" t="b">
        <v>1</v>
      </c>
      <c r="O2511" t="s">
        <v>72</v>
      </c>
    </row>
    <row r="2512" spans="1:15" ht="15" customHeight="1">
      <c r="A2512" t="s">
        <v>676</v>
      </c>
      <c r="B2512" t="s">
        <v>3111</v>
      </c>
      <c r="C2512" t="s">
        <v>149</v>
      </c>
      <c r="D2512" t="s">
        <v>69</v>
      </c>
      <c r="E2512">
        <v>10</v>
      </c>
      <c r="F2512">
        <v>8.1</v>
      </c>
      <c r="G2512">
        <v>0.81</v>
      </c>
      <c r="H2512">
        <v>37</v>
      </c>
      <c r="I2512">
        <v>3000</v>
      </c>
      <c r="J2512">
        <v>1000</v>
      </c>
      <c r="K2512" t="s">
        <v>672</v>
      </c>
      <c r="L2512" t="s">
        <v>71</v>
      </c>
      <c r="M2512" t="s">
        <v>49</v>
      </c>
      <c r="N2512" t="b">
        <v>0</v>
      </c>
      <c r="O2512" t="s">
        <v>134</v>
      </c>
    </row>
    <row r="2513" spans="1:15" ht="15" customHeight="1">
      <c r="A2513" t="s">
        <v>682</v>
      </c>
      <c r="B2513" t="s">
        <v>3112</v>
      </c>
      <c r="C2513" t="s">
        <v>75</v>
      </c>
      <c r="D2513" t="s">
        <v>69</v>
      </c>
      <c r="E2513">
        <v>17</v>
      </c>
      <c r="F2513">
        <v>16.3</v>
      </c>
      <c r="G2513">
        <v>0.96</v>
      </c>
      <c r="H2513">
        <v>21</v>
      </c>
      <c r="I2513">
        <v>2000</v>
      </c>
      <c r="J2513">
        <v>1500</v>
      </c>
      <c r="K2513" t="s">
        <v>365</v>
      </c>
      <c r="L2513" t="s">
        <v>91</v>
      </c>
      <c r="M2513" t="s">
        <v>46</v>
      </c>
      <c r="N2513" t="b">
        <v>1</v>
      </c>
      <c r="O2513" t="s">
        <v>366</v>
      </c>
    </row>
    <row r="2514" spans="1:15" ht="15" customHeight="1">
      <c r="A2514" t="s">
        <v>1352</v>
      </c>
      <c r="B2514" t="s">
        <v>3113</v>
      </c>
      <c r="C2514" t="s">
        <v>75</v>
      </c>
      <c r="D2514" t="s">
        <v>69</v>
      </c>
      <c r="E2514">
        <v>17</v>
      </c>
      <c r="F2514">
        <v>15</v>
      </c>
      <c r="G2514">
        <v>0.88</v>
      </c>
      <c r="H2514">
        <v>30</v>
      </c>
      <c r="I2514">
        <v>2000</v>
      </c>
      <c r="J2514">
        <v>1500</v>
      </c>
      <c r="K2514" t="s">
        <v>162</v>
      </c>
      <c r="L2514" t="s">
        <v>91</v>
      </c>
      <c r="M2514" t="s">
        <v>49</v>
      </c>
      <c r="N2514" t="b">
        <v>1</v>
      </c>
      <c r="O2514" t="s">
        <v>510</v>
      </c>
    </row>
    <row r="2515" spans="1:15" ht="15" customHeight="1">
      <c r="A2515" t="s">
        <v>340</v>
      </c>
      <c r="B2515" t="s">
        <v>3114</v>
      </c>
      <c r="C2515" t="s">
        <v>149</v>
      </c>
      <c r="D2515" t="s">
        <v>69</v>
      </c>
      <c r="E2515">
        <v>8</v>
      </c>
      <c r="F2515">
        <v>7.7</v>
      </c>
      <c r="G2515">
        <v>0.96</v>
      </c>
      <c r="H2515">
        <v>37</v>
      </c>
      <c r="I2515">
        <v>3000</v>
      </c>
      <c r="J2515">
        <v>1000</v>
      </c>
      <c r="K2515" t="s">
        <v>672</v>
      </c>
      <c r="L2515" t="s">
        <v>117</v>
      </c>
      <c r="M2515" t="s">
        <v>45</v>
      </c>
      <c r="N2515" t="b">
        <v>1</v>
      </c>
      <c r="O2515" t="s">
        <v>134</v>
      </c>
    </row>
    <row r="2516" spans="1:15" ht="15" customHeight="1">
      <c r="A2516" t="s">
        <v>1371</v>
      </c>
      <c r="B2516" t="s">
        <v>3115</v>
      </c>
      <c r="C2516" t="s">
        <v>149</v>
      </c>
      <c r="D2516" t="s">
        <v>69</v>
      </c>
      <c r="E2516">
        <v>11</v>
      </c>
      <c r="F2516">
        <v>9.8000000000000007</v>
      </c>
      <c r="G2516">
        <v>0.89</v>
      </c>
      <c r="H2516">
        <v>15</v>
      </c>
      <c r="I2516">
        <v>3000</v>
      </c>
      <c r="J2516">
        <v>1000</v>
      </c>
      <c r="K2516" t="s">
        <v>438</v>
      </c>
      <c r="L2516" t="s">
        <v>104</v>
      </c>
      <c r="M2516" t="s">
        <v>43</v>
      </c>
      <c r="N2516" t="b">
        <v>0</v>
      </c>
      <c r="O2516" t="s">
        <v>90</v>
      </c>
    </row>
    <row r="2517" spans="1:15" ht="15" customHeight="1">
      <c r="A2517" t="s">
        <v>762</v>
      </c>
      <c r="B2517" t="s">
        <v>3116</v>
      </c>
      <c r="C2517" t="s">
        <v>129</v>
      </c>
      <c r="D2517" t="s">
        <v>130</v>
      </c>
      <c r="E2517">
        <v>17</v>
      </c>
      <c r="F2517">
        <v>3.7</v>
      </c>
      <c r="G2517">
        <v>0.22</v>
      </c>
      <c r="H2517">
        <v>21</v>
      </c>
      <c r="I2517">
        <v>5000</v>
      </c>
      <c r="J2517">
        <v>1000</v>
      </c>
      <c r="K2517" t="s">
        <v>131</v>
      </c>
      <c r="L2517" t="s">
        <v>100</v>
      </c>
      <c r="M2517" t="s">
        <v>44</v>
      </c>
      <c r="N2517" t="b">
        <v>0</v>
      </c>
      <c r="O2517" t="s">
        <v>132</v>
      </c>
    </row>
    <row r="2518" spans="1:15" ht="15" customHeight="1">
      <c r="A2518" t="s">
        <v>1159</v>
      </c>
      <c r="B2518" t="s">
        <v>3117</v>
      </c>
      <c r="C2518" t="s">
        <v>129</v>
      </c>
      <c r="D2518" t="s">
        <v>130</v>
      </c>
      <c r="E2518">
        <v>10</v>
      </c>
      <c r="F2518">
        <v>4.7</v>
      </c>
      <c r="G2518">
        <v>0.47</v>
      </c>
      <c r="H2518">
        <v>11</v>
      </c>
      <c r="I2518">
        <v>5000</v>
      </c>
      <c r="J2518">
        <v>1000</v>
      </c>
      <c r="K2518" t="s">
        <v>163</v>
      </c>
      <c r="L2518" t="s">
        <v>100</v>
      </c>
      <c r="M2518" t="s">
        <v>48</v>
      </c>
      <c r="N2518" t="b">
        <v>0</v>
      </c>
      <c r="O2518" t="s">
        <v>150</v>
      </c>
    </row>
    <row r="2519" spans="1:15" ht="15" customHeight="1">
      <c r="A2519" t="s">
        <v>1086</v>
      </c>
      <c r="B2519" t="s">
        <v>3118</v>
      </c>
      <c r="C2519" t="s">
        <v>75</v>
      </c>
      <c r="D2519" t="s">
        <v>69</v>
      </c>
      <c r="E2519">
        <v>12</v>
      </c>
      <c r="F2519">
        <v>4.3</v>
      </c>
      <c r="G2519">
        <v>0.36</v>
      </c>
      <c r="H2519">
        <v>30</v>
      </c>
      <c r="I2519">
        <v>2000</v>
      </c>
      <c r="J2519">
        <v>1500</v>
      </c>
      <c r="K2519" t="s">
        <v>162</v>
      </c>
      <c r="L2519" t="s">
        <v>71</v>
      </c>
      <c r="M2519" t="s">
        <v>44</v>
      </c>
      <c r="N2519" t="b">
        <v>0</v>
      </c>
      <c r="O2519" t="s">
        <v>510</v>
      </c>
    </row>
    <row r="2520" spans="1:15" ht="15" customHeight="1">
      <c r="A2520" t="s">
        <v>464</v>
      </c>
      <c r="B2520" t="s">
        <v>3119</v>
      </c>
      <c r="C2520" t="s">
        <v>75</v>
      </c>
      <c r="D2520" t="s">
        <v>69</v>
      </c>
      <c r="E2520">
        <v>18</v>
      </c>
      <c r="F2520">
        <v>11.4</v>
      </c>
      <c r="G2520">
        <v>0.63</v>
      </c>
      <c r="H2520">
        <v>18</v>
      </c>
      <c r="I2520">
        <v>2000</v>
      </c>
      <c r="J2520">
        <v>1500</v>
      </c>
      <c r="K2520" t="s">
        <v>225</v>
      </c>
      <c r="L2520" t="s">
        <v>100</v>
      </c>
      <c r="M2520" t="s">
        <v>41</v>
      </c>
      <c r="N2520" t="b">
        <v>0</v>
      </c>
      <c r="O2520" t="s">
        <v>226</v>
      </c>
    </row>
    <row r="2521" spans="1:15" ht="15" customHeight="1">
      <c r="A2521" t="s">
        <v>1126</v>
      </c>
      <c r="B2521" t="s">
        <v>3120</v>
      </c>
      <c r="C2521" t="s">
        <v>149</v>
      </c>
      <c r="D2521" t="s">
        <v>69</v>
      </c>
      <c r="E2521">
        <v>12</v>
      </c>
      <c r="F2521">
        <v>6.3</v>
      </c>
      <c r="G2521">
        <v>0.53</v>
      </c>
      <c r="H2521">
        <v>35</v>
      </c>
      <c r="I2521">
        <v>3000</v>
      </c>
      <c r="J2521">
        <v>1000</v>
      </c>
      <c r="K2521" t="s">
        <v>131</v>
      </c>
      <c r="L2521" t="s">
        <v>104</v>
      </c>
      <c r="M2521" t="s">
        <v>46</v>
      </c>
      <c r="N2521" t="b">
        <v>0</v>
      </c>
      <c r="O2521" t="s">
        <v>132</v>
      </c>
    </row>
    <row r="2522" spans="1:15" ht="15" customHeight="1">
      <c r="A2522" t="s">
        <v>650</v>
      </c>
      <c r="B2522" t="s">
        <v>3121</v>
      </c>
      <c r="C2522" t="s">
        <v>68</v>
      </c>
      <c r="D2522" t="s">
        <v>69</v>
      </c>
      <c r="E2522">
        <v>10</v>
      </c>
      <c r="F2522">
        <v>2.8</v>
      </c>
      <c r="G2522">
        <v>0.28000000000000003</v>
      </c>
      <c r="H2522">
        <v>4</v>
      </c>
      <c r="I2522">
        <v>30000</v>
      </c>
      <c r="J2522">
        <v>5000</v>
      </c>
      <c r="K2522" t="s">
        <v>95</v>
      </c>
      <c r="L2522" t="s">
        <v>100</v>
      </c>
      <c r="M2522" t="s">
        <v>46</v>
      </c>
      <c r="N2522" t="b">
        <v>0</v>
      </c>
      <c r="O2522" t="s">
        <v>97</v>
      </c>
    </row>
    <row r="2523" spans="1:15" ht="15" customHeight="1">
      <c r="A2523" t="s">
        <v>1317</v>
      </c>
      <c r="B2523" t="s">
        <v>3122</v>
      </c>
      <c r="C2523" t="s">
        <v>68</v>
      </c>
      <c r="D2523" t="s">
        <v>69</v>
      </c>
      <c r="E2523">
        <v>12</v>
      </c>
      <c r="F2523">
        <v>2.2000000000000002</v>
      </c>
      <c r="G2523">
        <v>0.18</v>
      </c>
      <c r="H2523">
        <v>4</v>
      </c>
      <c r="I2523">
        <v>30000</v>
      </c>
      <c r="J2523">
        <v>5000</v>
      </c>
      <c r="K2523" t="s">
        <v>95</v>
      </c>
      <c r="L2523" t="s">
        <v>71</v>
      </c>
      <c r="M2523" t="s">
        <v>40</v>
      </c>
      <c r="N2523" t="b">
        <v>0</v>
      </c>
      <c r="O2523" t="s">
        <v>97</v>
      </c>
    </row>
    <row r="2524" spans="1:15" ht="15" customHeight="1">
      <c r="A2524" t="s">
        <v>670</v>
      </c>
      <c r="B2524" t="s">
        <v>3123</v>
      </c>
      <c r="C2524" t="s">
        <v>81</v>
      </c>
      <c r="D2524" t="s">
        <v>69</v>
      </c>
      <c r="E2524">
        <v>15</v>
      </c>
      <c r="F2524">
        <v>4</v>
      </c>
      <c r="G2524">
        <v>0.27</v>
      </c>
      <c r="H2524">
        <v>25</v>
      </c>
      <c r="I2524">
        <v>10000</v>
      </c>
      <c r="J2524">
        <v>3000</v>
      </c>
      <c r="K2524" t="s">
        <v>138</v>
      </c>
      <c r="L2524" t="s">
        <v>91</v>
      </c>
      <c r="M2524" t="s">
        <v>42</v>
      </c>
      <c r="N2524" t="b">
        <v>1</v>
      </c>
      <c r="O2524" t="s">
        <v>139</v>
      </c>
    </row>
    <row r="2525" spans="1:15" ht="15" customHeight="1">
      <c r="A2525" t="s">
        <v>1086</v>
      </c>
      <c r="B2525" t="s">
        <v>3124</v>
      </c>
      <c r="C2525" t="s">
        <v>68</v>
      </c>
      <c r="D2525" t="s">
        <v>69</v>
      </c>
      <c r="E2525">
        <v>10</v>
      </c>
      <c r="F2525">
        <v>3.5</v>
      </c>
      <c r="G2525">
        <v>0.35</v>
      </c>
      <c r="H2525">
        <v>3</v>
      </c>
      <c r="I2525">
        <v>30000</v>
      </c>
      <c r="J2525">
        <v>5000</v>
      </c>
      <c r="K2525" t="s">
        <v>108</v>
      </c>
      <c r="L2525" t="s">
        <v>71</v>
      </c>
      <c r="M2525" t="s">
        <v>44</v>
      </c>
      <c r="N2525" t="b">
        <v>0</v>
      </c>
      <c r="O2525" t="s">
        <v>109</v>
      </c>
    </row>
    <row r="2526" spans="1:15" ht="15" customHeight="1">
      <c r="A2526" t="s">
        <v>868</v>
      </c>
      <c r="B2526" t="s">
        <v>3125</v>
      </c>
      <c r="C2526" t="s">
        <v>149</v>
      </c>
      <c r="D2526" t="s">
        <v>69</v>
      </c>
      <c r="E2526">
        <v>11</v>
      </c>
      <c r="F2526">
        <v>9.1999999999999993</v>
      </c>
      <c r="G2526">
        <v>0.84</v>
      </c>
      <c r="H2526">
        <v>30</v>
      </c>
      <c r="I2526">
        <v>3000</v>
      </c>
      <c r="J2526">
        <v>1000</v>
      </c>
      <c r="K2526" t="s">
        <v>108</v>
      </c>
      <c r="L2526" t="s">
        <v>117</v>
      </c>
      <c r="M2526" t="s">
        <v>45</v>
      </c>
      <c r="N2526" t="b">
        <v>1</v>
      </c>
      <c r="O2526" t="s">
        <v>166</v>
      </c>
    </row>
    <row r="2527" spans="1:15" ht="15" customHeight="1">
      <c r="A2527" t="s">
        <v>359</v>
      </c>
      <c r="B2527" t="s">
        <v>3126</v>
      </c>
      <c r="C2527" t="s">
        <v>75</v>
      </c>
      <c r="D2527" t="s">
        <v>69</v>
      </c>
      <c r="E2527">
        <v>12</v>
      </c>
      <c r="F2527">
        <v>11.2</v>
      </c>
      <c r="G2527">
        <v>0.93</v>
      </c>
      <c r="H2527">
        <v>9</v>
      </c>
      <c r="I2527">
        <v>2000</v>
      </c>
      <c r="J2527">
        <v>1500</v>
      </c>
      <c r="K2527" t="s">
        <v>740</v>
      </c>
      <c r="L2527" t="s">
        <v>117</v>
      </c>
      <c r="M2527" t="s">
        <v>47</v>
      </c>
      <c r="N2527" t="b">
        <v>1</v>
      </c>
      <c r="O2527" t="s">
        <v>741</v>
      </c>
    </row>
    <row r="2528" spans="1:15" ht="15" customHeight="1">
      <c r="A2528" t="s">
        <v>832</v>
      </c>
      <c r="B2528" t="s">
        <v>3127</v>
      </c>
      <c r="C2528" t="s">
        <v>81</v>
      </c>
      <c r="D2528" t="s">
        <v>69</v>
      </c>
      <c r="E2528">
        <v>19</v>
      </c>
      <c r="F2528">
        <v>15.3</v>
      </c>
      <c r="G2528">
        <v>0.81</v>
      </c>
      <c r="H2528">
        <v>13</v>
      </c>
      <c r="I2528">
        <v>10000</v>
      </c>
      <c r="J2528">
        <v>3000</v>
      </c>
      <c r="K2528" t="s">
        <v>203</v>
      </c>
      <c r="L2528" t="s">
        <v>117</v>
      </c>
      <c r="M2528" t="s">
        <v>50</v>
      </c>
      <c r="N2528" t="b">
        <v>1</v>
      </c>
      <c r="O2528" t="s">
        <v>204</v>
      </c>
    </row>
    <row r="2529" spans="1:15" ht="15" customHeight="1">
      <c r="A2529" t="s">
        <v>406</v>
      </c>
      <c r="B2529" t="s">
        <v>3128</v>
      </c>
      <c r="C2529" t="s">
        <v>149</v>
      </c>
      <c r="D2529" t="s">
        <v>69</v>
      </c>
      <c r="E2529">
        <v>11</v>
      </c>
      <c r="F2529">
        <v>8.6</v>
      </c>
      <c r="G2529">
        <v>0.78</v>
      </c>
      <c r="H2529">
        <v>25</v>
      </c>
      <c r="I2529">
        <v>3000</v>
      </c>
      <c r="J2529">
        <v>1000</v>
      </c>
      <c r="K2529" t="s">
        <v>479</v>
      </c>
      <c r="L2529" t="s">
        <v>96</v>
      </c>
      <c r="M2529" t="s">
        <v>47</v>
      </c>
      <c r="N2529" t="b">
        <v>0</v>
      </c>
      <c r="O2529" t="s">
        <v>480</v>
      </c>
    </row>
    <row r="2530" spans="1:15" ht="15" customHeight="1">
      <c r="A2530" t="s">
        <v>767</v>
      </c>
      <c r="B2530" t="s">
        <v>3129</v>
      </c>
      <c r="C2530" t="s">
        <v>75</v>
      </c>
      <c r="D2530" t="s">
        <v>69</v>
      </c>
      <c r="E2530">
        <v>16</v>
      </c>
      <c r="F2530">
        <v>15.5</v>
      </c>
      <c r="G2530">
        <v>0.97</v>
      </c>
      <c r="H2530">
        <v>14</v>
      </c>
      <c r="I2530">
        <v>2000</v>
      </c>
      <c r="J2530">
        <v>1500</v>
      </c>
      <c r="K2530" t="s">
        <v>396</v>
      </c>
      <c r="L2530" t="s">
        <v>104</v>
      </c>
      <c r="M2530" t="s">
        <v>48</v>
      </c>
      <c r="N2530" t="b">
        <v>0</v>
      </c>
      <c r="O2530" t="s">
        <v>397</v>
      </c>
    </row>
    <row r="2531" spans="1:15" ht="15" customHeight="1">
      <c r="A2531" t="s">
        <v>630</v>
      </c>
      <c r="B2531" t="s">
        <v>3130</v>
      </c>
      <c r="C2531" t="s">
        <v>68</v>
      </c>
      <c r="D2531" t="s">
        <v>69</v>
      </c>
      <c r="E2531">
        <v>9</v>
      </c>
      <c r="F2531">
        <v>3.4</v>
      </c>
      <c r="G2531">
        <v>0.38</v>
      </c>
      <c r="H2531">
        <v>3</v>
      </c>
      <c r="I2531">
        <v>30000</v>
      </c>
      <c r="J2531">
        <v>5000</v>
      </c>
      <c r="K2531" t="s">
        <v>108</v>
      </c>
      <c r="L2531" t="s">
        <v>77</v>
      </c>
      <c r="M2531" t="s">
        <v>47</v>
      </c>
      <c r="N2531" t="b">
        <v>0</v>
      </c>
      <c r="O2531" t="s">
        <v>109</v>
      </c>
    </row>
    <row r="2532" spans="1:15" ht="15" customHeight="1">
      <c r="A2532" t="s">
        <v>178</v>
      </c>
      <c r="B2532" t="s">
        <v>3131</v>
      </c>
      <c r="C2532" t="s">
        <v>149</v>
      </c>
      <c r="D2532" t="s">
        <v>69</v>
      </c>
      <c r="E2532">
        <v>9</v>
      </c>
      <c r="F2532">
        <v>8.4</v>
      </c>
      <c r="G2532">
        <v>0.93</v>
      </c>
      <c r="H2532">
        <v>33</v>
      </c>
      <c r="I2532">
        <v>3000</v>
      </c>
      <c r="J2532">
        <v>1000</v>
      </c>
      <c r="K2532" t="s">
        <v>169</v>
      </c>
      <c r="L2532" t="s">
        <v>91</v>
      </c>
      <c r="M2532" t="s">
        <v>47</v>
      </c>
      <c r="N2532" t="b">
        <v>1</v>
      </c>
      <c r="O2532" t="s">
        <v>702</v>
      </c>
    </row>
    <row r="2533" spans="1:15" ht="15" customHeight="1">
      <c r="A2533" t="s">
        <v>170</v>
      </c>
      <c r="B2533" t="s">
        <v>3132</v>
      </c>
      <c r="C2533" t="s">
        <v>81</v>
      </c>
      <c r="D2533" t="s">
        <v>69</v>
      </c>
      <c r="E2533">
        <v>18</v>
      </c>
      <c r="F2533">
        <v>9</v>
      </c>
      <c r="G2533">
        <v>0.5</v>
      </c>
      <c r="H2533">
        <v>7</v>
      </c>
      <c r="I2533">
        <v>10000</v>
      </c>
      <c r="J2533">
        <v>3000</v>
      </c>
      <c r="K2533" t="s">
        <v>82</v>
      </c>
      <c r="L2533" t="s">
        <v>96</v>
      </c>
      <c r="M2533" t="s">
        <v>44</v>
      </c>
      <c r="N2533" t="b">
        <v>0</v>
      </c>
      <c r="O2533" t="s">
        <v>83</v>
      </c>
    </row>
    <row r="2534" spans="1:15" ht="15" customHeight="1">
      <c r="A2534" t="s">
        <v>1051</v>
      </c>
      <c r="B2534" t="s">
        <v>3133</v>
      </c>
      <c r="C2534" t="s">
        <v>75</v>
      </c>
      <c r="D2534" t="s">
        <v>69</v>
      </c>
      <c r="E2534">
        <v>20</v>
      </c>
      <c r="F2534">
        <v>17.2</v>
      </c>
      <c r="G2534">
        <v>0.86</v>
      </c>
      <c r="H2534">
        <v>28</v>
      </c>
      <c r="I2534">
        <v>2000</v>
      </c>
      <c r="J2534">
        <v>1500</v>
      </c>
      <c r="K2534" t="s">
        <v>262</v>
      </c>
      <c r="L2534" t="s">
        <v>117</v>
      </c>
      <c r="M2534" t="s">
        <v>41</v>
      </c>
      <c r="N2534" t="b">
        <v>1</v>
      </c>
      <c r="O2534" t="s">
        <v>289</v>
      </c>
    </row>
    <row r="2535" spans="1:15" ht="15" customHeight="1">
      <c r="A2535" t="s">
        <v>946</v>
      </c>
      <c r="B2535" t="s">
        <v>3134</v>
      </c>
      <c r="C2535" t="s">
        <v>129</v>
      </c>
      <c r="D2535" t="s">
        <v>130</v>
      </c>
      <c r="E2535">
        <v>18</v>
      </c>
      <c r="F2535">
        <v>13.8</v>
      </c>
      <c r="G2535">
        <v>0.77</v>
      </c>
      <c r="H2535">
        <v>17</v>
      </c>
      <c r="I2535">
        <v>5000</v>
      </c>
      <c r="J2535">
        <v>1000</v>
      </c>
      <c r="K2535" t="s">
        <v>109</v>
      </c>
      <c r="L2535" t="s">
        <v>100</v>
      </c>
      <c r="M2535" t="s">
        <v>51</v>
      </c>
      <c r="N2535" t="b">
        <v>0</v>
      </c>
      <c r="O2535" t="s">
        <v>176</v>
      </c>
    </row>
    <row r="2536" spans="1:15" ht="15" customHeight="1">
      <c r="A2536" t="s">
        <v>2036</v>
      </c>
      <c r="B2536" t="s">
        <v>3135</v>
      </c>
      <c r="C2536" t="s">
        <v>129</v>
      </c>
      <c r="D2536" t="s">
        <v>130</v>
      </c>
      <c r="E2536">
        <v>9</v>
      </c>
      <c r="F2536">
        <v>4.5999999999999996</v>
      </c>
      <c r="G2536">
        <v>0.51</v>
      </c>
      <c r="H2536">
        <v>24</v>
      </c>
      <c r="I2536">
        <v>5000</v>
      </c>
      <c r="J2536">
        <v>1000</v>
      </c>
      <c r="K2536" t="s">
        <v>95</v>
      </c>
      <c r="L2536" t="s">
        <v>117</v>
      </c>
      <c r="M2536" t="s">
        <v>48</v>
      </c>
      <c r="N2536" t="b">
        <v>1</v>
      </c>
      <c r="O2536" t="s">
        <v>217</v>
      </c>
    </row>
    <row r="2537" spans="1:15" ht="15" customHeight="1">
      <c r="A2537" t="s">
        <v>221</v>
      </c>
      <c r="B2537" t="s">
        <v>3136</v>
      </c>
      <c r="C2537" t="s">
        <v>68</v>
      </c>
      <c r="D2537" t="s">
        <v>69</v>
      </c>
      <c r="E2537">
        <v>14</v>
      </c>
      <c r="F2537">
        <v>1.9</v>
      </c>
      <c r="G2537">
        <v>0.14000000000000001</v>
      </c>
      <c r="H2537">
        <v>3</v>
      </c>
      <c r="I2537">
        <v>30000</v>
      </c>
      <c r="J2537">
        <v>5000</v>
      </c>
      <c r="K2537" t="s">
        <v>108</v>
      </c>
      <c r="L2537" t="s">
        <v>71</v>
      </c>
      <c r="M2537" t="s">
        <v>49</v>
      </c>
      <c r="N2537" t="b">
        <v>0</v>
      </c>
      <c r="O2537" t="s">
        <v>109</v>
      </c>
    </row>
    <row r="2538" spans="1:15" ht="15" customHeight="1">
      <c r="A2538" t="s">
        <v>1035</v>
      </c>
      <c r="B2538" t="s">
        <v>3137</v>
      </c>
      <c r="C2538" t="s">
        <v>129</v>
      </c>
      <c r="D2538" t="s">
        <v>130</v>
      </c>
      <c r="E2538">
        <v>17</v>
      </c>
      <c r="F2538">
        <v>11.7</v>
      </c>
      <c r="G2538">
        <v>0.69</v>
      </c>
      <c r="H2538">
        <v>15</v>
      </c>
      <c r="I2538">
        <v>5000</v>
      </c>
      <c r="J2538">
        <v>1000</v>
      </c>
      <c r="K2538" t="s">
        <v>479</v>
      </c>
      <c r="L2538" t="s">
        <v>100</v>
      </c>
      <c r="M2538" t="s">
        <v>48</v>
      </c>
      <c r="N2538" t="b">
        <v>0</v>
      </c>
      <c r="O2538" t="s">
        <v>480</v>
      </c>
    </row>
    <row r="2539" spans="1:15" ht="15" customHeight="1">
      <c r="A2539" t="s">
        <v>814</v>
      </c>
      <c r="B2539" t="s">
        <v>3138</v>
      </c>
      <c r="C2539" t="s">
        <v>68</v>
      </c>
      <c r="D2539" t="s">
        <v>69</v>
      </c>
      <c r="E2539">
        <v>9</v>
      </c>
      <c r="F2539">
        <v>2.7</v>
      </c>
      <c r="G2539">
        <v>0.3</v>
      </c>
      <c r="H2539">
        <v>1</v>
      </c>
      <c r="I2539">
        <v>30000</v>
      </c>
      <c r="J2539">
        <v>5000</v>
      </c>
      <c r="K2539" t="s">
        <v>70</v>
      </c>
      <c r="L2539" t="s">
        <v>71</v>
      </c>
      <c r="M2539" t="s">
        <v>45</v>
      </c>
      <c r="N2539" t="b">
        <v>0</v>
      </c>
      <c r="O2539" t="s">
        <v>72</v>
      </c>
    </row>
    <row r="2540" spans="1:15" ht="15" customHeight="1">
      <c r="A2540" t="s">
        <v>471</v>
      </c>
      <c r="B2540" t="s">
        <v>3139</v>
      </c>
      <c r="C2540" t="s">
        <v>68</v>
      </c>
      <c r="D2540" t="s">
        <v>69</v>
      </c>
      <c r="E2540">
        <v>8</v>
      </c>
      <c r="F2540">
        <v>3.8</v>
      </c>
      <c r="G2540">
        <v>0.47</v>
      </c>
      <c r="H2540">
        <v>4</v>
      </c>
      <c r="I2540">
        <v>30000</v>
      </c>
      <c r="J2540">
        <v>5000</v>
      </c>
      <c r="K2540" t="s">
        <v>95</v>
      </c>
      <c r="L2540" t="s">
        <v>117</v>
      </c>
      <c r="M2540" t="s">
        <v>47</v>
      </c>
      <c r="N2540" t="b">
        <v>1</v>
      </c>
      <c r="O2540" t="s">
        <v>97</v>
      </c>
    </row>
    <row r="2541" spans="1:15" ht="15" customHeight="1">
      <c r="A2541" t="s">
        <v>267</v>
      </c>
      <c r="B2541" t="s">
        <v>3140</v>
      </c>
      <c r="C2541" t="s">
        <v>81</v>
      </c>
      <c r="D2541" t="s">
        <v>69</v>
      </c>
      <c r="E2541">
        <v>9</v>
      </c>
      <c r="F2541">
        <v>6.9</v>
      </c>
      <c r="G2541">
        <v>0.77</v>
      </c>
      <c r="H2541">
        <v>9</v>
      </c>
      <c r="I2541">
        <v>10000</v>
      </c>
      <c r="J2541">
        <v>3000</v>
      </c>
      <c r="K2541" t="s">
        <v>108</v>
      </c>
      <c r="L2541" t="s">
        <v>104</v>
      </c>
      <c r="M2541" t="s">
        <v>48</v>
      </c>
      <c r="N2541" t="b">
        <v>0</v>
      </c>
      <c r="O2541" t="s">
        <v>303</v>
      </c>
    </row>
    <row r="2542" spans="1:15" ht="15" customHeight="1">
      <c r="A2542" t="s">
        <v>359</v>
      </c>
      <c r="B2542" t="s">
        <v>3141</v>
      </c>
      <c r="C2542" t="s">
        <v>129</v>
      </c>
      <c r="D2542" t="s">
        <v>130</v>
      </c>
      <c r="E2542">
        <v>20</v>
      </c>
      <c r="F2542">
        <v>14.6</v>
      </c>
      <c r="G2542">
        <v>0.73</v>
      </c>
      <c r="H2542">
        <v>30</v>
      </c>
      <c r="I2542">
        <v>5000</v>
      </c>
      <c r="J2542">
        <v>1000</v>
      </c>
      <c r="K2542" t="s">
        <v>112</v>
      </c>
      <c r="L2542" t="s">
        <v>117</v>
      </c>
      <c r="M2542" t="s">
        <v>47</v>
      </c>
      <c r="N2542" t="b">
        <v>1</v>
      </c>
      <c r="O2542" t="s">
        <v>195</v>
      </c>
    </row>
    <row r="2543" spans="1:15" ht="15" customHeight="1">
      <c r="A2543" t="s">
        <v>1051</v>
      </c>
      <c r="B2543" t="s">
        <v>3142</v>
      </c>
      <c r="C2543" t="s">
        <v>75</v>
      </c>
      <c r="D2543" t="s">
        <v>69</v>
      </c>
      <c r="E2543">
        <v>11</v>
      </c>
      <c r="F2543">
        <v>10.3</v>
      </c>
      <c r="G2543">
        <v>0.94</v>
      </c>
      <c r="H2543">
        <v>19</v>
      </c>
      <c r="I2543">
        <v>2000</v>
      </c>
      <c r="J2543">
        <v>1500</v>
      </c>
      <c r="K2543" t="s">
        <v>408</v>
      </c>
      <c r="L2543" t="s">
        <v>117</v>
      </c>
      <c r="M2543" t="s">
        <v>41</v>
      </c>
      <c r="N2543" t="b">
        <v>1</v>
      </c>
      <c r="O2543" t="s">
        <v>409</v>
      </c>
    </row>
    <row r="2544" spans="1:15" ht="15" customHeight="1">
      <c r="A2544" t="s">
        <v>1278</v>
      </c>
      <c r="B2544" t="s">
        <v>3143</v>
      </c>
      <c r="C2544" t="s">
        <v>149</v>
      </c>
      <c r="D2544" t="s">
        <v>69</v>
      </c>
      <c r="E2544">
        <v>9</v>
      </c>
      <c r="F2544">
        <v>7.9</v>
      </c>
      <c r="G2544">
        <v>0.88</v>
      </c>
      <c r="H2544">
        <v>22</v>
      </c>
      <c r="I2544">
        <v>3000</v>
      </c>
      <c r="J2544">
        <v>1000</v>
      </c>
      <c r="K2544" t="s">
        <v>556</v>
      </c>
      <c r="L2544" t="s">
        <v>77</v>
      </c>
      <c r="M2544" t="s">
        <v>50</v>
      </c>
      <c r="N2544" t="b">
        <v>0</v>
      </c>
      <c r="O2544" t="s">
        <v>313</v>
      </c>
    </row>
    <row r="2545" spans="1:15" ht="15" customHeight="1">
      <c r="A2545" t="s">
        <v>676</v>
      </c>
      <c r="B2545" t="s">
        <v>3144</v>
      </c>
      <c r="C2545" t="s">
        <v>81</v>
      </c>
      <c r="D2545" t="s">
        <v>69</v>
      </c>
      <c r="E2545">
        <v>8</v>
      </c>
      <c r="F2545">
        <v>4.7</v>
      </c>
      <c r="G2545">
        <v>0.59</v>
      </c>
      <c r="H2545">
        <v>25</v>
      </c>
      <c r="I2545">
        <v>10000</v>
      </c>
      <c r="J2545">
        <v>3000</v>
      </c>
      <c r="K2545" t="s">
        <v>138</v>
      </c>
      <c r="L2545" t="s">
        <v>71</v>
      </c>
      <c r="M2545" t="s">
        <v>49</v>
      </c>
      <c r="N2545" t="b">
        <v>0</v>
      </c>
      <c r="O2545" t="s">
        <v>139</v>
      </c>
    </row>
    <row r="2546" spans="1:15" ht="15" customHeight="1">
      <c r="A2546" t="s">
        <v>641</v>
      </c>
      <c r="B2546" t="s">
        <v>3145</v>
      </c>
      <c r="C2546" t="s">
        <v>149</v>
      </c>
      <c r="D2546" t="s">
        <v>69</v>
      </c>
      <c r="E2546">
        <v>10</v>
      </c>
      <c r="F2546">
        <v>6.4</v>
      </c>
      <c r="G2546">
        <v>0.64</v>
      </c>
      <c r="H2546">
        <v>28</v>
      </c>
      <c r="I2546">
        <v>3000</v>
      </c>
      <c r="J2546">
        <v>1000</v>
      </c>
      <c r="K2546" t="s">
        <v>176</v>
      </c>
      <c r="L2546" t="s">
        <v>77</v>
      </c>
      <c r="M2546" t="s">
        <v>45</v>
      </c>
      <c r="N2546" t="b">
        <v>0</v>
      </c>
      <c r="O2546" t="s">
        <v>177</v>
      </c>
    </row>
    <row r="2547" spans="1:15" ht="15" customHeight="1">
      <c r="A2547" t="s">
        <v>374</v>
      </c>
      <c r="B2547" t="s">
        <v>3146</v>
      </c>
      <c r="C2547" t="s">
        <v>129</v>
      </c>
      <c r="D2547" t="s">
        <v>130</v>
      </c>
      <c r="E2547">
        <v>10</v>
      </c>
      <c r="F2547">
        <v>10</v>
      </c>
      <c r="G2547">
        <v>1</v>
      </c>
      <c r="H2547">
        <v>20</v>
      </c>
      <c r="I2547">
        <v>5000</v>
      </c>
      <c r="J2547">
        <v>1000</v>
      </c>
      <c r="K2547" t="s">
        <v>103</v>
      </c>
      <c r="L2547" t="s">
        <v>104</v>
      </c>
      <c r="M2547" t="s">
        <v>42</v>
      </c>
      <c r="N2547" t="b">
        <v>0</v>
      </c>
      <c r="O2547" t="s">
        <v>169</v>
      </c>
    </row>
    <row r="2548" spans="1:15" ht="15" customHeight="1">
      <c r="A2548" t="s">
        <v>464</v>
      </c>
      <c r="B2548" t="s">
        <v>3147</v>
      </c>
      <c r="C2548" t="s">
        <v>129</v>
      </c>
      <c r="D2548" t="s">
        <v>130</v>
      </c>
      <c r="E2548">
        <v>8</v>
      </c>
      <c r="F2548">
        <v>5.5</v>
      </c>
      <c r="G2548">
        <v>0.69</v>
      </c>
      <c r="H2548">
        <v>11</v>
      </c>
      <c r="I2548">
        <v>5000</v>
      </c>
      <c r="J2548">
        <v>1000</v>
      </c>
      <c r="K2548" t="s">
        <v>163</v>
      </c>
      <c r="L2548" t="s">
        <v>100</v>
      </c>
      <c r="M2548" t="s">
        <v>41</v>
      </c>
      <c r="N2548" t="b">
        <v>0</v>
      </c>
      <c r="O2548" t="s">
        <v>150</v>
      </c>
    </row>
    <row r="2549" spans="1:15" ht="15" customHeight="1">
      <c r="A2549" t="s">
        <v>1093</v>
      </c>
      <c r="B2549" t="s">
        <v>3148</v>
      </c>
      <c r="C2549" t="s">
        <v>129</v>
      </c>
      <c r="D2549" t="s">
        <v>130</v>
      </c>
      <c r="E2549">
        <v>19</v>
      </c>
      <c r="F2549">
        <v>17.5</v>
      </c>
      <c r="G2549">
        <v>0.92</v>
      </c>
      <c r="H2549">
        <v>10</v>
      </c>
      <c r="I2549">
        <v>5000</v>
      </c>
      <c r="J2549">
        <v>1000</v>
      </c>
      <c r="K2549" t="s">
        <v>158</v>
      </c>
      <c r="L2549" t="s">
        <v>77</v>
      </c>
      <c r="M2549" t="s">
        <v>40</v>
      </c>
      <c r="N2549" t="b">
        <v>0</v>
      </c>
      <c r="O2549" t="s">
        <v>159</v>
      </c>
    </row>
    <row r="2550" spans="1:15" ht="15" customHeight="1">
      <c r="A2550" t="s">
        <v>790</v>
      </c>
      <c r="B2550" t="s">
        <v>3149</v>
      </c>
      <c r="C2550" t="s">
        <v>129</v>
      </c>
      <c r="D2550" t="s">
        <v>130</v>
      </c>
      <c r="E2550">
        <v>9</v>
      </c>
      <c r="F2550">
        <v>6</v>
      </c>
      <c r="G2550">
        <v>0.67</v>
      </c>
      <c r="H2550">
        <v>6</v>
      </c>
      <c r="I2550">
        <v>5000</v>
      </c>
      <c r="J2550">
        <v>1000</v>
      </c>
      <c r="K2550" t="s">
        <v>70</v>
      </c>
      <c r="L2550" t="s">
        <v>71</v>
      </c>
      <c r="M2550" t="s">
        <v>48</v>
      </c>
      <c r="N2550" t="b">
        <v>0</v>
      </c>
      <c r="O2550" t="s">
        <v>331</v>
      </c>
    </row>
    <row r="2551" spans="1:15" ht="15" customHeight="1">
      <c r="A2551" t="s">
        <v>1194</v>
      </c>
      <c r="B2551" t="s">
        <v>3150</v>
      </c>
      <c r="C2551" t="s">
        <v>129</v>
      </c>
      <c r="D2551" t="s">
        <v>130</v>
      </c>
      <c r="E2551">
        <v>15</v>
      </c>
      <c r="F2551">
        <v>8.6</v>
      </c>
      <c r="G2551">
        <v>0.56999999999999995</v>
      </c>
      <c r="H2551">
        <v>30</v>
      </c>
      <c r="I2551">
        <v>5000</v>
      </c>
      <c r="J2551">
        <v>1000</v>
      </c>
      <c r="K2551" t="s">
        <v>112</v>
      </c>
      <c r="L2551" t="s">
        <v>104</v>
      </c>
      <c r="M2551" t="s">
        <v>50</v>
      </c>
      <c r="N2551" t="b">
        <v>0</v>
      </c>
      <c r="O2551" t="s">
        <v>195</v>
      </c>
    </row>
    <row r="2552" spans="1:15" ht="15" customHeight="1">
      <c r="A2552" t="s">
        <v>497</v>
      </c>
      <c r="B2552" t="s">
        <v>3151</v>
      </c>
      <c r="C2552" t="s">
        <v>129</v>
      </c>
      <c r="D2552" t="s">
        <v>130</v>
      </c>
      <c r="E2552">
        <v>12</v>
      </c>
      <c r="F2552">
        <v>6.4</v>
      </c>
      <c r="G2552">
        <v>0.53</v>
      </c>
      <c r="H2552">
        <v>11</v>
      </c>
      <c r="I2552">
        <v>5000</v>
      </c>
      <c r="J2552">
        <v>1000</v>
      </c>
      <c r="K2552" t="s">
        <v>163</v>
      </c>
      <c r="L2552" t="s">
        <v>104</v>
      </c>
      <c r="M2552" t="s">
        <v>44</v>
      </c>
      <c r="N2552" t="b">
        <v>0</v>
      </c>
      <c r="O2552" t="s">
        <v>150</v>
      </c>
    </row>
    <row r="2553" spans="1:15" ht="15" customHeight="1">
      <c r="A2553" t="s">
        <v>1657</v>
      </c>
      <c r="B2553" t="s">
        <v>3152</v>
      </c>
      <c r="C2553" t="s">
        <v>149</v>
      </c>
      <c r="D2553" t="s">
        <v>69</v>
      </c>
      <c r="E2553">
        <v>10</v>
      </c>
      <c r="F2553">
        <v>7.8</v>
      </c>
      <c r="G2553">
        <v>0.78</v>
      </c>
      <c r="H2553">
        <v>28</v>
      </c>
      <c r="I2553">
        <v>3000</v>
      </c>
      <c r="J2553">
        <v>1000</v>
      </c>
      <c r="K2553" t="s">
        <v>176</v>
      </c>
      <c r="L2553" t="s">
        <v>91</v>
      </c>
      <c r="M2553" t="s">
        <v>46</v>
      </c>
      <c r="N2553" t="b">
        <v>1</v>
      </c>
      <c r="O2553" t="s">
        <v>177</v>
      </c>
    </row>
    <row r="2554" spans="1:15" ht="15" customHeight="1">
      <c r="A2554" t="s">
        <v>522</v>
      </c>
      <c r="B2554" t="s">
        <v>3153</v>
      </c>
      <c r="C2554" t="s">
        <v>68</v>
      </c>
      <c r="D2554" t="s">
        <v>69</v>
      </c>
      <c r="E2554">
        <v>8</v>
      </c>
      <c r="F2554">
        <v>3.8</v>
      </c>
      <c r="G2554">
        <v>0.47</v>
      </c>
      <c r="H2554">
        <v>2</v>
      </c>
      <c r="I2554">
        <v>30000</v>
      </c>
      <c r="J2554">
        <v>5000</v>
      </c>
      <c r="K2554" t="s">
        <v>162</v>
      </c>
      <c r="L2554" t="s">
        <v>96</v>
      </c>
      <c r="M2554" t="s">
        <v>48</v>
      </c>
      <c r="N2554" t="b">
        <v>0</v>
      </c>
      <c r="O2554" t="s">
        <v>163</v>
      </c>
    </row>
    <row r="2555" spans="1:15" ht="15" customHeight="1">
      <c r="A2555" t="s">
        <v>170</v>
      </c>
      <c r="B2555" t="s">
        <v>3154</v>
      </c>
      <c r="C2555" t="s">
        <v>129</v>
      </c>
      <c r="D2555" t="s">
        <v>130</v>
      </c>
      <c r="E2555">
        <v>10</v>
      </c>
      <c r="F2555">
        <v>6.2</v>
      </c>
      <c r="G2555">
        <v>0.62</v>
      </c>
      <c r="H2555">
        <v>24</v>
      </c>
      <c r="I2555">
        <v>5000</v>
      </c>
      <c r="J2555">
        <v>1000</v>
      </c>
      <c r="K2555" t="s">
        <v>95</v>
      </c>
      <c r="L2555" t="s">
        <v>96</v>
      </c>
      <c r="M2555" t="s">
        <v>44</v>
      </c>
      <c r="N2555" t="b">
        <v>0</v>
      </c>
      <c r="O2555" t="s">
        <v>217</v>
      </c>
    </row>
    <row r="2556" spans="1:15" ht="15" customHeight="1">
      <c r="A2556" t="s">
        <v>872</v>
      </c>
      <c r="B2556" t="s">
        <v>3155</v>
      </c>
      <c r="C2556" t="s">
        <v>81</v>
      </c>
      <c r="D2556" t="s">
        <v>69</v>
      </c>
      <c r="E2556">
        <v>16</v>
      </c>
      <c r="F2556">
        <v>4.5999999999999996</v>
      </c>
      <c r="G2556">
        <v>0.28999999999999998</v>
      </c>
      <c r="H2556">
        <v>10</v>
      </c>
      <c r="I2556">
        <v>10000</v>
      </c>
      <c r="J2556">
        <v>3000</v>
      </c>
      <c r="K2556" t="s">
        <v>103</v>
      </c>
      <c r="L2556" t="s">
        <v>100</v>
      </c>
      <c r="M2556" t="s">
        <v>43</v>
      </c>
      <c r="N2556" t="b">
        <v>0</v>
      </c>
      <c r="O2556" t="s">
        <v>105</v>
      </c>
    </row>
    <row r="2557" spans="1:15" ht="15" customHeight="1">
      <c r="A2557" t="s">
        <v>384</v>
      </c>
      <c r="B2557" t="s">
        <v>3156</v>
      </c>
      <c r="C2557" t="s">
        <v>149</v>
      </c>
      <c r="D2557" t="s">
        <v>69</v>
      </c>
      <c r="E2557">
        <v>9</v>
      </c>
      <c r="F2557">
        <v>6.8</v>
      </c>
      <c r="G2557">
        <v>0.76</v>
      </c>
      <c r="H2557">
        <v>24</v>
      </c>
      <c r="I2557">
        <v>3000</v>
      </c>
      <c r="J2557">
        <v>1000</v>
      </c>
      <c r="K2557" t="s">
        <v>490</v>
      </c>
      <c r="L2557" t="s">
        <v>104</v>
      </c>
      <c r="M2557" t="s">
        <v>47</v>
      </c>
      <c r="N2557" t="b">
        <v>0</v>
      </c>
      <c r="O2557" t="s">
        <v>491</v>
      </c>
    </row>
    <row r="2558" spans="1:15" ht="15" customHeight="1">
      <c r="A2558" t="s">
        <v>355</v>
      </c>
      <c r="B2558" t="s">
        <v>3157</v>
      </c>
      <c r="C2558" t="s">
        <v>81</v>
      </c>
      <c r="D2558" t="s">
        <v>69</v>
      </c>
      <c r="E2558">
        <v>9</v>
      </c>
      <c r="F2558">
        <v>8.1</v>
      </c>
      <c r="G2558">
        <v>0.9</v>
      </c>
      <c r="H2558">
        <v>24</v>
      </c>
      <c r="I2558">
        <v>10000</v>
      </c>
      <c r="J2558">
        <v>3000</v>
      </c>
      <c r="K2558" t="s">
        <v>306</v>
      </c>
      <c r="L2558" t="s">
        <v>104</v>
      </c>
      <c r="M2558" t="s">
        <v>51</v>
      </c>
      <c r="N2558" t="b">
        <v>0</v>
      </c>
      <c r="O2558" t="s">
        <v>307</v>
      </c>
    </row>
    <row r="2559" spans="1:15" ht="15" customHeight="1">
      <c r="A2559" t="s">
        <v>1248</v>
      </c>
      <c r="B2559" t="s">
        <v>3158</v>
      </c>
      <c r="C2559" t="s">
        <v>149</v>
      </c>
      <c r="D2559" t="s">
        <v>69</v>
      </c>
      <c r="E2559">
        <v>12</v>
      </c>
      <c r="F2559">
        <v>6.5</v>
      </c>
      <c r="G2559">
        <v>0.54</v>
      </c>
      <c r="H2559">
        <v>29</v>
      </c>
      <c r="I2559">
        <v>3000</v>
      </c>
      <c r="J2559">
        <v>1000</v>
      </c>
      <c r="K2559" t="s">
        <v>303</v>
      </c>
      <c r="L2559" t="s">
        <v>96</v>
      </c>
      <c r="M2559" t="s">
        <v>50</v>
      </c>
      <c r="N2559" t="b">
        <v>0</v>
      </c>
      <c r="O2559" t="s">
        <v>323</v>
      </c>
    </row>
    <row r="2560" spans="1:15" ht="15" customHeight="1">
      <c r="A2560" t="s">
        <v>1338</v>
      </c>
      <c r="B2560" t="s">
        <v>3159</v>
      </c>
      <c r="C2560" t="s">
        <v>75</v>
      </c>
      <c r="D2560" t="s">
        <v>69</v>
      </c>
      <c r="E2560">
        <v>8</v>
      </c>
      <c r="F2560">
        <v>5.9</v>
      </c>
      <c r="G2560">
        <v>0.74</v>
      </c>
      <c r="H2560">
        <v>15</v>
      </c>
      <c r="I2560">
        <v>2000</v>
      </c>
      <c r="J2560">
        <v>1500</v>
      </c>
      <c r="K2560" t="s">
        <v>70</v>
      </c>
      <c r="L2560" t="s">
        <v>104</v>
      </c>
      <c r="M2560" t="s">
        <v>47</v>
      </c>
      <c r="N2560" t="b">
        <v>0</v>
      </c>
      <c r="O2560" t="s">
        <v>598</v>
      </c>
    </row>
    <row r="2561" spans="1:15" ht="15" customHeight="1">
      <c r="A2561" t="s">
        <v>1051</v>
      </c>
      <c r="B2561" t="s">
        <v>3160</v>
      </c>
      <c r="C2561" t="s">
        <v>129</v>
      </c>
      <c r="D2561" t="s">
        <v>130</v>
      </c>
      <c r="E2561">
        <v>9</v>
      </c>
      <c r="F2561">
        <v>6.7</v>
      </c>
      <c r="G2561">
        <v>0.74</v>
      </c>
      <c r="H2561">
        <v>15</v>
      </c>
      <c r="I2561">
        <v>5000</v>
      </c>
      <c r="J2561">
        <v>1000</v>
      </c>
      <c r="K2561" t="s">
        <v>479</v>
      </c>
      <c r="L2561" t="s">
        <v>117</v>
      </c>
      <c r="M2561" t="s">
        <v>41</v>
      </c>
      <c r="N2561" t="b">
        <v>1</v>
      </c>
      <c r="O2561" t="s">
        <v>480</v>
      </c>
    </row>
    <row r="2562" spans="1:15" ht="15" customHeight="1">
      <c r="A2562" t="s">
        <v>607</v>
      </c>
      <c r="B2562" t="s">
        <v>3161</v>
      </c>
      <c r="C2562" t="s">
        <v>68</v>
      </c>
      <c r="D2562" t="s">
        <v>69</v>
      </c>
      <c r="E2562">
        <v>15</v>
      </c>
      <c r="F2562">
        <v>1.2</v>
      </c>
      <c r="G2562">
        <v>0.08</v>
      </c>
      <c r="H2562">
        <v>5</v>
      </c>
      <c r="I2562">
        <v>30000</v>
      </c>
      <c r="J2562">
        <v>5000</v>
      </c>
      <c r="K2562" t="s">
        <v>112</v>
      </c>
      <c r="L2562" t="s">
        <v>100</v>
      </c>
      <c r="M2562" t="s">
        <v>42</v>
      </c>
      <c r="N2562" t="b">
        <v>0</v>
      </c>
      <c r="O2562" t="s">
        <v>113</v>
      </c>
    </row>
    <row r="2563" spans="1:15" ht="15" customHeight="1">
      <c r="A2563" t="s">
        <v>277</v>
      </c>
      <c r="B2563" t="s">
        <v>3162</v>
      </c>
      <c r="C2563" t="s">
        <v>149</v>
      </c>
      <c r="D2563" t="s">
        <v>69</v>
      </c>
      <c r="E2563">
        <v>11</v>
      </c>
      <c r="F2563">
        <v>8.6999999999999993</v>
      </c>
      <c r="G2563">
        <v>0.79</v>
      </c>
      <c r="H2563">
        <v>15</v>
      </c>
      <c r="I2563">
        <v>3000</v>
      </c>
      <c r="J2563">
        <v>1000</v>
      </c>
      <c r="K2563" t="s">
        <v>438</v>
      </c>
      <c r="L2563" t="s">
        <v>104</v>
      </c>
      <c r="M2563" t="s">
        <v>43</v>
      </c>
      <c r="N2563" t="b">
        <v>0</v>
      </c>
      <c r="O2563" t="s">
        <v>90</v>
      </c>
    </row>
    <row r="2564" spans="1:15" ht="15" customHeight="1">
      <c r="A2564" t="s">
        <v>1411</v>
      </c>
      <c r="B2564" t="s">
        <v>3163</v>
      </c>
      <c r="C2564" t="s">
        <v>149</v>
      </c>
      <c r="D2564" t="s">
        <v>69</v>
      </c>
      <c r="E2564">
        <v>10</v>
      </c>
      <c r="F2564">
        <v>6.6</v>
      </c>
      <c r="G2564">
        <v>0.66</v>
      </c>
      <c r="H2564">
        <v>28</v>
      </c>
      <c r="I2564">
        <v>3000</v>
      </c>
      <c r="J2564">
        <v>1000</v>
      </c>
      <c r="K2564" t="s">
        <v>176</v>
      </c>
      <c r="L2564" t="s">
        <v>77</v>
      </c>
      <c r="M2564" t="s">
        <v>48</v>
      </c>
      <c r="N2564" t="b">
        <v>0</v>
      </c>
      <c r="O2564" t="s">
        <v>177</v>
      </c>
    </row>
    <row r="2565" spans="1:15" ht="15" customHeight="1">
      <c r="A2565" t="s">
        <v>349</v>
      </c>
      <c r="B2565" t="s">
        <v>3164</v>
      </c>
      <c r="C2565" t="s">
        <v>129</v>
      </c>
      <c r="D2565" t="s">
        <v>130</v>
      </c>
      <c r="E2565">
        <v>18</v>
      </c>
      <c r="F2565">
        <v>15</v>
      </c>
      <c r="G2565">
        <v>0.83</v>
      </c>
      <c r="H2565">
        <v>26</v>
      </c>
      <c r="I2565">
        <v>5000</v>
      </c>
      <c r="J2565">
        <v>1000</v>
      </c>
      <c r="K2565" t="s">
        <v>203</v>
      </c>
      <c r="L2565" t="s">
        <v>100</v>
      </c>
      <c r="M2565" t="s">
        <v>41</v>
      </c>
      <c r="N2565" t="b">
        <v>0</v>
      </c>
      <c r="O2565" t="s">
        <v>623</v>
      </c>
    </row>
    <row r="2566" spans="1:15" ht="15" customHeight="1">
      <c r="A2566" t="s">
        <v>1310</v>
      </c>
      <c r="B2566" t="s">
        <v>3165</v>
      </c>
      <c r="C2566" t="s">
        <v>149</v>
      </c>
      <c r="D2566" t="s">
        <v>69</v>
      </c>
      <c r="E2566">
        <v>9</v>
      </c>
      <c r="F2566">
        <v>7.5</v>
      </c>
      <c r="G2566">
        <v>0.83</v>
      </c>
      <c r="H2566">
        <v>18</v>
      </c>
      <c r="I2566">
        <v>3000</v>
      </c>
      <c r="J2566">
        <v>1000</v>
      </c>
      <c r="K2566" t="s">
        <v>150</v>
      </c>
      <c r="L2566" t="s">
        <v>117</v>
      </c>
      <c r="M2566" t="s">
        <v>47</v>
      </c>
      <c r="N2566" t="b">
        <v>1</v>
      </c>
      <c r="O2566" t="s">
        <v>151</v>
      </c>
    </row>
    <row r="2567" spans="1:15" ht="15" customHeight="1">
      <c r="A2567" t="s">
        <v>1106</v>
      </c>
      <c r="B2567" t="s">
        <v>3166</v>
      </c>
      <c r="C2567" t="s">
        <v>75</v>
      </c>
      <c r="D2567" t="s">
        <v>69</v>
      </c>
      <c r="E2567">
        <v>12</v>
      </c>
      <c r="F2567">
        <v>6.4</v>
      </c>
      <c r="G2567">
        <v>0.53</v>
      </c>
      <c r="H2567">
        <v>15</v>
      </c>
      <c r="I2567">
        <v>2000</v>
      </c>
      <c r="J2567">
        <v>1500</v>
      </c>
      <c r="K2567" t="s">
        <v>70</v>
      </c>
      <c r="L2567" t="s">
        <v>71</v>
      </c>
      <c r="M2567" t="s">
        <v>47</v>
      </c>
      <c r="N2567" t="b">
        <v>0</v>
      </c>
      <c r="O2567" t="s">
        <v>598</v>
      </c>
    </row>
    <row r="2568" spans="1:15" ht="15" customHeight="1">
      <c r="A2568" t="s">
        <v>568</v>
      </c>
      <c r="B2568" t="s">
        <v>3167</v>
      </c>
      <c r="C2568" t="s">
        <v>81</v>
      </c>
      <c r="D2568" t="s">
        <v>69</v>
      </c>
      <c r="E2568">
        <v>13</v>
      </c>
      <c r="F2568">
        <v>8.3000000000000007</v>
      </c>
      <c r="G2568">
        <v>0.64</v>
      </c>
      <c r="H2568">
        <v>22</v>
      </c>
      <c r="I2568">
        <v>10000</v>
      </c>
      <c r="J2568">
        <v>3000</v>
      </c>
      <c r="K2568" t="s">
        <v>548</v>
      </c>
      <c r="L2568" t="s">
        <v>77</v>
      </c>
      <c r="M2568" t="s">
        <v>41</v>
      </c>
      <c r="N2568" t="b">
        <v>0</v>
      </c>
      <c r="O2568" t="s">
        <v>549</v>
      </c>
    </row>
    <row r="2569" spans="1:15" ht="15" customHeight="1">
      <c r="A2569" t="s">
        <v>1188</v>
      </c>
      <c r="B2569" t="s">
        <v>3168</v>
      </c>
      <c r="C2569" t="s">
        <v>68</v>
      </c>
      <c r="D2569" t="s">
        <v>69</v>
      </c>
      <c r="E2569">
        <v>13</v>
      </c>
      <c r="F2569">
        <v>3.8</v>
      </c>
      <c r="G2569">
        <v>0.28999999999999998</v>
      </c>
      <c r="H2569">
        <v>3</v>
      </c>
      <c r="I2569">
        <v>30000</v>
      </c>
      <c r="J2569">
        <v>5000</v>
      </c>
      <c r="K2569" t="s">
        <v>108</v>
      </c>
      <c r="L2569" t="s">
        <v>117</v>
      </c>
      <c r="M2569" t="s">
        <v>50</v>
      </c>
      <c r="N2569" t="b">
        <v>1</v>
      </c>
      <c r="O2569" t="s">
        <v>109</v>
      </c>
    </row>
    <row r="2570" spans="1:15" ht="15" customHeight="1">
      <c r="A2570" t="s">
        <v>1004</v>
      </c>
      <c r="B2570" t="s">
        <v>3169</v>
      </c>
      <c r="C2570" t="s">
        <v>129</v>
      </c>
      <c r="D2570" t="s">
        <v>130</v>
      </c>
      <c r="E2570">
        <v>20</v>
      </c>
      <c r="F2570">
        <v>6.7</v>
      </c>
      <c r="G2570">
        <v>0.34</v>
      </c>
      <c r="H2570">
        <v>29</v>
      </c>
      <c r="I2570">
        <v>5000</v>
      </c>
      <c r="J2570">
        <v>1000</v>
      </c>
      <c r="K2570" t="s">
        <v>113</v>
      </c>
      <c r="L2570" t="s">
        <v>77</v>
      </c>
      <c r="M2570" t="s">
        <v>43</v>
      </c>
      <c r="N2570" t="b">
        <v>0</v>
      </c>
      <c r="O2570" t="s">
        <v>146</v>
      </c>
    </row>
    <row r="2571" spans="1:15" ht="15" customHeight="1">
      <c r="A2571" t="s">
        <v>572</v>
      </c>
      <c r="B2571" t="s">
        <v>3170</v>
      </c>
      <c r="C2571" t="s">
        <v>68</v>
      </c>
      <c r="D2571" t="s">
        <v>69</v>
      </c>
      <c r="E2571">
        <v>9</v>
      </c>
      <c r="F2571">
        <v>3</v>
      </c>
      <c r="G2571">
        <v>0.33</v>
      </c>
      <c r="H2571">
        <v>1</v>
      </c>
      <c r="I2571">
        <v>30000</v>
      </c>
      <c r="J2571">
        <v>5000</v>
      </c>
      <c r="K2571" t="s">
        <v>70</v>
      </c>
      <c r="L2571" t="s">
        <v>100</v>
      </c>
      <c r="M2571" t="s">
        <v>46</v>
      </c>
      <c r="N2571" t="b">
        <v>0</v>
      </c>
      <c r="O2571" t="s">
        <v>72</v>
      </c>
    </row>
    <row r="2572" spans="1:15" ht="15" customHeight="1">
      <c r="A2572" t="s">
        <v>952</v>
      </c>
      <c r="B2572" t="s">
        <v>3171</v>
      </c>
      <c r="C2572" t="s">
        <v>68</v>
      </c>
      <c r="D2572" t="s">
        <v>69</v>
      </c>
      <c r="E2572">
        <v>11</v>
      </c>
      <c r="F2572">
        <v>4</v>
      </c>
      <c r="G2572">
        <v>0.36</v>
      </c>
      <c r="H2572">
        <v>4</v>
      </c>
      <c r="I2572">
        <v>30000</v>
      </c>
      <c r="J2572">
        <v>5000</v>
      </c>
      <c r="K2572" t="s">
        <v>95</v>
      </c>
      <c r="L2572" t="s">
        <v>100</v>
      </c>
      <c r="M2572" t="s">
        <v>45</v>
      </c>
      <c r="N2572" t="b">
        <v>0</v>
      </c>
      <c r="O2572" t="s">
        <v>97</v>
      </c>
    </row>
    <row r="2573" spans="1:15" ht="15" customHeight="1">
      <c r="A2573" t="s">
        <v>712</v>
      </c>
      <c r="B2573" t="s">
        <v>3172</v>
      </c>
      <c r="C2573" t="s">
        <v>81</v>
      </c>
      <c r="D2573" t="s">
        <v>69</v>
      </c>
      <c r="E2573">
        <v>20</v>
      </c>
      <c r="F2573">
        <v>10</v>
      </c>
      <c r="G2573">
        <v>0.5</v>
      </c>
      <c r="H2573">
        <v>9</v>
      </c>
      <c r="I2573">
        <v>10000</v>
      </c>
      <c r="J2573">
        <v>3000</v>
      </c>
      <c r="K2573" t="s">
        <v>108</v>
      </c>
      <c r="L2573" t="s">
        <v>71</v>
      </c>
      <c r="M2573" t="s">
        <v>41</v>
      </c>
      <c r="N2573" t="b">
        <v>0</v>
      </c>
      <c r="O2573" t="s">
        <v>303</v>
      </c>
    </row>
    <row r="2574" spans="1:15" ht="15" customHeight="1">
      <c r="A2574" t="s">
        <v>374</v>
      </c>
      <c r="B2574" t="s">
        <v>3173</v>
      </c>
      <c r="C2574" t="s">
        <v>149</v>
      </c>
      <c r="D2574" t="s">
        <v>69</v>
      </c>
      <c r="E2574">
        <v>8</v>
      </c>
      <c r="F2574">
        <v>7.1</v>
      </c>
      <c r="G2574">
        <v>0.89</v>
      </c>
      <c r="H2574">
        <v>40</v>
      </c>
      <c r="I2574">
        <v>3000</v>
      </c>
      <c r="J2574">
        <v>1000</v>
      </c>
      <c r="K2574" t="s">
        <v>95</v>
      </c>
      <c r="L2574" t="s">
        <v>104</v>
      </c>
      <c r="M2574" t="s">
        <v>42</v>
      </c>
      <c r="N2574" t="b">
        <v>0</v>
      </c>
      <c r="O2574" t="s">
        <v>217</v>
      </c>
    </row>
    <row r="2575" spans="1:15" ht="15" customHeight="1">
      <c r="A2575" t="s">
        <v>183</v>
      </c>
      <c r="B2575" t="s">
        <v>3174</v>
      </c>
      <c r="C2575" t="s">
        <v>81</v>
      </c>
      <c r="D2575" t="s">
        <v>69</v>
      </c>
      <c r="E2575">
        <v>12</v>
      </c>
      <c r="F2575">
        <v>10.9</v>
      </c>
      <c r="G2575">
        <v>0.91</v>
      </c>
      <c r="H2575">
        <v>27</v>
      </c>
      <c r="I2575">
        <v>10000</v>
      </c>
      <c r="J2575">
        <v>3000</v>
      </c>
      <c r="K2575" t="s">
        <v>125</v>
      </c>
      <c r="L2575" t="s">
        <v>100</v>
      </c>
      <c r="M2575" t="s">
        <v>51</v>
      </c>
      <c r="N2575" t="b">
        <v>0</v>
      </c>
      <c r="O2575" t="s">
        <v>126</v>
      </c>
    </row>
    <row r="2576" spans="1:15" ht="15" customHeight="1">
      <c r="A2576" t="s">
        <v>511</v>
      </c>
      <c r="B2576" t="s">
        <v>3175</v>
      </c>
      <c r="C2576" t="s">
        <v>129</v>
      </c>
      <c r="D2576" t="s">
        <v>130</v>
      </c>
      <c r="E2576">
        <v>9</v>
      </c>
      <c r="F2576">
        <v>9</v>
      </c>
      <c r="G2576">
        <v>1</v>
      </c>
      <c r="H2576">
        <v>11</v>
      </c>
      <c r="I2576">
        <v>5000</v>
      </c>
      <c r="J2576">
        <v>1000</v>
      </c>
      <c r="K2576" t="s">
        <v>163</v>
      </c>
      <c r="L2576" t="s">
        <v>104</v>
      </c>
      <c r="M2576" t="s">
        <v>50</v>
      </c>
      <c r="N2576" t="b">
        <v>0</v>
      </c>
      <c r="O2576" t="s">
        <v>150</v>
      </c>
    </row>
    <row r="2577" spans="1:15" ht="15" customHeight="1">
      <c r="A2577" t="s">
        <v>304</v>
      </c>
      <c r="B2577" t="s">
        <v>3176</v>
      </c>
      <c r="C2577" t="s">
        <v>68</v>
      </c>
      <c r="D2577" t="s">
        <v>69</v>
      </c>
      <c r="E2577">
        <v>13</v>
      </c>
      <c r="F2577">
        <v>3.2</v>
      </c>
      <c r="G2577">
        <v>0.25</v>
      </c>
      <c r="H2577">
        <v>1</v>
      </c>
      <c r="I2577">
        <v>30000</v>
      </c>
      <c r="J2577">
        <v>5000</v>
      </c>
      <c r="K2577" t="s">
        <v>70</v>
      </c>
      <c r="L2577" t="s">
        <v>104</v>
      </c>
      <c r="M2577" t="s">
        <v>45</v>
      </c>
      <c r="N2577" t="b">
        <v>0</v>
      </c>
      <c r="O2577" t="s">
        <v>72</v>
      </c>
    </row>
    <row r="2578" spans="1:15" ht="15" customHeight="1">
      <c r="A2578" t="s">
        <v>311</v>
      </c>
      <c r="B2578" t="s">
        <v>3177</v>
      </c>
      <c r="C2578" t="s">
        <v>68</v>
      </c>
      <c r="D2578" t="s">
        <v>69</v>
      </c>
      <c r="E2578">
        <v>16</v>
      </c>
      <c r="F2578">
        <v>1</v>
      </c>
      <c r="G2578">
        <v>0.06</v>
      </c>
      <c r="H2578">
        <v>3</v>
      </c>
      <c r="I2578">
        <v>30000</v>
      </c>
      <c r="J2578">
        <v>5000</v>
      </c>
      <c r="K2578" t="s">
        <v>108</v>
      </c>
      <c r="L2578" t="s">
        <v>91</v>
      </c>
      <c r="M2578" t="s">
        <v>41</v>
      </c>
      <c r="N2578" t="b">
        <v>1</v>
      </c>
      <c r="O2578" t="s">
        <v>109</v>
      </c>
    </row>
    <row r="2579" spans="1:15" ht="15" customHeight="1">
      <c r="A2579" t="s">
        <v>814</v>
      </c>
      <c r="B2579" t="s">
        <v>3178</v>
      </c>
      <c r="C2579" t="s">
        <v>129</v>
      </c>
      <c r="D2579" t="s">
        <v>130</v>
      </c>
      <c r="E2579">
        <v>16</v>
      </c>
      <c r="F2579">
        <v>11.5</v>
      </c>
      <c r="G2579">
        <v>0.72</v>
      </c>
      <c r="H2579">
        <v>12</v>
      </c>
      <c r="I2579">
        <v>5000</v>
      </c>
      <c r="J2579">
        <v>1000</v>
      </c>
      <c r="K2579" t="s">
        <v>162</v>
      </c>
      <c r="L2579" t="s">
        <v>71</v>
      </c>
      <c r="M2579" t="s">
        <v>45</v>
      </c>
      <c r="N2579" t="b">
        <v>0</v>
      </c>
      <c r="O2579" t="s">
        <v>180</v>
      </c>
    </row>
    <row r="2580" spans="1:15" ht="15" customHeight="1">
      <c r="A2580" t="s">
        <v>378</v>
      </c>
      <c r="B2580" t="s">
        <v>3179</v>
      </c>
      <c r="C2580" t="s">
        <v>81</v>
      </c>
      <c r="D2580" t="s">
        <v>69</v>
      </c>
      <c r="E2580">
        <v>8</v>
      </c>
      <c r="F2580">
        <v>3</v>
      </c>
      <c r="G2580">
        <v>0.38</v>
      </c>
      <c r="H2580">
        <v>7</v>
      </c>
      <c r="I2580">
        <v>10000</v>
      </c>
      <c r="J2580">
        <v>3000</v>
      </c>
      <c r="K2580" t="s">
        <v>82</v>
      </c>
      <c r="L2580" t="s">
        <v>71</v>
      </c>
      <c r="M2580" t="s">
        <v>42</v>
      </c>
      <c r="N2580" t="b">
        <v>0</v>
      </c>
      <c r="O2580" t="s">
        <v>83</v>
      </c>
    </row>
    <row r="2581" spans="1:15" ht="15" customHeight="1">
      <c r="A2581" t="s">
        <v>3180</v>
      </c>
      <c r="B2581" t="s">
        <v>3181</v>
      </c>
      <c r="C2581" t="s">
        <v>75</v>
      </c>
      <c r="D2581" t="s">
        <v>69</v>
      </c>
      <c r="E2581">
        <v>20</v>
      </c>
      <c r="F2581">
        <v>18.3</v>
      </c>
      <c r="G2581">
        <v>0.92</v>
      </c>
      <c r="H2581">
        <v>22</v>
      </c>
      <c r="I2581">
        <v>2000</v>
      </c>
      <c r="J2581">
        <v>1500</v>
      </c>
      <c r="K2581" t="s">
        <v>90</v>
      </c>
      <c r="L2581" t="s">
        <v>100</v>
      </c>
      <c r="M2581" t="s">
        <v>49</v>
      </c>
      <c r="N2581" t="b">
        <v>0</v>
      </c>
      <c r="O2581" t="s">
        <v>92</v>
      </c>
    </row>
    <row r="2582" spans="1:15" ht="15" customHeight="1">
      <c r="A2582" t="s">
        <v>423</v>
      </c>
      <c r="B2582" t="s">
        <v>3182</v>
      </c>
      <c r="C2582" t="s">
        <v>75</v>
      </c>
      <c r="D2582" t="s">
        <v>69</v>
      </c>
      <c r="E2582">
        <v>10</v>
      </c>
      <c r="F2582">
        <v>9.5</v>
      </c>
      <c r="G2582">
        <v>0.95</v>
      </c>
      <c r="H2582">
        <v>30</v>
      </c>
      <c r="I2582">
        <v>2000</v>
      </c>
      <c r="J2582">
        <v>1500</v>
      </c>
      <c r="K2582" t="s">
        <v>162</v>
      </c>
      <c r="L2582" t="s">
        <v>117</v>
      </c>
      <c r="M2582" t="s">
        <v>40</v>
      </c>
      <c r="N2582" t="b">
        <v>1</v>
      </c>
      <c r="O2582" t="s">
        <v>510</v>
      </c>
    </row>
    <row r="2583" spans="1:15" ht="15" customHeight="1">
      <c r="A2583" t="s">
        <v>762</v>
      </c>
      <c r="B2583" t="s">
        <v>3183</v>
      </c>
      <c r="C2583" t="s">
        <v>81</v>
      </c>
      <c r="D2583" t="s">
        <v>69</v>
      </c>
      <c r="E2583">
        <v>12</v>
      </c>
      <c r="F2583">
        <v>10</v>
      </c>
      <c r="G2583">
        <v>0.83</v>
      </c>
      <c r="H2583">
        <v>15</v>
      </c>
      <c r="I2583">
        <v>10000</v>
      </c>
      <c r="J2583">
        <v>3000</v>
      </c>
      <c r="K2583" t="s">
        <v>112</v>
      </c>
      <c r="L2583" t="s">
        <v>100</v>
      </c>
      <c r="M2583" t="s">
        <v>44</v>
      </c>
      <c r="N2583" t="b">
        <v>0</v>
      </c>
      <c r="O2583" t="s">
        <v>234</v>
      </c>
    </row>
    <row r="2584" spans="1:15" ht="15" customHeight="1">
      <c r="A2584" t="s">
        <v>609</v>
      </c>
      <c r="B2584" t="s">
        <v>3184</v>
      </c>
      <c r="C2584" t="s">
        <v>75</v>
      </c>
      <c r="D2584" t="s">
        <v>69</v>
      </c>
      <c r="E2584">
        <v>17</v>
      </c>
      <c r="F2584">
        <v>13.9</v>
      </c>
      <c r="G2584">
        <v>0.82</v>
      </c>
      <c r="H2584">
        <v>17</v>
      </c>
      <c r="I2584">
        <v>2000</v>
      </c>
      <c r="J2584">
        <v>1500</v>
      </c>
      <c r="K2584" t="s">
        <v>862</v>
      </c>
      <c r="L2584" t="s">
        <v>91</v>
      </c>
      <c r="M2584" t="s">
        <v>40</v>
      </c>
      <c r="N2584" t="b">
        <v>1</v>
      </c>
      <c r="O2584" t="s">
        <v>863</v>
      </c>
    </row>
    <row r="2585" spans="1:15" ht="15" customHeight="1">
      <c r="A2585" t="s">
        <v>2195</v>
      </c>
      <c r="B2585" t="s">
        <v>3185</v>
      </c>
      <c r="C2585" t="s">
        <v>75</v>
      </c>
      <c r="D2585" t="s">
        <v>69</v>
      </c>
      <c r="E2585">
        <v>13</v>
      </c>
      <c r="F2585">
        <v>10.8</v>
      </c>
      <c r="G2585">
        <v>0.83</v>
      </c>
      <c r="H2585">
        <v>13</v>
      </c>
      <c r="I2585">
        <v>2000</v>
      </c>
      <c r="J2585">
        <v>1500</v>
      </c>
      <c r="K2585" t="s">
        <v>211</v>
      </c>
      <c r="L2585" t="s">
        <v>91</v>
      </c>
      <c r="M2585" t="s">
        <v>49</v>
      </c>
      <c r="N2585" t="b">
        <v>1</v>
      </c>
      <c r="O2585" t="s">
        <v>212</v>
      </c>
    </row>
    <row r="2586" spans="1:15" ht="15" customHeight="1">
      <c r="A2586" t="s">
        <v>877</v>
      </c>
      <c r="B2586" t="s">
        <v>3186</v>
      </c>
      <c r="C2586" t="s">
        <v>149</v>
      </c>
      <c r="D2586" t="s">
        <v>69</v>
      </c>
      <c r="E2586">
        <v>10</v>
      </c>
      <c r="F2586">
        <v>6.4</v>
      </c>
      <c r="G2586">
        <v>0.64</v>
      </c>
      <c r="H2586">
        <v>36</v>
      </c>
      <c r="I2586">
        <v>3000</v>
      </c>
      <c r="J2586">
        <v>1000</v>
      </c>
      <c r="K2586" t="s">
        <v>154</v>
      </c>
      <c r="L2586" t="s">
        <v>91</v>
      </c>
      <c r="M2586" t="s">
        <v>40</v>
      </c>
      <c r="N2586" t="b">
        <v>1</v>
      </c>
      <c r="O2586" t="s">
        <v>155</v>
      </c>
    </row>
    <row r="2587" spans="1:15" ht="15" customHeight="1">
      <c r="A2587" t="s">
        <v>191</v>
      </c>
      <c r="B2587" t="s">
        <v>3187</v>
      </c>
      <c r="C2587" t="s">
        <v>149</v>
      </c>
      <c r="D2587" t="s">
        <v>69</v>
      </c>
      <c r="E2587">
        <v>12</v>
      </c>
      <c r="F2587">
        <v>11.6</v>
      </c>
      <c r="G2587">
        <v>0.97</v>
      </c>
      <c r="H2587">
        <v>24</v>
      </c>
      <c r="I2587">
        <v>3000</v>
      </c>
      <c r="J2587">
        <v>1000</v>
      </c>
      <c r="K2587" t="s">
        <v>490</v>
      </c>
      <c r="L2587" t="s">
        <v>71</v>
      </c>
      <c r="M2587" t="s">
        <v>49</v>
      </c>
      <c r="N2587" t="b">
        <v>0</v>
      </c>
      <c r="O2587" t="s">
        <v>491</v>
      </c>
    </row>
    <row r="2588" spans="1:15" ht="15" customHeight="1">
      <c r="A2588" t="s">
        <v>809</v>
      </c>
      <c r="B2588" t="s">
        <v>3188</v>
      </c>
      <c r="C2588" t="s">
        <v>129</v>
      </c>
      <c r="D2588" t="s">
        <v>130</v>
      </c>
      <c r="E2588">
        <v>20</v>
      </c>
      <c r="F2588">
        <v>11</v>
      </c>
      <c r="G2588">
        <v>0.55000000000000004</v>
      </c>
      <c r="H2588">
        <v>16</v>
      </c>
      <c r="I2588">
        <v>5000</v>
      </c>
      <c r="J2588">
        <v>1000</v>
      </c>
      <c r="K2588" t="s">
        <v>357</v>
      </c>
      <c r="L2588" t="s">
        <v>104</v>
      </c>
      <c r="M2588" t="s">
        <v>45</v>
      </c>
      <c r="N2588" t="b">
        <v>0</v>
      </c>
      <c r="O2588" t="s">
        <v>456</v>
      </c>
    </row>
    <row r="2589" spans="1:15" ht="15" customHeight="1">
      <c r="A2589" t="s">
        <v>705</v>
      </c>
      <c r="B2589" t="s">
        <v>3189</v>
      </c>
      <c r="C2589" t="s">
        <v>68</v>
      </c>
      <c r="D2589" t="s">
        <v>69</v>
      </c>
      <c r="E2589">
        <v>16</v>
      </c>
      <c r="F2589">
        <v>2.7</v>
      </c>
      <c r="G2589">
        <v>0.17</v>
      </c>
      <c r="H2589">
        <v>2</v>
      </c>
      <c r="I2589">
        <v>30000</v>
      </c>
      <c r="J2589">
        <v>5000</v>
      </c>
      <c r="K2589" t="s">
        <v>162</v>
      </c>
      <c r="L2589" t="s">
        <v>71</v>
      </c>
      <c r="M2589" t="s">
        <v>41</v>
      </c>
      <c r="N2589" t="b">
        <v>0</v>
      </c>
      <c r="O2589" t="s">
        <v>163</v>
      </c>
    </row>
    <row r="2590" spans="1:15" ht="15" customHeight="1">
      <c r="A2590" t="s">
        <v>329</v>
      </c>
      <c r="B2590" t="s">
        <v>3190</v>
      </c>
      <c r="C2590" t="s">
        <v>149</v>
      </c>
      <c r="D2590" t="s">
        <v>69</v>
      </c>
      <c r="E2590">
        <v>11</v>
      </c>
      <c r="F2590">
        <v>6.7</v>
      </c>
      <c r="G2590">
        <v>0.61</v>
      </c>
      <c r="H2590">
        <v>18</v>
      </c>
      <c r="I2590">
        <v>3000</v>
      </c>
      <c r="J2590">
        <v>1000</v>
      </c>
      <c r="K2590" t="s">
        <v>150</v>
      </c>
      <c r="L2590" t="s">
        <v>96</v>
      </c>
      <c r="M2590" t="s">
        <v>49</v>
      </c>
      <c r="N2590" t="b">
        <v>0</v>
      </c>
      <c r="O2590" t="s">
        <v>151</v>
      </c>
    </row>
    <row r="2591" spans="1:15" ht="15" customHeight="1">
      <c r="A2591" t="s">
        <v>663</v>
      </c>
      <c r="B2591" t="s">
        <v>3191</v>
      </c>
      <c r="C2591" t="s">
        <v>75</v>
      </c>
      <c r="D2591" t="s">
        <v>69</v>
      </c>
      <c r="E2591">
        <v>16</v>
      </c>
      <c r="F2591">
        <v>11.3</v>
      </c>
      <c r="G2591">
        <v>0.71</v>
      </c>
      <c r="H2591">
        <v>29</v>
      </c>
      <c r="I2591">
        <v>2000</v>
      </c>
      <c r="J2591">
        <v>1500</v>
      </c>
      <c r="K2591" t="s">
        <v>519</v>
      </c>
      <c r="L2591" t="s">
        <v>104</v>
      </c>
      <c r="M2591" t="s">
        <v>43</v>
      </c>
      <c r="N2591" t="b">
        <v>0</v>
      </c>
      <c r="O2591" t="s">
        <v>520</v>
      </c>
    </row>
    <row r="2592" spans="1:15" ht="15" customHeight="1">
      <c r="A2592" t="s">
        <v>152</v>
      </c>
      <c r="B2592" t="s">
        <v>3192</v>
      </c>
      <c r="C2592" t="s">
        <v>129</v>
      </c>
      <c r="D2592" t="s">
        <v>130</v>
      </c>
      <c r="E2592">
        <v>14</v>
      </c>
      <c r="F2592">
        <v>9.6</v>
      </c>
      <c r="G2592">
        <v>0.69</v>
      </c>
      <c r="H2592">
        <v>27</v>
      </c>
      <c r="I2592">
        <v>5000</v>
      </c>
      <c r="J2592">
        <v>1000</v>
      </c>
      <c r="K2592" t="s">
        <v>172</v>
      </c>
      <c r="L2592" t="s">
        <v>71</v>
      </c>
      <c r="M2592" t="s">
        <v>48</v>
      </c>
      <c r="N2592" t="b">
        <v>0</v>
      </c>
      <c r="O2592" t="s">
        <v>173</v>
      </c>
    </row>
    <row r="2593" spans="1:15" ht="15" customHeight="1">
      <c r="A2593" t="s">
        <v>430</v>
      </c>
      <c r="B2593" t="s">
        <v>3193</v>
      </c>
      <c r="C2593" t="s">
        <v>68</v>
      </c>
      <c r="D2593" t="s">
        <v>69</v>
      </c>
      <c r="E2593">
        <v>11</v>
      </c>
      <c r="F2593">
        <v>2.8</v>
      </c>
      <c r="G2593">
        <v>0.25</v>
      </c>
      <c r="H2593">
        <v>1</v>
      </c>
      <c r="I2593">
        <v>30000</v>
      </c>
      <c r="J2593">
        <v>5000</v>
      </c>
      <c r="K2593" t="s">
        <v>70</v>
      </c>
      <c r="L2593" t="s">
        <v>104</v>
      </c>
      <c r="M2593" t="s">
        <v>42</v>
      </c>
      <c r="N2593" t="b">
        <v>0</v>
      </c>
      <c r="O2593" t="s">
        <v>72</v>
      </c>
    </row>
    <row r="2594" spans="1:15" ht="15" customHeight="1">
      <c r="A2594" t="s">
        <v>1480</v>
      </c>
      <c r="B2594" t="s">
        <v>3194</v>
      </c>
      <c r="C2594" t="s">
        <v>149</v>
      </c>
      <c r="D2594" t="s">
        <v>69</v>
      </c>
      <c r="E2594">
        <v>8</v>
      </c>
      <c r="F2594">
        <v>7.2</v>
      </c>
      <c r="G2594">
        <v>0.9</v>
      </c>
      <c r="H2594">
        <v>35</v>
      </c>
      <c r="I2594">
        <v>3000</v>
      </c>
      <c r="J2594">
        <v>1000</v>
      </c>
      <c r="K2594" t="s">
        <v>131</v>
      </c>
      <c r="L2594" t="s">
        <v>96</v>
      </c>
      <c r="M2594" t="s">
        <v>43</v>
      </c>
      <c r="N2594" t="b">
        <v>0</v>
      </c>
      <c r="O2594" t="s">
        <v>132</v>
      </c>
    </row>
    <row r="2595" spans="1:15" ht="15" customHeight="1">
      <c r="A2595" t="s">
        <v>290</v>
      </c>
      <c r="B2595" t="s">
        <v>3195</v>
      </c>
      <c r="C2595" t="s">
        <v>75</v>
      </c>
      <c r="D2595" t="s">
        <v>69</v>
      </c>
      <c r="E2595">
        <v>18</v>
      </c>
      <c r="F2595">
        <v>17.100000000000001</v>
      </c>
      <c r="G2595">
        <v>0.95</v>
      </c>
      <c r="H2595">
        <v>6</v>
      </c>
      <c r="I2595">
        <v>2000</v>
      </c>
      <c r="J2595">
        <v>1500</v>
      </c>
      <c r="K2595" t="s">
        <v>269</v>
      </c>
      <c r="L2595" t="s">
        <v>104</v>
      </c>
      <c r="M2595" t="s">
        <v>46</v>
      </c>
      <c r="N2595" t="b">
        <v>0</v>
      </c>
      <c r="O2595" t="s">
        <v>270</v>
      </c>
    </row>
    <row r="2596" spans="1:15" ht="15" customHeight="1">
      <c r="A2596" t="s">
        <v>193</v>
      </c>
      <c r="B2596" t="s">
        <v>3196</v>
      </c>
      <c r="C2596" t="s">
        <v>149</v>
      </c>
      <c r="D2596" t="s">
        <v>69</v>
      </c>
      <c r="E2596">
        <v>10</v>
      </c>
      <c r="F2596">
        <v>9.4</v>
      </c>
      <c r="G2596">
        <v>0.94</v>
      </c>
      <c r="H2596">
        <v>23</v>
      </c>
      <c r="I2596">
        <v>3000</v>
      </c>
      <c r="J2596">
        <v>1000</v>
      </c>
      <c r="K2596" t="s">
        <v>229</v>
      </c>
      <c r="L2596" t="s">
        <v>117</v>
      </c>
      <c r="M2596" t="s">
        <v>50</v>
      </c>
      <c r="N2596" t="b">
        <v>1</v>
      </c>
      <c r="O2596" t="s">
        <v>249</v>
      </c>
    </row>
    <row r="2597" spans="1:15" ht="15" customHeight="1">
      <c r="A2597" t="s">
        <v>557</v>
      </c>
      <c r="B2597" t="s">
        <v>3197</v>
      </c>
      <c r="C2597" t="s">
        <v>68</v>
      </c>
      <c r="D2597" t="s">
        <v>69</v>
      </c>
      <c r="E2597">
        <v>14</v>
      </c>
      <c r="F2597">
        <v>1.3</v>
      </c>
      <c r="G2597">
        <v>0.09</v>
      </c>
      <c r="H2597">
        <v>4</v>
      </c>
      <c r="I2597">
        <v>30000</v>
      </c>
      <c r="J2597">
        <v>5000</v>
      </c>
      <c r="K2597" t="s">
        <v>95</v>
      </c>
      <c r="L2597" t="s">
        <v>91</v>
      </c>
      <c r="M2597" t="s">
        <v>50</v>
      </c>
      <c r="N2597" t="b">
        <v>1</v>
      </c>
      <c r="O2597" t="s">
        <v>97</v>
      </c>
    </row>
    <row r="2598" spans="1:15" ht="15" customHeight="1">
      <c r="A2598" t="s">
        <v>367</v>
      </c>
      <c r="B2598" t="s">
        <v>3198</v>
      </c>
      <c r="C2598" t="s">
        <v>129</v>
      </c>
      <c r="D2598" t="s">
        <v>130</v>
      </c>
      <c r="E2598">
        <v>11</v>
      </c>
      <c r="F2598">
        <v>3.6</v>
      </c>
      <c r="G2598">
        <v>0.33</v>
      </c>
      <c r="H2598">
        <v>26</v>
      </c>
      <c r="I2598">
        <v>5000</v>
      </c>
      <c r="J2598">
        <v>1000</v>
      </c>
      <c r="K2598" t="s">
        <v>203</v>
      </c>
      <c r="L2598" t="s">
        <v>71</v>
      </c>
      <c r="M2598" t="s">
        <v>51</v>
      </c>
      <c r="N2598" t="b">
        <v>0</v>
      </c>
      <c r="O2598" t="s">
        <v>623</v>
      </c>
    </row>
    <row r="2599" spans="1:15" ht="15" customHeight="1">
      <c r="A2599" t="s">
        <v>223</v>
      </c>
      <c r="B2599" t="s">
        <v>3199</v>
      </c>
      <c r="C2599" t="s">
        <v>81</v>
      </c>
      <c r="D2599" t="s">
        <v>69</v>
      </c>
      <c r="E2599">
        <v>10</v>
      </c>
      <c r="F2599">
        <v>10</v>
      </c>
      <c r="G2599">
        <v>1</v>
      </c>
      <c r="H2599">
        <v>26</v>
      </c>
      <c r="I2599">
        <v>10000</v>
      </c>
      <c r="J2599">
        <v>3000</v>
      </c>
      <c r="K2599" t="s">
        <v>525</v>
      </c>
      <c r="L2599" t="s">
        <v>96</v>
      </c>
      <c r="M2599" t="s">
        <v>45</v>
      </c>
      <c r="N2599" t="b">
        <v>0</v>
      </c>
      <c r="O2599" t="s">
        <v>526</v>
      </c>
    </row>
    <row r="2600" spans="1:15" ht="15" customHeight="1">
      <c r="A2600" t="s">
        <v>1250</v>
      </c>
      <c r="B2600" t="s">
        <v>3200</v>
      </c>
      <c r="C2600" t="s">
        <v>75</v>
      </c>
      <c r="D2600" t="s">
        <v>69</v>
      </c>
      <c r="E2600">
        <v>12</v>
      </c>
      <c r="F2600">
        <v>3.9</v>
      </c>
      <c r="G2600">
        <v>0.33</v>
      </c>
      <c r="H2600">
        <v>20</v>
      </c>
      <c r="I2600">
        <v>2000</v>
      </c>
      <c r="J2600">
        <v>1500</v>
      </c>
      <c r="K2600" t="s">
        <v>76</v>
      </c>
      <c r="L2600" t="s">
        <v>96</v>
      </c>
      <c r="M2600" t="s">
        <v>41</v>
      </c>
      <c r="N2600" t="b">
        <v>0</v>
      </c>
      <c r="O2600" t="s">
        <v>78</v>
      </c>
    </row>
    <row r="2601" spans="1:15" ht="15" customHeight="1">
      <c r="A2601" t="s">
        <v>1839</v>
      </c>
      <c r="B2601" t="s">
        <v>3201</v>
      </c>
      <c r="C2601" t="s">
        <v>81</v>
      </c>
      <c r="D2601" t="s">
        <v>69</v>
      </c>
      <c r="E2601">
        <v>13</v>
      </c>
      <c r="F2601">
        <v>6</v>
      </c>
      <c r="G2601">
        <v>0.46</v>
      </c>
      <c r="H2601">
        <v>26</v>
      </c>
      <c r="I2601">
        <v>10000</v>
      </c>
      <c r="J2601">
        <v>3000</v>
      </c>
      <c r="K2601" t="s">
        <v>525</v>
      </c>
      <c r="L2601" t="s">
        <v>91</v>
      </c>
      <c r="M2601" t="s">
        <v>43</v>
      </c>
      <c r="N2601" t="b">
        <v>1</v>
      </c>
      <c r="O2601" t="s">
        <v>526</v>
      </c>
    </row>
    <row r="2602" spans="1:15" ht="15" customHeight="1">
      <c r="A2602" t="s">
        <v>857</v>
      </c>
      <c r="B2602" t="s">
        <v>3202</v>
      </c>
      <c r="C2602" t="s">
        <v>75</v>
      </c>
      <c r="D2602" t="s">
        <v>69</v>
      </c>
      <c r="E2602">
        <v>10</v>
      </c>
      <c r="F2602">
        <v>9.4</v>
      </c>
      <c r="G2602">
        <v>0.94</v>
      </c>
      <c r="H2602">
        <v>19</v>
      </c>
      <c r="I2602">
        <v>2000</v>
      </c>
      <c r="J2602">
        <v>1500</v>
      </c>
      <c r="K2602" t="s">
        <v>408</v>
      </c>
      <c r="L2602" t="s">
        <v>91</v>
      </c>
      <c r="M2602" t="s">
        <v>48</v>
      </c>
      <c r="N2602" t="b">
        <v>1</v>
      </c>
      <c r="O2602" t="s">
        <v>409</v>
      </c>
    </row>
    <row r="2603" spans="1:15" ht="15" customHeight="1">
      <c r="A2603" t="s">
        <v>796</v>
      </c>
      <c r="B2603" t="s">
        <v>3203</v>
      </c>
      <c r="C2603" t="s">
        <v>81</v>
      </c>
      <c r="D2603" t="s">
        <v>69</v>
      </c>
      <c r="E2603">
        <v>10</v>
      </c>
      <c r="F2603">
        <v>8.6</v>
      </c>
      <c r="G2603">
        <v>0.86</v>
      </c>
      <c r="H2603">
        <v>27</v>
      </c>
      <c r="I2603">
        <v>10000</v>
      </c>
      <c r="J2603">
        <v>3000</v>
      </c>
      <c r="K2603" t="s">
        <v>125</v>
      </c>
      <c r="L2603" t="s">
        <v>91</v>
      </c>
      <c r="M2603" t="s">
        <v>43</v>
      </c>
      <c r="N2603" t="b">
        <v>1</v>
      </c>
      <c r="O2603" t="s">
        <v>126</v>
      </c>
    </row>
    <row r="2604" spans="1:15" ht="15" customHeight="1">
      <c r="A2604" t="s">
        <v>546</v>
      </c>
      <c r="B2604" t="s">
        <v>3204</v>
      </c>
      <c r="C2604" t="s">
        <v>81</v>
      </c>
      <c r="D2604" t="s">
        <v>69</v>
      </c>
      <c r="E2604">
        <v>20</v>
      </c>
      <c r="F2604">
        <v>9.8000000000000007</v>
      </c>
      <c r="G2604">
        <v>0.49</v>
      </c>
      <c r="H2604">
        <v>30</v>
      </c>
      <c r="I2604">
        <v>10000</v>
      </c>
      <c r="J2604">
        <v>3000</v>
      </c>
      <c r="K2604" t="s">
        <v>185</v>
      </c>
      <c r="L2604" t="s">
        <v>100</v>
      </c>
      <c r="M2604" t="s">
        <v>45</v>
      </c>
      <c r="N2604" t="b">
        <v>0</v>
      </c>
      <c r="O2604" t="s">
        <v>186</v>
      </c>
    </row>
    <row r="2605" spans="1:15" ht="15" customHeight="1">
      <c r="A2605" t="s">
        <v>376</v>
      </c>
      <c r="B2605" t="s">
        <v>3205</v>
      </c>
      <c r="C2605" t="s">
        <v>68</v>
      </c>
      <c r="D2605" t="s">
        <v>69</v>
      </c>
      <c r="E2605">
        <v>15</v>
      </c>
      <c r="F2605">
        <v>2.1</v>
      </c>
      <c r="G2605">
        <v>0.14000000000000001</v>
      </c>
      <c r="H2605">
        <v>5</v>
      </c>
      <c r="I2605">
        <v>30000</v>
      </c>
      <c r="J2605">
        <v>5000</v>
      </c>
      <c r="K2605" t="s">
        <v>112</v>
      </c>
      <c r="L2605" t="s">
        <v>77</v>
      </c>
      <c r="M2605" t="s">
        <v>50</v>
      </c>
      <c r="N2605" t="b">
        <v>0</v>
      </c>
      <c r="O2605" t="s">
        <v>113</v>
      </c>
    </row>
    <row r="2606" spans="1:15" ht="15" customHeight="1">
      <c r="A2606" t="s">
        <v>406</v>
      </c>
      <c r="B2606" t="s">
        <v>3206</v>
      </c>
      <c r="C2606" t="s">
        <v>129</v>
      </c>
      <c r="D2606" t="s">
        <v>130</v>
      </c>
      <c r="E2606">
        <v>17</v>
      </c>
      <c r="F2606">
        <v>8.6</v>
      </c>
      <c r="G2606">
        <v>0.51</v>
      </c>
      <c r="H2606">
        <v>24</v>
      </c>
      <c r="I2606">
        <v>5000</v>
      </c>
      <c r="J2606">
        <v>1000</v>
      </c>
      <c r="K2606" t="s">
        <v>95</v>
      </c>
      <c r="L2606" t="s">
        <v>96</v>
      </c>
      <c r="M2606" t="s">
        <v>47</v>
      </c>
      <c r="N2606" t="b">
        <v>0</v>
      </c>
      <c r="O2606" t="s">
        <v>217</v>
      </c>
    </row>
    <row r="2607" spans="1:15" ht="15" customHeight="1">
      <c r="A2607" t="s">
        <v>1009</v>
      </c>
      <c r="B2607" t="s">
        <v>3207</v>
      </c>
      <c r="C2607" t="s">
        <v>149</v>
      </c>
      <c r="D2607" t="s">
        <v>69</v>
      </c>
      <c r="E2607">
        <v>9</v>
      </c>
      <c r="F2607">
        <v>7.5</v>
      </c>
      <c r="G2607">
        <v>0.83</v>
      </c>
      <c r="H2607">
        <v>40</v>
      </c>
      <c r="I2607">
        <v>3000</v>
      </c>
      <c r="J2607">
        <v>1000</v>
      </c>
      <c r="K2607" t="s">
        <v>95</v>
      </c>
      <c r="L2607" t="s">
        <v>117</v>
      </c>
      <c r="M2607" t="s">
        <v>42</v>
      </c>
      <c r="N2607" t="b">
        <v>1</v>
      </c>
      <c r="O2607" t="s">
        <v>217</v>
      </c>
    </row>
    <row r="2608" spans="1:15" ht="15" customHeight="1">
      <c r="A2608" t="s">
        <v>1672</v>
      </c>
      <c r="B2608" t="s">
        <v>3208</v>
      </c>
      <c r="C2608" t="s">
        <v>129</v>
      </c>
      <c r="D2608" t="s">
        <v>130</v>
      </c>
      <c r="E2608">
        <v>11</v>
      </c>
      <c r="F2608">
        <v>8.1999999999999993</v>
      </c>
      <c r="G2608">
        <v>0.75</v>
      </c>
      <c r="H2608">
        <v>8</v>
      </c>
      <c r="I2608">
        <v>5000</v>
      </c>
      <c r="J2608">
        <v>1000</v>
      </c>
      <c r="K2608" t="s">
        <v>76</v>
      </c>
      <c r="L2608" t="s">
        <v>117</v>
      </c>
      <c r="M2608" t="s">
        <v>43</v>
      </c>
      <c r="N2608" t="b">
        <v>1</v>
      </c>
      <c r="O2608" t="s">
        <v>317</v>
      </c>
    </row>
    <row r="2609" spans="1:15" ht="15" customHeight="1">
      <c r="A2609" t="s">
        <v>164</v>
      </c>
      <c r="B2609" t="s">
        <v>3209</v>
      </c>
      <c r="C2609" t="s">
        <v>75</v>
      </c>
      <c r="D2609" t="s">
        <v>69</v>
      </c>
      <c r="E2609">
        <v>9</v>
      </c>
      <c r="F2609">
        <v>4.9000000000000004</v>
      </c>
      <c r="G2609">
        <v>0.54</v>
      </c>
      <c r="H2609">
        <v>18</v>
      </c>
      <c r="I2609">
        <v>2000</v>
      </c>
      <c r="J2609">
        <v>1500</v>
      </c>
      <c r="K2609" t="s">
        <v>225</v>
      </c>
      <c r="L2609" t="s">
        <v>71</v>
      </c>
      <c r="M2609" t="s">
        <v>51</v>
      </c>
      <c r="N2609" t="b">
        <v>0</v>
      </c>
      <c r="O2609" t="s">
        <v>226</v>
      </c>
    </row>
    <row r="2610" spans="1:15" ht="15" customHeight="1">
      <c r="A2610" t="s">
        <v>340</v>
      </c>
      <c r="B2610" t="s">
        <v>3210</v>
      </c>
      <c r="C2610" t="s">
        <v>149</v>
      </c>
      <c r="D2610" t="s">
        <v>69</v>
      </c>
      <c r="E2610">
        <v>11</v>
      </c>
      <c r="F2610">
        <v>6.8</v>
      </c>
      <c r="G2610">
        <v>0.62</v>
      </c>
      <c r="H2610">
        <v>23</v>
      </c>
      <c r="I2610">
        <v>3000</v>
      </c>
      <c r="J2610">
        <v>1000</v>
      </c>
      <c r="K2610" t="s">
        <v>229</v>
      </c>
      <c r="L2610" t="s">
        <v>117</v>
      </c>
      <c r="M2610" t="s">
        <v>45</v>
      </c>
      <c r="N2610" t="b">
        <v>1</v>
      </c>
      <c r="O2610" t="s">
        <v>249</v>
      </c>
    </row>
    <row r="2611" spans="1:15" ht="15" customHeight="1">
      <c r="A2611" t="s">
        <v>2675</v>
      </c>
      <c r="B2611" t="s">
        <v>3211</v>
      </c>
      <c r="C2611" t="s">
        <v>149</v>
      </c>
      <c r="D2611" t="s">
        <v>69</v>
      </c>
      <c r="E2611">
        <v>12</v>
      </c>
      <c r="F2611">
        <v>9.9</v>
      </c>
      <c r="G2611">
        <v>0.83</v>
      </c>
      <c r="H2611">
        <v>30</v>
      </c>
      <c r="I2611">
        <v>3000</v>
      </c>
      <c r="J2611">
        <v>1000</v>
      </c>
      <c r="K2611" t="s">
        <v>108</v>
      </c>
      <c r="L2611" t="s">
        <v>100</v>
      </c>
      <c r="M2611" t="s">
        <v>50</v>
      </c>
      <c r="N2611" t="b">
        <v>0</v>
      </c>
      <c r="O2611" t="s">
        <v>166</v>
      </c>
    </row>
    <row r="2612" spans="1:15" ht="15" customHeight="1">
      <c r="A2612" t="s">
        <v>1321</v>
      </c>
      <c r="B2612" t="s">
        <v>3212</v>
      </c>
      <c r="C2612" t="s">
        <v>81</v>
      </c>
      <c r="D2612" t="s">
        <v>69</v>
      </c>
      <c r="E2612">
        <v>13</v>
      </c>
      <c r="F2612">
        <v>3.7</v>
      </c>
      <c r="G2612">
        <v>0.28000000000000003</v>
      </c>
      <c r="H2612">
        <v>9</v>
      </c>
      <c r="I2612">
        <v>10000</v>
      </c>
      <c r="J2612">
        <v>3000</v>
      </c>
      <c r="K2612" t="s">
        <v>108</v>
      </c>
      <c r="L2612" t="s">
        <v>71</v>
      </c>
      <c r="M2612" t="s">
        <v>40</v>
      </c>
      <c r="N2612" t="b">
        <v>0</v>
      </c>
      <c r="O2612" t="s">
        <v>303</v>
      </c>
    </row>
    <row r="2613" spans="1:15" ht="15" customHeight="1">
      <c r="A2613" t="s">
        <v>468</v>
      </c>
      <c r="B2613" t="s">
        <v>3213</v>
      </c>
      <c r="C2613" t="s">
        <v>81</v>
      </c>
      <c r="D2613" t="s">
        <v>69</v>
      </c>
      <c r="E2613">
        <v>8</v>
      </c>
      <c r="F2613">
        <v>5.8</v>
      </c>
      <c r="G2613">
        <v>0.72</v>
      </c>
      <c r="H2613">
        <v>24</v>
      </c>
      <c r="I2613">
        <v>10000</v>
      </c>
      <c r="J2613">
        <v>3000</v>
      </c>
      <c r="K2613" t="s">
        <v>306</v>
      </c>
      <c r="L2613" t="s">
        <v>117</v>
      </c>
      <c r="M2613" t="s">
        <v>49</v>
      </c>
      <c r="N2613" t="b">
        <v>1</v>
      </c>
      <c r="O2613" t="s">
        <v>307</v>
      </c>
    </row>
    <row r="2614" spans="1:15" ht="15" customHeight="1">
      <c r="A2614" t="s">
        <v>952</v>
      </c>
      <c r="B2614" t="s">
        <v>3214</v>
      </c>
      <c r="C2614" t="s">
        <v>75</v>
      </c>
      <c r="D2614" t="s">
        <v>69</v>
      </c>
      <c r="E2614">
        <v>8</v>
      </c>
      <c r="F2614">
        <v>4.2</v>
      </c>
      <c r="G2614">
        <v>0.53</v>
      </c>
      <c r="H2614">
        <v>24</v>
      </c>
      <c r="I2614">
        <v>2000</v>
      </c>
      <c r="J2614">
        <v>1500</v>
      </c>
      <c r="K2614" t="s">
        <v>361</v>
      </c>
      <c r="L2614" t="s">
        <v>100</v>
      </c>
      <c r="M2614" t="s">
        <v>45</v>
      </c>
      <c r="N2614" t="b">
        <v>0</v>
      </c>
      <c r="O2614" t="s">
        <v>362</v>
      </c>
    </row>
    <row r="2615" spans="1:15" ht="15" customHeight="1">
      <c r="A2615" t="s">
        <v>340</v>
      </c>
      <c r="B2615" t="s">
        <v>3215</v>
      </c>
      <c r="C2615" t="s">
        <v>68</v>
      </c>
      <c r="D2615" t="s">
        <v>69</v>
      </c>
      <c r="E2615">
        <v>16</v>
      </c>
      <c r="F2615">
        <v>1.8</v>
      </c>
      <c r="G2615">
        <v>0.11</v>
      </c>
      <c r="H2615">
        <v>2</v>
      </c>
      <c r="I2615">
        <v>30000</v>
      </c>
      <c r="J2615">
        <v>5000</v>
      </c>
      <c r="K2615" t="s">
        <v>162</v>
      </c>
      <c r="L2615" t="s">
        <v>117</v>
      </c>
      <c r="M2615" t="s">
        <v>45</v>
      </c>
      <c r="N2615" t="b">
        <v>1</v>
      </c>
      <c r="O2615" t="s">
        <v>163</v>
      </c>
    </row>
    <row r="2616" spans="1:15" ht="15" customHeight="1">
      <c r="A2616" t="s">
        <v>1809</v>
      </c>
      <c r="B2616" t="s">
        <v>3216</v>
      </c>
      <c r="C2616" t="s">
        <v>149</v>
      </c>
      <c r="D2616" t="s">
        <v>69</v>
      </c>
      <c r="E2616">
        <v>8</v>
      </c>
      <c r="F2616">
        <v>6.1</v>
      </c>
      <c r="G2616">
        <v>0.76</v>
      </c>
      <c r="H2616">
        <v>22</v>
      </c>
      <c r="I2616">
        <v>3000</v>
      </c>
      <c r="J2616">
        <v>1000</v>
      </c>
      <c r="K2616" t="s">
        <v>556</v>
      </c>
      <c r="L2616" t="s">
        <v>91</v>
      </c>
      <c r="M2616" t="s">
        <v>40</v>
      </c>
      <c r="N2616" t="b">
        <v>1</v>
      </c>
      <c r="O2616" t="s">
        <v>313</v>
      </c>
    </row>
    <row r="2617" spans="1:15" ht="15" customHeight="1">
      <c r="A2617" t="s">
        <v>1317</v>
      </c>
      <c r="B2617" t="s">
        <v>3217</v>
      </c>
      <c r="C2617" t="s">
        <v>149</v>
      </c>
      <c r="D2617" t="s">
        <v>69</v>
      </c>
      <c r="E2617">
        <v>12</v>
      </c>
      <c r="F2617">
        <v>9.1</v>
      </c>
      <c r="G2617">
        <v>0.76</v>
      </c>
      <c r="H2617">
        <v>29</v>
      </c>
      <c r="I2617">
        <v>3000</v>
      </c>
      <c r="J2617">
        <v>1000</v>
      </c>
      <c r="K2617" t="s">
        <v>303</v>
      </c>
      <c r="L2617" t="s">
        <v>71</v>
      </c>
      <c r="M2617" t="s">
        <v>40</v>
      </c>
      <c r="N2617" t="b">
        <v>0</v>
      </c>
      <c r="O2617" t="s">
        <v>323</v>
      </c>
    </row>
    <row r="2618" spans="1:15" ht="15" customHeight="1">
      <c r="A2618" t="s">
        <v>846</v>
      </c>
      <c r="B2618" t="s">
        <v>3218</v>
      </c>
      <c r="C2618" t="s">
        <v>75</v>
      </c>
      <c r="D2618" t="s">
        <v>69</v>
      </c>
      <c r="E2618">
        <v>17</v>
      </c>
      <c r="F2618">
        <v>7.7</v>
      </c>
      <c r="G2618">
        <v>0.45</v>
      </c>
      <c r="H2618">
        <v>18</v>
      </c>
      <c r="I2618">
        <v>2000</v>
      </c>
      <c r="J2618">
        <v>1500</v>
      </c>
      <c r="K2618" t="s">
        <v>225</v>
      </c>
      <c r="L2618" t="s">
        <v>104</v>
      </c>
      <c r="M2618" t="s">
        <v>45</v>
      </c>
      <c r="N2618" t="b">
        <v>0</v>
      </c>
      <c r="O2618" t="s">
        <v>226</v>
      </c>
    </row>
    <row r="2619" spans="1:15" ht="15" customHeight="1">
      <c r="A2619" t="s">
        <v>513</v>
      </c>
      <c r="B2619" t="s">
        <v>3219</v>
      </c>
      <c r="C2619" t="s">
        <v>68</v>
      </c>
      <c r="D2619" t="s">
        <v>69</v>
      </c>
      <c r="E2619">
        <v>10</v>
      </c>
      <c r="F2619">
        <v>3.1</v>
      </c>
      <c r="G2619">
        <v>0.31</v>
      </c>
      <c r="H2619">
        <v>5</v>
      </c>
      <c r="I2619">
        <v>30000</v>
      </c>
      <c r="J2619">
        <v>5000</v>
      </c>
      <c r="K2619" t="s">
        <v>112</v>
      </c>
      <c r="L2619" t="s">
        <v>96</v>
      </c>
      <c r="M2619" t="s">
        <v>40</v>
      </c>
      <c r="N2619" t="b">
        <v>0</v>
      </c>
      <c r="O2619" t="s">
        <v>113</v>
      </c>
    </row>
    <row r="2620" spans="1:15" ht="15" customHeight="1">
      <c r="A2620" t="s">
        <v>1278</v>
      </c>
      <c r="B2620" t="s">
        <v>3220</v>
      </c>
      <c r="C2620" t="s">
        <v>68</v>
      </c>
      <c r="D2620" t="s">
        <v>69</v>
      </c>
      <c r="E2620">
        <v>14</v>
      </c>
      <c r="F2620">
        <v>2.4</v>
      </c>
      <c r="G2620">
        <v>0.17</v>
      </c>
      <c r="H2620">
        <v>5</v>
      </c>
      <c r="I2620">
        <v>30000</v>
      </c>
      <c r="J2620">
        <v>5000</v>
      </c>
      <c r="K2620" t="s">
        <v>112</v>
      </c>
      <c r="L2620" t="s">
        <v>77</v>
      </c>
      <c r="M2620" t="s">
        <v>50</v>
      </c>
      <c r="N2620" t="b">
        <v>0</v>
      </c>
      <c r="O2620" t="s">
        <v>113</v>
      </c>
    </row>
    <row r="2621" spans="1:15" ht="15" customHeight="1">
      <c r="A2621" t="s">
        <v>868</v>
      </c>
      <c r="B2621" t="s">
        <v>3221</v>
      </c>
      <c r="C2621" t="s">
        <v>68</v>
      </c>
      <c r="D2621" t="s">
        <v>69</v>
      </c>
      <c r="E2621">
        <v>12</v>
      </c>
      <c r="F2621">
        <v>2.8</v>
      </c>
      <c r="G2621">
        <v>0.23</v>
      </c>
      <c r="H2621">
        <v>3</v>
      </c>
      <c r="I2621">
        <v>30000</v>
      </c>
      <c r="J2621">
        <v>5000</v>
      </c>
      <c r="K2621" t="s">
        <v>108</v>
      </c>
      <c r="L2621" t="s">
        <v>117</v>
      </c>
      <c r="M2621" t="s">
        <v>45</v>
      </c>
      <c r="N2621" t="b">
        <v>1</v>
      </c>
      <c r="O2621" t="s">
        <v>109</v>
      </c>
    </row>
    <row r="2622" spans="1:15" ht="15" customHeight="1">
      <c r="A2622" t="s">
        <v>1004</v>
      </c>
      <c r="B2622" t="s">
        <v>3222</v>
      </c>
      <c r="C2622" t="s">
        <v>68</v>
      </c>
      <c r="D2622" t="s">
        <v>69</v>
      </c>
      <c r="E2622">
        <v>16</v>
      </c>
      <c r="F2622">
        <v>2.6</v>
      </c>
      <c r="G2622">
        <v>0.16</v>
      </c>
      <c r="H2622">
        <v>3</v>
      </c>
      <c r="I2622">
        <v>30000</v>
      </c>
      <c r="J2622">
        <v>5000</v>
      </c>
      <c r="K2622" t="s">
        <v>108</v>
      </c>
      <c r="L2622" t="s">
        <v>77</v>
      </c>
      <c r="M2622" t="s">
        <v>43</v>
      </c>
      <c r="N2622" t="b">
        <v>0</v>
      </c>
      <c r="O2622" t="s">
        <v>109</v>
      </c>
    </row>
    <row r="2623" spans="1:15" ht="15" customHeight="1">
      <c r="A2623" t="s">
        <v>98</v>
      </c>
      <c r="B2623" t="s">
        <v>3223</v>
      </c>
      <c r="C2623" t="s">
        <v>149</v>
      </c>
      <c r="D2623" t="s">
        <v>69</v>
      </c>
      <c r="E2623">
        <v>11</v>
      </c>
      <c r="F2623">
        <v>8.6999999999999993</v>
      </c>
      <c r="G2623">
        <v>0.79</v>
      </c>
      <c r="H2623">
        <v>30</v>
      </c>
      <c r="I2623">
        <v>3000</v>
      </c>
      <c r="J2623">
        <v>1000</v>
      </c>
      <c r="K2623" t="s">
        <v>108</v>
      </c>
      <c r="L2623" t="s">
        <v>100</v>
      </c>
      <c r="M2623" t="s">
        <v>47</v>
      </c>
      <c r="N2623" t="b">
        <v>0</v>
      </c>
      <c r="O2623" t="s">
        <v>166</v>
      </c>
    </row>
    <row r="2624" spans="1:15" ht="15" customHeight="1">
      <c r="A2624" t="s">
        <v>1044</v>
      </c>
      <c r="B2624" t="s">
        <v>3224</v>
      </c>
      <c r="C2624" t="s">
        <v>81</v>
      </c>
      <c r="D2624" t="s">
        <v>69</v>
      </c>
      <c r="E2624">
        <v>18</v>
      </c>
      <c r="F2624">
        <v>9.5</v>
      </c>
      <c r="G2624">
        <v>0.53</v>
      </c>
      <c r="H2624">
        <v>16</v>
      </c>
      <c r="I2624">
        <v>10000</v>
      </c>
      <c r="J2624">
        <v>3000</v>
      </c>
      <c r="K2624" t="s">
        <v>283</v>
      </c>
      <c r="L2624" t="s">
        <v>71</v>
      </c>
      <c r="M2624" t="s">
        <v>48</v>
      </c>
      <c r="N2624" t="b">
        <v>0</v>
      </c>
      <c r="O2624" t="s">
        <v>284</v>
      </c>
    </row>
    <row r="2625" spans="1:15" ht="15" customHeight="1">
      <c r="A2625" t="s">
        <v>1026</v>
      </c>
      <c r="B2625" t="s">
        <v>3225</v>
      </c>
      <c r="C2625" t="s">
        <v>81</v>
      </c>
      <c r="D2625" t="s">
        <v>69</v>
      </c>
      <c r="E2625">
        <v>9</v>
      </c>
      <c r="F2625">
        <v>5.7</v>
      </c>
      <c r="G2625">
        <v>0.63</v>
      </c>
      <c r="H2625">
        <v>8</v>
      </c>
      <c r="I2625">
        <v>10000</v>
      </c>
      <c r="J2625">
        <v>3000</v>
      </c>
      <c r="K2625" t="s">
        <v>357</v>
      </c>
      <c r="L2625" t="s">
        <v>96</v>
      </c>
      <c r="M2625" t="s">
        <v>50</v>
      </c>
      <c r="N2625" t="b">
        <v>0</v>
      </c>
      <c r="O2625" t="s">
        <v>295</v>
      </c>
    </row>
    <row r="2626" spans="1:15" ht="15" customHeight="1">
      <c r="A2626" t="s">
        <v>1153</v>
      </c>
      <c r="B2626" t="s">
        <v>3226</v>
      </c>
      <c r="C2626" t="s">
        <v>129</v>
      </c>
      <c r="D2626" t="s">
        <v>130</v>
      </c>
      <c r="E2626">
        <v>8</v>
      </c>
      <c r="F2626">
        <v>5.2</v>
      </c>
      <c r="G2626">
        <v>0.65</v>
      </c>
      <c r="H2626">
        <v>8</v>
      </c>
      <c r="I2626">
        <v>5000</v>
      </c>
      <c r="J2626">
        <v>1000</v>
      </c>
      <c r="K2626" t="s">
        <v>76</v>
      </c>
      <c r="L2626" t="s">
        <v>104</v>
      </c>
      <c r="M2626" t="s">
        <v>40</v>
      </c>
      <c r="N2626" t="b">
        <v>0</v>
      </c>
      <c r="O2626" t="s">
        <v>317</v>
      </c>
    </row>
    <row r="2627" spans="1:15" ht="15" customHeight="1">
      <c r="A2627" t="s">
        <v>538</v>
      </c>
      <c r="B2627" t="s">
        <v>3227</v>
      </c>
      <c r="C2627" t="s">
        <v>75</v>
      </c>
      <c r="D2627" t="s">
        <v>69</v>
      </c>
      <c r="E2627">
        <v>14</v>
      </c>
      <c r="F2627">
        <v>8.5</v>
      </c>
      <c r="G2627">
        <v>0.61</v>
      </c>
      <c r="H2627">
        <v>20</v>
      </c>
      <c r="I2627">
        <v>2000</v>
      </c>
      <c r="J2627">
        <v>1500</v>
      </c>
      <c r="K2627" t="s">
        <v>76</v>
      </c>
      <c r="L2627" t="s">
        <v>96</v>
      </c>
      <c r="M2627" t="s">
        <v>50</v>
      </c>
      <c r="N2627" t="b">
        <v>0</v>
      </c>
      <c r="O2627" t="s">
        <v>78</v>
      </c>
    </row>
    <row r="2628" spans="1:15" ht="15" customHeight="1">
      <c r="A2628" t="s">
        <v>374</v>
      </c>
      <c r="B2628" t="s">
        <v>3228</v>
      </c>
      <c r="C2628" t="s">
        <v>149</v>
      </c>
      <c r="D2628" t="s">
        <v>69</v>
      </c>
      <c r="E2628">
        <v>8</v>
      </c>
      <c r="F2628">
        <v>6.1</v>
      </c>
      <c r="G2628">
        <v>0.76</v>
      </c>
      <c r="H2628">
        <v>29</v>
      </c>
      <c r="I2628">
        <v>3000</v>
      </c>
      <c r="J2628">
        <v>1000</v>
      </c>
      <c r="K2628" t="s">
        <v>303</v>
      </c>
      <c r="L2628" t="s">
        <v>104</v>
      </c>
      <c r="M2628" t="s">
        <v>42</v>
      </c>
      <c r="N2628" t="b">
        <v>0</v>
      </c>
      <c r="O2628" t="s">
        <v>323</v>
      </c>
    </row>
    <row r="2629" spans="1:15" ht="15" customHeight="1">
      <c r="A2629" t="s">
        <v>970</v>
      </c>
      <c r="B2629" t="s">
        <v>3229</v>
      </c>
      <c r="C2629" t="s">
        <v>129</v>
      </c>
      <c r="D2629" t="s">
        <v>130</v>
      </c>
      <c r="E2629">
        <v>17</v>
      </c>
      <c r="F2629">
        <v>9.6</v>
      </c>
      <c r="G2629">
        <v>0.56000000000000005</v>
      </c>
      <c r="H2629">
        <v>8</v>
      </c>
      <c r="I2629">
        <v>5000</v>
      </c>
      <c r="J2629">
        <v>1000</v>
      </c>
      <c r="K2629" t="s">
        <v>76</v>
      </c>
      <c r="L2629" t="s">
        <v>117</v>
      </c>
      <c r="M2629" t="s">
        <v>46</v>
      </c>
      <c r="N2629" t="b">
        <v>1</v>
      </c>
      <c r="O2629" t="s">
        <v>317</v>
      </c>
    </row>
    <row r="2630" spans="1:15" ht="15" customHeight="1">
      <c r="A2630" t="s">
        <v>73</v>
      </c>
      <c r="B2630" t="s">
        <v>3230</v>
      </c>
      <c r="C2630" t="s">
        <v>81</v>
      </c>
      <c r="D2630" t="s">
        <v>69</v>
      </c>
      <c r="E2630">
        <v>13</v>
      </c>
      <c r="F2630">
        <v>4.8</v>
      </c>
      <c r="G2630">
        <v>0.37</v>
      </c>
      <c r="H2630">
        <v>14</v>
      </c>
      <c r="I2630">
        <v>10000</v>
      </c>
      <c r="J2630">
        <v>3000</v>
      </c>
      <c r="K2630" t="s">
        <v>116</v>
      </c>
      <c r="L2630" t="s">
        <v>77</v>
      </c>
      <c r="M2630" t="s">
        <v>40</v>
      </c>
      <c r="N2630" t="b">
        <v>0</v>
      </c>
      <c r="O2630" t="s">
        <v>118</v>
      </c>
    </row>
    <row r="2631" spans="1:15" ht="15" customHeight="1">
      <c r="A2631" t="s">
        <v>349</v>
      </c>
      <c r="B2631" t="s">
        <v>3231</v>
      </c>
      <c r="C2631" t="s">
        <v>149</v>
      </c>
      <c r="D2631" t="s">
        <v>69</v>
      </c>
      <c r="E2631">
        <v>8</v>
      </c>
      <c r="F2631">
        <v>7.8</v>
      </c>
      <c r="G2631">
        <v>0.97</v>
      </c>
      <c r="H2631">
        <v>24</v>
      </c>
      <c r="I2631">
        <v>3000</v>
      </c>
      <c r="J2631">
        <v>1000</v>
      </c>
      <c r="K2631" t="s">
        <v>490</v>
      </c>
      <c r="L2631" t="s">
        <v>100</v>
      </c>
      <c r="M2631" t="s">
        <v>41</v>
      </c>
      <c r="N2631" t="b">
        <v>0</v>
      </c>
      <c r="O2631" t="s">
        <v>491</v>
      </c>
    </row>
    <row r="2632" spans="1:15" ht="15" customHeight="1">
      <c r="A2632" t="s">
        <v>687</v>
      </c>
      <c r="B2632" t="s">
        <v>3232</v>
      </c>
      <c r="C2632" t="s">
        <v>149</v>
      </c>
      <c r="D2632" t="s">
        <v>69</v>
      </c>
      <c r="E2632">
        <v>9</v>
      </c>
      <c r="F2632">
        <v>8.5</v>
      </c>
      <c r="G2632">
        <v>0.94</v>
      </c>
      <c r="H2632">
        <v>15</v>
      </c>
      <c r="I2632">
        <v>3000</v>
      </c>
      <c r="J2632">
        <v>1000</v>
      </c>
      <c r="K2632" t="s">
        <v>438</v>
      </c>
      <c r="L2632" t="s">
        <v>96</v>
      </c>
      <c r="M2632" t="s">
        <v>45</v>
      </c>
      <c r="N2632" t="b">
        <v>0</v>
      </c>
      <c r="O2632" t="s">
        <v>90</v>
      </c>
    </row>
    <row r="2633" spans="1:15" ht="15" customHeight="1">
      <c r="A2633" t="s">
        <v>609</v>
      </c>
      <c r="B2633" t="s">
        <v>3233</v>
      </c>
      <c r="C2633" t="s">
        <v>149</v>
      </c>
      <c r="D2633" t="s">
        <v>69</v>
      </c>
      <c r="E2633">
        <v>9</v>
      </c>
      <c r="F2633">
        <v>7.6</v>
      </c>
      <c r="G2633">
        <v>0.84</v>
      </c>
      <c r="H2633">
        <v>39</v>
      </c>
      <c r="I2633">
        <v>3000</v>
      </c>
      <c r="J2633">
        <v>1000</v>
      </c>
      <c r="K2633" t="s">
        <v>257</v>
      </c>
      <c r="L2633" t="s">
        <v>91</v>
      </c>
      <c r="M2633" t="s">
        <v>40</v>
      </c>
      <c r="N2633" t="b">
        <v>1</v>
      </c>
      <c r="O2633" t="s">
        <v>258</v>
      </c>
    </row>
    <row r="2634" spans="1:15" ht="15" customHeight="1">
      <c r="A2634" t="s">
        <v>1258</v>
      </c>
      <c r="B2634" t="s">
        <v>3234</v>
      </c>
      <c r="C2634" t="s">
        <v>149</v>
      </c>
      <c r="D2634" t="s">
        <v>69</v>
      </c>
      <c r="E2634">
        <v>9</v>
      </c>
      <c r="F2634">
        <v>8.6999999999999993</v>
      </c>
      <c r="G2634">
        <v>0.97</v>
      </c>
      <c r="H2634">
        <v>37</v>
      </c>
      <c r="I2634">
        <v>3000</v>
      </c>
      <c r="J2634">
        <v>1000</v>
      </c>
      <c r="K2634" t="s">
        <v>672</v>
      </c>
      <c r="L2634" t="s">
        <v>91</v>
      </c>
      <c r="M2634" t="s">
        <v>48</v>
      </c>
      <c r="N2634" t="b">
        <v>1</v>
      </c>
      <c r="O2634" t="s">
        <v>134</v>
      </c>
    </row>
    <row r="2635" spans="1:15" ht="15" customHeight="1">
      <c r="A2635" t="s">
        <v>646</v>
      </c>
      <c r="B2635" t="s">
        <v>3235</v>
      </c>
      <c r="C2635" t="s">
        <v>129</v>
      </c>
      <c r="D2635" t="s">
        <v>130</v>
      </c>
      <c r="E2635">
        <v>19</v>
      </c>
      <c r="F2635">
        <v>17.8</v>
      </c>
      <c r="G2635">
        <v>0.94</v>
      </c>
      <c r="H2635">
        <v>13</v>
      </c>
      <c r="I2635">
        <v>5000</v>
      </c>
      <c r="J2635">
        <v>1000</v>
      </c>
      <c r="K2635" t="s">
        <v>313</v>
      </c>
      <c r="L2635" t="s">
        <v>77</v>
      </c>
      <c r="M2635" t="s">
        <v>40</v>
      </c>
      <c r="N2635" t="b">
        <v>0</v>
      </c>
      <c r="O2635" t="s">
        <v>314</v>
      </c>
    </row>
    <row r="2636" spans="1:15" ht="15" customHeight="1">
      <c r="A2636" t="s">
        <v>1672</v>
      </c>
      <c r="B2636" t="s">
        <v>3236</v>
      </c>
      <c r="C2636" t="s">
        <v>149</v>
      </c>
      <c r="D2636" t="s">
        <v>69</v>
      </c>
      <c r="E2636">
        <v>10</v>
      </c>
      <c r="F2636">
        <v>8.6999999999999993</v>
      </c>
      <c r="G2636">
        <v>0.87</v>
      </c>
      <c r="H2636">
        <v>18</v>
      </c>
      <c r="I2636">
        <v>3000</v>
      </c>
      <c r="J2636">
        <v>1000</v>
      </c>
      <c r="K2636" t="s">
        <v>150</v>
      </c>
      <c r="L2636" t="s">
        <v>117</v>
      </c>
      <c r="M2636" t="s">
        <v>43</v>
      </c>
      <c r="N2636" t="b">
        <v>1</v>
      </c>
      <c r="O2636" t="s">
        <v>151</v>
      </c>
    </row>
    <row r="2637" spans="1:15" ht="15" customHeight="1">
      <c r="A2637" t="s">
        <v>144</v>
      </c>
      <c r="B2637" t="s">
        <v>3237</v>
      </c>
      <c r="C2637" t="s">
        <v>129</v>
      </c>
      <c r="D2637" t="s">
        <v>130</v>
      </c>
      <c r="E2637">
        <v>13</v>
      </c>
      <c r="F2637">
        <v>6.1</v>
      </c>
      <c r="G2637">
        <v>0.47</v>
      </c>
      <c r="H2637">
        <v>19</v>
      </c>
      <c r="I2637">
        <v>5000</v>
      </c>
      <c r="J2637">
        <v>1000</v>
      </c>
      <c r="K2637" t="s">
        <v>336</v>
      </c>
      <c r="L2637" t="s">
        <v>100</v>
      </c>
      <c r="M2637" t="s">
        <v>44</v>
      </c>
      <c r="N2637" t="b">
        <v>0</v>
      </c>
      <c r="O2637" t="s">
        <v>337</v>
      </c>
    </row>
    <row r="2638" spans="1:15" ht="15" customHeight="1">
      <c r="A2638" t="s">
        <v>477</v>
      </c>
      <c r="B2638" t="s">
        <v>3238</v>
      </c>
      <c r="C2638" t="s">
        <v>149</v>
      </c>
      <c r="D2638" t="s">
        <v>69</v>
      </c>
      <c r="E2638">
        <v>12</v>
      </c>
      <c r="F2638">
        <v>10.7</v>
      </c>
      <c r="G2638">
        <v>0.89</v>
      </c>
      <c r="H2638">
        <v>22</v>
      </c>
      <c r="I2638">
        <v>3000</v>
      </c>
      <c r="J2638">
        <v>1000</v>
      </c>
      <c r="K2638" t="s">
        <v>556</v>
      </c>
      <c r="L2638" t="s">
        <v>71</v>
      </c>
      <c r="M2638" t="s">
        <v>42</v>
      </c>
      <c r="N2638" t="b">
        <v>0</v>
      </c>
      <c r="O2638" t="s">
        <v>313</v>
      </c>
    </row>
    <row r="2639" spans="1:15" ht="15" customHeight="1">
      <c r="A2639" t="s">
        <v>765</v>
      </c>
      <c r="B2639" t="s">
        <v>3239</v>
      </c>
      <c r="C2639" t="s">
        <v>75</v>
      </c>
      <c r="D2639" t="s">
        <v>69</v>
      </c>
      <c r="E2639">
        <v>14</v>
      </c>
      <c r="F2639">
        <v>9.9</v>
      </c>
      <c r="G2639">
        <v>0.71</v>
      </c>
      <c r="H2639">
        <v>26</v>
      </c>
      <c r="I2639">
        <v>2000</v>
      </c>
      <c r="J2639">
        <v>1500</v>
      </c>
      <c r="K2639" t="s">
        <v>298</v>
      </c>
      <c r="L2639" t="s">
        <v>71</v>
      </c>
      <c r="M2639" t="s">
        <v>42</v>
      </c>
      <c r="N2639" t="b">
        <v>0</v>
      </c>
      <c r="O2639" t="s">
        <v>299</v>
      </c>
    </row>
    <row r="2640" spans="1:15" ht="15" customHeight="1">
      <c r="A2640" t="s">
        <v>1211</v>
      </c>
      <c r="B2640" t="s">
        <v>3240</v>
      </c>
      <c r="C2640" t="s">
        <v>149</v>
      </c>
      <c r="D2640" t="s">
        <v>69</v>
      </c>
      <c r="E2640">
        <v>10</v>
      </c>
      <c r="F2640">
        <v>6.1</v>
      </c>
      <c r="G2640">
        <v>0.61</v>
      </c>
      <c r="H2640">
        <v>19</v>
      </c>
      <c r="I2640">
        <v>3000</v>
      </c>
      <c r="J2640">
        <v>1000</v>
      </c>
      <c r="K2640" t="s">
        <v>198</v>
      </c>
      <c r="L2640" t="s">
        <v>91</v>
      </c>
      <c r="M2640" t="s">
        <v>49</v>
      </c>
      <c r="N2640" t="b">
        <v>1</v>
      </c>
      <c r="O2640" t="s">
        <v>262</v>
      </c>
    </row>
    <row r="2641" spans="1:15" ht="15" customHeight="1">
      <c r="A2641" t="s">
        <v>374</v>
      </c>
      <c r="B2641" t="s">
        <v>3241</v>
      </c>
      <c r="C2641" t="s">
        <v>75</v>
      </c>
      <c r="D2641" t="s">
        <v>69</v>
      </c>
      <c r="E2641">
        <v>11</v>
      </c>
      <c r="F2641">
        <v>7.2</v>
      </c>
      <c r="G2641">
        <v>0.65</v>
      </c>
      <c r="H2641">
        <v>14</v>
      </c>
      <c r="I2641">
        <v>2000</v>
      </c>
      <c r="J2641">
        <v>1500</v>
      </c>
      <c r="K2641" t="s">
        <v>396</v>
      </c>
      <c r="L2641" t="s">
        <v>104</v>
      </c>
      <c r="M2641" t="s">
        <v>42</v>
      </c>
      <c r="N2641" t="b">
        <v>0</v>
      </c>
      <c r="O2641" t="s">
        <v>397</v>
      </c>
    </row>
    <row r="2642" spans="1:15" ht="15" customHeight="1">
      <c r="A2642" t="s">
        <v>585</v>
      </c>
      <c r="B2642" t="s">
        <v>3242</v>
      </c>
      <c r="C2642" t="s">
        <v>129</v>
      </c>
      <c r="D2642" t="s">
        <v>130</v>
      </c>
      <c r="E2642">
        <v>13</v>
      </c>
      <c r="F2642">
        <v>6.2</v>
      </c>
      <c r="G2642">
        <v>0.48</v>
      </c>
      <c r="H2642">
        <v>30</v>
      </c>
      <c r="I2642">
        <v>5000</v>
      </c>
      <c r="J2642">
        <v>1000</v>
      </c>
      <c r="K2642" t="s">
        <v>112</v>
      </c>
      <c r="L2642" t="s">
        <v>100</v>
      </c>
      <c r="M2642" t="s">
        <v>44</v>
      </c>
      <c r="N2642" t="b">
        <v>0</v>
      </c>
      <c r="O2642" t="s">
        <v>195</v>
      </c>
    </row>
    <row r="2643" spans="1:15" ht="15" customHeight="1">
      <c r="A2643" t="s">
        <v>891</v>
      </c>
      <c r="B2643" t="s">
        <v>3243</v>
      </c>
      <c r="C2643" t="s">
        <v>75</v>
      </c>
      <c r="D2643" t="s">
        <v>69</v>
      </c>
      <c r="E2643">
        <v>9</v>
      </c>
      <c r="F2643">
        <v>7.4</v>
      </c>
      <c r="G2643">
        <v>0.82</v>
      </c>
      <c r="H2643">
        <v>13</v>
      </c>
      <c r="I2643">
        <v>2000</v>
      </c>
      <c r="J2643">
        <v>1500</v>
      </c>
      <c r="K2643" t="s">
        <v>211</v>
      </c>
      <c r="L2643" t="s">
        <v>77</v>
      </c>
      <c r="M2643" t="s">
        <v>48</v>
      </c>
      <c r="N2643" t="b">
        <v>0</v>
      </c>
      <c r="O2643" t="s">
        <v>212</v>
      </c>
    </row>
    <row r="2644" spans="1:15" ht="15" customHeight="1">
      <c r="A2644" t="s">
        <v>301</v>
      </c>
      <c r="B2644" t="s">
        <v>3244</v>
      </c>
      <c r="C2644" t="s">
        <v>68</v>
      </c>
      <c r="D2644" t="s">
        <v>69</v>
      </c>
      <c r="E2644">
        <v>16</v>
      </c>
      <c r="F2644">
        <v>2</v>
      </c>
      <c r="G2644">
        <v>0.12</v>
      </c>
      <c r="H2644">
        <v>4</v>
      </c>
      <c r="I2644">
        <v>30000</v>
      </c>
      <c r="J2644">
        <v>5000</v>
      </c>
      <c r="K2644" t="s">
        <v>95</v>
      </c>
      <c r="L2644" t="s">
        <v>100</v>
      </c>
      <c r="M2644" t="s">
        <v>50</v>
      </c>
      <c r="N2644" t="b">
        <v>0</v>
      </c>
      <c r="O2644" t="s">
        <v>97</v>
      </c>
    </row>
    <row r="2645" spans="1:15" ht="15" customHeight="1">
      <c r="A2645" t="s">
        <v>866</v>
      </c>
      <c r="B2645" t="s">
        <v>3245</v>
      </c>
      <c r="C2645" t="s">
        <v>149</v>
      </c>
      <c r="D2645" t="s">
        <v>69</v>
      </c>
      <c r="E2645">
        <v>10</v>
      </c>
      <c r="F2645">
        <v>6.8</v>
      </c>
      <c r="G2645">
        <v>0.68</v>
      </c>
      <c r="H2645">
        <v>24</v>
      </c>
      <c r="I2645">
        <v>3000</v>
      </c>
      <c r="J2645">
        <v>1000</v>
      </c>
      <c r="K2645" t="s">
        <v>490</v>
      </c>
      <c r="L2645" t="s">
        <v>104</v>
      </c>
      <c r="M2645" t="s">
        <v>40</v>
      </c>
      <c r="N2645" t="b">
        <v>0</v>
      </c>
      <c r="O2645" t="s">
        <v>491</v>
      </c>
    </row>
    <row r="2646" spans="1:15" ht="15" customHeight="1">
      <c r="A2646" t="s">
        <v>599</v>
      </c>
      <c r="B2646" t="s">
        <v>3246</v>
      </c>
      <c r="C2646" t="s">
        <v>129</v>
      </c>
      <c r="D2646" t="s">
        <v>130</v>
      </c>
      <c r="E2646">
        <v>8</v>
      </c>
      <c r="F2646">
        <v>6.8</v>
      </c>
      <c r="G2646">
        <v>0.85</v>
      </c>
      <c r="H2646">
        <v>27</v>
      </c>
      <c r="I2646">
        <v>5000</v>
      </c>
      <c r="J2646">
        <v>1000</v>
      </c>
      <c r="K2646" t="s">
        <v>172</v>
      </c>
      <c r="L2646" t="s">
        <v>117</v>
      </c>
      <c r="M2646" t="s">
        <v>44</v>
      </c>
      <c r="N2646" t="b">
        <v>1</v>
      </c>
      <c r="O2646" t="s">
        <v>173</v>
      </c>
    </row>
    <row r="2647" spans="1:15" ht="15" customHeight="1">
      <c r="A2647" t="s">
        <v>534</v>
      </c>
      <c r="B2647" t="s">
        <v>3247</v>
      </c>
      <c r="C2647" t="s">
        <v>129</v>
      </c>
      <c r="D2647" t="s">
        <v>130</v>
      </c>
      <c r="E2647">
        <v>9</v>
      </c>
      <c r="F2647">
        <v>5.4</v>
      </c>
      <c r="G2647">
        <v>0.6</v>
      </c>
      <c r="H2647">
        <v>30</v>
      </c>
      <c r="I2647">
        <v>5000</v>
      </c>
      <c r="J2647">
        <v>1000</v>
      </c>
      <c r="K2647" t="s">
        <v>112</v>
      </c>
      <c r="L2647" t="s">
        <v>71</v>
      </c>
      <c r="M2647" t="s">
        <v>51</v>
      </c>
      <c r="N2647" t="b">
        <v>0</v>
      </c>
      <c r="O2647" t="s">
        <v>195</v>
      </c>
    </row>
    <row r="2648" spans="1:15" ht="15" customHeight="1">
      <c r="A2648" t="s">
        <v>2352</v>
      </c>
      <c r="B2648" t="s">
        <v>3248</v>
      </c>
      <c r="C2648" t="s">
        <v>68</v>
      </c>
      <c r="D2648" t="s">
        <v>69</v>
      </c>
      <c r="E2648">
        <v>16</v>
      </c>
      <c r="F2648">
        <v>2.4</v>
      </c>
      <c r="G2648">
        <v>0.15</v>
      </c>
      <c r="H2648">
        <v>1</v>
      </c>
      <c r="I2648">
        <v>30000</v>
      </c>
      <c r="J2648">
        <v>5000</v>
      </c>
      <c r="K2648" t="s">
        <v>70</v>
      </c>
      <c r="L2648" t="s">
        <v>77</v>
      </c>
      <c r="M2648" t="s">
        <v>48</v>
      </c>
      <c r="N2648" t="b">
        <v>0</v>
      </c>
      <c r="O2648" t="s">
        <v>72</v>
      </c>
    </row>
    <row r="2649" spans="1:15" ht="15" customHeight="1">
      <c r="A2649" t="s">
        <v>877</v>
      </c>
      <c r="B2649" t="s">
        <v>3249</v>
      </c>
      <c r="C2649" t="s">
        <v>129</v>
      </c>
      <c r="D2649" t="s">
        <v>130</v>
      </c>
      <c r="E2649">
        <v>20</v>
      </c>
      <c r="F2649">
        <v>9.4</v>
      </c>
      <c r="G2649">
        <v>0.47</v>
      </c>
      <c r="H2649">
        <v>15</v>
      </c>
      <c r="I2649">
        <v>5000</v>
      </c>
      <c r="J2649">
        <v>1000</v>
      </c>
      <c r="K2649" t="s">
        <v>479</v>
      </c>
      <c r="L2649" t="s">
        <v>91</v>
      </c>
      <c r="M2649" t="s">
        <v>40</v>
      </c>
      <c r="N2649" t="b">
        <v>1</v>
      </c>
      <c r="O2649" t="s">
        <v>480</v>
      </c>
    </row>
    <row r="2650" spans="1:15" ht="15" customHeight="1">
      <c r="A2650" t="s">
        <v>167</v>
      </c>
      <c r="B2650" t="s">
        <v>3250</v>
      </c>
      <c r="C2650" t="s">
        <v>149</v>
      </c>
      <c r="D2650" t="s">
        <v>69</v>
      </c>
      <c r="E2650">
        <v>12</v>
      </c>
      <c r="F2650">
        <v>7.2</v>
      </c>
      <c r="G2650">
        <v>0.6</v>
      </c>
      <c r="H2650">
        <v>24</v>
      </c>
      <c r="I2650">
        <v>3000</v>
      </c>
      <c r="J2650">
        <v>1000</v>
      </c>
      <c r="K2650" t="s">
        <v>490</v>
      </c>
      <c r="L2650" t="s">
        <v>104</v>
      </c>
      <c r="M2650" t="s">
        <v>49</v>
      </c>
      <c r="N2650" t="b">
        <v>0</v>
      </c>
      <c r="O2650" t="s">
        <v>491</v>
      </c>
    </row>
    <row r="2651" spans="1:15" ht="15" customHeight="1">
      <c r="A2651" t="s">
        <v>656</v>
      </c>
      <c r="B2651" t="s">
        <v>3251</v>
      </c>
      <c r="C2651" t="s">
        <v>68</v>
      </c>
      <c r="D2651" t="s">
        <v>69</v>
      </c>
      <c r="E2651">
        <v>8</v>
      </c>
      <c r="F2651">
        <v>3.5</v>
      </c>
      <c r="G2651">
        <v>0.44</v>
      </c>
      <c r="H2651">
        <v>2</v>
      </c>
      <c r="I2651">
        <v>30000</v>
      </c>
      <c r="J2651">
        <v>5000</v>
      </c>
      <c r="K2651" t="s">
        <v>162</v>
      </c>
      <c r="L2651" t="s">
        <v>96</v>
      </c>
      <c r="M2651" t="s">
        <v>41</v>
      </c>
      <c r="N2651" t="b">
        <v>0</v>
      </c>
      <c r="O2651" t="s">
        <v>163</v>
      </c>
    </row>
    <row r="2652" spans="1:15" ht="15" customHeight="1">
      <c r="A2652" t="s">
        <v>215</v>
      </c>
      <c r="B2652" t="s">
        <v>3252</v>
      </c>
      <c r="C2652" t="s">
        <v>68</v>
      </c>
      <c r="D2652" t="s">
        <v>69</v>
      </c>
      <c r="E2652">
        <v>16</v>
      </c>
      <c r="F2652">
        <v>1.9</v>
      </c>
      <c r="G2652">
        <v>0.12</v>
      </c>
      <c r="H2652">
        <v>1</v>
      </c>
      <c r="I2652">
        <v>30000</v>
      </c>
      <c r="J2652">
        <v>5000</v>
      </c>
      <c r="K2652" t="s">
        <v>70</v>
      </c>
      <c r="L2652" t="s">
        <v>117</v>
      </c>
      <c r="M2652" t="s">
        <v>48</v>
      </c>
      <c r="N2652" t="b">
        <v>1</v>
      </c>
      <c r="O2652" t="s">
        <v>72</v>
      </c>
    </row>
    <row r="2653" spans="1:15" ht="15" customHeight="1">
      <c r="A2653" t="s">
        <v>1411</v>
      </c>
      <c r="B2653" t="s">
        <v>3253</v>
      </c>
      <c r="C2653" t="s">
        <v>149</v>
      </c>
      <c r="D2653" t="s">
        <v>69</v>
      </c>
      <c r="E2653">
        <v>9</v>
      </c>
      <c r="F2653">
        <v>6.2</v>
      </c>
      <c r="G2653">
        <v>0.69</v>
      </c>
      <c r="H2653">
        <v>25</v>
      </c>
      <c r="I2653">
        <v>3000</v>
      </c>
      <c r="J2653">
        <v>1000</v>
      </c>
      <c r="K2653" t="s">
        <v>479</v>
      </c>
      <c r="L2653" t="s">
        <v>77</v>
      </c>
      <c r="M2653" t="s">
        <v>48</v>
      </c>
      <c r="N2653" t="b">
        <v>0</v>
      </c>
      <c r="O2653" t="s">
        <v>480</v>
      </c>
    </row>
    <row r="2654" spans="1:15" ht="15" customHeight="1">
      <c r="A2654" t="s">
        <v>691</v>
      </c>
      <c r="B2654" t="s">
        <v>3254</v>
      </c>
      <c r="C2654" t="s">
        <v>81</v>
      </c>
      <c r="D2654" t="s">
        <v>69</v>
      </c>
      <c r="E2654">
        <v>11</v>
      </c>
      <c r="F2654">
        <v>10.4</v>
      </c>
      <c r="G2654">
        <v>0.95</v>
      </c>
      <c r="H2654">
        <v>17</v>
      </c>
      <c r="I2654">
        <v>10000</v>
      </c>
      <c r="J2654">
        <v>3000</v>
      </c>
      <c r="K2654" t="s">
        <v>389</v>
      </c>
      <c r="L2654" t="s">
        <v>100</v>
      </c>
      <c r="M2654" t="s">
        <v>47</v>
      </c>
      <c r="N2654" t="b">
        <v>0</v>
      </c>
      <c r="O2654" t="s">
        <v>390</v>
      </c>
    </row>
    <row r="2655" spans="1:15" ht="15" customHeight="1">
      <c r="A2655" t="s">
        <v>355</v>
      </c>
      <c r="B2655" t="s">
        <v>3255</v>
      </c>
      <c r="C2655" t="s">
        <v>149</v>
      </c>
      <c r="D2655" t="s">
        <v>69</v>
      </c>
      <c r="E2655">
        <v>11</v>
      </c>
      <c r="F2655">
        <v>9.1</v>
      </c>
      <c r="G2655">
        <v>0.83</v>
      </c>
      <c r="H2655">
        <v>36</v>
      </c>
      <c r="I2655">
        <v>3000</v>
      </c>
      <c r="J2655">
        <v>1000</v>
      </c>
      <c r="K2655" t="s">
        <v>154</v>
      </c>
      <c r="L2655" t="s">
        <v>104</v>
      </c>
      <c r="M2655" t="s">
        <v>51</v>
      </c>
      <c r="N2655" t="b">
        <v>0</v>
      </c>
      <c r="O2655" t="s">
        <v>155</v>
      </c>
    </row>
    <row r="2656" spans="1:15" ht="15" customHeight="1">
      <c r="A2656" t="s">
        <v>386</v>
      </c>
      <c r="B2656" t="s">
        <v>3256</v>
      </c>
      <c r="C2656" t="s">
        <v>149</v>
      </c>
      <c r="D2656" t="s">
        <v>69</v>
      </c>
      <c r="E2656">
        <v>9</v>
      </c>
      <c r="F2656">
        <v>7.4</v>
      </c>
      <c r="G2656">
        <v>0.82</v>
      </c>
      <c r="H2656">
        <v>33</v>
      </c>
      <c r="I2656">
        <v>3000</v>
      </c>
      <c r="J2656">
        <v>1000</v>
      </c>
      <c r="K2656" t="s">
        <v>169</v>
      </c>
      <c r="L2656" t="s">
        <v>77</v>
      </c>
      <c r="M2656" t="s">
        <v>42</v>
      </c>
      <c r="N2656" t="b">
        <v>0</v>
      </c>
      <c r="O2656" t="s">
        <v>702</v>
      </c>
    </row>
    <row r="2657" spans="1:15" ht="15" customHeight="1">
      <c r="A2657" t="s">
        <v>1074</v>
      </c>
      <c r="B2657" t="s">
        <v>3257</v>
      </c>
      <c r="C2657" t="s">
        <v>149</v>
      </c>
      <c r="D2657" t="s">
        <v>69</v>
      </c>
      <c r="E2657">
        <v>9</v>
      </c>
      <c r="F2657">
        <v>7</v>
      </c>
      <c r="G2657">
        <v>0.78</v>
      </c>
      <c r="H2657">
        <v>19</v>
      </c>
      <c r="I2657">
        <v>3000</v>
      </c>
      <c r="J2657">
        <v>1000</v>
      </c>
      <c r="K2657" t="s">
        <v>198</v>
      </c>
      <c r="L2657" t="s">
        <v>71</v>
      </c>
      <c r="M2657" t="s">
        <v>42</v>
      </c>
      <c r="N2657" t="b">
        <v>0</v>
      </c>
      <c r="O2657" t="s">
        <v>262</v>
      </c>
    </row>
    <row r="2658" spans="1:15" ht="15" customHeight="1">
      <c r="A2658" t="s">
        <v>147</v>
      </c>
      <c r="B2658" t="s">
        <v>3258</v>
      </c>
      <c r="C2658" t="s">
        <v>149</v>
      </c>
      <c r="D2658" t="s">
        <v>69</v>
      </c>
      <c r="E2658">
        <v>11</v>
      </c>
      <c r="F2658">
        <v>7.4</v>
      </c>
      <c r="G2658">
        <v>0.67</v>
      </c>
      <c r="H2658">
        <v>18</v>
      </c>
      <c r="I2658">
        <v>3000</v>
      </c>
      <c r="J2658">
        <v>1000</v>
      </c>
      <c r="K2658" t="s">
        <v>150</v>
      </c>
      <c r="L2658" t="s">
        <v>100</v>
      </c>
      <c r="M2658" t="s">
        <v>43</v>
      </c>
      <c r="N2658" t="b">
        <v>0</v>
      </c>
      <c r="O2658" t="s">
        <v>151</v>
      </c>
    </row>
    <row r="2659" spans="1:15" ht="15" customHeight="1">
      <c r="A2659" t="s">
        <v>561</v>
      </c>
      <c r="B2659" t="s">
        <v>3259</v>
      </c>
      <c r="C2659" t="s">
        <v>68</v>
      </c>
      <c r="D2659" t="s">
        <v>69</v>
      </c>
      <c r="E2659">
        <v>11</v>
      </c>
      <c r="F2659">
        <v>1.4</v>
      </c>
      <c r="G2659">
        <v>0.13</v>
      </c>
      <c r="H2659">
        <v>1</v>
      </c>
      <c r="I2659">
        <v>30000</v>
      </c>
      <c r="J2659">
        <v>5000</v>
      </c>
      <c r="K2659" t="s">
        <v>70</v>
      </c>
      <c r="L2659" t="s">
        <v>71</v>
      </c>
      <c r="M2659" t="s">
        <v>50</v>
      </c>
      <c r="N2659" t="b">
        <v>0</v>
      </c>
      <c r="O2659" t="s">
        <v>72</v>
      </c>
    </row>
    <row r="2660" spans="1:15" ht="15" customHeight="1">
      <c r="A2660" t="s">
        <v>868</v>
      </c>
      <c r="B2660" t="s">
        <v>3260</v>
      </c>
      <c r="C2660" t="s">
        <v>149</v>
      </c>
      <c r="D2660" t="s">
        <v>69</v>
      </c>
      <c r="E2660">
        <v>8</v>
      </c>
      <c r="F2660">
        <v>7.2</v>
      </c>
      <c r="G2660">
        <v>0.9</v>
      </c>
      <c r="H2660">
        <v>19</v>
      </c>
      <c r="I2660">
        <v>3000</v>
      </c>
      <c r="J2660">
        <v>1000</v>
      </c>
      <c r="K2660" t="s">
        <v>198</v>
      </c>
      <c r="L2660" t="s">
        <v>117</v>
      </c>
      <c r="M2660" t="s">
        <v>45</v>
      </c>
      <c r="N2660" t="b">
        <v>1</v>
      </c>
      <c r="O2660" t="s">
        <v>262</v>
      </c>
    </row>
    <row r="2661" spans="1:15" ht="15" customHeight="1">
      <c r="A2661" t="s">
        <v>790</v>
      </c>
      <c r="B2661" t="s">
        <v>3261</v>
      </c>
      <c r="C2661" t="s">
        <v>149</v>
      </c>
      <c r="D2661" t="s">
        <v>69</v>
      </c>
      <c r="E2661">
        <v>12</v>
      </c>
      <c r="F2661">
        <v>11.8</v>
      </c>
      <c r="G2661">
        <v>0.98</v>
      </c>
      <c r="H2661">
        <v>33</v>
      </c>
      <c r="I2661">
        <v>3000</v>
      </c>
      <c r="J2661">
        <v>1000</v>
      </c>
      <c r="K2661" t="s">
        <v>169</v>
      </c>
      <c r="L2661" t="s">
        <v>71</v>
      </c>
      <c r="M2661" t="s">
        <v>48</v>
      </c>
      <c r="N2661" t="b">
        <v>0</v>
      </c>
      <c r="O2661" t="s">
        <v>702</v>
      </c>
    </row>
    <row r="2662" spans="1:15" ht="15" customHeight="1">
      <c r="A2662" t="s">
        <v>191</v>
      </c>
      <c r="B2662" t="s">
        <v>3262</v>
      </c>
      <c r="C2662" t="s">
        <v>129</v>
      </c>
      <c r="D2662" t="s">
        <v>130</v>
      </c>
      <c r="E2662">
        <v>15</v>
      </c>
      <c r="F2662">
        <v>8.1</v>
      </c>
      <c r="G2662">
        <v>0.54</v>
      </c>
      <c r="H2662">
        <v>21</v>
      </c>
      <c r="I2662">
        <v>5000</v>
      </c>
      <c r="J2662">
        <v>1000</v>
      </c>
      <c r="K2662" t="s">
        <v>131</v>
      </c>
      <c r="L2662" t="s">
        <v>71</v>
      </c>
      <c r="M2662" t="s">
        <v>49</v>
      </c>
      <c r="N2662" t="b">
        <v>0</v>
      </c>
      <c r="O2662" t="s">
        <v>132</v>
      </c>
    </row>
    <row r="2663" spans="1:15" ht="15" customHeight="1">
      <c r="A2663" t="s">
        <v>554</v>
      </c>
      <c r="B2663" t="s">
        <v>3263</v>
      </c>
      <c r="C2663" t="s">
        <v>75</v>
      </c>
      <c r="D2663" t="s">
        <v>69</v>
      </c>
      <c r="E2663">
        <v>16</v>
      </c>
      <c r="F2663">
        <v>5.2</v>
      </c>
      <c r="G2663">
        <v>0.33</v>
      </c>
      <c r="H2663">
        <v>16</v>
      </c>
      <c r="I2663">
        <v>2000</v>
      </c>
      <c r="J2663">
        <v>1500</v>
      </c>
      <c r="K2663" t="s">
        <v>938</v>
      </c>
      <c r="L2663" t="s">
        <v>71</v>
      </c>
      <c r="M2663" t="s">
        <v>40</v>
      </c>
      <c r="N2663" t="b">
        <v>0</v>
      </c>
      <c r="O2663" t="s">
        <v>939</v>
      </c>
    </row>
    <row r="2664" spans="1:15" ht="15" customHeight="1">
      <c r="A2664" t="s">
        <v>239</v>
      </c>
      <c r="B2664" t="s">
        <v>3264</v>
      </c>
      <c r="C2664" t="s">
        <v>68</v>
      </c>
      <c r="D2664" t="s">
        <v>69</v>
      </c>
      <c r="E2664">
        <v>16</v>
      </c>
      <c r="F2664">
        <v>3.1</v>
      </c>
      <c r="G2664">
        <v>0.19</v>
      </c>
      <c r="H2664">
        <v>4</v>
      </c>
      <c r="I2664">
        <v>30000</v>
      </c>
      <c r="J2664">
        <v>5000</v>
      </c>
      <c r="K2664" t="s">
        <v>95</v>
      </c>
      <c r="L2664" t="s">
        <v>71</v>
      </c>
      <c r="M2664" t="s">
        <v>51</v>
      </c>
      <c r="N2664" t="b">
        <v>0</v>
      </c>
      <c r="O2664" t="s">
        <v>97</v>
      </c>
    </row>
    <row r="2665" spans="1:15" ht="15" customHeight="1">
      <c r="A2665" t="s">
        <v>851</v>
      </c>
      <c r="B2665" t="s">
        <v>3265</v>
      </c>
      <c r="C2665" t="s">
        <v>129</v>
      </c>
      <c r="D2665" t="s">
        <v>130</v>
      </c>
      <c r="E2665">
        <v>18</v>
      </c>
      <c r="F2665">
        <v>7.9</v>
      </c>
      <c r="G2665">
        <v>0.44</v>
      </c>
      <c r="H2665">
        <v>20</v>
      </c>
      <c r="I2665">
        <v>5000</v>
      </c>
      <c r="J2665">
        <v>1000</v>
      </c>
      <c r="K2665" t="s">
        <v>103</v>
      </c>
      <c r="L2665" t="s">
        <v>104</v>
      </c>
      <c r="M2665" t="s">
        <v>45</v>
      </c>
      <c r="N2665" t="b">
        <v>0</v>
      </c>
      <c r="O2665" t="s">
        <v>169</v>
      </c>
    </row>
    <row r="2666" spans="1:15" ht="15" customHeight="1">
      <c r="A2666" t="s">
        <v>468</v>
      </c>
      <c r="B2666" t="s">
        <v>3266</v>
      </c>
      <c r="C2666" t="s">
        <v>149</v>
      </c>
      <c r="D2666" t="s">
        <v>69</v>
      </c>
      <c r="E2666">
        <v>9</v>
      </c>
      <c r="F2666">
        <v>7.5</v>
      </c>
      <c r="G2666">
        <v>0.83</v>
      </c>
      <c r="H2666">
        <v>18</v>
      </c>
      <c r="I2666">
        <v>3000</v>
      </c>
      <c r="J2666">
        <v>1000</v>
      </c>
      <c r="K2666" t="s">
        <v>150</v>
      </c>
      <c r="L2666" t="s">
        <v>117</v>
      </c>
      <c r="M2666" t="s">
        <v>49</v>
      </c>
      <c r="N2666" t="b">
        <v>1</v>
      </c>
      <c r="O2666" t="s">
        <v>151</v>
      </c>
    </row>
    <row r="2667" spans="1:15" ht="15" customHeight="1">
      <c r="A2667" t="s">
        <v>1515</v>
      </c>
      <c r="B2667" t="s">
        <v>3267</v>
      </c>
      <c r="C2667" t="s">
        <v>81</v>
      </c>
      <c r="D2667" t="s">
        <v>69</v>
      </c>
      <c r="E2667">
        <v>20</v>
      </c>
      <c r="F2667">
        <v>15.9</v>
      </c>
      <c r="G2667">
        <v>0.8</v>
      </c>
      <c r="H2667">
        <v>18</v>
      </c>
      <c r="I2667">
        <v>10000</v>
      </c>
      <c r="J2667">
        <v>3000</v>
      </c>
      <c r="K2667" t="s">
        <v>142</v>
      </c>
      <c r="L2667" t="s">
        <v>104</v>
      </c>
      <c r="M2667" t="s">
        <v>51</v>
      </c>
      <c r="N2667" t="b">
        <v>0</v>
      </c>
      <c r="O2667" t="s">
        <v>143</v>
      </c>
    </row>
    <row r="2668" spans="1:15" ht="15" customHeight="1">
      <c r="A2668" t="s">
        <v>933</v>
      </c>
      <c r="B2668" t="s">
        <v>3268</v>
      </c>
      <c r="C2668" t="s">
        <v>68</v>
      </c>
      <c r="D2668" t="s">
        <v>69</v>
      </c>
      <c r="E2668">
        <v>15</v>
      </c>
      <c r="F2668">
        <v>1.4</v>
      </c>
      <c r="G2668">
        <v>0.09</v>
      </c>
      <c r="H2668">
        <v>4</v>
      </c>
      <c r="I2668">
        <v>30000</v>
      </c>
      <c r="J2668">
        <v>5000</v>
      </c>
      <c r="K2668" t="s">
        <v>95</v>
      </c>
      <c r="L2668" t="s">
        <v>71</v>
      </c>
      <c r="M2668" t="s">
        <v>46</v>
      </c>
      <c r="N2668" t="b">
        <v>0</v>
      </c>
      <c r="O2668" t="s">
        <v>97</v>
      </c>
    </row>
    <row r="2669" spans="1:15" ht="15" customHeight="1">
      <c r="A2669" t="s">
        <v>1093</v>
      </c>
      <c r="B2669" t="s">
        <v>3269</v>
      </c>
      <c r="C2669" t="s">
        <v>75</v>
      </c>
      <c r="D2669" t="s">
        <v>69</v>
      </c>
      <c r="E2669">
        <v>11</v>
      </c>
      <c r="F2669">
        <v>10</v>
      </c>
      <c r="G2669">
        <v>0.91</v>
      </c>
      <c r="H2669">
        <v>12</v>
      </c>
      <c r="I2669">
        <v>2000</v>
      </c>
      <c r="J2669">
        <v>1500</v>
      </c>
      <c r="K2669" t="s">
        <v>265</v>
      </c>
      <c r="L2669" t="s">
        <v>77</v>
      </c>
      <c r="M2669" t="s">
        <v>40</v>
      </c>
      <c r="N2669" t="b">
        <v>0</v>
      </c>
      <c r="O2669" t="s">
        <v>266</v>
      </c>
    </row>
    <row r="2670" spans="1:15" ht="15" customHeight="1">
      <c r="A2670" t="s">
        <v>334</v>
      </c>
      <c r="B2670" t="s">
        <v>3270</v>
      </c>
      <c r="C2670" t="s">
        <v>149</v>
      </c>
      <c r="D2670" t="s">
        <v>69</v>
      </c>
      <c r="E2670">
        <v>9</v>
      </c>
      <c r="F2670">
        <v>8.6</v>
      </c>
      <c r="G2670">
        <v>0.96</v>
      </c>
      <c r="H2670">
        <v>25</v>
      </c>
      <c r="I2670">
        <v>3000</v>
      </c>
      <c r="J2670">
        <v>1000</v>
      </c>
      <c r="K2670" t="s">
        <v>479</v>
      </c>
      <c r="L2670" t="s">
        <v>77</v>
      </c>
      <c r="M2670" t="s">
        <v>43</v>
      </c>
      <c r="N2670" t="b">
        <v>0</v>
      </c>
      <c r="O2670" t="s">
        <v>480</v>
      </c>
    </row>
    <row r="2671" spans="1:15" ht="15" customHeight="1">
      <c r="A2671" t="s">
        <v>630</v>
      </c>
      <c r="B2671" t="s">
        <v>3271</v>
      </c>
      <c r="C2671" t="s">
        <v>75</v>
      </c>
      <c r="D2671" t="s">
        <v>69</v>
      </c>
      <c r="E2671">
        <v>17</v>
      </c>
      <c r="F2671">
        <v>14.5</v>
      </c>
      <c r="G2671">
        <v>0.85</v>
      </c>
      <c r="H2671">
        <v>13</v>
      </c>
      <c r="I2671">
        <v>2000</v>
      </c>
      <c r="J2671">
        <v>1500</v>
      </c>
      <c r="K2671" t="s">
        <v>211</v>
      </c>
      <c r="L2671" t="s">
        <v>77</v>
      </c>
      <c r="M2671" t="s">
        <v>47</v>
      </c>
      <c r="N2671" t="b">
        <v>0</v>
      </c>
      <c r="O2671" t="s">
        <v>212</v>
      </c>
    </row>
    <row r="2672" spans="1:15" ht="15" customHeight="1">
      <c r="A2672" t="s">
        <v>2036</v>
      </c>
      <c r="B2672" t="s">
        <v>3272</v>
      </c>
      <c r="C2672" t="s">
        <v>129</v>
      </c>
      <c r="D2672" t="s">
        <v>130</v>
      </c>
      <c r="E2672">
        <v>15</v>
      </c>
      <c r="F2672">
        <v>14.8</v>
      </c>
      <c r="G2672">
        <v>0.99</v>
      </c>
      <c r="H2672">
        <v>15</v>
      </c>
      <c r="I2672">
        <v>5000</v>
      </c>
      <c r="J2672">
        <v>1000</v>
      </c>
      <c r="K2672" t="s">
        <v>479</v>
      </c>
      <c r="L2672" t="s">
        <v>117</v>
      </c>
      <c r="M2672" t="s">
        <v>48</v>
      </c>
      <c r="N2672" t="b">
        <v>1</v>
      </c>
      <c r="O2672" t="s">
        <v>480</v>
      </c>
    </row>
    <row r="2673" spans="1:15" ht="15" customHeight="1">
      <c r="A2673" t="s">
        <v>1260</v>
      </c>
      <c r="B2673" t="s">
        <v>3273</v>
      </c>
      <c r="C2673" t="s">
        <v>129</v>
      </c>
      <c r="D2673" t="s">
        <v>130</v>
      </c>
      <c r="E2673">
        <v>13</v>
      </c>
      <c r="F2673">
        <v>9.6999999999999993</v>
      </c>
      <c r="G2673">
        <v>0.75</v>
      </c>
      <c r="H2673">
        <v>6</v>
      </c>
      <c r="I2673">
        <v>5000</v>
      </c>
      <c r="J2673">
        <v>1000</v>
      </c>
      <c r="K2673" t="s">
        <v>70</v>
      </c>
      <c r="L2673" t="s">
        <v>117</v>
      </c>
      <c r="M2673" t="s">
        <v>51</v>
      </c>
      <c r="N2673" t="b">
        <v>1</v>
      </c>
      <c r="O2673" t="s">
        <v>331</v>
      </c>
    </row>
    <row r="2674" spans="1:15" ht="15" customHeight="1">
      <c r="A2674" t="s">
        <v>450</v>
      </c>
      <c r="B2674" t="s">
        <v>3274</v>
      </c>
      <c r="C2674" t="s">
        <v>68</v>
      </c>
      <c r="D2674" t="s">
        <v>69</v>
      </c>
      <c r="E2674">
        <v>8</v>
      </c>
      <c r="F2674">
        <v>0.5</v>
      </c>
      <c r="G2674">
        <v>0.06</v>
      </c>
      <c r="H2674">
        <v>1</v>
      </c>
      <c r="I2674">
        <v>30000</v>
      </c>
      <c r="J2674">
        <v>5000</v>
      </c>
      <c r="K2674" t="s">
        <v>70</v>
      </c>
      <c r="L2674" t="s">
        <v>117</v>
      </c>
      <c r="M2674" t="s">
        <v>49</v>
      </c>
      <c r="N2674" t="b">
        <v>1</v>
      </c>
      <c r="O2674" t="s">
        <v>72</v>
      </c>
    </row>
    <row r="2675" spans="1:15" ht="15" customHeight="1">
      <c r="A2675" t="s">
        <v>585</v>
      </c>
      <c r="B2675" t="s">
        <v>3275</v>
      </c>
      <c r="C2675" t="s">
        <v>129</v>
      </c>
      <c r="D2675" t="s">
        <v>130</v>
      </c>
      <c r="E2675">
        <v>11</v>
      </c>
      <c r="F2675">
        <v>9.1</v>
      </c>
      <c r="G2675">
        <v>0.83</v>
      </c>
      <c r="H2675">
        <v>19</v>
      </c>
      <c r="I2675">
        <v>5000</v>
      </c>
      <c r="J2675">
        <v>1000</v>
      </c>
      <c r="K2675" t="s">
        <v>336</v>
      </c>
      <c r="L2675" t="s">
        <v>100</v>
      </c>
      <c r="M2675" t="s">
        <v>44</v>
      </c>
      <c r="N2675" t="b">
        <v>0</v>
      </c>
      <c r="O2675" t="s">
        <v>337</v>
      </c>
    </row>
    <row r="2676" spans="1:15" ht="15" customHeight="1">
      <c r="A2676" t="s">
        <v>682</v>
      </c>
      <c r="B2676" t="s">
        <v>3276</v>
      </c>
      <c r="C2676" t="s">
        <v>129</v>
      </c>
      <c r="D2676" t="s">
        <v>130</v>
      </c>
      <c r="E2676">
        <v>16</v>
      </c>
      <c r="F2676">
        <v>8.1999999999999993</v>
      </c>
      <c r="G2676">
        <v>0.51</v>
      </c>
      <c r="H2676">
        <v>27</v>
      </c>
      <c r="I2676">
        <v>5000</v>
      </c>
      <c r="J2676">
        <v>1000</v>
      </c>
      <c r="K2676" t="s">
        <v>172</v>
      </c>
      <c r="L2676" t="s">
        <v>91</v>
      </c>
      <c r="M2676" t="s">
        <v>46</v>
      </c>
      <c r="N2676" t="b">
        <v>1</v>
      </c>
      <c r="O2676" t="s">
        <v>173</v>
      </c>
    </row>
    <row r="2677" spans="1:15" ht="15" customHeight="1">
      <c r="A2677" t="s">
        <v>296</v>
      </c>
      <c r="B2677" t="s">
        <v>3277</v>
      </c>
      <c r="C2677" t="s">
        <v>129</v>
      </c>
      <c r="D2677" t="s">
        <v>130</v>
      </c>
      <c r="E2677">
        <v>19</v>
      </c>
      <c r="F2677">
        <v>18.899999999999999</v>
      </c>
      <c r="G2677">
        <v>0.99</v>
      </c>
      <c r="H2677">
        <v>26</v>
      </c>
      <c r="I2677">
        <v>5000</v>
      </c>
      <c r="J2677">
        <v>1000</v>
      </c>
      <c r="K2677" t="s">
        <v>203</v>
      </c>
      <c r="L2677" t="s">
        <v>100</v>
      </c>
      <c r="M2677" t="s">
        <v>50</v>
      </c>
      <c r="N2677" t="b">
        <v>0</v>
      </c>
      <c r="O2677" t="s">
        <v>623</v>
      </c>
    </row>
    <row r="2678" spans="1:15" ht="15" customHeight="1">
      <c r="A2678" t="s">
        <v>1657</v>
      </c>
      <c r="B2678" t="s">
        <v>3278</v>
      </c>
      <c r="C2678" t="s">
        <v>68</v>
      </c>
      <c r="D2678" t="s">
        <v>69</v>
      </c>
      <c r="E2678">
        <v>9</v>
      </c>
      <c r="F2678">
        <v>3.3</v>
      </c>
      <c r="G2678">
        <v>0.37</v>
      </c>
      <c r="H2678">
        <v>3</v>
      </c>
      <c r="I2678">
        <v>30000</v>
      </c>
      <c r="J2678">
        <v>5000</v>
      </c>
      <c r="K2678" t="s">
        <v>108</v>
      </c>
      <c r="L2678" t="s">
        <v>91</v>
      </c>
      <c r="M2678" t="s">
        <v>46</v>
      </c>
      <c r="N2678" t="b">
        <v>1</v>
      </c>
      <c r="O2678" t="s">
        <v>109</v>
      </c>
    </row>
    <row r="2679" spans="1:15" ht="15" customHeight="1">
      <c r="A2679" t="s">
        <v>1352</v>
      </c>
      <c r="B2679" t="s">
        <v>3279</v>
      </c>
      <c r="C2679" t="s">
        <v>75</v>
      </c>
      <c r="D2679" t="s">
        <v>69</v>
      </c>
      <c r="E2679">
        <v>11</v>
      </c>
      <c r="F2679">
        <v>5.2</v>
      </c>
      <c r="G2679">
        <v>0.47</v>
      </c>
      <c r="H2679">
        <v>19</v>
      </c>
      <c r="I2679">
        <v>2000</v>
      </c>
      <c r="J2679">
        <v>1500</v>
      </c>
      <c r="K2679" t="s">
        <v>408</v>
      </c>
      <c r="L2679" t="s">
        <v>91</v>
      </c>
      <c r="M2679" t="s">
        <v>49</v>
      </c>
      <c r="N2679" t="b">
        <v>1</v>
      </c>
      <c r="O2679" t="s">
        <v>409</v>
      </c>
    </row>
    <row r="2680" spans="1:15" ht="15" customHeight="1">
      <c r="A2680" t="s">
        <v>1809</v>
      </c>
      <c r="B2680" t="s">
        <v>3280</v>
      </c>
      <c r="C2680" t="s">
        <v>149</v>
      </c>
      <c r="D2680" t="s">
        <v>69</v>
      </c>
      <c r="E2680">
        <v>12</v>
      </c>
      <c r="F2680">
        <v>7.2</v>
      </c>
      <c r="G2680">
        <v>0.6</v>
      </c>
      <c r="H2680">
        <v>33</v>
      </c>
      <c r="I2680">
        <v>3000</v>
      </c>
      <c r="J2680">
        <v>1000</v>
      </c>
      <c r="K2680" t="s">
        <v>169</v>
      </c>
      <c r="L2680" t="s">
        <v>91</v>
      </c>
      <c r="M2680" t="s">
        <v>40</v>
      </c>
      <c r="N2680" t="b">
        <v>1</v>
      </c>
      <c r="O2680" t="s">
        <v>702</v>
      </c>
    </row>
    <row r="2681" spans="1:15" ht="15" customHeight="1">
      <c r="A2681" t="s">
        <v>416</v>
      </c>
      <c r="B2681" t="s">
        <v>3281</v>
      </c>
      <c r="C2681" t="s">
        <v>129</v>
      </c>
      <c r="D2681" t="s">
        <v>130</v>
      </c>
      <c r="E2681">
        <v>19</v>
      </c>
      <c r="F2681">
        <v>14.2</v>
      </c>
      <c r="G2681">
        <v>0.75</v>
      </c>
      <c r="H2681">
        <v>17</v>
      </c>
      <c r="I2681">
        <v>5000</v>
      </c>
      <c r="J2681">
        <v>1000</v>
      </c>
      <c r="K2681" t="s">
        <v>109</v>
      </c>
      <c r="L2681" t="s">
        <v>77</v>
      </c>
      <c r="M2681" t="s">
        <v>44</v>
      </c>
      <c r="N2681" t="b">
        <v>0</v>
      </c>
      <c r="O2681" t="s">
        <v>176</v>
      </c>
    </row>
    <row r="2682" spans="1:15" ht="15" customHeight="1">
      <c r="A2682" t="s">
        <v>875</v>
      </c>
      <c r="B2682" t="s">
        <v>3282</v>
      </c>
      <c r="C2682" t="s">
        <v>68</v>
      </c>
      <c r="D2682" t="s">
        <v>69</v>
      </c>
      <c r="E2682">
        <v>12</v>
      </c>
      <c r="F2682">
        <v>1.6</v>
      </c>
      <c r="G2682">
        <v>0.13</v>
      </c>
      <c r="H2682">
        <v>5</v>
      </c>
      <c r="I2682">
        <v>30000</v>
      </c>
      <c r="J2682">
        <v>5000</v>
      </c>
      <c r="K2682" t="s">
        <v>112</v>
      </c>
      <c r="L2682" t="s">
        <v>96</v>
      </c>
      <c r="M2682" t="s">
        <v>47</v>
      </c>
      <c r="N2682" t="b">
        <v>0</v>
      </c>
      <c r="O2682" t="s">
        <v>113</v>
      </c>
    </row>
    <row r="2683" spans="1:15" ht="15" customHeight="1">
      <c r="A2683" t="s">
        <v>398</v>
      </c>
      <c r="B2683" t="s">
        <v>3283</v>
      </c>
      <c r="C2683" t="s">
        <v>149</v>
      </c>
      <c r="D2683" t="s">
        <v>69</v>
      </c>
      <c r="E2683">
        <v>12</v>
      </c>
      <c r="F2683">
        <v>9</v>
      </c>
      <c r="G2683">
        <v>0.75</v>
      </c>
      <c r="H2683">
        <v>29</v>
      </c>
      <c r="I2683">
        <v>3000</v>
      </c>
      <c r="J2683">
        <v>1000</v>
      </c>
      <c r="K2683" t="s">
        <v>303</v>
      </c>
      <c r="L2683" t="s">
        <v>117</v>
      </c>
      <c r="M2683" t="s">
        <v>43</v>
      </c>
      <c r="N2683" t="b">
        <v>1</v>
      </c>
      <c r="O2683" t="s">
        <v>323</v>
      </c>
    </row>
    <row r="2684" spans="1:15" ht="15" customHeight="1">
      <c r="A2684" t="s">
        <v>799</v>
      </c>
      <c r="B2684" t="s">
        <v>3284</v>
      </c>
      <c r="C2684" t="s">
        <v>81</v>
      </c>
      <c r="D2684" t="s">
        <v>69</v>
      </c>
      <c r="E2684">
        <v>17</v>
      </c>
      <c r="F2684">
        <v>4.5</v>
      </c>
      <c r="G2684">
        <v>0.26</v>
      </c>
      <c r="H2684">
        <v>12</v>
      </c>
      <c r="I2684">
        <v>10000</v>
      </c>
      <c r="J2684">
        <v>3000</v>
      </c>
      <c r="K2684" t="s">
        <v>95</v>
      </c>
      <c r="L2684" t="s">
        <v>77</v>
      </c>
      <c r="M2684" t="s">
        <v>46</v>
      </c>
      <c r="N2684" t="b">
        <v>0</v>
      </c>
      <c r="O2684" t="s">
        <v>257</v>
      </c>
    </row>
    <row r="2685" spans="1:15" ht="15" customHeight="1">
      <c r="A2685" t="s">
        <v>654</v>
      </c>
      <c r="B2685" t="s">
        <v>3285</v>
      </c>
      <c r="C2685" t="s">
        <v>149</v>
      </c>
      <c r="D2685" t="s">
        <v>69</v>
      </c>
      <c r="E2685">
        <v>8</v>
      </c>
      <c r="F2685">
        <v>7</v>
      </c>
      <c r="G2685">
        <v>0.88</v>
      </c>
      <c r="H2685">
        <v>15</v>
      </c>
      <c r="I2685">
        <v>3000</v>
      </c>
      <c r="J2685">
        <v>1000</v>
      </c>
      <c r="K2685" t="s">
        <v>438</v>
      </c>
      <c r="L2685" t="s">
        <v>117</v>
      </c>
      <c r="M2685" t="s">
        <v>48</v>
      </c>
      <c r="N2685" t="b">
        <v>1</v>
      </c>
      <c r="O2685" t="s">
        <v>90</v>
      </c>
    </row>
    <row r="2686" spans="1:15" ht="15" customHeight="1">
      <c r="A2686" t="s">
        <v>378</v>
      </c>
      <c r="B2686" t="s">
        <v>3286</v>
      </c>
      <c r="C2686" t="s">
        <v>129</v>
      </c>
      <c r="D2686" t="s">
        <v>130</v>
      </c>
      <c r="E2686">
        <v>16</v>
      </c>
      <c r="F2686">
        <v>14.1</v>
      </c>
      <c r="G2686">
        <v>0.88</v>
      </c>
      <c r="H2686">
        <v>14</v>
      </c>
      <c r="I2686">
        <v>5000</v>
      </c>
      <c r="J2686">
        <v>1000</v>
      </c>
      <c r="K2686" t="s">
        <v>82</v>
      </c>
      <c r="L2686" t="s">
        <v>71</v>
      </c>
      <c r="M2686" t="s">
        <v>42</v>
      </c>
      <c r="N2686" t="b">
        <v>0</v>
      </c>
      <c r="O2686" t="s">
        <v>229</v>
      </c>
    </row>
    <row r="2687" spans="1:15" ht="15" customHeight="1">
      <c r="A2687" t="s">
        <v>98</v>
      </c>
      <c r="B2687" t="s">
        <v>3287</v>
      </c>
      <c r="C2687" t="s">
        <v>129</v>
      </c>
      <c r="D2687" t="s">
        <v>130</v>
      </c>
      <c r="E2687">
        <v>17</v>
      </c>
      <c r="F2687">
        <v>14.8</v>
      </c>
      <c r="G2687">
        <v>0.87</v>
      </c>
      <c r="H2687">
        <v>10</v>
      </c>
      <c r="I2687">
        <v>5000</v>
      </c>
      <c r="J2687">
        <v>1000</v>
      </c>
      <c r="K2687" t="s">
        <v>158</v>
      </c>
      <c r="L2687" t="s">
        <v>100</v>
      </c>
      <c r="M2687" t="s">
        <v>47</v>
      </c>
      <c r="N2687" t="b">
        <v>0</v>
      </c>
      <c r="O2687" t="s">
        <v>159</v>
      </c>
    </row>
    <row r="2688" spans="1:15" ht="15" customHeight="1">
      <c r="A2688" t="s">
        <v>329</v>
      </c>
      <c r="B2688" t="s">
        <v>3288</v>
      </c>
      <c r="C2688" t="s">
        <v>149</v>
      </c>
      <c r="D2688" t="s">
        <v>69</v>
      </c>
      <c r="E2688">
        <v>11</v>
      </c>
      <c r="F2688">
        <v>9.9</v>
      </c>
      <c r="G2688">
        <v>0.9</v>
      </c>
      <c r="H2688">
        <v>26</v>
      </c>
      <c r="I2688">
        <v>3000</v>
      </c>
      <c r="J2688">
        <v>1000</v>
      </c>
      <c r="K2688" t="s">
        <v>294</v>
      </c>
      <c r="L2688" t="s">
        <v>96</v>
      </c>
      <c r="M2688" t="s">
        <v>49</v>
      </c>
      <c r="N2688" t="b">
        <v>0</v>
      </c>
      <c r="O2688" t="s">
        <v>295</v>
      </c>
    </row>
    <row r="2689" spans="1:15" ht="15" customHeight="1">
      <c r="A2689" t="s">
        <v>1110</v>
      </c>
      <c r="B2689" t="s">
        <v>3289</v>
      </c>
      <c r="C2689" t="s">
        <v>75</v>
      </c>
      <c r="D2689" t="s">
        <v>69</v>
      </c>
      <c r="E2689">
        <v>13</v>
      </c>
      <c r="F2689">
        <v>4.5999999999999996</v>
      </c>
      <c r="G2689">
        <v>0.35</v>
      </c>
      <c r="H2689">
        <v>15</v>
      </c>
      <c r="I2689">
        <v>2000</v>
      </c>
      <c r="J2689">
        <v>1500</v>
      </c>
      <c r="K2689" t="s">
        <v>70</v>
      </c>
      <c r="L2689" t="s">
        <v>96</v>
      </c>
      <c r="M2689" t="s">
        <v>45</v>
      </c>
      <c r="N2689" t="b">
        <v>0</v>
      </c>
      <c r="O2689" t="s">
        <v>598</v>
      </c>
    </row>
    <row r="2690" spans="1:15" ht="15" customHeight="1">
      <c r="A2690" t="s">
        <v>1074</v>
      </c>
      <c r="B2690" t="s">
        <v>3290</v>
      </c>
      <c r="C2690" t="s">
        <v>129</v>
      </c>
      <c r="D2690" t="s">
        <v>130</v>
      </c>
      <c r="E2690">
        <v>16</v>
      </c>
      <c r="F2690">
        <v>10.3</v>
      </c>
      <c r="G2690">
        <v>0.64</v>
      </c>
      <c r="H2690">
        <v>18</v>
      </c>
      <c r="I2690">
        <v>5000</v>
      </c>
      <c r="J2690">
        <v>1000</v>
      </c>
      <c r="K2690" t="s">
        <v>108</v>
      </c>
      <c r="L2690" t="s">
        <v>71</v>
      </c>
      <c r="M2690" t="s">
        <v>42</v>
      </c>
      <c r="N2690" t="b">
        <v>0</v>
      </c>
      <c r="O2690" t="s">
        <v>166</v>
      </c>
    </row>
    <row r="2691" spans="1:15" ht="15" customHeight="1">
      <c r="A2691" t="s">
        <v>759</v>
      </c>
      <c r="B2691" t="s">
        <v>3291</v>
      </c>
      <c r="C2691" t="s">
        <v>149</v>
      </c>
      <c r="D2691" t="s">
        <v>69</v>
      </c>
      <c r="E2691">
        <v>11</v>
      </c>
      <c r="F2691">
        <v>8.6999999999999993</v>
      </c>
      <c r="G2691">
        <v>0.79</v>
      </c>
      <c r="H2691">
        <v>36</v>
      </c>
      <c r="I2691">
        <v>3000</v>
      </c>
      <c r="J2691">
        <v>1000</v>
      </c>
      <c r="K2691" t="s">
        <v>154</v>
      </c>
      <c r="L2691" t="s">
        <v>96</v>
      </c>
      <c r="M2691" t="s">
        <v>51</v>
      </c>
      <c r="N2691" t="b">
        <v>0</v>
      </c>
      <c r="O2691" t="s">
        <v>155</v>
      </c>
    </row>
    <row r="2692" spans="1:15" ht="15" customHeight="1">
      <c r="A2692" t="s">
        <v>1816</v>
      </c>
      <c r="B2692" t="s">
        <v>3292</v>
      </c>
      <c r="C2692" t="s">
        <v>68</v>
      </c>
      <c r="D2692" t="s">
        <v>69</v>
      </c>
      <c r="E2692">
        <v>10</v>
      </c>
      <c r="F2692">
        <v>2.5</v>
      </c>
      <c r="G2692">
        <v>0.25</v>
      </c>
      <c r="H2692">
        <v>5</v>
      </c>
      <c r="I2692">
        <v>30000</v>
      </c>
      <c r="J2692">
        <v>5000</v>
      </c>
      <c r="K2692" t="s">
        <v>112</v>
      </c>
      <c r="L2692" t="s">
        <v>91</v>
      </c>
      <c r="M2692" t="s">
        <v>41</v>
      </c>
      <c r="N2692" t="b">
        <v>1</v>
      </c>
      <c r="O2692" t="s">
        <v>113</v>
      </c>
    </row>
    <row r="2693" spans="1:15" ht="15" customHeight="1">
      <c r="A2693" t="s">
        <v>247</v>
      </c>
      <c r="B2693" t="s">
        <v>3293</v>
      </c>
      <c r="C2693" t="s">
        <v>129</v>
      </c>
      <c r="D2693" t="s">
        <v>130</v>
      </c>
      <c r="E2693">
        <v>16</v>
      </c>
      <c r="F2693">
        <v>13.4</v>
      </c>
      <c r="G2693">
        <v>0.84</v>
      </c>
      <c r="H2693">
        <v>13</v>
      </c>
      <c r="I2693">
        <v>5000</v>
      </c>
      <c r="J2693">
        <v>1000</v>
      </c>
      <c r="K2693" t="s">
        <v>313</v>
      </c>
      <c r="L2693" t="s">
        <v>100</v>
      </c>
      <c r="M2693" t="s">
        <v>45</v>
      </c>
      <c r="N2693" t="b">
        <v>0</v>
      </c>
      <c r="O2693" t="s">
        <v>314</v>
      </c>
    </row>
    <row r="2694" spans="1:15" ht="15" customHeight="1">
      <c r="A2694" t="s">
        <v>828</v>
      </c>
      <c r="B2694" t="s">
        <v>3294</v>
      </c>
      <c r="C2694" t="s">
        <v>81</v>
      </c>
      <c r="D2694" t="s">
        <v>69</v>
      </c>
      <c r="E2694">
        <v>9</v>
      </c>
      <c r="F2694">
        <v>5.8</v>
      </c>
      <c r="G2694">
        <v>0.64</v>
      </c>
      <c r="H2694">
        <v>10</v>
      </c>
      <c r="I2694">
        <v>10000</v>
      </c>
      <c r="J2694">
        <v>3000</v>
      </c>
      <c r="K2694" t="s">
        <v>103</v>
      </c>
      <c r="L2694" t="s">
        <v>117</v>
      </c>
      <c r="M2694" t="s">
        <v>43</v>
      </c>
      <c r="N2694" t="b">
        <v>1</v>
      </c>
      <c r="O2694" t="s">
        <v>105</v>
      </c>
    </row>
    <row r="2695" spans="1:15" ht="15" customHeight="1">
      <c r="A2695" t="s">
        <v>926</v>
      </c>
      <c r="B2695" t="s">
        <v>3295</v>
      </c>
      <c r="C2695" t="s">
        <v>129</v>
      </c>
      <c r="D2695" t="s">
        <v>130</v>
      </c>
      <c r="E2695">
        <v>14</v>
      </c>
      <c r="F2695">
        <v>5.0999999999999996</v>
      </c>
      <c r="G2695">
        <v>0.36</v>
      </c>
      <c r="H2695">
        <v>16</v>
      </c>
      <c r="I2695">
        <v>5000</v>
      </c>
      <c r="J2695">
        <v>1000</v>
      </c>
      <c r="K2695" t="s">
        <v>357</v>
      </c>
      <c r="L2695" t="s">
        <v>91</v>
      </c>
      <c r="M2695" t="s">
        <v>41</v>
      </c>
      <c r="N2695" t="b">
        <v>1</v>
      </c>
      <c r="O2695" t="s">
        <v>456</v>
      </c>
    </row>
    <row r="2696" spans="1:15" ht="15" customHeight="1">
      <c r="A2696" t="s">
        <v>363</v>
      </c>
      <c r="B2696" t="s">
        <v>3296</v>
      </c>
      <c r="C2696" t="s">
        <v>81</v>
      </c>
      <c r="D2696" t="s">
        <v>69</v>
      </c>
      <c r="E2696">
        <v>9</v>
      </c>
      <c r="F2696">
        <v>5.6</v>
      </c>
      <c r="G2696">
        <v>0.62</v>
      </c>
      <c r="H2696">
        <v>20</v>
      </c>
      <c r="I2696">
        <v>10000</v>
      </c>
      <c r="J2696">
        <v>3000</v>
      </c>
      <c r="K2696" t="s">
        <v>86</v>
      </c>
      <c r="L2696" t="s">
        <v>71</v>
      </c>
      <c r="M2696" t="s">
        <v>43</v>
      </c>
      <c r="N2696" t="b">
        <v>0</v>
      </c>
      <c r="O2696" t="s">
        <v>87</v>
      </c>
    </row>
    <row r="2697" spans="1:15" ht="15" customHeight="1">
      <c r="A2697" t="s">
        <v>1405</v>
      </c>
      <c r="B2697" t="s">
        <v>3297</v>
      </c>
      <c r="C2697" t="s">
        <v>68</v>
      </c>
      <c r="D2697" t="s">
        <v>69</v>
      </c>
      <c r="E2697">
        <v>16</v>
      </c>
      <c r="F2697">
        <v>0.9</v>
      </c>
      <c r="G2697">
        <v>0.06</v>
      </c>
      <c r="H2697">
        <v>3</v>
      </c>
      <c r="I2697">
        <v>30000</v>
      </c>
      <c r="J2697">
        <v>5000</v>
      </c>
      <c r="K2697" t="s">
        <v>108</v>
      </c>
      <c r="L2697" t="s">
        <v>100</v>
      </c>
      <c r="M2697" t="s">
        <v>42</v>
      </c>
      <c r="N2697" t="b">
        <v>0</v>
      </c>
      <c r="O2697" t="s">
        <v>109</v>
      </c>
    </row>
    <row r="2698" spans="1:15" ht="15" customHeight="1">
      <c r="A2698" t="s">
        <v>1411</v>
      </c>
      <c r="B2698" t="s">
        <v>3298</v>
      </c>
      <c r="C2698" t="s">
        <v>81</v>
      </c>
      <c r="D2698" t="s">
        <v>69</v>
      </c>
      <c r="E2698">
        <v>11</v>
      </c>
      <c r="F2698">
        <v>4.7</v>
      </c>
      <c r="G2698">
        <v>0.43</v>
      </c>
      <c r="H2698">
        <v>25</v>
      </c>
      <c r="I2698">
        <v>10000</v>
      </c>
      <c r="J2698">
        <v>3000</v>
      </c>
      <c r="K2698" t="s">
        <v>138</v>
      </c>
      <c r="L2698" t="s">
        <v>77</v>
      </c>
      <c r="M2698" t="s">
        <v>48</v>
      </c>
      <c r="N2698" t="b">
        <v>0</v>
      </c>
      <c r="O2698" t="s">
        <v>139</v>
      </c>
    </row>
    <row r="2699" spans="1:15" ht="15" customHeight="1">
      <c r="A2699" t="s">
        <v>1436</v>
      </c>
      <c r="B2699" t="s">
        <v>3299</v>
      </c>
      <c r="C2699" t="s">
        <v>149</v>
      </c>
      <c r="D2699" t="s">
        <v>69</v>
      </c>
      <c r="E2699">
        <v>11</v>
      </c>
      <c r="F2699">
        <v>9.9</v>
      </c>
      <c r="G2699">
        <v>0.9</v>
      </c>
      <c r="H2699">
        <v>33</v>
      </c>
      <c r="I2699">
        <v>3000</v>
      </c>
      <c r="J2699">
        <v>1000</v>
      </c>
      <c r="K2699" t="s">
        <v>169</v>
      </c>
      <c r="L2699" t="s">
        <v>91</v>
      </c>
      <c r="M2699" t="s">
        <v>48</v>
      </c>
      <c r="N2699" t="b">
        <v>1</v>
      </c>
      <c r="O2699" t="s">
        <v>702</v>
      </c>
    </row>
    <row r="2700" spans="1:15" ht="15" customHeight="1">
      <c r="A2700" t="s">
        <v>1799</v>
      </c>
      <c r="B2700" t="s">
        <v>3300</v>
      </c>
      <c r="C2700" t="s">
        <v>149</v>
      </c>
      <c r="D2700" t="s">
        <v>69</v>
      </c>
      <c r="E2700">
        <v>8</v>
      </c>
      <c r="F2700">
        <v>6.5</v>
      </c>
      <c r="G2700">
        <v>0.81</v>
      </c>
      <c r="H2700">
        <v>27</v>
      </c>
      <c r="I2700">
        <v>3000</v>
      </c>
      <c r="J2700">
        <v>1000</v>
      </c>
      <c r="K2700" t="s">
        <v>845</v>
      </c>
      <c r="L2700" t="s">
        <v>71</v>
      </c>
      <c r="M2700" t="s">
        <v>50</v>
      </c>
      <c r="N2700" t="b">
        <v>0</v>
      </c>
      <c r="O2700" t="s">
        <v>357</v>
      </c>
    </row>
    <row r="2701" spans="1:15" ht="15" customHeight="1">
      <c r="A2701" t="s">
        <v>513</v>
      </c>
      <c r="B2701" t="s">
        <v>3301</v>
      </c>
      <c r="C2701" t="s">
        <v>75</v>
      </c>
      <c r="D2701" t="s">
        <v>69</v>
      </c>
      <c r="E2701">
        <v>17</v>
      </c>
      <c r="F2701">
        <v>11.5</v>
      </c>
      <c r="G2701">
        <v>0.68</v>
      </c>
      <c r="H2701">
        <v>24</v>
      </c>
      <c r="I2701">
        <v>2000</v>
      </c>
      <c r="J2701">
        <v>1500</v>
      </c>
      <c r="K2701" t="s">
        <v>361</v>
      </c>
      <c r="L2701" t="s">
        <v>96</v>
      </c>
      <c r="M2701" t="s">
        <v>40</v>
      </c>
      <c r="N2701" t="b">
        <v>0</v>
      </c>
      <c r="O2701" t="s">
        <v>362</v>
      </c>
    </row>
    <row r="2702" spans="1:15" ht="15" customHeight="1">
      <c r="A2702" t="s">
        <v>1417</v>
      </c>
      <c r="B2702" t="s">
        <v>3302</v>
      </c>
      <c r="C2702" t="s">
        <v>129</v>
      </c>
      <c r="D2702" t="s">
        <v>130</v>
      </c>
      <c r="E2702">
        <v>15</v>
      </c>
      <c r="F2702">
        <v>10.6</v>
      </c>
      <c r="G2702">
        <v>0.71</v>
      </c>
      <c r="H2702">
        <v>18</v>
      </c>
      <c r="I2702">
        <v>5000</v>
      </c>
      <c r="J2702">
        <v>1000</v>
      </c>
      <c r="K2702" t="s">
        <v>108</v>
      </c>
      <c r="L2702" t="s">
        <v>91</v>
      </c>
      <c r="M2702" t="s">
        <v>50</v>
      </c>
      <c r="N2702" t="b">
        <v>1</v>
      </c>
      <c r="O2702" t="s">
        <v>166</v>
      </c>
    </row>
    <row r="2703" spans="1:15" ht="15" customHeight="1">
      <c r="A2703" t="s">
        <v>765</v>
      </c>
      <c r="B2703" t="s">
        <v>3303</v>
      </c>
      <c r="C2703" t="s">
        <v>75</v>
      </c>
      <c r="D2703" t="s">
        <v>69</v>
      </c>
      <c r="E2703">
        <v>12</v>
      </c>
      <c r="F2703">
        <v>8.4</v>
      </c>
      <c r="G2703">
        <v>0.7</v>
      </c>
      <c r="H2703">
        <v>27</v>
      </c>
      <c r="I2703">
        <v>2000</v>
      </c>
      <c r="J2703">
        <v>1500</v>
      </c>
      <c r="K2703" t="s">
        <v>150</v>
      </c>
      <c r="L2703" t="s">
        <v>71</v>
      </c>
      <c r="M2703" t="s">
        <v>42</v>
      </c>
      <c r="N2703" t="b">
        <v>0</v>
      </c>
      <c r="O2703" t="s">
        <v>528</v>
      </c>
    </row>
    <row r="2704" spans="1:15" ht="15" customHeight="1">
      <c r="A2704" t="s">
        <v>1035</v>
      </c>
      <c r="B2704" t="s">
        <v>3304</v>
      </c>
      <c r="C2704" t="s">
        <v>68</v>
      </c>
      <c r="D2704" t="s">
        <v>69</v>
      </c>
      <c r="E2704">
        <v>14</v>
      </c>
      <c r="F2704">
        <v>3.9</v>
      </c>
      <c r="G2704">
        <v>0.28000000000000003</v>
      </c>
      <c r="H2704">
        <v>1</v>
      </c>
      <c r="I2704">
        <v>30000</v>
      </c>
      <c r="J2704">
        <v>5000</v>
      </c>
      <c r="K2704" t="s">
        <v>70</v>
      </c>
      <c r="L2704" t="s">
        <v>100</v>
      </c>
      <c r="M2704" t="s">
        <v>48</v>
      </c>
      <c r="N2704" t="b">
        <v>0</v>
      </c>
      <c r="O2704" t="s">
        <v>72</v>
      </c>
    </row>
    <row r="2705" spans="1:15" ht="15" customHeight="1">
      <c r="A2705" t="s">
        <v>205</v>
      </c>
      <c r="B2705" t="s">
        <v>3305</v>
      </c>
      <c r="C2705" t="s">
        <v>75</v>
      </c>
      <c r="D2705" t="s">
        <v>69</v>
      </c>
      <c r="E2705">
        <v>19</v>
      </c>
      <c r="F2705">
        <v>8.5</v>
      </c>
      <c r="G2705">
        <v>0.45</v>
      </c>
      <c r="H2705">
        <v>6</v>
      </c>
      <c r="I2705">
        <v>2000</v>
      </c>
      <c r="J2705">
        <v>1500</v>
      </c>
      <c r="K2705" t="s">
        <v>269</v>
      </c>
      <c r="L2705" t="s">
        <v>100</v>
      </c>
      <c r="M2705" t="s">
        <v>48</v>
      </c>
      <c r="N2705" t="b">
        <v>0</v>
      </c>
      <c r="O2705" t="s">
        <v>270</v>
      </c>
    </row>
    <row r="2706" spans="1:15" ht="15" customHeight="1">
      <c r="A2706" t="s">
        <v>1365</v>
      </c>
      <c r="B2706" t="s">
        <v>3306</v>
      </c>
      <c r="C2706" t="s">
        <v>81</v>
      </c>
      <c r="D2706" t="s">
        <v>69</v>
      </c>
      <c r="E2706">
        <v>10</v>
      </c>
      <c r="F2706">
        <v>4</v>
      </c>
      <c r="G2706">
        <v>0.4</v>
      </c>
      <c r="H2706">
        <v>8</v>
      </c>
      <c r="I2706">
        <v>10000</v>
      </c>
      <c r="J2706">
        <v>3000</v>
      </c>
      <c r="K2706" t="s">
        <v>357</v>
      </c>
      <c r="L2706" t="s">
        <v>77</v>
      </c>
      <c r="M2706" t="s">
        <v>43</v>
      </c>
      <c r="N2706" t="b">
        <v>0</v>
      </c>
      <c r="O2706" t="s">
        <v>295</v>
      </c>
    </row>
    <row r="2707" spans="1:15" ht="15" customHeight="1">
      <c r="A2707" t="s">
        <v>936</v>
      </c>
      <c r="B2707" t="s">
        <v>3307</v>
      </c>
      <c r="C2707" t="s">
        <v>149</v>
      </c>
      <c r="D2707" t="s">
        <v>69</v>
      </c>
      <c r="E2707">
        <v>9</v>
      </c>
      <c r="F2707">
        <v>6.2</v>
      </c>
      <c r="G2707">
        <v>0.69</v>
      </c>
      <c r="H2707">
        <v>32</v>
      </c>
      <c r="I2707">
        <v>3000</v>
      </c>
      <c r="J2707">
        <v>1000</v>
      </c>
      <c r="K2707" t="s">
        <v>576</v>
      </c>
      <c r="L2707" t="s">
        <v>100</v>
      </c>
      <c r="M2707" t="s">
        <v>47</v>
      </c>
      <c r="N2707" t="b">
        <v>0</v>
      </c>
      <c r="O2707" t="s">
        <v>336</v>
      </c>
    </row>
    <row r="2708" spans="1:15" ht="15" customHeight="1">
      <c r="A2708" t="s">
        <v>1224</v>
      </c>
      <c r="B2708" t="s">
        <v>3308</v>
      </c>
      <c r="C2708" t="s">
        <v>81</v>
      </c>
      <c r="D2708" t="s">
        <v>69</v>
      </c>
      <c r="E2708">
        <v>18</v>
      </c>
      <c r="F2708">
        <v>8.6</v>
      </c>
      <c r="G2708">
        <v>0.48</v>
      </c>
      <c r="H2708">
        <v>14</v>
      </c>
      <c r="I2708">
        <v>10000</v>
      </c>
      <c r="J2708">
        <v>3000</v>
      </c>
      <c r="K2708" t="s">
        <v>116</v>
      </c>
      <c r="L2708" t="s">
        <v>100</v>
      </c>
      <c r="M2708" t="s">
        <v>49</v>
      </c>
      <c r="N2708" t="b">
        <v>0</v>
      </c>
      <c r="O2708" t="s">
        <v>118</v>
      </c>
    </row>
    <row r="2709" spans="1:15" ht="15" customHeight="1">
      <c r="A2709" t="s">
        <v>285</v>
      </c>
      <c r="B2709" t="s">
        <v>3309</v>
      </c>
      <c r="C2709" t="s">
        <v>149</v>
      </c>
      <c r="D2709" t="s">
        <v>69</v>
      </c>
      <c r="E2709">
        <v>11</v>
      </c>
      <c r="F2709">
        <v>10.3</v>
      </c>
      <c r="G2709">
        <v>0.94</v>
      </c>
      <c r="H2709">
        <v>32</v>
      </c>
      <c r="I2709">
        <v>3000</v>
      </c>
      <c r="J2709">
        <v>1000</v>
      </c>
      <c r="K2709" t="s">
        <v>576</v>
      </c>
      <c r="L2709" t="s">
        <v>77</v>
      </c>
      <c r="M2709" t="s">
        <v>45</v>
      </c>
      <c r="N2709" t="b">
        <v>0</v>
      </c>
      <c r="O2709" t="s">
        <v>336</v>
      </c>
    </row>
    <row r="2710" spans="1:15" ht="15" customHeight="1">
      <c r="A2710" t="s">
        <v>391</v>
      </c>
      <c r="B2710" t="s">
        <v>3310</v>
      </c>
      <c r="C2710" t="s">
        <v>68</v>
      </c>
      <c r="D2710" t="s">
        <v>69</v>
      </c>
      <c r="E2710">
        <v>13</v>
      </c>
      <c r="F2710">
        <v>2.9</v>
      </c>
      <c r="G2710">
        <v>0.22</v>
      </c>
      <c r="H2710">
        <v>1</v>
      </c>
      <c r="I2710">
        <v>30000</v>
      </c>
      <c r="J2710">
        <v>5000</v>
      </c>
      <c r="K2710" t="s">
        <v>70</v>
      </c>
      <c r="L2710" t="s">
        <v>71</v>
      </c>
      <c r="M2710" t="s">
        <v>46</v>
      </c>
      <c r="N2710" t="b">
        <v>0</v>
      </c>
      <c r="O2710" t="s">
        <v>72</v>
      </c>
    </row>
    <row r="2711" spans="1:15" ht="15" customHeight="1">
      <c r="A2711" t="s">
        <v>1248</v>
      </c>
      <c r="B2711" t="s">
        <v>3311</v>
      </c>
      <c r="C2711" t="s">
        <v>149</v>
      </c>
      <c r="D2711" t="s">
        <v>69</v>
      </c>
      <c r="E2711">
        <v>8</v>
      </c>
      <c r="F2711">
        <v>7.9</v>
      </c>
      <c r="G2711">
        <v>0.99</v>
      </c>
      <c r="H2711">
        <v>34</v>
      </c>
      <c r="I2711">
        <v>3000</v>
      </c>
      <c r="J2711">
        <v>1000</v>
      </c>
      <c r="K2711" t="s">
        <v>433</v>
      </c>
      <c r="L2711" t="s">
        <v>96</v>
      </c>
      <c r="M2711" t="s">
        <v>50</v>
      </c>
      <c r="N2711" t="b">
        <v>0</v>
      </c>
      <c r="O2711" t="s">
        <v>434</v>
      </c>
    </row>
    <row r="2712" spans="1:15" ht="15" customHeight="1">
      <c r="A2712" t="s">
        <v>1515</v>
      </c>
      <c r="B2712" t="s">
        <v>3312</v>
      </c>
      <c r="C2712" t="s">
        <v>68</v>
      </c>
      <c r="D2712" t="s">
        <v>69</v>
      </c>
      <c r="E2712">
        <v>13</v>
      </c>
      <c r="F2712">
        <v>1.8</v>
      </c>
      <c r="G2712">
        <v>0.14000000000000001</v>
      </c>
      <c r="H2712">
        <v>4</v>
      </c>
      <c r="I2712">
        <v>30000</v>
      </c>
      <c r="J2712">
        <v>5000</v>
      </c>
      <c r="K2712" t="s">
        <v>95</v>
      </c>
      <c r="L2712" t="s">
        <v>104</v>
      </c>
      <c r="M2712" t="s">
        <v>51</v>
      </c>
      <c r="N2712" t="b">
        <v>0</v>
      </c>
      <c r="O2712" t="s">
        <v>97</v>
      </c>
    </row>
    <row r="2713" spans="1:15" ht="15" customHeight="1">
      <c r="A2713" t="s">
        <v>924</v>
      </c>
      <c r="B2713" t="s">
        <v>3313</v>
      </c>
      <c r="C2713" t="s">
        <v>68</v>
      </c>
      <c r="D2713" t="s">
        <v>69</v>
      </c>
      <c r="E2713">
        <v>14</v>
      </c>
      <c r="F2713">
        <v>3.2</v>
      </c>
      <c r="G2713">
        <v>0.23</v>
      </c>
      <c r="H2713">
        <v>4</v>
      </c>
      <c r="I2713">
        <v>30000</v>
      </c>
      <c r="J2713">
        <v>5000</v>
      </c>
      <c r="K2713" t="s">
        <v>95</v>
      </c>
      <c r="L2713" t="s">
        <v>104</v>
      </c>
      <c r="M2713" t="s">
        <v>49</v>
      </c>
      <c r="N2713" t="b">
        <v>0</v>
      </c>
      <c r="O2713" t="s">
        <v>97</v>
      </c>
    </row>
    <row r="2714" spans="1:15" ht="15" customHeight="1">
      <c r="A2714" t="s">
        <v>624</v>
      </c>
      <c r="B2714" t="s">
        <v>3314</v>
      </c>
      <c r="C2714" t="s">
        <v>149</v>
      </c>
      <c r="D2714" t="s">
        <v>69</v>
      </c>
      <c r="E2714">
        <v>12</v>
      </c>
      <c r="F2714">
        <v>11.3</v>
      </c>
      <c r="G2714">
        <v>0.94</v>
      </c>
      <c r="H2714">
        <v>28</v>
      </c>
      <c r="I2714">
        <v>3000</v>
      </c>
      <c r="J2714">
        <v>1000</v>
      </c>
      <c r="K2714" t="s">
        <v>176</v>
      </c>
      <c r="L2714" t="s">
        <v>91</v>
      </c>
      <c r="M2714" t="s">
        <v>45</v>
      </c>
      <c r="N2714" t="b">
        <v>1</v>
      </c>
      <c r="O2714" t="s">
        <v>177</v>
      </c>
    </row>
    <row r="2715" spans="1:15" ht="15" customHeight="1">
      <c r="A2715" t="s">
        <v>406</v>
      </c>
      <c r="B2715" t="s">
        <v>3315</v>
      </c>
      <c r="C2715" t="s">
        <v>129</v>
      </c>
      <c r="D2715" t="s">
        <v>130</v>
      </c>
      <c r="E2715">
        <v>18</v>
      </c>
      <c r="F2715">
        <v>3.9</v>
      </c>
      <c r="G2715">
        <v>0.22</v>
      </c>
      <c r="H2715">
        <v>30</v>
      </c>
      <c r="I2715">
        <v>5000</v>
      </c>
      <c r="J2715">
        <v>1000</v>
      </c>
      <c r="K2715" t="s">
        <v>112</v>
      </c>
      <c r="L2715" t="s">
        <v>96</v>
      </c>
      <c r="M2715" t="s">
        <v>47</v>
      </c>
      <c r="N2715" t="b">
        <v>0</v>
      </c>
      <c r="O2715" t="s">
        <v>195</v>
      </c>
    </row>
    <row r="2716" spans="1:15" ht="15" customHeight="1">
      <c r="A2716" t="s">
        <v>423</v>
      </c>
      <c r="B2716" t="s">
        <v>3316</v>
      </c>
      <c r="C2716" t="s">
        <v>149</v>
      </c>
      <c r="D2716" t="s">
        <v>69</v>
      </c>
      <c r="E2716">
        <v>12</v>
      </c>
      <c r="F2716">
        <v>11.8</v>
      </c>
      <c r="G2716">
        <v>0.98</v>
      </c>
      <c r="H2716">
        <v>22</v>
      </c>
      <c r="I2716">
        <v>3000</v>
      </c>
      <c r="J2716">
        <v>1000</v>
      </c>
      <c r="K2716" t="s">
        <v>556</v>
      </c>
      <c r="L2716" t="s">
        <v>117</v>
      </c>
      <c r="M2716" t="s">
        <v>40</v>
      </c>
      <c r="N2716" t="b">
        <v>1</v>
      </c>
      <c r="O2716" t="s">
        <v>313</v>
      </c>
    </row>
    <row r="2717" spans="1:15" ht="15" customHeight="1">
      <c r="A2717" t="s">
        <v>568</v>
      </c>
      <c r="B2717" t="s">
        <v>3317</v>
      </c>
      <c r="C2717" t="s">
        <v>129</v>
      </c>
      <c r="D2717" t="s">
        <v>130</v>
      </c>
      <c r="E2717">
        <v>15</v>
      </c>
      <c r="F2717">
        <v>3.9</v>
      </c>
      <c r="G2717">
        <v>0.26</v>
      </c>
      <c r="H2717">
        <v>29</v>
      </c>
      <c r="I2717">
        <v>5000</v>
      </c>
      <c r="J2717">
        <v>1000</v>
      </c>
      <c r="K2717" t="s">
        <v>113</v>
      </c>
      <c r="L2717" t="s">
        <v>77</v>
      </c>
      <c r="M2717" t="s">
        <v>41</v>
      </c>
      <c r="N2717" t="b">
        <v>0</v>
      </c>
      <c r="O2717" t="s">
        <v>146</v>
      </c>
    </row>
    <row r="2718" spans="1:15" ht="15" customHeight="1">
      <c r="A2718" t="s">
        <v>638</v>
      </c>
      <c r="B2718" t="s">
        <v>3318</v>
      </c>
      <c r="C2718" t="s">
        <v>68</v>
      </c>
      <c r="D2718" t="s">
        <v>69</v>
      </c>
      <c r="E2718">
        <v>16</v>
      </c>
      <c r="F2718">
        <v>1.9</v>
      </c>
      <c r="G2718">
        <v>0.12</v>
      </c>
      <c r="H2718">
        <v>1</v>
      </c>
      <c r="I2718">
        <v>30000</v>
      </c>
      <c r="J2718">
        <v>5000</v>
      </c>
      <c r="K2718" t="s">
        <v>70</v>
      </c>
      <c r="L2718" t="s">
        <v>77</v>
      </c>
      <c r="M2718" t="s">
        <v>48</v>
      </c>
      <c r="N2718" t="b">
        <v>0</v>
      </c>
      <c r="O2718" t="s">
        <v>72</v>
      </c>
    </row>
    <row r="2719" spans="1:15" ht="15" customHeight="1">
      <c r="A2719" t="s">
        <v>857</v>
      </c>
      <c r="B2719" t="s">
        <v>3319</v>
      </c>
      <c r="C2719" t="s">
        <v>68</v>
      </c>
      <c r="D2719" t="s">
        <v>69</v>
      </c>
      <c r="E2719">
        <v>12</v>
      </c>
      <c r="F2719">
        <v>3.3</v>
      </c>
      <c r="G2719">
        <v>0.27</v>
      </c>
      <c r="H2719">
        <v>1</v>
      </c>
      <c r="I2719">
        <v>30000</v>
      </c>
      <c r="J2719">
        <v>5000</v>
      </c>
      <c r="K2719" t="s">
        <v>70</v>
      </c>
      <c r="L2719" t="s">
        <v>91</v>
      </c>
      <c r="M2719" t="s">
        <v>48</v>
      </c>
      <c r="N2719" t="b">
        <v>1</v>
      </c>
      <c r="O2719" t="s">
        <v>72</v>
      </c>
    </row>
    <row r="2720" spans="1:15" ht="15" customHeight="1">
      <c r="A2720" t="s">
        <v>1188</v>
      </c>
      <c r="B2720" t="s">
        <v>3320</v>
      </c>
      <c r="C2720" t="s">
        <v>149</v>
      </c>
      <c r="D2720" t="s">
        <v>69</v>
      </c>
      <c r="E2720">
        <v>9</v>
      </c>
      <c r="F2720">
        <v>8.6</v>
      </c>
      <c r="G2720">
        <v>0.96</v>
      </c>
      <c r="H2720">
        <v>27</v>
      </c>
      <c r="I2720">
        <v>3000</v>
      </c>
      <c r="J2720">
        <v>1000</v>
      </c>
      <c r="K2720" t="s">
        <v>845</v>
      </c>
      <c r="L2720" t="s">
        <v>117</v>
      </c>
      <c r="M2720" t="s">
        <v>50</v>
      </c>
      <c r="N2720" t="b">
        <v>1</v>
      </c>
      <c r="O2720" t="s">
        <v>357</v>
      </c>
    </row>
    <row r="2721" spans="1:15" ht="15" customHeight="1">
      <c r="A2721" t="s">
        <v>552</v>
      </c>
      <c r="B2721" t="s">
        <v>3321</v>
      </c>
      <c r="C2721" t="s">
        <v>149</v>
      </c>
      <c r="D2721" t="s">
        <v>69</v>
      </c>
      <c r="E2721">
        <v>11</v>
      </c>
      <c r="F2721">
        <v>8</v>
      </c>
      <c r="G2721">
        <v>0.73</v>
      </c>
      <c r="H2721">
        <v>35</v>
      </c>
      <c r="I2721">
        <v>3000</v>
      </c>
      <c r="J2721">
        <v>1000</v>
      </c>
      <c r="K2721" t="s">
        <v>131</v>
      </c>
      <c r="L2721" t="s">
        <v>71</v>
      </c>
      <c r="M2721" t="s">
        <v>45</v>
      </c>
      <c r="N2721" t="b">
        <v>0</v>
      </c>
      <c r="O2721" t="s">
        <v>132</v>
      </c>
    </row>
    <row r="2722" spans="1:15" ht="15" customHeight="1">
      <c r="A2722" t="s">
        <v>1194</v>
      </c>
      <c r="B2722" t="s">
        <v>3322</v>
      </c>
      <c r="C2722" t="s">
        <v>149</v>
      </c>
      <c r="D2722" t="s">
        <v>69</v>
      </c>
      <c r="E2722">
        <v>11</v>
      </c>
      <c r="F2722">
        <v>8</v>
      </c>
      <c r="G2722">
        <v>0.73</v>
      </c>
      <c r="H2722">
        <v>33</v>
      </c>
      <c r="I2722">
        <v>3000</v>
      </c>
      <c r="J2722">
        <v>1000</v>
      </c>
      <c r="K2722" t="s">
        <v>169</v>
      </c>
      <c r="L2722" t="s">
        <v>104</v>
      </c>
      <c r="M2722" t="s">
        <v>50</v>
      </c>
      <c r="N2722" t="b">
        <v>0</v>
      </c>
      <c r="O2722" t="s">
        <v>702</v>
      </c>
    </row>
    <row r="2723" spans="1:15" ht="15" customHeight="1">
      <c r="A2723" t="s">
        <v>174</v>
      </c>
      <c r="B2723" t="s">
        <v>3323</v>
      </c>
      <c r="C2723" t="s">
        <v>149</v>
      </c>
      <c r="D2723" t="s">
        <v>69</v>
      </c>
      <c r="E2723">
        <v>11</v>
      </c>
      <c r="F2723">
        <v>7.3</v>
      </c>
      <c r="G2723">
        <v>0.66</v>
      </c>
      <c r="H2723">
        <v>34</v>
      </c>
      <c r="I2723">
        <v>3000</v>
      </c>
      <c r="J2723">
        <v>1000</v>
      </c>
      <c r="K2723" t="s">
        <v>433</v>
      </c>
      <c r="L2723" t="s">
        <v>77</v>
      </c>
      <c r="M2723" t="s">
        <v>47</v>
      </c>
      <c r="N2723" t="b">
        <v>0</v>
      </c>
      <c r="O2723" t="s">
        <v>434</v>
      </c>
    </row>
    <row r="2724" spans="1:15" ht="15" customHeight="1">
      <c r="A2724" t="s">
        <v>1202</v>
      </c>
      <c r="B2724" t="s">
        <v>3324</v>
      </c>
      <c r="C2724" t="s">
        <v>81</v>
      </c>
      <c r="D2724" t="s">
        <v>69</v>
      </c>
      <c r="E2724">
        <v>10</v>
      </c>
      <c r="F2724">
        <v>4.5</v>
      </c>
      <c r="G2724">
        <v>0.45</v>
      </c>
      <c r="H2724">
        <v>8</v>
      </c>
      <c r="I2724">
        <v>10000</v>
      </c>
      <c r="J2724">
        <v>3000</v>
      </c>
      <c r="K2724" t="s">
        <v>357</v>
      </c>
      <c r="L2724" t="s">
        <v>100</v>
      </c>
      <c r="M2724" t="s">
        <v>45</v>
      </c>
      <c r="N2724" t="b">
        <v>0</v>
      </c>
      <c r="O2724" t="s">
        <v>295</v>
      </c>
    </row>
    <row r="2725" spans="1:15" ht="15" customHeight="1">
      <c r="A2725" t="s">
        <v>970</v>
      </c>
      <c r="B2725" t="s">
        <v>3325</v>
      </c>
      <c r="C2725" t="s">
        <v>75</v>
      </c>
      <c r="D2725" t="s">
        <v>69</v>
      </c>
      <c r="E2725">
        <v>12</v>
      </c>
      <c r="F2725">
        <v>3.6</v>
      </c>
      <c r="G2725">
        <v>0.3</v>
      </c>
      <c r="H2725">
        <v>10</v>
      </c>
      <c r="I2725">
        <v>2000</v>
      </c>
      <c r="J2725">
        <v>1500</v>
      </c>
      <c r="K2725" t="s">
        <v>418</v>
      </c>
      <c r="L2725" t="s">
        <v>117</v>
      </c>
      <c r="M2725" t="s">
        <v>46</v>
      </c>
      <c r="N2725" t="b">
        <v>1</v>
      </c>
      <c r="O2725" t="s">
        <v>419</v>
      </c>
    </row>
    <row r="2726" spans="1:15" ht="15" customHeight="1">
      <c r="A2726" t="s">
        <v>748</v>
      </c>
      <c r="B2726" t="s">
        <v>3326</v>
      </c>
      <c r="C2726" t="s">
        <v>81</v>
      </c>
      <c r="D2726" t="s">
        <v>69</v>
      </c>
      <c r="E2726">
        <v>14</v>
      </c>
      <c r="F2726">
        <v>9.1999999999999993</v>
      </c>
      <c r="G2726">
        <v>0.66</v>
      </c>
      <c r="H2726">
        <v>12</v>
      </c>
      <c r="I2726">
        <v>10000</v>
      </c>
      <c r="J2726">
        <v>3000</v>
      </c>
      <c r="K2726" t="s">
        <v>95</v>
      </c>
      <c r="L2726" t="s">
        <v>117</v>
      </c>
      <c r="M2726" t="s">
        <v>42</v>
      </c>
      <c r="N2726" t="b">
        <v>1</v>
      </c>
      <c r="O2726" t="s">
        <v>257</v>
      </c>
    </row>
    <row r="2727" spans="1:15" ht="15" customHeight="1">
      <c r="A2727" t="s">
        <v>654</v>
      </c>
      <c r="B2727" t="s">
        <v>3327</v>
      </c>
      <c r="C2727" t="s">
        <v>75</v>
      </c>
      <c r="D2727" t="s">
        <v>69</v>
      </c>
      <c r="E2727">
        <v>13</v>
      </c>
      <c r="F2727">
        <v>7.1</v>
      </c>
      <c r="G2727">
        <v>0.55000000000000004</v>
      </c>
      <c r="H2727">
        <v>30</v>
      </c>
      <c r="I2727">
        <v>2000</v>
      </c>
      <c r="J2727">
        <v>1500</v>
      </c>
      <c r="K2727" t="s">
        <v>162</v>
      </c>
      <c r="L2727" t="s">
        <v>117</v>
      </c>
      <c r="M2727" t="s">
        <v>48</v>
      </c>
      <c r="N2727" t="b">
        <v>1</v>
      </c>
      <c r="O2727" t="s">
        <v>510</v>
      </c>
    </row>
    <row r="2728" spans="1:15" ht="15" customHeight="1">
      <c r="A2728" t="s">
        <v>574</v>
      </c>
      <c r="B2728" t="s">
        <v>3328</v>
      </c>
      <c r="C2728" t="s">
        <v>149</v>
      </c>
      <c r="D2728" t="s">
        <v>69</v>
      </c>
      <c r="E2728">
        <v>12</v>
      </c>
      <c r="F2728">
        <v>9.9</v>
      </c>
      <c r="G2728">
        <v>0.83</v>
      </c>
      <c r="H2728">
        <v>30</v>
      </c>
      <c r="I2728">
        <v>3000</v>
      </c>
      <c r="J2728">
        <v>1000</v>
      </c>
      <c r="K2728" t="s">
        <v>108</v>
      </c>
      <c r="L2728" t="s">
        <v>77</v>
      </c>
      <c r="M2728" t="s">
        <v>51</v>
      </c>
      <c r="N2728" t="b">
        <v>0</v>
      </c>
      <c r="O2728" t="s">
        <v>166</v>
      </c>
    </row>
    <row r="2729" spans="1:15" ht="15" customHeight="1">
      <c r="A2729" t="s">
        <v>554</v>
      </c>
      <c r="B2729" t="s">
        <v>3329</v>
      </c>
      <c r="C2729" t="s">
        <v>81</v>
      </c>
      <c r="D2729" t="s">
        <v>69</v>
      </c>
      <c r="E2729">
        <v>14</v>
      </c>
      <c r="F2729">
        <v>3.1</v>
      </c>
      <c r="G2729">
        <v>0.22</v>
      </c>
      <c r="H2729">
        <v>27</v>
      </c>
      <c r="I2729">
        <v>10000</v>
      </c>
      <c r="J2729">
        <v>3000</v>
      </c>
      <c r="K2729" t="s">
        <v>125</v>
      </c>
      <c r="L2729" t="s">
        <v>71</v>
      </c>
      <c r="M2729" t="s">
        <v>40</v>
      </c>
      <c r="N2729" t="b">
        <v>0</v>
      </c>
      <c r="O2729" t="s">
        <v>126</v>
      </c>
    </row>
    <row r="2730" spans="1:15" ht="15" customHeight="1">
      <c r="A2730" t="s">
        <v>127</v>
      </c>
      <c r="B2730" t="s">
        <v>3330</v>
      </c>
      <c r="C2730" t="s">
        <v>68</v>
      </c>
      <c r="D2730" t="s">
        <v>69</v>
      </c>
      <c r="E2730">
        <v>11</v>
      </c>
      <c r="F2730">
        <v>1.3</v>
      </c>
      <c r="G2730">
        <v>0.12</v>
      </c>
      <c r="H2730">
        <v>2</v>
      </c>
      <c r="I2730">
        <v>30000</v>
      </c>
      <c r="J2730">
        <v>5000</v>
      </c>
      <c r="K2730" t="s">
        <v>162</v>
      </c>
      <c r="L2730" t="s">
        <v>117</v>
      </c>
      <c r="M2730" t="s">
        <v>44</v>
      </c>
      <c r="N2730" t="b">
        <v>1</v>
      </c>
      <c r="O2730" t="s">
        <v>163</v>
      </c>
    </row>
    <row r="2731" spans="1:15" ht="15" customHeight="1">
      <c r="A2731" t="s">
        <v>371</v>
      </c>
      <c r="B2731" t="s">
        <v>3331</v>
      </c>
      <c r="C2731" t="s">
        <v>149</v>
      </c>
      <c r="D2731" t="s">
        <v>69</v>
      </c>
      <c r="E2731">
        <v>12</v>
      </c>
      <c r="F2731">
        <v>6.3</v>
      </c>
      <c r="G2731">
        <v>0.53</v>
      </c>
      <c r="H2731">
        <v>19</v>
      </c>
      <c r="I2731">
        <v>3000</v>
      </c>
      <c r="J2731">
        <v>1000</v>
      </c>
      <c r="K2731" t="s">
        <v>198</v>
      </c>
      <c r="L2731" t="s">
        <v>100</v>
      </c>
      <c r="M2731" t="s">
        <v>47</v>
      </c>
      <c r="N2731" t="b">
        <v>0</v>
      </c>
      <c r="O2731" t="s">
        <v>262</v>
      </c>
    </row>
    <row r="2732" spans="1:15" ht="15" customHeight="1">
      <c r="A2732" t="s">
        <v>532</v>
      </c>
      <c r="B2732" t="s">
        <v>3332</v>
      </c>
      <c r="C2732" t="s">
        <v>68</v>
      </c>
      <c r="D2732" t="s">
        <v>69</v>
      </c>
      <c r="E2732">
        <v>16</v>
      </c>
      <c r="F2732">
        <v>1.2</v>
      </c>
      <c r="G2732">
        <v>7.0000000000000007E-2</v>
      </c>
      <c r="H2732">
        <v>4</v>
      </c>
      <c r="I2732">
        <v>30000</v>
      </c>
      <c r="J2732">
        <v>5000</v>
      </c>
      <c r="K2732" t="s">
        <v>95</v>
      </c>
      <c r="L2732" t="s">
        <v>71</v>
      </c>
      <c r="M2732" t="s">
        <v>43</v>
      </c>
      <c r="N2732" t="b">
        <v>0</v>
      </c>
      <c r="O2732" t="s">
        <v>97</v>
      </c>
    </row>
    <row r="2733" spans="1:15" ht="15" customHeight="1">
      <c r="A2733" t="s">
        <v>255</v>
      </c>
      <c r="B2733" t="s">
        <v>3333</v>
      </c>
      <c r="C2733" t="s">
        <v>68</v>
      </c>
      <c r="D2733" t="s">
        <v>69</v>
      </c>
      <c r="E2733">
        <v>16</v>
      </c>
      <c r="F2733">
        <v>0.7</v>
      </c>
      <c r="G2733">
        <v>0.04</v>
      </c>
      <c r="H2733">
        <v>3</v>
      </c>
      <c r="I2733">
        <v>30000</v>
      </c>
      <c r="J2733">
        <v>5000</v>
      </c>
      <c r="K2733" t="s">
        <v>108</v>
      </c>
      <c r="L2733" t="s">
        <v>96</v>
      </c>
      <c r="M2733" t="s">
        <v>47</v>
      </c>
      <c r="N2733" t="b">
        <v>0</v>
      </c>
      <c r="O2733" t="s">
        <v>109</v>
      </c>
    </row>
    <row r="2734" spans="1:15" ht="15" customHeight="1">
      <c r="A2734" t="s">
        <v>119</v>
      </c>
      <c r="B2734" t="s">
        <v>3334</v>
      </c>
      <c r="C2734" t="s">
        <v>129</v>
      </c>
      <c r="D2734" t="s">
        <v>130</v>
      </c>
      <c r="E2734">
        <v>17</v>
      </c>
      <c r="F2734">
        <v>5.6</v>
      </c>
      <c r="G2734">
        <v>0.33</v>
      </c>
      <c r="H2734">
        <v>24</v>
      </c>
      <c r="I2734">
        <v>5000</v>
      </c>
      <c r="J2734">
        <v>1000</v>
      </c>
      <c r="K2734" t="s">
        <v>95</v>
      </c>
      <c r="L2734" t="s">
        <v>71</v>
      </c>
      <c r="M2734" t="s">
        <v>45</v>
      </c>
      <c r="N2734" t="b">
        <v>0</v>
      </c>
      <c r="O2734" t="s">
        <v>217</v>
      </c>
    </row>
    <row r="2735" spans="1:15" ht="15" customHeight="1">
      <c r="A2735" t="s">
        <v>507</v>
      </c>
      <c r="B2735" t="s">
        <v>3335</v>
      </c>
      <c r="C2735" t="s">
        <v>68</v>
      </c>
      <c r="D2735" t="s">
        <v>69</v>
      </c>
      <c r="E2735">
        <v>9</v>
      </c>
      <c r="F2735">
        <v>1.4</v>
      </c>
      <c r="G2735">
        <v>0.16</v>
      </c>
      <c r="H2735">
        <v>1</v>
      </c>
      <c r="I2735">
        <v>30000</v>
      </c>
      <c r="J2735">
        <v>5000</v>
      </c>
      <c r="K2735" t="s">
        <v>70</v>
      </c>
      <c r="L2735" t="s">
        <v>104</v>
      </c>
      <c r="M2735" t="s">
        <v>40</v>
      </c>
      <c r="N2735" t="b">
        <v>0</v>
      </c>
      <c r="O2735" t="s">
        <v>72</v>
      </c>
    </row>
    <row r="2736" spans="1:15" ht="15" customHeight="1">
      <c r="A2736" t="s">
        <v>301</v>
      </c>
      <c r="B2736" t="s">
        <v>3336</v>
      </c>
      <c r="C2736" t="s">
        <v>149</v>
      </c>
      <c r="D2736" t="s">
        <v>69</v>
      </c>
      <c r="E2736">
        <v>12</v>
      </c>
      <c r="F2736">
        <v>10.9</v>
      </c>
      <c r="G2736">
        <v>0.91</v>
      </c>
      <c r="H2736">
        <v>30</v>
      </c>
      <c r="I2736">
        <v>3000</v>
      </c>
      <c r="J2736">
        <v>1000</v>
      </c>
      <c r="K2736" t="s">
        <v>108</v>
      </c>
      <c r="L2736" t="s">
        <v>100</v>
      </c>
      <c r="M2736" t="s">
        <v>50</v>
      </c>
      <c r="N2736" t="b">
        <v>0</v>
      </c>
      <c r="O2736" t="s">
        <v>166</v>
      </c>
    </row>
    <row r="2737" spans="1:15" ht="15" customHeight="1">
      <c r="A2737" t="s">
        <v>762</v>
      </c>
      <c r="B2737" t="s">
        <v>3337</v>
      </c>
      <c r="C2737" t="s">
        <v>75</v>
      </c>
      <c r="D2737" t="s">
        <v>69</v>
      </c>
      <c r="E2737">
        <v>15</v>
      </c>
      <c r="F2737">
        <v>11.5</v>
      </c>
      <c r="G2737">
        <v>0.77</v>
      </c>
      <c r="H2737">
        <v>13</v>
      </c>
      <c r="I2737">
        <v>2000</v>
      </c>
      <c r="J2737">
        <v>1500</v>
      </c>
      <c r="K2737" t="s">
        <v>211</v>
      </c>
      <c r="L2737" t="s">
        <v>100</v>
      </c>
      <c r="M2737" t="s">
        <v>44</v>
      </c>
      <c r="N2737" t="b">
        <v>0</v>
      </c>
      <c r="O2737" t="s">
        <v>212</v>
      </c>
    </row>
    <row r="2738" spans="1:15" ht="15" customHeight="1">
      <c r="A2738" t="s">
        <v>1076</v>
      </c>
      <c r="B2738" t="s">
        <v>3338</v>
      </c>
      <c r="C2738" t="s">
        <v>129</v>
      </c>
      <c r="D2738" t="s">
        <v>130</v>
      </c>
      <c r="E2738">
        <v>11</v>
      </c>
      <c r="F2738">
        <v>3.5</v>
      </c>
      <c r="G2738">
        <v>0.32</v>
      </c>
      <c r="H2738">
        <v>10</v>
      </c>
      <c r="I2738">
        <v>5000</v>
      </c>
      <c r="J2738">
        <v>1000</v>
      </c>
      <c r="K2738" t="s">
        <v>158</v>
      </c>
      <c r="L2738" t="s">
        <v>91</v>
      </c>
      <c r="M2738" t="s">
        <v>51</v>
      </c>
      <c r="N2738" t="b">
        <v>1</v>
      </c>
      <c r="O2738" t="s">
        <v>159</v>
      </c>
    </row>
    <row r="2739" spans="1:15" ht="15" customHeight="1">
      <c r="A2739" t="s">
        <v>367</v>
      </c>
      <c r="B2739" t="s">
        <v>3339</v>
      </c>
      <c r="C2739" t="s">
        <v>75</v>
      </c>
      <c r="D2739" t="s">
        <v>69</v>
      </c>
      <c r="E2739">
        <v>16</v>
      </c>
      <c r="F2739">
        <v>3.7</v>
      </c>
      <c r="G2739">
        <v>0.23</v>
      </c>
      <c r="H2739">
        <v>21</v>
      </c>
      <c r="I2739">
        <v>2000</v>
      </c>
      <c r="J2739">
        <v>1500</v>
      </c>
      <c r="K2739" t="s">
        <v>365</v>
      </c>
      <c r="L2739" t="s">
        <v>71</v>
      </c>
      <c r="M2739" t="s">
        <v>51</v>
      </c>
      <c r="N2739" t="b">
        <v>0</v>
      </c>
      <c r="O2739" t="s">
        <v>366</v>
      </c>
    </row>
    <row r="2740" spans="1:15" ht="15" customHeight="1">
      <c r="A2740" t="s">
        <v>731</v>
      </c>
      <c r="B2740" t="s">
        <v>3340</v>
      </c>
      <c r="C2740" t="s">
        <v>149</v>
      </c>
      <c r="D2740" t="s">
        <v>69</v>
      </c>
      <c r="E2740">
        <v>11</v>
      </c>
      <c r="F2740">
        <v>8.1999999999999993</v>
      </c>
      <c r="G2740">
        <v>0.75</v>
      </c>
      <c r="H2740">
        <v>33</v>
      </c>
      <c r="I2740">
        <v>3000</v>
      </c>
      <c r="J2740">
        <v>1000</v>
      </c>
      <c r="K2740" t="s">
        <v>169</v>
      </c>
      <c r="L2740" t="s">
        <v>117</v>
      </c>
      <c r="M2740" t="s">
        <v>44</v>
      </c>
      <c r="N2740" t="b">
        <v>1</v>
      </c>
      <c r="O2740" t="s">
        <v>702</v>
      </c>
    </row>
    <row r="2741" spans="1:15" ht="15" customHeight="1">
      <c r="A2741" t="s">
        <v>319</v>
      </c>
      <c r="B2741" t="s">
        <v>3341</v>
      </c>
      <c r="C2741" t="s">
        <v>129</v>
      </c>
      <c r="D2741" t="s">
        <v>130</v>
      </c>
      <c r="E2741">
        <v>15</v>
      </c>
      <c r="F2741">
        <v>9</v>
      </c>
      <c r="G2741">
        <v>0.6</v>
      </c>
      <c r="H2741">
        <v>8</v>
      </c>
      <c r="I2741">
        <v>5000</v>
      </c>
      <c r="J2741">
        <v>1000</v>
      </c>
      <c r="K2741" t="s">
        <v>76</v>
      </c>
      <c r="L2741" t="s">
        <v>96</v>
      </c>
      <c r="M2741" t="s">
        <v>51</v>
      </c>
      <c r="N2741" t="b">
        <v>0</v>
      </c>
      <c r="O2741" t="s">
        <v>317</v>
      </c>
    </row>
    <row r="2742" spans="1:15" ht="15" customHeight="1">
      <c r="A2742" t="s">
        <v>632</v>
      </c>
      <c r="B2742" t="s">
        <v>3342</v>
      </c>
      <c r="C2742" t="s">
        <v>129</v>
      </c>
      <c r="D2742" t="s">
        <v>130</v>
      </c>
      <c r="E2742">
        <v>15</v>
      </c>
      <c r="F2742">
        <v>4.3</v>
      </c>
      <c r="G2742">
        <v>0.28999999999999998</v>
      </c>
      <c r="H2742">
        <v>28</v>
      </c>
      <c r="I2742">
        <v>5000</v>
      </c>
      <c r="J2742">
        <v>1000</v>
      </c>
      <c r="K2742" t="s">
        <v>116</v>
      </c>
      <c r="L2742" t="s">
        <v>117</v>
      </c>
      <c r="M2742" t="s">
        <v>41</v>
      </c>
      <c r="N2742" t="b">
        <v>1</v>
      </c>
      <c r="O2742" t="s">
        <v>470</v>
      </c>
    </row>
    <row r="2743" spans="1:15" ht="15" customHeight="1">
      <c r="A2743" t="s">
        <v>644</v>
      </c>
      <c r="B2743" t="s">
        <v>3343</v>
      </c>
      <c r="C2743" t="s">
        <v>75</v>
      </c>
      <c r="D2743" t="s">
        <v>69</v>
      </c>
      <c r="E2743">
        <v>15</v>
      </c>
      <c r="F2743">
        <v>9.9</v>
      </c>
      <c r="G2743">
        <v>0.66</v>
      </c>
      <c r="H2743">
        <v>26</v>
      </c>
      <c r="I2743">
        <v>2000</v>
      </c>
      <c r="J2743">
        <v>1500</v>
      </c>
      <c r="K2743" t="s">
        <v>298</v>
      </c>
      <c r="L2743" t="s">
        <v>117</v>
      </c>
      <c r="M2743" t="s">
        <v>45</v>
      </c>
      <c r="N2743" t="b">
        <v>1</v>
      </c>
      <c r="O2743" t="s">
        <v>299</v>
      </c>
    </row>
    <row r="2744" spans="1:15" ht="15" customHeight="1">
      <c r="A2744" t="s">
        <v>961</v>
      </c>
      <c r="B2744" t="s">
        <v>3344</v>
      </c>
      <c r="C2744" t="s">
        <v>81</v>
      </c>
      <c r="D2744" t="s">
        <v>69</v>
      </c>
      <c r="E2744">
        <v>17</v>
      </c>
      <c r="F2744">
        <v>11.1</v>
      </c>
      <c r="G2744">
        <v>0.65</v>
      </c>
      <c r="H2744">
        <v>20</v>
      </c>
      <c r="I2744">
        <v>10000</v>
      </c>
      <c r="J2744">
        <v>3000</v>
      </c>
      <c r="K2744" t="s">
        <v>86</v>
      </c>
      <c r="L2744" t="s">
        <v>100</v>
      </c>
      <c r="M2744" t="s">
        <v>42</v>
      </c>
      <c r="N2744" t="b">
        <v>0</v>
      </c>
      <c r="O2744" t="s">
        <v>87</v>
      </c>
    </row>
    <row r="2745" spans="1:15" ht="15" customHeight="1">
      <c r="A2745" t="s">
        <v>247</v>
      </c>
      <c r="B2745" t="s">
        <v>3345</v>
      </c>
      <c r="C2745" t="s">
        <v>149</v>
      </c>
      <c r="D2745" t="s">
        <v>69</v>
      </c>
      <c r="E2745">
        <v>8</v>
      </c>
      <c r="F2745">
        <v>6.3</v>
      </c>
      <c r="G2745">
        <v>0.79</v>
      </c>
      <c r="H2745">
        <v>26</v>
      </c>
      <c r="I2745">
        <v>3000</v>
      </c>
      <c r="J2745">
        <v>1000</v>
      </c>
      <c r="K2745" t="s">
        <v>294</v>
      </c>
      <c r="L2745" t="s">
        <v>100</v>
      </c>
      <c r="M2745" t="s">
        <v>45</v>
      </c>
      <c r="N2745" t="b">
        <v>0</v>
      </c>
      <c r="O2745" t="s">
        <v>295</v>
      </c>
    </row>
    <row r="2746" spans="1:15" ht="15" customHeight="1">
      <c r="A2746" t="s">
        <v>267</v>
      </c>
      <c r="B2746" t="s">
        <v>3346</v>
      </c>
      <c r="C2746" t="s">
        <v>75</v>
      </c>
      <c r="D2746" t="s">
        <v>69</v>
      </c>
      <c r="E2746">
        <v>9</v>
      </c>
      <c r="F2746">
        <v>7.6</v>
      </c>
      <c r="G2746">
        <v>0.84</v>
      </c>
      <c r="H2746">
        <v>27</v>
      </c>
      <c r="I2746">
        <v>2000</v>
      </c>
      <c r="J2746">
        <v>1500</v>
      </c>
      <c r="K2746" t="s">
        <v>150</v>
      </c>
      <c r="L2746" t="s">
        <v>104</v>
      </c>
      <c r="M2746" t="s">
        <v>48</v>
      </c>
      <c r="N2746" t="b">
        <v>0</v>
      </c>
      <c r="O2746" t="s">
        <v>528</v>
      </c>
    </row>
    <row r="2747" spans="1:15" ht="15" customHeight="1">
      <c r="A2747" t="s">
        <v>464</v>
      </c>
      <c r="B2747" t="s">
        <v>3347</v>
      </c>
      <c r="C2747" t="s">
        <v>75</v>
      </c>
      <c r="D2747" t="s">
        <v>69</v>
      </c>
      <c r="E2747">
        <v>18</v>
      </c>
      <c r="F2747">
        <v>7.2</v>
      </c>
      <c r="G2747">
        <v>0.4</v>
      </c>
      <c r="H2747">
        <v>25</v>
      </c>
      <c r="I2747">
        <v>2000</v>
      </c>
      <c r="J2747">
        <v>1500</v>
      </c>
      <c r="K2747" t="s">
        <v>158</v>
      </c>
      <c r="L2747" t="s">
        <v>100</v>
      </c>
      <c r="M2747" t="s">
        <v>41</v>
      </c>
      <c r="N2747" t="b">
        <v>0</v>
      </c>
      <c r="O2747" t="s">
        <v>400</v>
      </c>
    </row>
    <row r="2748" spans="1:15" ht="15" customHeight="1">
      <c r="A2748" t="s">
        <v>423</v>
      </c>
      <c r="B2748" t="s">
        <v>3348</v>
      </c>
      <c r="C2748" t="s">
        <v>149</v>
      </c>
      <c r="D2748" t="s">
        <v>69</v>
      </c>
      <c r="E2748">
        <v>9</v>
      </c>
      <c r="F2748">
        <v>8.4</v>
      </c>
      <c r="G2748">
        <v>0.93</v>
      </c>
      <c r="H2748">
        <v>18</v>
      </c>
      <c r="I2748">
        <v>3000</v>
      </c>
      <c r="J2748">
        <v>1000</v>
      </c>
      <c r="K2748" t="s">
        <v>150</v>
      </c>
      <c r="L2748" t="s">
        <v>117</v>
      </c>
      <c r="M2748" t="s">
        <v>40</v>
      </c>
      <c r="N2748" t="b">
        <v>1</v>
      </c>
      <c r="O2748" t="s">
        <v>151</v>
      </c>
    </row>
    <row r="2749" spans="1:15" ht="15" customHeight="1">
      <c r="A2749" t="s">
        <v>756</v>
      </c>
      <c r="B2749" t="s">
        <v>3349</v>
      </c>
      <c r="C2749" t="s">
        <v>68</v>
      </c>
      <c r="D2749" t="s">
        <v>69</v>
      </c>
      <c r="E2749">
        <v>13</v>
      </c>
      <c r="F2749">
        <v>3.6</v>
      </c>
      <c r="G2749">
        <v>0.28000000000000003</v>
      </c>
      <c r="H2749">
        <v>3</v>
      </c>
      <c r="I2749">
        <v>30000</v>
      </c>
      <c r="J2749">
        <v>5000</v>
      </c>
      <c r="K2749" t="s">
        <v>108</v>
      </c>
      <c r="L2749" t="s">
        <v>117</v>
      </c>
      <c r="M2749" t="s">
        <v>41</v>
      </c>
      <c r="N2749" t="b">
        <v>1</v>
      </c>
      <c r="O2749" t="s">
        <v>109</v>
      </c>
    </row>
    <row r="2750" spans="1:15" ht="15" customHeight="1">
      <c r="A2750" t="s">
        <v>79</v>
      </c>
      <c r="B2750" t="s">
        <v>3350</v>
      </c>
      <c r="C2750" t="s">
        <v>149</v>
      </c>
      <c r="D2750" t="s">
        <v>69</v>
      </c>
      <c r="E2750">
        <v>11</v>
      </c>
      <c r="F2750">
        <v>9.9</v>
      </c>
      <c r="G2750">
        <v>0.9</v>
      </c>
      <c r="H2750">
        <v>20</v>
      </c>
      <c r="I2750">
        <v>3000</v>
      </c>
      <c r="J2750">
        <v>1000</v>
      </c>
      <c r="K2750" t="s">
        <v>162</v>
      </c>
      <c r="L2750" t="s">
        <v>77</v>
      </c>
      <c r="M2750" t="s">
        <v>51</v>
      </c>
      <c r="N2750" t="b">
        <v>0</v>
      </c>
      <c r="O2750" t="s">
        <v>180</v>
      </c>
    </row>
    <row r="2751" spans="1:15" ht="15" customHeight="1">
      <c r="A2751" t="s">
        <v>513</v>
      </c>
      <c r="B2751" t="s">
        <v>3351</v>
      </c>
      <c r="C2751" t="s">
        <v>149</v>
      </c>
      <c r="D2751" t="s">
        <v>69</v>
      </c>
      <c r="E2751">
        <v>8</v>
      </c>
      <c r="F2751">
        <v>7.9</v>
      </c>
      <c r="G2751">
        <v>0.99</v>
      </c>
      <c r="H2751">
        <v>20</v>
      </c>
      <c r="I2751">
        <v>3000</v>
      </c>
      <c r="J2751">
        <v>1000</v>
      </c>
      <c r="K2751" t="s">
        <v>162</v>
      </c>
      <c r="L2751" t="s">
        <v>96</v>
      </c>
      <c r="M2751" t="s">
        <v>40</v>
      </c>
      <c r="N2751" t="b">
        <v>0</v>
      </c>
      <c r="O2751" t="s">
        <v>180</v>
      </c>
    </row>
    <row r="2752" spans="1:15" ht="15" customHeight="1">
      <c r="A2752" t="s">
        <v>147</v>
      </c>
      <c r="B2752" t="s">
        <v>3352</v>
      </c>
      <c r="C2752" t="s">
        <v>129</v>
      </c>
      <c r="D2752" t="s">
        <v>130</v>
      </c>
      <c r="E2752">
        <v>13</v>
      </c>
      <c r="F2752">
        <v>10.9</v>
      </c>
      <c r="G2752">
        <v>0.84</v>
      </c>
      <c r="H2752">
        <v>30</v>
      </c>
      <c r="I2752">
        <v>5000</v>
      </c>
      <c r="J2752">
        <v>1000</v>
      </c>
      <c r="K2752" t="s">
        <v>112</v>
      </c>
      <c r="L2752" t="s">
        <v>100</v>
      </c>
      <c r="M2752" t="s">
        <v>43</v>
      </c>
      <c r="N2752" t="b">
        <v>0</v>
      </c>
      <c r="O2752" t="s">
        <v>195</v>
      </c>
    </row>
    <row r="2753" spans="1:15" ht="15" customHeight="1">
      <c r="A2753" t="s">
        <v>3180</v>
      </c>
      <c r="B2753" t="s">
        <v>3353</v>
      </c>
      <c r="C2753" t="s">
        <v>68</v>
      </c>
      <c r="D2753" t="s">
        <v>69</v>
      </c>
      <c r="E2753">
        <v>16</v>
      </c>
      <c r="F2753">
        <v>2.6</v>
      </c>
      <c r="G2753">
        <v>0.16</v>
      </c>
      <c r="H2753">
        <v>3</v>
      </c>
      <c r="I2753">
        <v>30000</v>
      </c>
      <c r="J2753">
        <v>5000</v>
      </c>
      <c r="K2753" t="s">
        <v>108</v>
      </c>
      <c r="L2753" t="s">
        <v>100</v>
      </c>
      <c r="M2753" t="s">
        <v>49</v>
      </c>
      <c r="N2753" t="b">
        <v>0</v>
      </c>
      <c r="O2753" t="s">
        <v>109</v>
      </c>
    </row>
    <row r="2754" spans="1:15" ht="15" customHeight="1">
      <c r="A2754" t="s">
        <v>156</v>
      </c>
      <c r="B2754" t="s">
        <v>3354</v>
      </c>
      <c r="C2754" t="s">
        <v>149</v>
      </c>
      <c r="D2754" t="s">
        <v>69</v>
      </c>
      <c r="E2754">
        <v>8</v>
      </c>
      <c r="F2754">
        <v>7.3</v>
      </c>
      <c r="G2754">
        <v>0.91</v>
      </c>
      <c r="H2754">
        <v>29</v>
      </c>
      <c r="I2754">
        <v>3000</v>
      </c>
      <c r="J2754">
        <v>1000</v>
      </c>
      <c r="K2754" t="s">
        <v>303</v>
      </c>
      <c r="L2754" t="s">
        <v>77</v>
      </c>
      <c r="M2754" t="s">
        <v>47</v>
      </c>
      <c r="N2754" t="b">
        <v>0</v>
      </c>
      <c r="O2754" t="s">
        <v>323</v>
      </c>
    </row>
    <row r="2755" spans="1:15" ht="15" customHeight="1">
      <c r="A2755" t="s">
        <v>447</v>
      </c>
      <c r="B2755" t="s">
        <v>3355</v>
      </c>
      <c r="C2755" t="s">
        <v>149</v>
      </c>
      <c r="D2755" t="s">
        <v>69</v>
      </c>
      <c r="E2755">
        <v>10</v>
      </c>
      <c r="F2755">
        <v>6.5</v>
      </c>
      <c r="G2755">
        <v>0.65</v>
      </c>
      <c r="H2755">
        <v>20</v>
      </c>
      <c r="I2755">
        <v>3000</v>
      </c>
      <c r="J2755">
        <v>1000</v>
      </c>
      <c r="K2755" t="s">
        <v>162</v>
      </c>
      <c r="L2755" t="s">
        <v>71</v>
      </c>
      <c r="M2755" t="s">
        <v>44</v>
      </c>
      <c r="N2755" t="b">
        <v>0</v>
      </c>
      <c r="O2755" t="s">
        <v>180</v>
      </c>
    </row>
    <row r="2756" spans="1:15" ht="15" customHeight="1">
      <c r="A2756" t="s">
        <v>1153</v>
      </c>
      <c r="B2756" t="s">
        <v>3356</v>
      </c>
      <c r="C2756" t="s">
        <v>81</v>
      </c>
      <c r="D2756" t="s">
        <v>69</v>
      </c>
      <c r="E2756">
        <v>12</v>
      </c>
      <c r="F2756">
        <v>8.3000000000000007</v>
      </c>
      <c r="G2756">
        <v>0.69</v>
      </c>
      <c r="H2756">
        <v>25</v>
      </c>
      <c r="I2756">
        <v>10000</v>
      </c>
      <c r="J2756">
        <v>3000</v>
      </c>
      <c r="K2756" t="s">
        <v>138</v>
      </c>
      <c r="L2756" t="s">
        <v>104</v>
      </c>
      <c r="M2756" t="s">
        <v>40</v>
      </c>
      <c r="N2756" t="b">
        <v>0</v>
      </c>
      <c r="O2756" t="s">
        <v>139</v>
      </c>
    </row>
    <row r="2757" spans="1:15" ht="15" customHeight="1">
      <c r="A2757" t="s">
        <v>1809</v>
      </c>
      <c r="B2757" t="s">
        <v>3357</v>
      </c>
      <c r="C2757" t="s">
        <v>81</v>
      </c>
      <c r="D2757" t="s">
        <v>69</v>
      </c>
      <c r="E2757">
        <v>8</v>
      </c>
      <c r="F2757">
        <v>7.3</v>
      </c>
      <c r="G2757">
        <v>0.91</v>
      </c>
      <c r="H2757">
        <v>8</v>
      </c>
      <c r="I2757">
        <v>10000</v>
      </c>
      <c r="J2757">
        <v>3000</v>
      </c>
      <c r="K2757" t="s">
        <v>357</v>
      </c>
      <c r="L2757" t="s">
        <v>91</v>
      </c>
      <c r="M2757" t="s">
        <v>40</v>
      </c>
      <c r="N2757" t="b">
        <v>1</v>
      </c>
      <c r="O2757" t="s">
        <v>295</v>
      </c>
    </row>
    <row r="2758" spans="1:15" ht="15" customHeight="1">
      <c r="A2758" t="s">
        <v>638</v>
      </c>
      <c r="B2758" t="s">
        <v>3358</v>
      </c>
      <c r="C2758" t="s">
        <v>68</v>
      </c>
      <c r="D2758" t="s">
        <v>69</v>
      </c>
      <c r="E2758">
        <v>12</v>
      </c>
      <c r="F2758">
        <v>0.8</v>
      </c>
      <c r="G2758">
        <v>7.0000000000000007E-2</v>
      </c>
      <c r="H2758">
        <v>4</v>
      </c>
      <c r="I2758">
        <v>30000</v>
      </c>
      <c r="J2758">
        <v>5000</v>
      </c>
      <c r="K2758" t="s">
        <v>95</v>
      </c>
      <c r="L2758" t="s">
        <v>77</v>
      </c>
      <c r="M2758" t="s">
        <v>48</v>
      </c>
      <c r="N2758" t="b">
        <v>0</v>
      </c>
      <c r="O2758" t="s">
        <v>97</v>
      </c>
    </row>
    <row r="2759" spans="1:15" ht="15" customHeight="1">
      <c r="A2759" t="s">
        <v>699</v>
      </c>
      <c r="B2759" t="s">
        <v>3359</v>
      </c>
      <c r="C2759" t="s">
        <v>149</v>
      </c>
      <c r="D2759" t="s">
        <v>69</v>
      </c>
      <c r="E2759">
        <v>12</v>
      </c>
      <c r="F2759">
        <v>10.3</v>
      </c>
      <c r="G2759">
        <v>0.86</v>
      </c>
      <c r="H2759">
        <v>30</v>
      </c>
      <c r="I2759">
        <v>3000</v>
      </c>
      <c r="J2759">
        <v>1000</v>
      </c>
      <c r="K2759" t="s">
        <v>108</v>
      </c>
      <c r="L2759" t="s">
        <v>77</v>
      </c>
      <c r="M2759" t="s">
        <v>40</v>
      </c>
      <c r="N2759" t="b">
        <v>0</v>
      </c>
      <c r="O2759" t="s">
        <v>166</v>
      </c>
    </row>
    <row r="2760" spans="1:15" ht="15" customHeight="1">
      <c r="A2760" t="s">
        <v>140</v>
      </c>
      <c r="B2760" t="s">
        <v>3360</v>
      </c>
      <c r="C2760" t="s">
        <v>75</v>
      </c>
      <c r="D2760" t="s">
        <v>69</v>
      </c>
      <c r="E2760">
        <v>13</v>
      </c>
      <c r="F2760">
        <v>7.6</v>
      </c>
      <c r="G2760">
        <v>0.57999999999999996</v>
      </c>
      <c r="H2760">
        <v>11</v>
      </c>
      <c r="I2760">
        <v>2000</v>
      </c>
      <c r="J2760">
        <v>1500</v>
      </c>
      <c r="K2760" t="s">
        <v>689</v>
      </c>
      <c r="L2760" t="s">
        <v>96</v>
      </c>
      <c r="M2760" t="s">
        <v>50</v>
      </c>
      <c r="N2760" t="b">
        <v>0</v>
      </c>
      <c r="O2760" t="s">
        <v>690</v>
      </c>
    </row>
    <row r="2761" spans="1:15" ht="15" customHeight="1">
      <c r="A2761" t="s">
        <v>239</v>
      </c>
      <c r="B2761" t="s">
        <v>3361</v>
      </c>
      <c r="C2761" t="s">
        <v>68</v>
      </c>
      <c r="D2761" t="s">
        <v>69</v>
      </c>
      <c r="E2761">
        <v>12</v>
      </c>
      <c r="F2761">
        <v>1.7</v>
      </c>
      <c r="G2761">
        <v>0.14000000000000001</v>
      </c>
      <c r="H2761">
        <v>4</v>
      </c>
      <c r="I2761">
        <v>30000</v>
      </c>
      <c r="J2761">
        <v>5000</v>
      </c>
      <c r="K2761" t="s">
        <v>95</v>
      </c>
      <c r="L2761" t="s">
        <v>71</v>
      </c>
      <c r="M2761" t="s">
        <v>51</v>
      </c>
      <c r="N2761" t="b">
        <v>0</v>
      </c>
      <c r="O2761" t="s">
        <v>97</v>
      </c>
    </row>
    <row r="2762" spans="1:15" ht="15" customHeight="1">
      <c r="A2762" t="s">
        <v>1168</v>
      </c>
      <c r="B2762" t="s">
        <v>3362</v>
      </c>
      <c r="C2762" t="s">
        <v>75</v>
      </c>
      <c r="D2762" t="s">
        <v>69</v>
      </c>
      <c r="E2762">
        <v>17</v>
      </c>
      <c r="F2762">
        <v>15.5</v>
      </c>
      <c r="G2762">
        <v>0.91</v>
      </c>
      <c r="H2762">
        <v>26</v>
      </c>
      <c r="I2762">
        <v>2000</v>
      </c>
      <c r="J2762">
        <v>1500</v>
      </c>
      <c r="K2762" t="s">
        <v>298</v>
      </c>
      <c r="L2762" t="s">
        <v>91</v>
      </c>
      <c r="M2762" t="s">
        <v>46</v>
      </c>
      <c r="N2762" t="b">
        <v>1</v>
      </c>
      <c r="O2762" t="s">
        <v>299</v>
      </c>
    </row>
    <row r="2763" spans="1:15" ht="15" customHeight="1">
      <c r="A2763" t="s">
        <v>196</v>
      </c>
      <c r="B2763" t="s">
        <v>3363</v>
      </c>
      <c r="C2763" t="s">
        <v>129</v>
      </c>
      <c r="D2763" t="s">
        <v>130</v>
      </c>
      <c r="E2763">
        <v>17</v>
      </c>
      <c r="F2763">
        <v>4.7</v>
      </c>
      <c r="G2763">
        <v>0.28000000000000003</v>
      </c>
      <c r="H2763">
        <v>26</v>
      </c>
      <c r="I2763">
        <v>5000</v>
      </c>
      <c r="J2763">
        <v>1000</v>
      </c>
      <c r="K2763" t="s">
        <v>203</v>
      </c>
      <c r="L2763" t="s">
        <v>100</v>
      </c>
      <c r="M2763" t="s">
        <v>47</v>
      </c>
      <c r="N2763" t="b">
        <v>0</v>
      </c>
      <c r="O2763" t="s">
        <v>623</v>
      </c>
    </row>
    <row r="2764" spans="1:15" ht="15" customHeight="1">
      <c r="A2764" t="s">
        <v>88</v>
      </c>
      <c r="B2764" t="s">
        <v>3364</v>
      </c>
      <c r="C2764" t="s">
        <v>75</v>
      </c>
      <c r="D2764" t="s">
        <v>69</v>
      </c>
      <c r="E2764">
        <v>16</v>
      </c>
      <c r="F2764">
        <v>11.2</v>
      </c>
      <c r="G2764">
        <v>0.7</v>
      </c>
      <c r="H2764">
        <v>15</v>
      </c>
      <c r="I2764">
        <v>2000</v>
      </c>
      <c r="J2764">
        <v>1500</v>
      </c>
      <c r="K2764" t="s">
        <v>70</v>
      </c>
      <c r="L2764" t="s">
        <v>91</v>
      </c>
      <c r="M2764" t="s">
        <v>51</v>
      </c>
      <c r="N2764" t="b">
        <v>1</v>
      </c>
      <c r="O2764" t="s">
        <v>598</v>
      </c>
    </row>
    <row r="2765" spans="1:15" ht="15" customHeight="1">
      <c r="A2765" t="s">
        <v>483</v>
      </c>
      <c r="B2765" t="s">
        <v>3365</v>
      </c>
      <c r="C2765" t="s">
        <v>68</v>
      </c>
      <c r="D2765" t="s">
        <v>69</v>
      </c>
      <c r="E2765">
        <v>13</v>
      </c>
      <c r="F2765">
        <v>0.9</v>
      </c>
      <c r="G2765">
        <v>7.0000000000000007E-2</v>
      </c>
      <c r="H2765">
        <v>5</v>
      </c>
      <c r="I2765">
        <v>30000</v>
      </c>
      <c r="J2765">
        <v>5000</v>
      </c>
      <c r="K2765" t="s">
        <v>112</v>
      </c>
      <c r="L2765" t="s">
        <v>91</v>
      </c>
      <c r="M2765" t="s">
        <v>44</v>
      </c>
      <c r="N2765" t="b">
        <v>1</v>
      </c>
      <c r="O2765" t="s">
        <v>113</v>
      </c>
    </row>
    <row r="2766" spans="1:15" ht="15" customHeight="1">
      <c r="A2766" t="s">
        <v>532</v>
      </c>
      <c r="B2766" t="s">
        <v>3366</v>
      </c>
      <c r="C2766" t="s">
        <v>81</v>
      </c>
      <c r="D2766" t="s">
        <v>69</v>
      </c>
      <c r="E2766">
        <v>12</v>
      </c>
      <c r="F2766">
        <v>3.1</v>
      </c>
      <c r="G2766">
        <v>0.26</v>
      </c>
      <c r="H2766">
        <v>16</v>
      </c>
      <c r="I2766">
        <v>10000</v>
      </c>
      <c r="J2766">
        <v>3000</v>
      </c>
      <c r="K2766" t="s">
        <v>283</v>
      </c>
      <c r="L2766" t="s">
        <v>71</v>
      </c>
      <c r="M2766" t="s">
        <v>43</v>
      </c>
      <c r="N2766" t="b">
        <v>0</v>
      </c>
      <c r="O2766" t="s">
        <v>284</v>
      </c>
    </row>
    <row r="2767" spans="1:15" ht="15" customHeight="1">
      <c r="A2767" t="s">
        <v>327</v>
      </c>
      <c r="B2767" t="s">
        <v>3367</v>
      </c>
      <c r="C2767" t="s">
        <v>81</v>
      </c>
      <c r="D2767" t="s">
        <v>69</v>
      </c>
      <c r="E2767">
        <v>13</v>
      </c>
      <c r="F2767">
        <v>5.8</v>
      </c>
      <c r="G2767">
        <v>0.45</v>
      </c>
      <c r="H2767">
        <v>16</v>
      </c>
      <c r="I2767">
        <v>10000</v>
      </c>
      <c r="J2767">
        <v>3000</v>
      </c>
      <c r="K2767" t="s">
        <v>283</v>
      </c>
      <c r="L2767" t="s">
        <v>77</v>
      </c>
      <c r="M2767" t="s">
        <v>49</v>
      </c>
      <c r="N2767" t="b">
        <v>0</v>
      </c>
      <c r="O2767" t="s">
        <v>284</v>
      </c>
    </row>
    <row r="2768" spans="1:15" ht="15" customHeight="1">
      <c r="A2768" t="s">
        <v>223</v>
      </c>
      <c r="B2768" t="s">
        <v>3368</v>
      </c>
      <c r="C2768" t="s">
        <v>68</v>
      </c>
      <c r="D2768" t="s">
        <v>69</v>
      </c>
      <c r="E2768">
        <v>10</v>
      </c>
      <c r="F2768">
        <v>2.5</v>
      </c>
      <c r="G2768">
        <v>0.25</v>
      </c>
      <c r="H2768">
        <v>3</v>
      </c>
      <c r="I2768">
        <v>30000</v>
      </c>
      <c r="J2768">
        <v>5000</v>
      </c>
      <c r="K2768" t="s">
        <v>108</v>
      </c>
      <c r="L2768" t="s">
        <v>96</v>
      </c>
      <c r="M2768" t="s">
        <v>45</v>
      </c>
      <c r="N2768" t="b">
        <v>0</v>
      </c>
      <c r="O2768" t="s">
        <v>109</v>
      </c>
    </row>
    <row r="2769" spans="1:15" ht="15" customHeight="1">
      <c r="A2769" t="s">
        <v>221</v>
      </c>
      <c r="B2769" t="s">
        <v>3369</v>
      </c>
      <c r="C2769" t="s">
        <v>75</v>
      </c>
      <c r="D2769" t="s">
        <v>69</v>
      </c>
      <c r="E2769">
        <v>19</v>
      </c>
      <c r="F2769">
        <v>10.3</v>
      </c>
      <c r="G2769">
        <v>0.54</v>
      </c>
      <c r="H2769">
        <v>30</v>
      </c>
      <c r="I2769">
        <v>2000</v>
      </c>
      <c r="J2769">
        <v>1500</v>
      </c>
      <c r="K2769" t="s">
        <v>162</v>
      </c>
      <c r="L2769" t="s">
        <v>71</v>
      </c>
      <c r="M2769" t="s">
        <v>49</v>
      </c>
      <c r="N2769" t="b">
        <v>0</v>
      </c>
      <c r="O2769" t="s">
        <v>510</v>
      </c>
    </row>
    <row r="2770" spans="1:15" ht="15" customHeight="1">
      <c r="A2770" t="s">
        <v>93</v>
      </c>
      <c r="B2770" t="s">
        <v>3370</v>
      </c>
      <c r="C2770" t="s">
        <v>81</v>
      </c>
      <c r="D2770" t="s">
        <v>69</v>
      </c>
      <c r="E2770">
        <v>15</v>
      </c>
      <c r="F2770">
        <v>8.6999999999999993</v>
      </c>
      <c r="G2770">
        <v>0.57999999999999996</v>
      </c>
      <c r="H2770">
        <v>21</v>
      </c>
      <c r="I2770">
        <v>10000</v>
      </c>
      <c r="J2770">
        <v>3000</v>
      </c>
      <c r="K2770" t="s">
        <v>279</v>
      </c>
      <c r="L2770" t="s">
        <v>96</v>
      </c>
      <c r="M2770" t="s">
        <v>40</v>
      </c>
      <c r="N2770" t="b">
        <v>0</v>
      </c>
      <c r="O2770" t="s">
        <v>280</v>
      </c>
    </row>
    <row r="2771" spans="1:15" ht="15" customHeight="1">
      <c r="A2771" t="s">
        <v>756</v>
      </c>
      <c r="B2771" t="s">
        <v>3371</v>
      </c>
      <c r="C2771" t="s">
        <v>68</v>
      </c>
      <c r="D2771" t="s">
        <v>69</v>
      </c>
      <c r="E2771">
        <v>14</v>
      </c>
      <c r="F2771">
        <v>1.6</v>
      </c>
      <c r="G2771">
        <v>0.11</v>
      </c>
      <c r="H2771">
        <v>2</v>
      </c>
      <c r="I2771">
        <v>30000</v>
      </c>
      <c r="J2771">
        <v>5000</v>
      </c>
      <c r="K2771" t="s">
        <v>162</v>
      </c>
      <c r="L2771" t="s">
        <v>117</v>
      </c>
      <c r="M2771" t="s">
        <v>41</v>
      </c>
      <c r="N2771" t="b">
        <v>1</v>
      </c>
      <c r="O2771" t="s">
        <v>163</v>
      </c>
    </row>
    <row r="2772" spans="1:15" ht="15" customHeight="1">
      <c r="A2772" t="s">
        <v>561</v>
      </c>
      <c r="B2772" t="s">
        <v>3372</v>
      </c>
      <c r="C2772" t="s">
        <v>81</v>
      </c>
      <c r="D2772" t="s">
        <v>69</v>
      </c>
      <c r="E2772">
        <v>9</v>
      </c>
      <c r="F2772">
        <v>5.2</v>
      </c>
      <c r="G2772">
        <v>0.57999999999999996</v>
      </c>
      <c r="H2772">
        <v>10</v>
      </c>
      <c r="I2772">
        <v>10000</v>
      </c>
      <c r="J2772">
        <v>3000</v>
      </c>
      <c r="K2772" t="s">
        <v>103</v>
      </c>
      <c r="L2772" t="s">
        <v>71</v>
      </c>
      <c r="M2772" t="s">
        <v>50</v>
      </c>
      <c r="N2772" t="b">
        <v>0</v>
      </c>
      <c r="O2772" t="s">
        <v>105</v>
      </c>
    </row>
    <row r="2773" spans="1:15" ht="15" customHeight="1">
      <c r="A2773" t="s">
        <v>391</v>
      </c>
      <c r="B2773" t="s">
        <v>3373</v>
      </c>
      <c r="C2773" t="s">
        <v>81</v>
      </c>
      <c r="D2773" t="s">
        <v>69</v>
      </c>
      <c r="E2773">
        <v>12</v>
      </c>
      <c r="F2773">
        <v>4.5</v>
      </c>
      <c r="G2773">
        <v>0.38</v>
      </c>
      <c r="H2773">
        <v>13</v>
      </c>
      <c r="I2773">
        <v>10000</v>
      </c>
      <c r="J2773">
        <v>3000</v>
      </c>
      <c r="K2773" t="s">
        <v>203</v>
      </c>
      <c r="L2773" t="s">
        <v>71</v>
      </c>
      <c r="M2773" t="s">
        <v>46</v>
      </c>
      <c r="N2773" t="b">
        <v>0</v>
      </c>
      <c r="O2773" t="s">
        <v>204</v>
      </c>
    </row>
    <row r="2774" spans="1:15" ht="15" customHeight="1">
      <c r="A2774" t="s">
        <v>98</v>
      </c>
      <c r="B2774" t="s">
        <v>3374</v>
      </c>
      <c r="C2774" t="s">
        <v>149</v>
      </c>
      <c r="D2774" t="s">
        <v>69</v>
      </c>
      <c r="E2774">
        <v>10</v>
      </c>
      <c r="F2774">
        <v>7.5</v>
      </c>
      <c r="G2774">
        <v>0.75</v>
      </c>
      <c r="H2774">
        <v>31</v>
      </c>
      <c r="I2774">
        <v>3000</v>
      </c>
      <c r="J2774">
        <v>1000</v>
      </c>
      <c r="K2774" t="s">
        <v>530</v>
      </c>
      <c r="L2774" t="s">
        <v>100</v>
      </c>
      <c r="M2774" t="s">
        <v>47</v>
      </c>
      <c r="N2774" t="b">
        <v>0</v>
      </c>
      <c r="O2774" t="s">
        <v>531</v>
      </c>
    </row>
    <row r="2775" spans="1:15" ht="15" customHeight="1">
      <c r="A2775" t="s">
        <v>1031</v>
      </c>
      <c r="B2775" t="s">
        <v>3375</v>
      </c>
      <c r="C2775" t="s">
        <v>75</v>
      </c>
      <c r="D2775" t="s">
        <v>69</v>
      </c>
      <c r="E2775">
        <v>14</v>
      </c>
      <c r="F2775">
        <v>9.4</v>
      </c>
      <c r="G2775">
        <v>0.67</v>
      </c>
      <c r="H2775">
        <v>7</v>
      </c>
      <c r="I2775">
        <v>2000</v>
      </c>
      <c r="J2775">
        <v>1500</v>
      </c>
      <c r="K2775" t="s">
        <v>241</v>
      </c>
      <c r="L2775" t="s">
        <v>91</v>
      </c>
      <c r="M2775" t="s">
        <v>45</v>
      </c>
      <c r="N2775" t="b">
        <v>1</v>
      </c>
      <c r="O2775" t="s">
        <v>242</v>
      </c>
    </row>
    <row r="2776" spans="1:15" ht="15" customHeight="1">
      <c r="A2776" t="s">
        <v>1166</v>
      </c>
      <c r="B2776" t="s">
        <v>3376</v>
      </c>
      <c r="C2776" t="s">
        <v>68</v>
      </c>
      <c r="D2776" t="s">
        <v>69</v>
      </c>
      <c r="E2776">
        <v>11</v>
      </c>
      <c r="F2776">
        <v>2</v>
      </c>
      <c r="G2776">
        <v>0.18</v>
      </c>
      <c r="H2776">
        <v>2</v>
      </c>
      <c r="I2776">
        <v>30000</v>
      </c>
      <c r="J2776">
        <v>5000</v>
      </c>
      <c r="K2776" t="s">
        <v>162</v>
      </c>
      <c r="L2776" t="s">
        <v>96</v>
      </c>
      <c r="M2776" t="s">
        <v>46</v>
      </c>
      <c r="N2776" t="b">
        <v>0</v>
      </c>
      <c r="O2776" t="s">
        <v>163</v>
      </c>
    </row>
    <row r="2777" spans="1:15" ht="15" customHeight="1">
      <c r="A2777" t="s">
        <v>787</v>
      </c>
      <c r="B2777" t="s">
        <v>3377</v>
      </c>
      <c r="C2777" t="s">
        <v>68</v>
      </c>
      <c r="D2777" t="s">
        <v>69</v>
      </c>
      <c r="E2777">
        <v>13</v>
      </c>
      <c r="F2777">
        <v>2.1</v>
      </c>
      <c r="G2777">
        <v>0.16</v>
      </c>
      <c r="H2777">
        <v>5</v>
      </c>
      <c r="I2777">
        <v>30000</v>
      </c>
      <c r="J2777">
        <v>5000</v>
      </c>
      <c r="K2777" t="s">
        <v>112</v>
      </c>
      <c r="L2777" t="s">
        <v>96</v>
      </c>
      <c r="M2777" t="s">
        <v>43</v>
      </c>
      <c r="N2777" t="b">
        <v>0</v>
      </c>
      <c r="O2777" t="s">
        <v>113</v>
      </c>
    </row>
    <row r="2778" spans="1:15" ht="15" customHeight="1">
      <c r="A2778" t="s">
        <v>475</v>
      </c>
      <c r="B2778" t="s">
        <v>3378</v>
      </c>
      <c r="C2778" t="s">
        <v>68</v>
      </c>
      <c r="D2778" t="s">
        <v>69</v>
      </c>
      <c r="E2778">
        <v>14</v>
      </c>
      <c r="F2778">
        <v>2.4</v>
      </c>
      <c r="G2778">
        <v>0.17</v>
      </c>
      <c r="H2778">
        <v>3</v>
      </c>
      <c r="I2778">
        <v>30000</v>
      </c>
      <c r="J2778">
        <v>5000</v>
      </c>
      <c r="K2778" t="s">
        <v>108</v>
      </c>
      <c r="L2778" t="s">
        <v>91</v>
      </c>
      <c r="M2778" t="s">
        <v>47</v>
      </c>
      <c r="N2778" t="b">
        <v>1</v>
      </c>
      <c r="O2778" t="s">
        <v>109</v>
      </c>
    </row>
    <row r="2779" spans="1:15" ht="15" customHeight="1">
      <c r="A2779" t="s">
        <v>1260</v>
      </c>
      <c r="B2779" t="s">
        <v>3379</v>
      </c>
      <c r="C2779" t="s">
        <v>81</v>
      </c>
      <c r="D2779" t="s">
        <v>69</v>
      </c>
      <c r="E2779">
        <v>14</v>
      </c>
      <c r="F2779">
        <v>8.9</v>
      </c>
      <c r="G2779">
        <v>0.64</v>
      </c>
      <c r="H2779">
        <v>28</v>
      </c>
      <c r="I2779">
        <v>10000</v>
      </c>
      <c r="J2779">
        <v>3000</v>
      </c>
      <c r="K2779" t="s">
        <v>966</v>
      </c>
      <c r="L2779" t="s">
        <v>117</v>
      </c>
      <c r="M2779" t="s">
        <v>51</v>
      </c>
      <c r="N2779" t="b">
        <v>1</v>
      </c>
      <c r="O2779" t="s">
        <v>967</v>
      </c>
    </row>
    <row r="2780" spans="1:15" ht="15" customHeight="1">
      <c r="A2780" t="s">
        <v>327</v>
      </c>
      <c r="B2780" t="s">
        <v>3380</v>
      </c>
      <c r="C2780" t="s">
        <v>129</v>
      </c>
      <c r="D2780" t="s">
        <v>130</v>
      </c>
      <c r="E2780">
        <v>8</v>
      </c>
      <c r="F2780">
        <v>4.5</v>
      </c>
      <c r="G2780">
        <v>0.56000000000000005</v>
      </c>
      <c r="H2780">
        <v>15</v>
      </c>
      <c r="I2780">
        <v>5000</v>
      </c>
      <c r="J2780">
        <v>1000</v>
      </c>
      <c r="K2780" t="s">
        <v>479</v>
      </c>
      <c r="L2780" t="s">
        <v>77</v>
      </c>
      <c r="M2780" t="s">
        <v>49</v>
      </c>
      <c r="N2780" t="b">
        <v>0</v>
      </c>
      <c r="O2780" t="s">
        <v>480</v>
      </c>
    </row>
    <row r="2781" spans="1:15" ht="15" customHeight="1">
      <c r="A2781" t="s">
        <v>2132</v>
      </c>
      <c r="B2781" t="s">
        <v>3381</v>
      </c>
      <c r="C2781" t="s">
        <v>149</v>
      </c>
      <c r="D2781" t="s">
        <v>69</v>
      </c>
      <c r="E2781">
        <v>10</v>
      </c>
      <c r="F2781">
        <v>6</v>
      </c>
      <c r="G2781">
        <v>0.6</v>
      </c>
      <c r="H2781">
        <v>19</v>
      </c>
      <c r="I2781">
        <v>3000</v>
      </c>
      <c r="J2781">
        <v>1000</v>
      </c>
      <c r="K2781" t="s">
        <v>198</v>
      </c>
      <c r="L2781" t="s">
        <v>100</v>
      </c>
      <c r="M2781" t="s">
        <v>46</v>
      </c>
      <c r="N2781" t="b">
        <v>0</v>
      </c>
      <c r="O2781" t="s">
        <v>262</v>
      </c>
    </row>
    <row r="2782" spans="1:15" ht="15" customHeight="1">
      <c r="A2782" t="s">
        <v>801</v>
      </c>
      <c r="B2782" t="s">
        <v>3382</v>
      </c>
      <c r="C2782" t="s">
        <v>149</v>
      </c>
      <c r="D2782" t="s">
        <v>69</v>
      </c>
      <c r="E2782">
        <v>10</v>
      </c>
      <c r="F2782">
        <v>8.9</v>
      </c>
      <c r="G2782">
        <v>0.89</v>
      </c>
      <c r="H2782">
        <v>34</v>
      </c>
      <c r="I2782">
        <v>3000</v>
      </c>
      <c r="J2782">
        <v>1000</v>
      </c>
      <c r="K2782" t="s">
        <v>433</v>
      </c>
      <c r="L2782" t="s">
        <v>91</v>
      </c>
      <c r="M2782" t="s">
        <v>40</v>
      </c>
      <c r="N2782" t="b">
        <v>1</v>
      </c>
      <c r="O2782" t="s">
        <v>434</v>
      </c>
    </row>
    <row r="2783" spans="1:15" ht="15" customHeight="1">
      <c r="A2783" t="s">
        <v>367</v>
      </c>
      <c r="B2783" t="s">
        <v>3383</v>
      </c>
      <c r="C2783" t="s">
        <v>68</v>
      </c>
      <c r="D2783" t="s">
        <v>69</v>
      </c>
      <c r="E2783">
        <v>16</v>
      </c>
      <c r="F2783">
        <v>2.7</v>
      </c>
      <c r="G2783">
        <v>0.17</v>
      </c>
      <c r="H2783">
        <v>2</v>
      </c>
      <c r="I2783">
        <v>30000</v>
      </c>
      <c r="J2783">
        <v>5000</v>
      </c>
      <c r="K2783" t="s">
        <v>162</v>
      </c>
      <c r="L2783" t="s">
        <v>71</v>
      </c>
      <c r="M2783" t="s">
        <v>51</v>
      </c>
      <c r="N2783" t="b">
        <v>0</v>
      </c>
      <c r="O2783" t="s">
        <v>163</v>
      </c>
    </row>
    <row r="2784" spans="1:15" ht="15" customHeight="1">
      <c r="A2784" t="s">
        <v>334</v>
      </c>
      <c r="B2784" t="s">
        <v>3384</v>
      </c>
      <c r="C2784" t="s">
        <v>149</v>
      </c>
      <c r="D2784" t="s">
        <v>69</v>
      </c>
      <c r="E2784">
        <v>8</v>
      </c>
      <c r="F2784">
        <v>6.7</v>
      </c>
      <c r="G2784">
        <v>0.84</v>
      </c>
      <c r="H2784">
        <v>40</v>
      </c>
      <c r="I2784">
        <v>3000</v>
      </c>
      <c r="J2784">
        <v>1000</v>
      </c>
      <c r="K2784" t="s">
        <v>95</v>
      </c>
      <c r="L2784" t="s">
        <v>77</v>
      </c>
      <c r="M2784" t="s">
        <v>43</v>
      </c>
      <c r="N2784" t="b">
        <v>0</v>
      </c>
      <c r="O2784" t="s">
        <v>217</v>
      </c>
    </row>
    <row r="2785" spans="1:15" ht="15" customHeight="1">
      <c r="A2785" t="s">
        <v>1009</v>
      </c>
      <c r="B2785" t="s">
        <v>3385</v>
      </c>
      <c r="C2785" t="s">
        <v>81</v>
      </c>
      <c r="D2785" t="s">
        <v>69</v>
      </c>
      <c r="E2785">
        <v>12</v>
      </c>
      <c r="F2785">
        <v>4.8</v>
      </c>
      <c r="G2785">
        <v>0.4</v>
      </c>
      <c r="H2785">
        <v>21</v>
      </c>
      <c r="I2785">
        <v>10000</v>
      </c>
      <c r="J2785">
        <v>3000</v>
      </c>
      <c r="K2785" t="s">
        <v>279</v>
      </c>
      <c r="L2785" t="s">
        <v>117</v>
      </c>
      <c r="M2785" t="s">
        <v>42</v>
      </c>
      <c r="N2785" t="b">
        <v>1</v>
      </c>
      <c r="O2785" t="s">
        <v>280</v>
      </c>
    </row>
    <row r="2786" spans="1:15" ht="15" customHeight="1">
      <c r="A2786" t="s">
        <v>398</v>
      </c>
      <c r="B2786" t="s">
        <v>3386</v>
      </c>
      <c r="C2786" t="s">
        <v>75</v>
      </c>
      <c r="D2786" t="s">
        <v>69</v>
      </c>
      <c r="E2786">
        <v>19</v>
      </c>
      <c r="F2786">
        <v>14.2</v>
      </c>
      <c r="G2786">
        <v>0.75</v>
      </c>
      <c r="H2786">
        <v>9</v>
      </c>
      <c r="I2786">
        <v>2000</v>
      </c>
      <c r="J2786">
        <v>1500</v>
      </c>
      <c r="K2786" t="s">
        <v>740</v>
      </c>
      <c r="L2786" t="s">
        <v>117</v>
      </c>
      <c r="M2786" t="s">
        <v>43</v>
      </c>
      <c r="N2786" t="b">
        <v>1</v>
      </c>
      <c r="O2786" t="s">
        <v>741</v>
      </c>
    </row>
    <row r="2787" spans="1:15" ht="15" customHeight="1">
      <c r="A2787" t="s">
        <v>846</v>
      </c>
      <c r="B2787" t="s">
        <v>3387</v>
      </c>
      <c r="C2787" t="s">
        <v>75</v>
      </c>
      <c r="D2787" t="s">
        <v>69</v>
      </c>
      <c r="E2787">
        <v>16</v>
      </c>
      <c r="F2787">
        <v>4.4000000000000004</v>
      </c>
      <c r="G2787">
        <v>0.28000000000000003</v>
      </c>
      <c r="H2787">
        <v>28</v>
      </c>
      <c r="I2787">
        <v>2000</v>
      </c>
      <c r="J2787">
        <v>1500</v>
      </c>
      <c r="K2787" t="s">
        <v>262</v>
      </c>
      <c r="L2787" t="s">
        <v>104</v>
      </c>
      <c r="M2787" t="s">
        <v>45</v>
      </c>
      <c r="N2787" t="b">
        <v>0</v>
      </c>
      <c r="O2787" t="s">
        <v>289</v>
      </c>
    </row>
    <row r="2788" spans="1:15" ht="15" customHeight="1">
      <c r="A2788" t="s">
        <v>1411</v>
      </c>
      <c r="B2788" t="s">
        <v>3388</v>
      </c>
      <c r="C2788" t="s">
        <v>68</v>
      </c>
      <c r="D2788" t="s">
        <v>69</v>
      </c>
      <c r="E2788">
        <v>10</v>
      </c>
      <c r="F2788">
        <v>1.7</v>
      </c>
      <c r="G2788">
        <v>0.17</v>
      </c>
      <c r="H2788">
        <v>2</v>
      </c>
      <c r="I2788">
        <v>30000</v>
      </c>
      <c r="J2788">
        <v>5000</v>
      </c>
      <c r="K2788" t="s">
        <v>162</v>
      </c>
      <c r="L2788" t="s">
        <v>77</v>
      </c>
      <c r="M2788" t="s">
        <v>48</v>
      </c>
      <c r="N2788" t="b">
        <v>0</v>
      </c>
      <c r="O2788" t="s">
        <v>163</v>
      </c>
    </row>
    <row r="2789" spans="1:15" ht="15" customHeight="1">
      <c r="A2789" t="s">
        <v>1084</v>
      </c>
      <c r="B2789" t="s">
        <v>3389</v>
      </c>
      <c r="C2789" t="s">
        <v>68</v>
      </c>
      <c r="D2789" t="s">
        <v>69</v>
      </c>
      <c r="E2789">
        <v>15</v>
      </c>
      <c r="F2789">
        <v>3</v>
      </c>
      <c r="G2789">
        <v>0.2</v>
      </c>
      <c r="H2789">
        <v>4</v>
      </c>
      <c r="I2789">
        <v>30000</v>
      </c>
      <c r="J2789">
        <v>5000</v>
      </c>
      <c r="K2789" t="s">
        <v>95</v>
      </c>
      <c r="L2789" t="s">
        <v>77</v>
      </c>
      <c r="M2789" t="s">
        <v>44</v>
      </c>
      <c r="N2789" t="b">
        <v>0</v>
      </c>
      <c r="O2789" t="s">
        <v>97</v>
      </c>
    </row>
    <row r="2790" spans="1:15" ht="15" customHeight="1">
      <c r="A2790" t="s">
        <v>402</v>
      </c>
      <c r="B2790" t="s">
        <v>3390</v>
      </c>
      <c r="C2790" t="s">
        <v>68</v>
      </c>
      <c r="D2790" t="s">
        <v>69</v>
      </c>
      <c r="E2790">
        <v>9</v>
      </c>
      <c r="F2790">
        <v>2.8</v>
      </c>
      <c r="G2790">
        <v>0.31</v>
      </c>
      <c r="H2790">
        <v>3</v>
      </c>
      <c r="I2790">
        <v>30000</v>
      </c>
      <c r="J2790">
        <v>5000</v>
      </c>
      <c r="K2790" t="s">
        <v>108</v>
      </c>
      <c r="L2790" t="s">
        <v>71</v>
      </c>
      <c r="M2790" t="s">
        <v>41</v>
      </c>
      <c r="N2790" t="b">
        <v>0</v>
      </c>
      <c r="O2790" t="s">
        <v>109</v>
      </c>
    </row>
    <row r="2791" spans="1:15" ht="15" customHeight="1">
      <c r="A2791" t="s">
        <v>156</v>
      </c>
      <c r="B2791" t="s">
        <v>3391</v>
      </c>
      <c r="C2791" t="s">
        <v>68</v>
      </c>
      <c r="D2791" t="s">
        <v>69</v>
      </c>
      <c r="E2791">
        <v>9</v>
      </c>
      <c r="F2791">
        <v>3.9</v>
      </c>
      <c r="G2791">
        <v>0.43</v>
      </c>
      <c r="H2791">
        <v>2</v>
      </c>
      <c r="I2791">
        <v>30000</v>
      </c>
      <c r="J2791">
        <v>5000</v>
      </c>
      <c r="K2791" t="s">
        <v>162</v>
      </c>
      <c r="L2791" t="s">
        <v>77</v>
      </c>
      <c r="M2791" t="s">
        <v>47</v>
      </c>
      <c r="N2791" t="b">
        <v>0</v>
      </c>
      <c r="O2791" t="s">
        <v>163</v>
      </c>
    </row>
    <row r="2792" spans="1:15" ht="15" customHeight="1">
      <c r="A2792" t="s">
        <v>624</v>
      </c>
      <c r="B2792" t="s">
        <v>3392</v>
      </c>
      <c r="C2792" t="s">
        <v>149</v>
      </c>
      <c r="D2792" t="s">
        <v>69</v>
      </c>
      <c r="E2792">
        <v>11</v>
      </c>
      <c r="F2792">
        <v>7.9</v>
      </c>
      <c r="G2792">
        <v>0.72</v>
      </c>
      <c r="H2792">
        <v>22</v>
      </c>
      <c r="I2792">
        <v>3000</v>
      </c>
      <c r="J2792">
        <v>1000</v>
      </c>
      <c r="K2792" t="s">
        <v>556</v>
      </c>
      <c r="L2792" t="s">
        <v>91</v>
      </c>
      <c r="M2792" t="s">
        <v>45</v>
      </c>
      <c r="N2792" t="b">
        <v>1</v>
      </c>
      <c r="O2792" t="s">
        <v>313</v>
      </c>
    </row>
    <row r="2793" spans="1:15" ht="15" customHeight="1">
      <c r="A2793" t="s">
        <v>393</v>
      </c>
      <c r="B2793" t="s">
        <v>3393</v>
      </c>
      <c r="C2793" t="s">
        <v>81</v>
      </c>
      <c r="D2793" t="s">
        <v>69</v>
      </c>
      <c r="E2793">
        <v>15</v>
      </c>
      <c r="F2793">
        <v>9.8000000000000007</v>
      </c>
      <c r="G2793">
        <v>0.65</v>
      </c>
      <c r="H2793">
        <v>9</v>
      </c>
      <c r="I2793">
        <v>10000</v>
      </c>
      <c r="J2793">
        <v>3000</v>
      </c>
      <c r="K2793" t="s">
        <v>108</v>
      </c>
      <c r="L2793" t="s">
        <v>100</v>
      </c>
      <c r="M2793" t="s">
        <v>49</v>
      </c>
      <c r="N2793" t="b">
        <v>0</v>
      </c>
      <c r="O2793" t="s">
        <v>303</v>
      </c>
    </row>
    <row r="2794" spans="1:15" ht="15" customHeight="1">
      <c r="A2794" t="s">
        <v>386</v>
      </c>
      <c r="B2794" t="s">
        <v>3394</v>
      </c>
      <c r="C2794" t="s">
        <v>81</v>
      </c>
      <c r="D2794" t="s">
        <v>69</v>
      </c>
      <c r="E2794">
        <v>14</v>
      </c>
      <c r="F2794">
        <v>9.3000000000000007</v>
      </c>
      <c r="G2794">
        <v>0.66</v>
      </c>
      <c r="H2794">
        <v>19</v>
      </c>
      <c r="I2794">
        <v>10000</v>
      </c>
      <c r="J2794">
        <v>3000</v>
      </c>
      <c r="K2794" t="s">
        <v>309</v>
      </c>
      <c r="L2794" t="s">
        <v>77</v>
      </c>
      <c r="M2794" t="s">
        <v>42</v>
      </c>
      <c r="N2794" t="b">
        <v>0</v>
      </c>
      <c r="O2794" t="s">
        <v>310</v>
      </c>
    </row>
    <row r="2795" spans="1:15" ht="15" customHeight="1">
      <c r="A2795" t="s">
        <v>140</v>
      </c>
      <c r="B2795" t="s">
        <v>3395</v>
      </c>
      <c r="C2795" t="s">
        <v>129</v>
      </c>
      <c r="D2795" t="s">
        <v>130</v>
      </c>
      <c r="E2795">
        <v>12</v>
      </c>
      <c r="F2795">
        <v>10.8</v>
      </c>
      <c r="G2795">
        <v>0.9</v>
      </c>
      <c r="H2795">
        <v>10</v>
      </c>
      <c r="I2795">
        <v>5000</v>
      </c>
      <c r="J2795">
        <v>1000</v>
      </c>
      <c r="K2795" t="s">
        <v>158</v>
      </c>
      <c r="L2795" t="s">
        <v>96</v>
      </c>
      <c r="M2795" t="s">
        <v>50</v>
      </c>
      <c r="N2795" t="b">
        <v>0</v>
      </c>
      <c r="O2795" t="s">
        <v>159</v>
      </c>
    </row>
    <row r="2796" spans="1:15" ht="15" customHeight="1">
      <c r="A2796" t="s">
        <v>767</v>
      </c>
      <c r="B2796" t="s">
        <v>3396</v>
      </c>
      <c r="C2796" t="s">
        <v>81</v>
      </c>
      <c r="D2796" t="s">
        <v>69</v>
      </c>
      <c r="E2796">
        <v>15</v>
      </c>
      <c r="F2796">
        <v>9.1</v>
      </c>
      <c r="G2796">
        <v>0.61</v>
      </c>
      <c r="H2796">
        <v>19</v>
      </c>
      <c r="I2796">
        <v>10000</v>
      </c>
      <c r="J2796">
        <v>3000</v>
      </c>
      <c r="K2796" t="s">
        <v>309</v>
      </c>
      <c r="L2796" t="s">
        <v>104</v>
      </c>
      <c r="M2796" t="s">
        <v>48</v>
      </c>
      <c r="N2796" t="b">
        <v>0</v>
      </c>
      <c r="O2796" t="s">
        <v>310</v>
      </c>
    </row>
    <row r="2797" spans="1:15" ht="15" customHeight="1">
      <c r="A2797" t="s">
        <v>691</v>
      </c>
      <c r="B2797" t="s">
        <v>3397</v>
      </c>
      <c r="C2797" t="s">
        <v>68</v>
      </c>
      <c r="D2797" t="s">
        <v>69</v>
      </c>
      <c r="E2797">
        <v>11</v>
      </c>
      <c r="F2797">
        <v>3.5</v>
      </c>
      <c r="G2797">
        <v>0.32</v>
      </c>
      <c r="H2797">
        <v>3</v>
      </c>
      <c r="I2797">
        <v>30000</v>
      </c>
      <c r="J2797">
        <v>5000</v>
      </c>
      <c r="K2797" t="s">
        <v>108</v>
      </c>
      <c r="L2797" t="s">
        <v>100</v>
      </c>
      <c r="M2797" t="s">
        <v>47</v>
      </c>
      <c r="N2797" t="b">
        <v>0</v>
      </c>
      <c r="O2797" t="s">
        <v>109</v>
      </c>
    </row>
    <row r="2798" spans="1:15" ht="15" customHeight="1">
      <c r="A2798" t="s">
        <v>1260</v>
      </c>
      <c r="B2798" t="s">
        <v>3398</v>
      </c>
      <c r="C2798" t="s">
        <v>129</v>
      </c>
      <c r="D2798" t="s">
        <v>130</v>
      </c>
      <c r="E2798">
        <v>8</v>
      </c>
      <c r="F2798">
        <v>5.7</v>
      </c>
      <c r="G2798">
        <v>0.71</v>
      </c>
      <c r="H2798">
        <v>17</v>
      </c>
      <c r="I2798">
        <v>5000</v>
      </c>
      <c r="J2798">
        <v>1000</v>
      </c>
      <c r="K2798" t="s">
        <v>109</v>
      </c>
      <c r="L2798" t="s">
        <v>117</v>
      </c>
      <c r="M2798" t="s">
        <v>51</v>
      </c>
      <c r="N2798" t="b">
        <v>1</v>
      </c>
      <c r="O2798" t="s">
        <v>176</v>
      </c>
    </row>
    <row r="2799" spans="1:15" ht="15" customHeight="1">
      <c r="A2799" t="s">
        <v>3180</v>
      </c>
      <c r="B2799" t="s">
        <v>3399</v>
      </c>
      <c r="C2799" t="s">
        <v>68</v>
      </c>
      <c r="D2799" t="s">
        <v>69</v>
      </c>
      <c r="E2799">
        <v>14</v>
      </c>
      <c r="F2799">
        <v>1.5</v>
      </c>
      <c r="G2799">
        <v>0.11</v>
      </c>
      <c r="H2799">
        <v>5</v>
      </c>
      <c r="I2799">
        <v>30000</v>
      </c>
      <c r="J2799">
        <v>5000</v>
      </c>
      <c r="K2799" t="s">
        <v>112</v>
      </c>
      <c r="L2799" t="s">
        <v>100</v>
      </c>
      <c r="M2799" t="s">
        <v>49</v>
      </c>
      <c r="N2799" t="b">
        <v>0</v>
      </c>
      <c r="O2799" t="s">
        <v>113</v>
      </c>
    </row>
    <row r="2800" spans="1:15" ht="15" customHeight="1">
      <c r="A2800" t="s">
        <v>1151</v>
      </c>
      <c r="B2800" t="s">
        <v>3400</v>
      </c>
      <c r="C2800" t="s">
        <v>68</v>
      </c>
      <c r="D2800" t="s">
        <v>69</v>
      </c>
      <c r="E2800">
        <v>15</v>
      </c>
      <c r="F2800">
        <v>1.1000000000000001</v>
      </c>
      <c r="G2800">
        <v>7.0000000000000007E-2</v>
      </c>
      <c r="H2800">
        <v>2</v>
      </c>
      <c r="I2800">
        <v>30000</v>
      </c>
      <c r="J2800">
        <v>5000</v>
      </c>
      <c r="K2800" t="s">
        <v>162</v>
      </c>
      <c r="L2800" t="s">
        <v>77</v>
      </c>
      <c r="M2800" t="s">
        <v>42</v>
      </c>
      <c r="N2800" t="b">
        <v>0</v>
      </c>
      <c r="O2800" t="s">
        <v>163</v>
      </c>
    </row>
    <row r="2801" spans="1:15" ht="15" customHeight="1">
      <c r="A2801" t="s">
        <v>1711</v>
      </c>
      <c r="B2801" t="s">
        <v>3401</v>
      </c>
      <c r="C2801" t="s">
        <v>81</v>
      </c>
      <c r="D2801" t="s">
        <v>69</v>
      </c>
      <c r="E2801">
        <v>19</v>
      </c>
      <c r="F2801">
        <v>16</v>
      </c>
      <c r="G2801">
        <v>0.84</v>
      </c>
      <c r="H2801">
        <v>21</v>
      </c>
      <c r="I2801">
        <v>10000</v>
      </c>
      <c r="J2801">
        <v>3000</v>
      </c>
      <c r="K2801" t="s">
        <v>279</v>
      </c>
      <c r="L2801" t="s">
        <v>96</v>
      </c>
      <c r="M2801" t="s">
        <v>47</v>
      </c>
      <c r="N2801" t="b">
        <v>0</v>
      </c>
      <c r="O2801" t="s">
        <v>280</v>
      </c>
    </row>
    <row r="2802" spans="1:15" ht="15" customHeight="1">
      <c r="A2802" t="s">
        <v>121</v>
      </c>
      <c r="B2802" t="s">
        <v>3402</v>
      </c>
      <c r="C2802" t="s">
        <v>68</v>
      </c>
      <c r="D2802" t="s">
        <v>69</v>
      </c>
      <c r="E2802">
        <v>13</v>
      </c>
      <c r="F2802">
        <v>2.1</v>
      </c>
      <c r="G2802">
        <v>0.16</v>
      </c>
      <c r="H2802">
        <v>1</v>
      </c>
      <c r="I2802">
        <v>30000</v>
      </c>
      <c r="J2802">
        <v>5000</v>
      </c>
      <c r="K2802" t="s">
        <v>70</v>
      </c>
      <c r="L2802" t="s">
        <v>91</v>
      </c>
      <c r="M2802" t="s">
        <v>47</v>
      </c>
      <c r="N2802" t="b">
        <v>1</v>
      </c>
      <c r="O2802" t="s">
        <v>72</v>
      </c>
    </row>
    <row r="2803" spans="1:15" ht="15" customHeight="1">
      <c r="A2803" t="s">
        <v>329</v>
      </c>
      <c r="B2803" t="s">
        <v>3403</v>
      </c>
      <c r="C2803" t="s">
        <v>81</v>
      </c>
      <c r="D2803" t="s">
        <v>69</v>
      </c>
      <c r="E2803">
        <v>19</v>
      </c>
      <c r="F2803">
        <v>10.199999999999999</v>
      </c>
      <c r="G2803">
        <v>0.54</v>
      </c>
      <c r="H2803">
        <v>11</v>
      </c>
      <c r="I2803">
        <v>10000</v>
      </c>
      <c r="J2803">
        <v>3000</v>
      </c>
      <c r="K2803" t="s">
        <v>134</v>
      </c>
      <c r="L2803" t="s">
        <v>96</v>
      </c>
      <c r="M2803" t="s">
        <v>49</v>
      </c>
      <c r="N2803" t="b">
        <v>0</v>
      </c>
      <c r="O2803" t="s">
        <v>155</v>
      </c>
    </row>
    <row r="2804" spans="1:15" ht="15" customHeight="1">
      <c r="A2804" t="s">
        <v>563</v>
      </c>
      <c r="B2804" t="s">
        <v>3404</v>
      </c>
      <c r="C2804" t="s">
        <v>149</v>
      </c>
      <c r="D2804" t="s">
        <v>69</v>
      </c>
      <c r="E2804">
        <v>11</v>
      </c>
      <c r="F2804">
        <v>9.4</v>
      </c>
      <c r="G2804">
        <v>0.85</v>
      </c>
      <c r="H2804">
        <v>25</v>
      </c>
      <c r="I2804">
        <v>3000</v>
      </c>
      <c r="J2804">
        <v>1000</v>
      </c>
      <c r="K2804" t="s">
        <v>479</v>
      </c>
      <c r="L2804" t="s">
        <v>91</v>
      </c>
      <c r="M2804" t="s">
        <v>46</v>
      </c>
      <c r="N2804" t="b">
        <v>1</v>
      </c>
      <c r="O2804" t="s">
        <v>480</v>
      </c>
    </row>
    <row r="2805" spans="1:15" ht="15" customHeight="1">
      <c r="A2805" t="s">
        <v>590</v>
      </c>
      <c r="B2805" t="s">
        <v>3405</v>
      </c>
      <c r="C2805" t="s">
        <v>75</v>
      </c>
      <c r="D2805" t="s">
        <v>69</v>
      </c>
      <c r="E2805">
        <v>17</v>
      </c>
      <c r="F2805">
        <v>11.8</v>
      </c>
      <c r="G2805">
        <v>0.69</v>
      </c>
      <c r="H2805">
        <v>18</v>
      </c>
      <c r="I2805">
        <v>2000</v>
      </c>
      <c r="J2805">
        <v>1500</v>
      </c>
      <c r="K2805" t="s">
        <v>225</v>
      </c>
      <c r="L2805" t="s">
        <v>77</v>
      </c>
      <c r="M2805" t="s">
        <v>49</v>
      </c>
      <c r="N2805" t="b">
        <v>0</v>
      </c>
      <c r="O2805" t="s">
        <v>226</v>
      </c>
    </row>
    <row r="2806" spans="1:15" ht="15" customHeight="1">
      <c r="A2806" t="s">
        <v>393</v>
      </c>
      <c r="B2806" t="s">
        <v>3406</v>
      </c>
      <c r="C2806" t="s">
        <v>75</v>
      </c>
      <c r="D2806" t="s">
        <v>69</v>
      </c>
      <c r="E2806">
        <v>19</v>
      </c>
      <c r="F2806">
        <v>10.6</v>
      </c>
      <c r="G2806">
        <v>0.56000000000000005</v>
      </c>
      <c r="H2806">
        <v>18</v>
      </c>
      <c r="I2806">
        <v>2000</v>
      </c>
      <c r="J2806">
        <v>1500</v>
      </c>
      <c r="K2806" t="s">
        <v>225</v>
      </c>
      <c r="L2806" t="s">
        <v>100</v>
      </c>
      <c r="M2806" t="s">
        <v>49</v>
      </c>
      <c r="N2806" t="b">
        <v>0</v>
      </c>
      <c r="O2806" t="s">
        <v>226</v>
      </c>
    </row>
    <row r="2807" spans="1:15" ht="15" customHeight="1">
      <c r="A2807" t="s">
        <v>382</v>
      </c>
      <c r="B2807" t="s">
        <v>3407</v>
      </c>
      <c r="C2807" t="s">
        <v>129</v>
      </c>
      <c r="D2807" t="s">
        <v>130</v>
      </c>
      <c r="E2807">
        <v>11</v>
      </c>
      <c r="F2807">
        <v>7.8</v>
      </c>
      <c r="G2807">
        <v>0.71</v>
      </c>
      <c r="H2807">
        <v>13</v>
      </c>
      <c r="I2807">
        <v>5000</v>
      </c>
      <c r="J2807">
        <v>1000</v>
      </c>
      <c r="K2807" t="s">
        <v>313</v>
      </c>
      <c r="L2807" t="s">
        <v>71</v>
      </c>
      <c r="M2807" t="s">
        <v>46</v>
      </c>
      <c r="N2807" t="b">
        <v>0</v>
      </c>
      <c r="O2807" t="s">
        <v>314</v>
      </c>
    </row>
    <row r="2808" spans="1:15" ht="15" customHeight="1">
      <c r="A2808" t="s">
        <v>666</v>
      </c>
      <c r="B2808" t="s">
        <v>3408</v>
      </c>
      <c r="C2808" t="s">
        <v>75</v>
      </c>
      <c r="D2808" t="s">
        <v>69</v>
      </c>
      <c r="E2808">
        <v>9</v>
      </c>
      <c r="F2808">
        <v>4.5999999999999996</v>
      </c>
      <c r="G2808">
        <v>0.51</v>
      </c>
      <c r="H2808">
        <v>30</v>
      </c>
      <c r="I2808">
        <v>2000</v>
      </c>
      <c r="J2808">
        <v>1500</v>
      </c>
      <c r="K2808" t="s">
        <v>162</v>
      </c>
      <c r="L2808" t="s">
        <v>77</v>
      </c>
      <c r="M2808" t="s">
        <v>44</v>
      </c>
      <c r="N2808" t="b">
        <v>0</v>
      </c>
      <c r="O2808" t="s">
        <v>510</v>
      </c>
    </row>
    <row r="2809" spans="1:15" ht="15" customHeight="1">
      <c r="A2809" t="s">
        <v>332</v>
      </c>
      <c r="B2809" t="s">
        <v>3409</v>
      </c>
      <c r="C2809" t="s">
        <v>68</v>
      </c>
      <c r="D2809" t="s">
        <v>69</v>
      </c>
      <c r="E2809">
        <v>13</v>
      </c>
      <c r="F2809">
        <v>1.3</v>
      </c>
      <c r="G2809">
        <v>0.1</v>
      </c>
      <c r="H2809">
        <v>2</v>
      </c>
      <c r="I2809">
        <v>30000</v>
      </c>
      <c r="J2809">
        <v>5000</v>
      </c>
      <c r="K2809" t="s">
        <v>162</v>
      </c>
      <c r="L2809" t="s">
        <v>96</v>
      </c>
      <c r="M2809" t="s">
        <v>42</v>
      </c>
      <c r="N2809" t="b">
        <v>0</v>
      </c>
      <c r="O2809" t="s">
        <v>163</v>
      </c>
    </row>
    <row r="2810" spans="1:15" ht="15" customHeight="1">
      <c r="A2810" t="s">
        <v>1405</v>
      </c>
      <c r="B2810" t="s">
        <v>3410</v>
      </c>
      <c r="C2810" t="s">
        <v>68</v>
      </c>
      <c r="D2810" t="s">
        <v>69</v>
      </c>
      <c r="E2810">
        <v>12</v>
      </c>
      <c r="F2810">
        <v>2.8</v>
      </c>
      <c r="G2810">
        <v>0.23</v>
      </c>
      <c r="H2810">
        <v>5</v>
      </c>
      <c r="I2810">
        <v>30000</v>
      </c>
      <c r="J2810">
        <v>5000</v>
      </c>
      <c r="K2810" t="s">
        <v>112</v>
      </c>
      <c r="L2810" t="s">
        <v>100</v>
      </c>
      <c r="M2810" t="s">
        <v>42</v>
      </c>
      <c r="N2810" t="b">
        <v>0</v>
      </c>
      <c r="O2810" t="s">
        <v>113</v>
      </c>
    </row>
    <row r="2811" spans="1:15" ht="15" customHeight="1">
      <c r="A2811" t="s">
        <v>546</v>
      </c>
      <c r="B2811" t="s">
        <v>3411</v>
      </c>
      <c r="C2811" t="s">
        <v>81</v>
      </c>
      <c r="D2811" t="s">
        <v>69</v>
      </c>
      <c r="E2811">
        <v>13</v>
      </c>
      <c r="F2811">
        <v>4.8</v>
      </c>
      <c r="G2811">
        <v>0.37</v>
      </c>
      <c r="H2811">
        <v>15</v>
      </c>
      <c r="I2811">
        <v>10000</v>
      </c>
      <c r="J2811">
        <v>3000</v>
      </c>
      <c r="K2811" t="s">
        <v>112</v>
      </c>
      <c r="L2811" t="s">
        <v>100</v>
      </c>
      <c r="M2811" t="s">
        <v>45</v>
      </c>
      <c r="N2811" t="b">
        <v>0</v>
      </c>
      <c r="O2811" t="s">
        <v>234</v>
      </c>
    </row>
    <row r="2812" spans="1:15" ht="15" customHeight="1">
      <c r="A2812" t="s">
        <v>538</v>
      </c>
      <c r="B2812" t="s">
        <v>3412</v>
      </c>
      <c r="C2812" t="s">
        <v>129</v>
      </c>
      <c r="D2812" t="s">
        <v>130</v>
      </c>
      <c r="E2812">
        <v>10</v>
      </c>
      <c r="F2812">
        <v>4.9000000000000004</v>
      </c>
      <c r="G2812">
        <v>0.49</v>
      </c>
      <c r="H2812">
        <v>29</v>
      </c>
      <c r="I2812">
        <v>5000</v>
      </c>
      <c r="J2812">
        <v>1000</v>
      </c>
      <c r="K2812" t="s">
        <v>113</v>
      </c>
      <c r="L2812" t="s">
        <v>96</v>
      </c>
      <c r="M2812" t="s">
        <v>50</v>
      </c>
      <c r="N2812" t="b">
        <v>0</v>
      </c>
      <c r="O2812" t="s">
        <v>146</v>
      </c>
    </row>
    <row r="2813" spans="1:15" ht="15" customHeight="1">
      <c r="A2813" t="s">
        <v>1672</v>
      </c>
      <c r="B2813" t="s">
        <v>3413</v>
      </c>
      <c r="C2813" t="s">
        <v>149</v>
      </c>
      <c r="D2813" t="s">
        <v>69</v>
      </c>
      <c r="E2813">
        <v>8</v>
      </c>
      <c r="F2813">
        <v>6.4</v>
      </c>
      <c r="G2813">
        <v>0.8</v>
      </c>
      <c r="H2813">
        <v>28</v>
      </c>
      <c r="I2813">
        <v>3000</v>
      </c>
      <c r="J2813">
        <v>1000</v>
      </c>
      <c r="K2813" t="s">
        <v>176</v>
      </c>
      <c r="L2813" t="s">
        <v>117</v>
      </c>
      <c r="M2813" t="s">
        <v>43</v>
      </c>
      <c r="N2813" t="b">
        <v>1</v>
      </c>
      <c r="O2813" t="s">
        <v>177</v>
      </c>
    </row>
    <row r="2814" spans="1:15" ht="15" customHeight="1">
      <c r="A2814" t="s">
        <v>1177</v>
      </c>
      <c r="B2814" t="s">
        <v>3414</v>
      </c>
      <c r="C2814" t="s">
        <v>129</v>
      </c>
      <c r="D2814" t="s">
        <v>130</v>
      </c>
      <c r="E2814">
        <v>15</v>
      </c>
      <c r="F2814">
        <v>6.2</v>
      </c>
      <c r="G2814">
        <v>0.41</v>
      </c>
      <c r="H2814">
        <v>21</v>
      </c>
      <c r="I2814">
        <v>5000</v>
      </c>
      <c r="J2814">
        <v>1000</v>
      </c>
      <c r="K2814" t="s">
        <v>131</v>
      </c>
      <c r="L2814" t="s">
        <v>117</v>
      </c>
      <c r="M2814" t="s">
        <v>42</v>
      </c>
      <c r="N2814" t="b">
        <v>1</v>
      </c>
      <c r="O2814" t="s">
        <v>132</v>
      </c>
    </row>
    <row r="2815" spans="1:15" ht="15" customHeight="1">
      <c r="A2815" t="s">
        <v>1074</v>
      </c>
      <c r="B2815" t="s">
        <v>3415</v>
      </c>
      <c r="C2815" t="s">
        <v>129</v>
      </c>
      <c r="D2815" t="s">
        <v>130</v>
      </c>
      <c r="E2815">
        <v>19</v>
      </c>
      <c r="F2815">
        <v>11.7</v>
      </c>
      <c r="G2815">
        <v>0.62</v>
      </c>
      <c r="H2815">
        <v>19</v>
      </c>
      <c r="I2815">
        <v>5000</v>
      </c>
      <c r="J2815">
        <v>1000</v>
      </c>
      <c r="K2815" t="s">
        <v>336</v>
      </c>
      <c r="L2815" t="s">
        <v>71</v>
      </c>
      <c r="M2815" t="s">
        <v>42</v>
      </c>
      <c r="N2815" t="b">
        <v>0</v>
      </c>
      <c r="O2815" t="s">
        <v>337</v>
      </c>
    </row>
    <row r="2816" spans="1:15" ht="15" customHeight="1">
      <c r="A2816" t="s">
        <v>830</v>
      </c>
      <c r="B2816" t="s">
        <v>3416</v>
      </c>
      <c r="C2816" t="s">
        <v>129</v>
      </c>
      <c r="D2816" t="s">
        <v>130</v>
      </c>
      <c r="E2816">
        <v>13</v>
      </c>
      <c r="F2816">
        <v>6.9</v>
      </c>
      <c r="G2816">
        <v>0.53</v>
      </c>
      <c r="H2816">
        <v>15</v>
      </c>
      <c r="I2816">
        <v>5000</v>
      </c>
      <c r="J2816">
        <v>1000</v>
      </c>
      <c r="K2816" t="s">
        <v>479</v>
      </c>
      <c r="L2816" t="s">
        <v>117</v>
      </c>
      <c r="M2816" t="s">
        <v>51</v>
      </c>
      <c r="N2816" t="b">
        <v>1</v>
      </c>
      <c r="O2816" t="s">
        <v>480</v>
      </c>
    </row>
    <row r="2817" spans="1:15" ht="15" customHeight="1">
      <c r="A2817" t="s">
        <v>412</v>
      </c>
      <c r="B2817" t="s">
        <v>3417</v>
      </c>
      <c r="C2817" t="s">
        <v>81</v>
      </c>
      <c r="D2817" t="s">
        <v>69</v>
      </c>
      <c r="E2817">
        <v>18</v>
      </c>
      <c r="F2817">
        <v>13.6</v>
      </c>
      <c r="G2817">
        <v>0.76</v>
      </c>
      <c r="H2817">
        <v>18</v>
      </c>
      <c r="I2817">
        <v>10000</v>
      </c>
      <c r="J2817">
        <v>3000</v>
      </c>
      <c r="K2817" t="s">
        <v>142</v>
      </c>
      <c r="L2817" t="s">
        <v>96</v>
      </c>
      <c r="M2817" t="s">
        <v>51</v>
      </c>
      <c r="N2817" t="b">
        <v>0</v>
      </c>
      <c r="O2817" t="s">
        <v>143</v>
      </c>
    </row>
    <row r="2818" spans="1:15" ht="15" customHeight="1">
      <c r="A2818" t="s">
        <v>1168</v>
      </c>
      <c r="B2818" t="s">
        <v>3418</v>
      </c>
      <c r="C2818" t="s">
        <v>129</v>
      </c>
      <c r="D2818" t="s">
        <v>130</v>
      </c>
      <c r="E2818">
        <v>16</v>
      </c>
      <c r="F2818">
        <v>15.4</v>
      </c>
      <c r="G2818">
        <v>0.96</v>
      </c>
      <c r="H2818">
        <v>15</v>
      </c>
      <c r="I2818">
        <v>5000</v>
      </c>
      <c r="J2818">
        <v>1000</v>
      </c>
      <c r="K2818" t="s">
        <v>479</v>
      </c>
      <c r="L2818" t="s">
        <v>91</v>
      </c>
      <c r="M2818" t="s">
        <v>46</v>
      </c>
      <c r="N2818" t="b">
        <v>1</v>
      </c>
      <c r="O2818" t="s">
        <v>480</v>
      </c>
    </row>
    <row r="2819" spans="1:15" ht="15" customHeight="1">
      <c r="A2819" t="s">
        <v>398</v>
      </c>
      <c r="B2819" t="s">
        <v>3419</v>
      </c>
      <c r="C2819" t="s">
        <v>149</v>
      </c>
      <c r="D2819" t="s">
        <v>69</v>
      </c>
      <c r="E2819">
        <v>8</v>
      </c>
      <c r="F2819">
        <v>7.4</v>
      </c>
      <c r="G2819">
        <v>0.93</v>
      </c>
      <c r="H2819">
        <v>19</v>
      </c>
      <c r="I2819">
        <v>3000</v>
      </c>
      <c r="J2819">
        <v>1000</v>
      </c>
      <c r="K2819" t="s">
        <v>198</v>
      </c>
      <c r="L2819" t="s">
        <v>117</v>
      </c>
      <c r="M2819" t="s">
        <v>43</v>
      </c>
      <c r="N2819" t="b">
        <v>1</v>
      </c>
      <c r="O2819" t="s">
        <v>262</v>
      </c>
    </row>
    <row r="2820" spans="1:15" ht="15" customHeight="1">
      <c r="A2820" t="s">
        <v>624</v>
      </c>
      <c r="B2820" t="s">
        <v>3420</v>
      </c>
      <c r="C2820" t="s">
        <v>149</v>
      </c>
      <c r="D2820" t="s">
        <v>69</v>
      </c>
      <c r="E2820">
        <v>10</v>
      </c>
      <c r="F2820">
        <v>6.7</v>
      </c>
      <c r="G2820">
        <v>0.67</v>
      </c>
      <c r="H2820">
        <v>22</v>
      </c>
      <c r="I2820">
        <v>3000</v>
      </c>
      <c r="J2820">
        <v>1000</v>
      </c>
      <c r="K2820" t="s">
        <v>556</v>
      </c>
      <c r="L2820" t="s">
        <v>91</v>
      </c>
      <c r="M2820" t="s">
        <v>45</v>
      </c>
      <c r="N2820" t="b">
        <v>1</v>
      </c>
      <c r="O2820" t="s">
        <v>313</v>
      </c>
    </row>
    <row r="2821" spans="1:15" ht="15" customHeight="1">
      <c r="A2821" t="s">
        <v>668</v>
      </c>
      <c r="B2821" t="s">
        <v>3421</v>
      </c>
      <c r="C2821" t="s">
        <v>81</v>
      </c>
      <c r="D2821" t="s">
        <v>69</v>
      </c>
      <c r="E2821">
        <v>13</v>
      </c>
      <c r="F2821">
        <v>6.8</v>
      </c>
      <c r="G2821">
        <v>0.52</v>
      </c>
      <c r="H2821">
        <v>20</v>
      </c>
      <c r="I2821">
        <v>10000</v>
      </c>
      <c r="J2821">
        <v>3000</v>
      </c>
      <c r="K2821" t="s">
        <v>86</v>
      </c>
      <c r="L2821" t="s">
        <v>104</v>
      </c>
      <c r="M2821" t="s">
        <v>44</v>
      </c>
      <c r="N2821" t="b">
        <v>0</v>
      </c>
      <c r="O2821" t="s">
        <v>87</v>
      </c>
    </row>
    <row r="2822" spans="1:15" ht="15" customHeight="1">
      <c r="A2822" t="s">
        <v>1310</v>
      </c>
      <c r="B2822" t="s">
        <v>3422</v>
      </c>
      <c r="C2822" t="s">
        <v>149</v>
      </c>
      <c r="D2822" t="s">
        <v>69</v>
      </c>
      <c r="E2822">
        <v>9</v>
      </c>
      <c r="F2822">
        <v>7</v>
      </c>
      <c r="G2822">
        <v>0.78</v>
      </c>
      <c r="H2822">
        <v>20</v>
      </c>
      <c r="I2822">
        <v>3000</v>
      </c>
      <c r="J2822">
        <v>1000</v>
      </c>
      <c r="K2822" t="s">
        <v>162</v>
      </c>
      <c r="L2822" t="s">
        <v>117</v>
      </c>
      <c r="M2822" t="s">
        <v>47</v>
      </c>
      <c r="N2822" t="b">
        <v>1</v>
      </c>
      <c r="O2822" t="s">
        <v>180</v>
      </c>
    </row>
    <row r="2823" spans="1:15" ht="15" customHeight="1">
      <c r="A2823" t="s">
        <v>542</v>
      </c>
      <c r="B2823" t="s">
        <v>3423</v>
      </c>
      <c r="C2823" t="s">
        <v>81</v>
      </c>
      <c r="D2823" t="s">
        <v>69</v>
      </c>
      <c r="E2823">
        <v>15</v>
      </c>
      <c r="F2823">
        <v>6.5</v>
      </c>
      <c r="G2823">
        <v>0.43</v>
      </c>
      <c r="H2823">
        <v>6</v>
      </c>
      <c r="I2823">
        <v>10000</v>
      </c>
      <c r="J2823">
        <v>3000</v>
      </c>
      <c r="K2823" t="s">
        <v>162</v>
      </c>
      <c r="L2823" t="s">
        <v>77</v>
      </c>
      <c r="M2823" t="s">
        <v>44</v>
      </c>
      <c r="N2823" t="b">
        <v>0</v>
      </c>
      <c r="O2823" t="s">
        <v>198</v>
      </c>
    </row>
    <row r="2824" spans="1:15" ht="15" customHeight="1">
      <c r="A2824" t="s">
        <v>183</v>
      </c>
      <c r="B2824" t="s">
        <v>3424</v>
      </c>
      <c r="C2824" t="s">
        <v>75</v>
      </c>
      <c r="D2824" t="s">
        <v>69</v>
      </c>
      <c r="E2824">
        <v>10</v>
      </c>
      <c r="F2824">
        <v>9</v>
      </c>
      <c r="G2824">
        <v>0.9</v>
      </c>
      <c r="H2824">
        <v>23</v>
      </c>
      <c r="I2824">
        <v>2000</v>
      </c>
      <c r="J2824">
        <v>1500</v>
      </c>
      <c r="K2824" t="s">
        <v>207</v>
      </c>
      <c r="L2824" t="s">
        <v>100</v>
      </c>
      <c r="M2824" t="s">
        <v>51</v>
      </c>
      <c r="N2824" t="b">
        <v>0</v>
      </c>
      <c r="O2824" t="s">
        <v>208</v>
      </c>
    </row>
    <row r="2825" spans="1:15" ht="15" customHeight="1">
      <c r="A2825" t="s">
        <v>273</v>
      </c>
      <c r="B2825" t="s">
        <v>3425</v>
      </c>
      <c r="C2825" t="s">
        <v>81</v>
      </c>
      <c r="D2825" t="s">
        <v>69</v>
      </c>
      <c r="E2825">
        <v>12</v>
      </c>
      <c r="F2825">
        <v>11.4</v>
      </c>
      <c r="G2825">
        <v>0.95</v>
      </c>
      <c r="H2825">
        <v>21</v>
      </c>
      <c r="I2825">
        <v>10000</v>
      </c>
      <c r="J2825">
        <v>3000</v>
      </c>
      <c r="K2825" t="s">
        <v>279</v>
      </c>
      <c r="L2825" t="s">
        <v>96</v>
      </c>
      <c r="M2825" t="s">
        <v>50</v>
      </c>
      <c r="N2825" t="b">
        <v>0</v>
      </c>
      <c r="O2825" t="s">
        <v>280</v>
      </c>
    </row>
    <row r="2826" spans="1:15" ht="15" customHeight="1">
      <c r="A2826" t="s">
        <v>830</v>
      </c>
      <c r="B2826" t="s">
        <v>3426</v>
      </c>
      <c r="C2826" t="s">
        <v>129</v>
      </c>
      <c r="D2826" t="s">
        <v>130</v>
      </c>
      <c r="E2826">
        <v>9</v>
      </c>
      <c r="F2826">
        <v>4.4000000000000004</v>
      </c>
      <c r="G2826">
        <v>0.49</v>
      </c>
      <c r="H2826">
        <v>15</v>
      </c>
      <c r="I2826">
        <v>5000</v>
      </c>
      <c r="J2826">
        <v>1000</v>
      </c>
      <c r="K2826" t="s">
        <v>479</v>
      </c>
      <c r="L2826" t="s">
        <v>117</v>
      </c>
      <c r="M2826" t="s">
        <v>51</v>
      </c>
      <c r="N2826" t="b">
        <v>1</v>
      </c>
      <c r="O2826" t="s">
        <v>480</v>
      </c>
    </row>
    <row r="2827" spans="1:15" ht="15" customHeight="1">
      <c r="A2827" t="s">
        <v>787</v>
      </c>
      <c r="B2827" t="s">
        <v>3427</v>
      </c>
      <c r="C2827" t="s">
        <v>129</v>
      </c>
      <c r="D2827" t="s">
        <v>130</v>
      </c>
      <c r="E2827">
        <v>13</v>
      </c>
      <c r="F2827">
        <v>10.6</v>
      </c>
      <c r="G2827">
        <v>0.82</v>
      </c>
      <c r="H2827">
        <v>28</v>
      </c>
      <c r="I2827">
        <v>5000</v>
      </c>
      <c r="J2827">
        <v>1000</v>
      </c>
      <c r="K2827" t="s">
        <v>116</v>
      </c>
      <c r="L2827" t="s">
        <v>96</v>
      </c>
      <c r="M2827" t="s">
        <v>43</v>
      </c>
      <c r="N2827" t="b">
        <v>0</v>
      </c>
      <c r="O2827" t="s">
        <v>470</v>
      </c>
    </row>
    <row r="2828" spans="1:15" ht="15" customHeight="1">
      <c r="A2828" t="s">
        <v>167</v>
      </c>
      <c r="B2828" t="s">
        <v>3428</v>
      </c>
      <c r="C2828" t="s">
        <v>149</v>
      </c>
      <c r="D2828" t="s">
        <v>69</v>
      </c>
      <c r="E2828">
        <v>12</v>
      </c>
      <c r="F2828">
        <v>8.6</v>
      </c>
      <c r="G2828">
        <v>0.72</v>
      </c>
      <c r="H2828">
        <v>16</v>
      </c>
      <c r="I2828">
        <v>3000</v>
      </c>
      <c r="J2828">
        <v>1000</v>
      </c>
      <c r="K2828" t="s">
        <v>361</v>
      </c>
      <c r="L2828" t="s">
        <v>104</v>
      </c>
      <c r="M2828" t="s">
        <v>49</v>
      </c>
      <c r="N2828" t="b">
        <v>0</v>
      </c>
      <c r="O2828" t="s">
        <v>870</v>
      </c>
    </row>
    <row r="2829" spans="1:15" ht="15" customHeight="1">
      <c r="A2829" t="s">
        <v>1518</v>
      </c>
      <c r="B2829" t="s">
        <v>3429</v>
      </c>
      <c r="C2829" t="s">
        <v>149</v>
      </c>
      <c r="D2829" t="s">
        <v>69</v>
      </c>
      <c r="E2829">
        <v>12</v>
      </c>
      <c r="F2829">
        <v>7.6</v>
      </c>
      <c r="G2829">
        <v>0.63</v>
      </c>
      <c r="H2829">
        <v>40</v>
      </c>
      <c r="I2829">
        <v>3000</v>
      </c>
      <c r="J2829">
        <v>1000</v>
      </c>
      <c r="K2829" t="s">
        <v>95</v>
      </c>
      <c r="L2829" t="s">
        <v>117</v>
      </c>
      <c r="M2829" t="s">
        <v>51</v>
      </c>
      <c r="N2829" t="b">
        <v>1</v>
      </c>
      <c r="O2829" t="s">
        <v>217</v>
      </c>
    </row>
    <row r="2830" spans="1:15" ht="15" customHeight="1">
      <c r="A2830" t="s">
        <v>1018</v>
      </c>
      <c r="B2830" t="s">
        <v>3430</v>
      </c>
      <c r="C2830" t="s">
        <v>129</v>
      </c>
      <c r="D2830" t="s">
        <v>130</v>
      </c>
      <c r="E2830">
        <v>14</v>
      </c>
      <c r="F2830">
        <v>5.0999999999999996</v>
      </c>
      <c r="G2830">
        <v>0.36</v>
      </c>
      <c r="H2830">
        <v>8</v>
      </c>
      <c r="I2830">
        <v>5000</v>
      </c>
      <c r="J2830">
        <v>1000</v>
      </c>
      <c r="K2830" t="s">
        <v>76</v>
      </c>
      <c r="L2830" t="s">
        <v>96</v>
      </c>
      <c r="M2830" t="s">
        <v>49</v>
      </c>
      <c r="N2830" t="b">
        <v>0</v>
      </c>
      <c r="O2830" t="s">
        <v>317</v>
      </c>
    </row>
    <row r="2831" spans="1:15" ht="15" customHeight="1">
      <c r="A2831" t="s">
        <v>1194</v>
      </c>
      <c r="B2831" t="s">
        <v>3431</v>
      </c>
      <c r="C2831" t="s">
        <v>149</v>
      </c>
      <c r="D2831" t="s">
        <v>69</v>
      </c>
      <c r="E2831">
        <v>11</v>
      </c>
      <c r="F2831">
        <v>6.3</v>
      </c>
      <c r="G2831">
        <v>0.56999999999999995</v>
      </c>
      <c r="H2831">
        <v>37</v>
      </c>
      <c r="I2831">
        <v>3000</v>
      </c>
      <c r="J2831">
        <v>1000</v>
      </c>
      <c r="K2831" t="s">
        <v>672</v>
      </c>
      <c r="L2831" t="s">
        <v>104</v>
      </c>
      <c r="M2831" t="s">
        <v>50</v>
      </c>
      <c r="N2831" t="b">
        <v>0</v>
      </c>
      <c r="O2831" t="s">
        <v>134</v>
      </c>
    </row>
    <row r="2832" spans="1:15" ht="15" customHeight="1">
      <c r="A2832" t="s">
        <v>114</v>
      </c>
      <c r="B2832" t="s">
        <v>3432</v>
      </c>
      <c r="C2832" t="s">
        <v>75</v>
      </c>
      <c r="D2832" t="s">
        <v>69</v>
      </c>
      <c r="E2832">
        <v>18</v>
      </c>
      <c r="F2832">
        <v>4.4000000000000004</v>
      </c>
      <c r="G2832">
        <v>0.24</v>
      </c>
      <c r="H2832">
        <v>15</v>
      </c>
      <c r="I2832">
        <v>2000</v>
      </c>
      <c r="J2832">
        <v>1500</v>
      </c>
      <c r="K2832" t="s">
        <v>70</v>
      </c>
      <c r="L2832" t="s">
        <v>117</v>
      </c>
      <c r="M2832" t="s">
        <v>44</v>
      </c>
      <c r="N2832" t="b">
        <v>1</v>
      </c>
      <c r="O2832" t="s">
        <v>598</v>
      </c>
    </row>
    <row r="2833" spans="1:15" ht="15" customHeight="1">
      <c r="A2833" t="s">
        <v>952</v>
      </c>
      <c r="B2833" t="s">
        <v>3433</v>
      </c>
      <c r="C2833" t="s">
        <v>149</v>
      </c>
      <c r="D2833" t="s">
        <v>69</v>
      </c>
      <c r="E2833">
        <v>10</v>
      </c>
      <c r="F2833">
        <v>7</v>
      </c>
      <c r="G2833">
        <v>0.7</v>
      </c>
      <c r="H2833">
        <v>15</v>
      </c>
      <c r="I2833">
        <v>3000</v>
      </c>
      <c r="J2833">
        <v>1000</v>
      </c>
      <c r="K2833" t="s">
        <v>438</v>
      </c>
      <c r="L2833" t="s">
        <v>100</v>
      </c>
      <c r="M2833" t="s">
        <v>45</v>
      </c>
      <c r="N2833" t="b">
        <v>0</v>
      </c>
      <c r="O2833" t="s">
        <v>90</v>
      </c>
    </row>
    <row r="2834" spans="1:15" ht="15" customHeight="1">
      <c r="A2834" t="s">
        <v>1009</v>
      </c>
      <c r="B2834" t="s">
        <v>3434</v>
      </c>
      <c r="C2834" t="s">
        <v>149</v>
      </c>
      <c r="D2834" t="s">
        <v>69</v>
      </c>
      <c r="E2834">
        <v>10</v>
      </c>
      <c r="F2834">
        <v>8.8000000000000007</v>
      </c>
      <c r="G2834">
        <v>0.88</v>
      </c>
      <c r="H2834">
        <v>39</v>
      </c>
      <c r="I2834">
        <v>3000</v>
      </c>
      <c r="J2834">
        <v>1000</v>
      </c>
      <c r="K2834" t="s">
        <v>257</v>
      </c>
      <c r="L2834" t="s">
        <v>117</v>
      </c>
      <c r="M2834" t="s">
        <v>42</v>
      </c>
      <c r="N2834" t="b">
        <v>1</v>
      </c>
      <c r="O2834" t="s">
        <v>258</v>
      </c>
    </row>
    <row r="2835" spans="1:15" ht="15" customHeight="1">
      <c r="A2835" t="s">
        <v>1026</v>
      </c>
      <c r="B2835" t="s">
        <v>3435</v>
      </c>
      <c r="C2835" t="s">
        <v>129</v>
      </c>
      <c r="D2835" t="s">
        <v>130</v>
      </c>
      <c r="E2835">
        <v>11</v>
      </c>
      <c r="F2835">
        <v>9</v>
      </c>
      <c r="G2835">
        <v>0.82</v>
      </c>
      <c r="H2835">
        <v>14</v>
      </c>
      <c r="I2835">
        <v>5000</v>
      </c>
      <c r="J2835">
        <v>1000</v>
      </c>
      <c r="K2835" t="s">
        <v>82</v>
      </c>
      <c r="L2835" t="s">
        <v>96</v>
      </c>
      <c r="M2835" t="s">
        <v>50</v>
      </c>
      <c r="N2835" t="b">
        <v>0</v>
      </c>
      <c r="O2835" t="s">
        <v>229</v>
      </c>
    </row>
    <row r="2836" spans="1:15" ht="15" customHeight="1">
      <c r="A2836" t="s">
        <v>464</v>
      </c>
      <c r="B2836" t="s">
        <v>3436</v>
      </c>
      <c r="C2836" t="s">
        <v>75</v>
      </c>
      <c r="D2836" t="s">
        <v>69</v>
      </c>
      <c r="E2836">
        <v>20</v>
      </c>
      <c r="F2836">
        <v>3.5</v>
      </c>
      <c r="G2836">
        <v>0.17</v>
      </c>
      <c r="H2836">
        <v>22</v>
      </c>
      <c r="I2836">
        <v>2000</v>
      </c>
      <c r="J2836">
        <v>1500</v>
      </c>
      <c r="K2836" t="s">
        <v>90</v>
      </c>
      <c r="L2836" t="s">
        <v>100</v>
      </c>
      <c r="M2836" t="s">
        <v>41</v>
      </c>
      <c r="N2836" t="b">
        <v>0</v>
      </c>
      <c r="O2836" t="s">
        <v>92</v>
      </c>
    </row>
    <row r="2837" spans="1:15" ht="15" customHeight="1">
      <c r="A2837" t="s">
        <v>585</v>
      </c>
      <c r="B2837" t="s">
        <v>3437</v>
      </c>
      <c r="C2837" t="s">
        <v>149</v>
      </c>
      <c r="D2837" t="s">
        <v>69</v>
      </c>
      <c r="E2837">
        <v>11</v>
      </c>
      <c r="F2837">
        <v>10</v>
      </c>
      <c r="G2837">
        <v>0.91</v>
      </c>
      <c r="H2837">
        <v>20</v>
      </c>
      <c r="I2837">
        <v>3000</v>
      </c>
      <c r="J2837">
        <v>1000</v>
      </c>
      <c r="K2837" t="s">
        <v>162</v>
      </c>
      <c r="L2837" t="s">
        <v>100</v>
      </c>
      <c r="M2837" t="s">
        <v>44</v>
      </c>
      <c r="N2837" t="b">
        <v>0</v>
      </c>
      <c r="O2837" t="s">
        <v>180</v>
      </c>
    </row>
    <row r="2838" spans="1:15" ht="15" customHeight="1">
      <c r="A2838" t="s">
        <v>830</v>
      </c>
      <c r="B2838" t="s">
        <v>3438</v>
      </c>
      <c r="C2838" t="s">
        <v>68</v>
      </c>
      <c r="D2838" t="s">
        <v>69</v>
      </c>
      <c r="E2838">
        <v>9</v>
      </c>
      <c r="F2838">
        <v>3.5</v>
      </c>
      <c r="G2838">
        <v>0.39</v>
      </c>
      <c r="H2838">
        <v>1</v>
      </c>
      <c r="I2838">
        <v>30000</v>
      </c>
      <c r="J2838">
        <v>5000</v>
      </c>
      <c r="K2838" t="s">
        <v>70</v>
      </c>
      <c r="L2838" t="s">
        <v>117</v>
      </c>
      <c r="M2838" t="s">
        <v>51</v>
      </c>
      <c r="N2838" t="b">
        <v>1</v>
      </c>
      <c r="O2838" t="s">
        <v>72</v>
      </c>
    </row>
    <row r="2839" spans="1:15" ht="15" customHeight="1">
      <c r="A2839" t="s">
        <v>1202</v>
      </c>
      <c r="B2839" t="s">
        <v>3439</v>
      </c>
      <c r="C2839" t="s">
        <v>129</v>
      </c>
      <c r="D2839" t="s">
        <v>130</v>
      </c>
      <c r="E2839">
        <v>16</v>
      </c>
      <c r="F2839">
        <v>6.6</v>
      </c>
      <c r="G2839">
        <v>0.41</v>
      </c>
      <c r="H2839">
        <v>14</v>
      </c>
      <c r="I2839">
        <v>5000</v>
      </c>
      <c r="J2839">
        <v>1000</v>
      </c>
      <c r="K2839" t="s">
        <v>82</v>
      </c>
      <c r="L2839" t="s">
        <v>100</v>
      </c>
      <c r="M2839" t="s">
        <v>45</v>
      </c>
      <c r="N2839" t="b">
        <v>0</v>
      </c>
      <c r="O2839" t="s">
        <v>229</v>
      </c>
    </row>
    <row r="2840" spans="1:15" ht="15" customHeight="1">
      <c r="A2840" t="s">
        <v>1044</v>
      </c>
      <c r="B2840" t="s">
        <v>3440</v>
      </c>
      <c r="C2840" t="s">
        <v>75</v>
      </c>
      <c r="D2840" t="s">
        <v>69</v>
      </c>
      <c r="E2840">
        <v>18</v>
      </c>
      <c r="F2840">
        <v>11</v>
      </c>
      <c r="G2840">
        <v>0.61</v>
      </c>
      <c r="H2840">
        <v>19</v>
      </c>
      <c r="I2840">
        <v>2000</v>
      </c>
      <c r="J2840">
        <v>1500</v>
      </c>
      <c r="K2840" t="s">
        <v>408</v>
      </c>
      <c r="L2840" t="s">
        <v>71</v>
      </c>
      <c r="M2840" t="s">
        <v>48</v>
      </c>
      <c r="N2840" t="b">
        <v>0</v>
      </c>
      <c r="O2840" t="s">
        <v>409</v>
      </c>
    </row>
    <row r="2841" spans="1:15" ht="15" customHeight="1">
      <c r="A2841" t="s">
        <v>371</v>
      </c>
      <c r="B2841" t="s">
        <v>3441</v>
      </c>
      <c r="C2841" t="s">
        <v>75</v>
      </c>
      <c r="D2841" t="s">
        <v>69</v>
      </c>
      <c r="E2841">
        <v>14</v>
      </c>
      <c r="F2841">
        <v>12.6</v>
      </c>
      <c r="G2841">
        <v>0.9</v>
      </c>
      <c r="H2841">
        <v>21</v>
      </c>
      <c r="I2841">
        <v>2000</v>
      </c>
      <c r="J2841">
        <v>1500</v>
      </c>
      <c r="K2841" t="s">
        <v>365</v>
      </c>
      <c r="L2841" t="s">
        <v>100</v>
      </c>
      <c r="M2841" t="s">
        <v>47</v>
      </c>
      <c r="N2841" t="b">
        <v>0</v>
      </c>
      <c r="O2841" t="s">
        <v>366</v>
      </c>
    </row>
    <row r="2842" spans="1:15" ht="15" customHeight="1">
      <c r="A2842" t="s">
        <v>136</v>
      </c>
      <c r="B2842" t="s">
        <v>3442</v>
      </c>
      <c r="C2842" t="s">
        <v>75</v>
      </c>
      <c r="D2842" t="s">
        <v>69</v>
      </c>
      <c r="E2842">
        <v>16</v>
      </c>
      <c r="F2842">
        <v>11.3</v>
      </c>
      <c r="G2842">
        <v>0.71</v>
      </c>
      <c r="H2842">
        <v>12</v>
      </c>
      <c r="I2842">
        <v>2000</v>
      </c>
      <c r="J2842">
        <v>1500</v>
      </c>
      <c r="K2842" t="s">
        <v>265</v>
      </c>
      <c r="L2842" t="s">
        <v>96</v>
      </c>
      <c r="M2842" t="s">
        <v>41</v>
      </c>
      <c r="N2842" t="b">
        <v>0</v>
      </c>
      <c r="O2842" t="s">
        <v>266</v>
      </c>
    </row>
    <row r="2843" spans="1:15" ht="15" customHeight="1">
      <c r="A2843" t="s">
        <v>1026</v>
      </c>
      <c r="B2843" t="s">
        <v>3443</v>
      </c>
      <c r="C2843" t="s">
        <v>129</v>
      </c>
      <c r="D2843" t="s">
        <v>130</v>
      </c>
      <c r="E2843">
        <v>8</v>
      </c>
      <c r="F2843">
        <v>6</v>
      </c>
      <c r="G2843">
        <v>0.75</v>
      </c>
      <c r="H2843">
        <v>10</v>
      </c>
      <c r="I2843">
        <v>5000</v>
      </c>
      <c r="J2843">
        <v>1000</v>
      </c>
      <c r="K2843" t="s">
        <v>158</v>
      </c>
      <c r="L2843" t="s">
        <v>96</v>
      </c>
      <c r="M2843" t="s">
        <v>50</v>
      </c>
      <c r="N2843" t="b">
        <v>0</v>
      </c>
      <c r="O2843" t="s">
        <v>159</v>
      </c>
    </row>
    <row r="2844" spans="1:15" ht="15" customHeight="1">
      <c r="A2844" t="s">
        <v>255</v>
      </c>
      <c r="B2844" t="s">
        <v>3444</v>
      </c>
      <c r="C2844" t="s">
        <v>129</v>
      </c>
      <c r="D2844" t="s">
        <v>130</v>
      </c>
      <c r="E2844">
        <v>18</v>
      </c>
      <c r="F2844">
        <v>13.7</v>
      </c>
      <c r="G2844">
        <v>0.76</v>
      </c>
      <c r="H2844">
        <v>21</v>
      </c>
      <c r="I2844">
        <v>5000</v>
      </c>
      <c r="J2844">
        <v>1000</v>
      </c>
      <c r="K2844" t="s">
        <v>131</v>
      </c>
      <c r="L2844" t="s">
        <v>96</v>
      </c>
      <c r="M2844" t="s">
        <v>47</v>
      </c>
      <c r="N2844" t="b">
        <v>0</v>
      </c>
      <c r="O2844" t="s">
        <v>132</v>
      </c>
    </row>
    <row r="2845" spans="1:15" ht="15" customHeight="1">
      <c r="A2845" t="s">
        <v>596</v>
      </c>
      <c r="B2845" t="s">
        <v>3445</v>
      </c>
      <c r="C2845" t="s">
        <v>149</v>
      </c>
      <c r="D2845" t="s">
        <v>69</v>
      </c>
      <c r="E2845">
        <v>12</v>
      </c>
      <c r="F2845">
        <v>10.199999999999999</v>
      </c>
      <c r="G2845">
        <v>0.85</v>
      </c>
      <c r="H2845">
        <v>35</v>
      </c>
      <c r="I2845">
        <v>3000</v>
      </c>
      <c r="J2845">
        <v>1000</v>
      </c>
      <c r="K2845" t="s">
        <v>131</v>
      </c>
      <c r="L2845" t="s">
        <v>96</v>
      </c>
      <c r="M2845" t="s">
        <v>46</v>
      </c>
      <c r="N2845" t="b">
        <v>0</v>
      </c>
      <c r="O2845" t="s">
        <v>132</v>
      </c>
    </row>
    <row r="2846" spans="1:15" ht="15" customHeight="1">
      <c r="A2846" t="s">
        <v>497</v>
      </c>
      <c r="B2846" t="s">
        <v>3446</v>
      </c>
      <c r="C2846" t="s">
        <v>81</v>
      </c>
      <c r="D2846" t="s">
        <v>69</v>
      </c>
      <c r="E2846">
        <v>15</v>
      </c>
      <c r="F2846">
        <v>5.7</v>
      </c>
      <c r="G2846">
        <v>0.38</v>
      </c>
      <c r="H2846">
        <v>23</v>
      </c>
      <c r="I2846">
        <v>10000</v>
      </c>
      <c r="J2846">
        <v>3000</v>
      </c>
      <c r="K2846" t="s">
        <v>626</v>
      </c>
      <c r="L2846" t="s">
        <v>104</v>
      </c>
      <c r="M2846" t="s">
        <v>44</v>
      </c>
      <c r="N2846" t="b">
        <v>0</v>
      </c>
      <c r="O2846" t="s">
        <v>627</v>
      </c>
    </row>
    <row r="2847" spans="1:15" ht="15" customHeight="1">
      <c r="A2847" t="s">
        <v>412</v>
      </c>
      <c r="B2847" t="s">
        <v>3447</v>
      </c>
      <c r="C2847" t="s">
        <v>129</v>
      </c>
      <c r="D2847" t="s">
        <v>130</v>
      </c>
      <c r="E2847">
        <v>15</v>
      </c>
      <c r="F2847">
        <v>11.2</v>
      </c>
      <c r="G2847">
        <v>0.75</v>
      </c>
      <c r="H2847">
        <v>10</v>
      </c>
      <c r="I2847">
        <v>5000</v>
      </c>
      <c r="J2847">
        <v>1000</v>
      </c>
      <c r="K2847" t="s">
        <v>158</v>
      </c>
      <c r="L2847" t="s">
        <v>96</v>
      </c>
      <c r="M2847" t="s">
        <v>51</v>
      </c>
      <c r="N2847" t="b">
        <v>0</v>
      </c>
      <c r="O2847" t="s">
        <v>159</v>
      </c>
    </row>
    <row r="2848" spans="1:15" ht="15" customHeight="1">
      <c r="A2848" t="s">
        <v>443</v>
      </c>
      <c r="B2848" t="s">
        <v>3448</v>
      </c>
      <c r="C2848" t="s">
        <v>129</v>
      </c>
      <c r="D2848" t="s">
        <v>130</v>
      </c>
      <c r="E2848">
        <v>10</v>
      </c>
      <c r="F2848">
        <v>4.0999999999999996</v>
      </c>
      <c r="G2848">
        <v>0.41</v>
      </c>
      <c r="H2848">
        <v>7</v>
      </c>
      <c r="I2848">
        <v>5000</v>
      </c>
      <c r="J2848">
        <v>1000</v>
      </c>
      <c r="K2848" t="s">
        <v>1135</v>
      </c>
      <c r="L2848" t="s">
        <v>91</v>
      </c>
      <c r="M2848" t="s">
        <v>49</v>
      </c>
      <c r="N2848" t="b">
        <v>1</v>
      </c>
      <c r="O2848" t="s">
        <v>862</v>
      </c>
    </row>
    <row r="2849" spans="1:15" ht="15" customHeight="1">
      <c r="A2849" t="s">
        <v>66</v>
      </c>
      <c r="B2849" t="s">
        <v>3449</v>
      </c>
      <c r="C2849" t="s">
        <v>149</v>
      </c>
      <c r="D2849" t="s">
        <v>69</v>
      </c>
      <c r="E2849">
        <v>11</v>
      </c>
      <c r="F2849">
        <v>6.4</v>
      </c>
      <c r="G2849">
        <v>0.57999999999999996</v>
      </c>
      <c r="H2849">
        <v>35</v>
      </c>
      <c r="I2849">
        <v>3000</v>
      </c>
      <c r="J2849">
        <v>1000</v>
      </c>
      <c r="K2849" t="s">
        <v>131</v>
      </c>
      <c r="L2849" t="s">
        <v>71</v>
      </c>
      <c r="M2849" t="s">
        <v>51</v>
      </c>
      <c r="N2849" t="b">
        <v>0</v>
      </c>
      <c r="O2849" t="s">
        <v>132</v>
      </c>
    </row>
    <row r="2850" spans="1:15" ht="15" customHeight="1">
      <c r="A2850" t="s">
        <v>425</v>
      </c>
      <c r="B2850" t="s">
        <v>3450</v>
      </c>
      <c r="C2850" t="s">
        <v>75</v>
      </c>
      <c r="D2850" t="s">
        <v>69</v>
      </c>
      <c r="E2850">
        <v>18</v>
      </c>
      <c r="F2850">
        <v>7.3</v>
      </c>
      <c r="G2850">
        <v>0.41</v>
      </c>
      <c r="H2850">
        <v>11</v>
      </c>
      <c r="I2850">
        <v>2000</v>
      </c>
      <c r="J2850">
        <v>1500</v>
      </c>
      <c r="K2850" t="s">
        <v>689</v>
      </c>
      <c r="L2850" t="s">
        <v>96</v>
      </c>
      <c r="M2850" t="s">
        <v>40</v>
      </c>
      <c r="N2850" t="b">
        <v>0</v>
      </c>
      <c r="O2850" t="s">
        <v>690</v>
      </c>
    </row>
    <row r="2851" spans="1:15" ht="15" customHeight="1">
      <c r="A2851" t="s">
        <v>1278</v>
      </c>
      <c r="B2851" t="s">
        <v>3451</v>
      </c>
      <c r="C2851" t="s">
        <v>68</v>
      </c>
      <c r="D2851" t="s">
        <v>69</v>
      </c>
      <c r="E2851">
        <v>8</v>
      </c>
      <c r="F2851">
        <v>2.1</v>
      </c>
      <c r="G2851">
        <v>0.26</v>
      </c>
      <c r="H2851">
        <v>3</v>
      </c>
      <c r="I2851">
        <v>30000</v>
      </c>
      <c r="J2851">
        <v>5000</v>
      </c>
      <c r="K2851" t="s">
        <v>108</v>
      </c>
      <c r="L2851" t="s">
        <v>77</v>
      </c>
      <c r="M2851" t="s">
        <v>50</v>
      </c>
      <c r="N2851" t="b">
        <v>0</v>
      </c>
      <c r="O2851" t="s">
        <v>109</v>
      </c>
    </row>
    <row r="2852" spans="1:15" ht="15" customHeight="1">
      <c r="A2852" t="s">
        <v>668</v>
      </c>
      <c r="B2852" t="s">
        <v>3452</v>
      </c>
      <c r="C2852" t="s">
        <v>129</v>
      </c>
      <c r="D2852" t="s">
        <v>130</v>
      </c>
      <c r="E2852">
        <v>17</v>
      </c>
      <c r="F2852">
        <v>13.1</v>
      </c>
      <c r="G2852">
        <v>0.77</v>
      </c>
      <c r="H2852">
        <v>10</v>
      </c>
      <c r="I2852">
        <v>5000</v>
      </c>
      <c r="J2852">
        <v>1000</v>
      </c>
      <c r="K2852" t="s">
        <v>158</v>
      </c>
      <c r="L2852" t="s">
        <v>104</v>
      </c>
      <c r="M2852" t="s">
        <v>44</v>
      </c>
      <c r="N2852" t="b">
        <v>0</v>
      </c>
      <c r="O2852" t="s">
        <v>159</v>
      </c>
    </row>
    <row r="2853" spans="1:15" ht="15" customHeight="1">
      <c r="A2853" t="s">
        <v>1310</v>
      </c>
      <c r="B2853" t="s">
        <v>3453</v>
      </c>
      <c r="C2853" t="s">
        <v>129</v>
      </c>
      <c r="D2853" t="s">
        <v>130</v>
      </c>
      <c r="E2853">
        <v>14</v>
      </c>
      <c r="F2853">
        <v>3.7</v>
      </c>
      <c r="G2853">
        <v>0.26</v>
      </c>
      <c r="H2853">
        <v>9</v>
      </c>
      <c r="I2853">
        <v>5000</v>
      </c>
      <c r="J2853">
        <v>1000</v>
      </c>
      <c r="K2853" t="s">
        <v>438</v>
      </c>
      <c r="L2853" t="s">
        <v>117</v>
      </c>
      <c r="M2853" t="s">
        <v>47</v>
      </c>
      <c r="N2853" t="b">
        <v>1</v>
      </c>
      <c r="O2853" t="s">
        <v>90</v>
      </c>
    </row>
    <row r="2854" spans="1:15" ht="15" customHeight="1">
      <c r="A2854" t="s">
        <v>110</v>
      </c>
      <c r="B2854" t="s">
        <v>3454</v>
      </c>
      <c r="C2854" t="s">
        <v>81</v>
      </c>
      <c r="D2854" t="s">
        <v>69</v>
      </c>
      <c r="E2854">
        <v>9</v>
      </c>
      <c r="F2854">
        <v>6.1</v>
      </c>
      <c r="G2854">
        <v>0.68</v>
      </c>
      <c r="H2854">
        <v>11</v>
      </c>
      <c r="I2854">
        <v>10000</v>
      </c>
      <c r="J2854">
        <v>3000</v>
      </c>
      <c r="K2854" t="s">
        <v>134</v>
      </c>
      <c r="L2854" t="s">
        <v>100</v>
      </c>
      <c r="M2854" t="s">
        <v>43</v>
      </c>
      <c r="N2854" t="b">
        <v>0</v>
      </c>
      <c r="O2854" t="s">
        <v>155</v>
      </c>
    </row>
    <row r="2855" spans="1:15" ht="15" customHeight="1">
      <c r="A2855" t="s">
        <v>1541</v>
      </c>
      <c r="B2855" t="s">
        <v>3455</v>
      </c>
      <c r="C2855" t="s">
        <v>68</v>
      </c>
      <c r="D2855" t="s">
        <v>69</v>
      </c>
      <c r="E2855">
        <v>16</v>
      </c>
      <c r="F2855">
        <v>2.8</v>
      </c>
      <c r="G2855">
        <v>0.17</v>
      </c>
      <c r="H2855">
        <v>3</v>
      </c>
      <c r="I2855">
        <v>30000</v>
      </c>
      <c r="J2855">
        <v>5000</v>
      </c>
      <c r="K2855" t="s">
        <v>108</v>
      </c>
      <c r="L2855" t="s">
        <v>91</v>
      </c>
      <c r="M2855" t="s">
        <v>49</v>
      </c>
      <c r="N2855" t="b">
        <v>1</v>
      </c>
      <c r="O2855" t="s">
        <v>109</v>
      </c>
    </row>
    <row r="2856" spans="1:15" ht="15" customHeight="1">
      <c r="A2856" t="s">
        <v>552</v>
      </c>
      <c r="B2856" t="s">
        <v>3456</v>
      </c>
      <c r="C2856" t="s">
        <v>129</v>
      </c>
      <c r="D2856" t="s">
        <v>130</v>
      </c>
      <c r="E2856">
        <v>11</v>
      </c>
      <c r="F2856">
        <v>5.0999999999999996</v>
      </c>
      <c r="G2856">
        <v>0.46</v>
      </c>
      <c r="H2856">
        <v>18</v>
      </c>
      <c r="I2856">
        <v>5000</v>
      </c>
      <c r="J2856">
        <v>1000</v>
      </c>
      <c r="K2856" t="s">
        <v>108</v>
      </c>
      <c r="L2856" t="s">
        <v>71</v>
      </c>
      <c r="M2856" t="s">
        <v>45</v>
      </c>
      <c r="N2856" t="b">
        <v>0</v>
      </c>
      <c r="O2856" t="s">
        <v>166</v>
      </c>
    </row>
    <row r="2857" spans="1:15" ht="15" customHeight="1">
      <c r="A2857" t="s">
        <v>384</v>
      </c>
      <c r="B2857" t="s">
        <v>3457</v>
      </c>
      <c r="C2857" t="s">
        <v>68</v>
      </c>
      <c r="D2857" t="s">
        <v>69</v>
      </c>
      <c r="E2857">
        <v>9</v>
      </c>
      <c r="F2857">
        <v>2.8</v>
      </c>
      <c r="G2857">
        <v>0.31</v>
      </c>
      <c r="H2857">
        <v>5</v>
      </c>
      <c r="I2857">
        <v>30000</v>
      </c>
      <c r="J2857">
        <v>5000</v>
      </c>
      <c r="K2857" t="s">
        <v>112</v>
      </c>
      <c r="L2857" t="s">
        <v>104</v>
      </c>
      <c r="M2857" t="s">
        <v>47</v>
      </c>
      <c r="N2857" t="b">
        <v>0</v>
      </c>
      <c r="O2857" t="s">
        <v>113</v>
      </c>
    </row>
    <row r="2858" spans="1:15" ht="15" customHeight="1">
      <c r="A2858" t="s">
        <v>783</v>
      </c>
      <c r="B2858" t="s">
        <v>3458</v>
      </c>
      <c r="C2858" t="s">
        <v>149</v>
      </c>
      <c r="D2858" t="s">
        <v>69</v>
      </c>
      <c r="E2858">
        <v>8</v>
      </c>
      <c r="F2858">
        <v>6.7</v>
      </c>
      <c r="G2858">
        <v>0.84</v>
      </c>
      <c r="H2858">
        <v>20</v>
      </c>
      <c r="I2858">
        <v>3000</v>
      </c>
      <c r="J2858">
        <v>1000</v>
      </c>
      <c r="K2858" t="s">
        <v>162</v>
      </c>
      <c r="L2858" t="s">
        <v>71</v>
      </c>
      <c r="M2858" t="s">
        <v>41</v>
      </c>
      <c r="N2858" t="b">
        <v>0</v>
      </c>
      <c r="O2858" t="s">
        <v>180</v>
      </c>
    </row>
    <row r="2859" spans="1:15" ht="15" customHeight="1">
      <c r="A2859" t="s">
        <v>324</v>
      </c>
      <c r="B2859" t="s">
        <v>3459</v>
      </c>
      <c r="C2859" t="s">
        <v>68</v>
      </c>
      <c r="D2859" t="s">
        <v>69</v>
      </c>
      <c r="E2859">
        <v>12</v>
      </c>
      <c r="F2859">
        <v>2.5</v>
      </c>
      <c r="G2859">
        <v>0.21</v>
      </c>
      <c r="H2859">
        <v>5</v>
      </c>
      <c r="I2859">
        <v>30000</v>
      </c>
      <c r="J2859">
        <v>5000</v>
      </c>
      <c r="K2859" t="s">
        <v>112</v>
      </c>
      <c r="L2859" t="s">
        <v>91</v>
      </c>
      <c r="M2859" t="s">
        <v>48</v>
      </c>
      <c r="N2859" t="b">
        <v>1</v>
      </c>
      <c r="O2859" t="s">
        <v>113</v>
      </c>
    </row>
    <row r="2860" spans="1:15" ht="15" customHeight="1">
      <c r="A2860" t="s">
        <v>1705</v>
      </c>
      <c r="B2860" t="s">
        <v>3460</v>
      </c>
      <c r="C2860" t="s">
        <v>81</v>
      </c>
      <c r="D2860" t="s">
        <v>69</v>
      </c>
      <c r="E2860">
        <v>17</v>
      </c>
      <c r="F2860">
        <v>3.4</v>
      </c>
      <c r="G2860">
        <v>0.2</v>
      </c>
      <c r="H2860">
        <v>27</v>
      </c>
      <c r="I2860">
        <v>10000</v>
      </c>
      <c r="J2860">
        <v>3000</v>
      </c>
      <c r="K2860" t="s">
        <v>125</v>
      </c>
      <c r="L2860" t="s">
        <v>100</v>
      </c>
      <c r="M2860" t="s">
        <v>43</v>
      </c>
      <c r="N2860" t="b">
        <v>0</v>
      </c>
      <c r="O2860" t="s">
        <v>126</v>
      </c>
    </row>
    <row r="2861" spans="1:15" ht="15" customHeight="1">
      <c r="A2861" t="s">
        <v>920</v>
      </c>
      <c r="B2861" t="s">
        <v>3461</v>
      </c>
      <c r="C2861" t="s">
        <v>81</v>
      </c>
      <c r="D2861" t="s">
        <v>69</v>
      </c>
      <c r="E2861">
        <v>11</v>
      </c>
      <c r="F2861">
        <v>10.7</v>
      </c>
      <c r="G2861">
        <v>0.97</v>
      </c>
      <c r="H2861">
        <v>14</v>
      </c>
      <c r="I2861">
        <v>10000</v>
      </c>
      <c r="J2861">
        <v>3000</v>
      </c>
      <c r="K2861" t="s">
        <v>116</v>
      </c>
      <c r="L2861" t="s">
        <v>96</v>
      </c>
      <c r="M2861" t="s">
        <v>51</v>
      </c>
      <c r="N2861" t="b">
        <v>0</v>
      </c>
      <c r="O2861" t="s">
        <v>118</v>
      </c>
    </row>
    <row r="2862" spans="1:15" ht="15" customHeight="1">
      <c r="A2862" t="s">
        <v>227</v>
      </c>
      <c r="B2862" t="s">
        <v>3462</v>
      </c>
      <c r="C2862" t="s">
        <v>149</v>
      </c>
      <c r="D2862" t="s">
        <v>69</v>
      </c>
      <c r="E2862">
        <v>8</v>
      </c>
      <c r="F2862">
        <v>7.2</v>
      </c>
      <c r="G2862">
        <v>0.9</v>
      </c>
      <c r="H2862">
        <v>18</v>
      </c>
      <c r="I2862">
        <v>3000</v>
      </c>
      <c r="J2862">
        <v>1000</v>
      </c>
      <c r="K2862" t="s">
        <v>150</v>
      </c>
      <c r="L2862" t="s">
        <v>77</v>
      </c>
      <c r="M2862" t="s">
        <v>41</v>
      </c>
      <c r="N2862" t="b">
        <v>0</v>
      </c>
      <c r="O2862" t="s">
        <v>151</v>
      </c>
    </row>
    <row r="2863" spans="1:15" ht="15" customHeight="1">
      <c r="A2863" t="s">
        <v>243</v>
      </c>
      <c r="B2863" t="s">
        <v>3463</v>
      </c>
      <c r="C2863" t="s">
        <v>68</v>
      </c>
      <c r="D2863" t="s">
        <v>69</v>
      </c>
      <c r="E2863">
        <v>14</v>
      </c>
      <c r="F2863">
        <v>2.8</v>
      </c>
      <c r="G2863">
        <v>0.2</v>
      </c>
      <c r="H2863">
        <v>3</v>
      </c>
      <c r="I2863">
        <v>30000</v>
      </c>
      <c r="J2863">
        <v>5000</v>
      </c>
      <c r="K2863" t="s">
        <v>108</v>
      </c>
      <c r="L2863" t="s">
        <v>117</v>
      </c>
      <c r="M2863" t="s">
        <v>40</v>
      </c>
      <c r="N2863" t="b">
        <v>1</v>
      </c>
      <c r="O2863" t="s">
        <v>109</v>
      </c>
    </row>
    <row r="2864" spans="1:15" ht="15" customHeight="1">
      <c r="A2864" t="s">
        <v>201</v>
      </c>
      <c r="B2864" t="s">
        <v>3464</v>
      </c>
      <c r="C2864" t="s">
        <v>129</v>
      </c>
      <c r="D2864" t="s">
        <v>130</v>
      </c>
      <c r="E2864">
        <v>11</v>
      </c>
      <c r="F2864">
        <v>3.5</v>
      </c>
      <c r="G2864">
        <v>0.32</v>
      </c>
      <c r="H2864">
        <v>25</v>
      </c>
      <c r="I2864">
        <v>5000</v>
      </c>
      <c r="J2864">
        <v>1000</v>
      </c>
      <c r="K2864" t="s">
        <v>245</v>
      </c>
      <c r="L2864" t="s">
        <v>77</v>
      </c>
      <c r="M2864" t="s">
        <v>50</v>
      </c>
      <c r="N2864" t="b">
        <v>0</v>
      </c>
      <c r="O2864" t="s">
        <v>246</v>
      </c>
    </row>
    <row r="2865" spans="1:15" ht="15" customHeight="1">
      <c r="A2865" t="s">
        <v>221</v>
      </c>
      <c r="B2865" t="s">
        <v>3465</v>
      </c>
      <c r="C2865" t="s">
        <v>129</v>
      </c>
      <c r="D2865" t="s">
        <v>130</v>
      </c>
      <c r="E2865">
        <v>20</v>
      </c>
      <c r="F2865">
        <v>4.0999999999999996</v>
      </c>
      <c r="G2865">
        <v>0.2</v>
      </c>
      <c r="H2865">
        <v>21</v>
      </c>
      <c r="I2865">
        <v>5000</v>
      </c>
      <c r="J2865">
        <v>1000</v>
      </c>
      <c r="K2865" t="s">
        <v>131</v>
      </c>
      <c r="L2865" t="s">
        <v>71</v>
      </c>
      <c r="M2865" t="s">
        <v>49</v>
      </c>
      <c r="N2865" t="b">
        <v>0</v>
      </c>
      <c r="O2865" t="s">
        <v>132</v>
      </c>
    </row>
    <row r="2866" spans="1:15" ht="15" customHeight="1">
      <c r="A2866" t="s">
        <v>263</v>
      </c>
      <c r="B2866" t="s">
        <v>3466</v>
      </c>
      <c r="C2866" t="s">
        <v>68</v>
      </c>
      <c r="D2866" t="s">
        <v>69</v>
      </c>
      <c r="E2866">
        <v>11</v>
      </c>
      <c r="F2866">
        <v>2.5</v>
      </c>
      <c r="G2866">
        <v>0.23</v>
      </c>
      <c r="H2866">
        <v>3</v>
      </c>
      <c r="I2866">
        <v>30000</v>
      </c>
      <c r="J2866">
        <v>5000</v>
      </c>
      <c r="K2866" t="s">
        <v>108</v>
      </c>
      <c r="L2866" t="s">
        <v>96</v>
      </c>
      <c r="M2866" t="s">
        <v>44</v>
      </c>
      <c r="N2866" t="b">
        <v>0</v>
      </c>
      <c r="O2866" t="s">
        <v>109</v>
      </c>
    </row>
    <row r="2867" spans="1:15" ht="15" customHeight="1">
      <c r="A2867" t="s">
        <v>301</v>
      </c>
      <c r="B2867" t="s">
        <v>3467</v>
      </c>
      <c r="C2867" t="s">
        <v>81</v>
      </c>
      <c r="D2867" t="s">
        <v>69</v>
      </c>
      <c r="E2867">
        <v>13</v>
      </c>
      <c r="F2867">
        <v>5.8</v>
      </c>
      <c r="G2867">
        <v>0.45</v>
      </c>
      <c r="H2867">
        <v>8</v>
      </c>
      <c r="I2867">
        <v>10000</v>
      </c>
      <c r="J2867">
        <v>3000</v>
      </c>
      <c r="K2867" t="s">
        <v>357</v>
      </c>
      <c r="L2867" t="s">
        <v>100</v>
      </c>
      <c r="M2867" t="s">
        <v>50</v>
      </c>
      <c r="N2867" t="b">
        <v>0</v>
      </c>
      <c r="O2867" t="s">
        <v>295</v>
      </c>
    </row>
    <row r="2868" spans="1:15" ht="15" customHeight="1">
      <c r="A2868" t="s">
        <v>585</v>
      </c>
      <c r="B2868" t="s">
        <v>3468</v>
      </c>
      <c r="C2868" t="s">
        <v>149</v>
      </c>
      <c r="D2868" t="s">
        <v>69</v>
      </c>
      <c r="E2868">
        <v>8</v>
      </c>
      <c r="F2868">
        <v>6.6</v>
      </c>
      <c r="G2868">
        <v>0.82</v>
      </c>
      <c r="H2868">
        <v>31</v>
      </c>
      <c r="I2868">
        <v>3000</v>
      </c>
      <c r="J2868">
        <v>1000</v>
      </c>
      <c r="K2868" t="s">
        <v>530</v>
      </c>
      <c r="L2868" t="s">
        <v>100</v>
      </c>
      <c r="M2868" t="s">
        <v>44</v>
      </c>
      <c r="N2868" t="b">
        <v>0</v>
      </c>
      <c r="O2868" t="s">
        <v>531</v>
      </c>
    </row>
    <row r="2869" spans="1:15" ht="15" customHeight="1">
      <c r="A2869" t="s">
        <v>290</v>
      </c>
      <c r="B2869" t="s">
        <v>3469</v>
      </c>
      <c r="C2869" t="s">
        <v>81</v>
      </c>
      <c r="D2869" t="s">
        <v>69</v>
      </c>
      <c r="E2869">
        <v>10</v>
      </c>
      <c r="F2869">
        <v>9.6</v>
      </c>
      <c r="G2869">
        <v>0.96</v>
      </c>
      <c r="H2869">
        <v>9</v>
      </c>
      <c r="I2869">
        <v>10000</v>
      </c>
      <c r="J2869">
        <v>3000</v>
      </c>
      <c r="K2869" t="s">
        <v>108</v>
      </c>
      <c r="L2869" t="s">
        <v>104</v>
      </c>
      <c r="M2869" t="s">
        <v>46</v>
      </c>
      <c r="N2869" t="b">
        <v>0</v>
      </c>
      <c r="O2869" t="s">
        <v>303</v>
      </c>
    </row>
    <row r="2870" spans="1:15" ht="15" customHeight="1">
      <c r="A2870" t="s">
        <v>1544</v>
      </c>
      <c r="B2870" t="s">
        <v>3470</v>
      </c>
      <c r="C2870" t="s">
        <v>68</v>
      </c>
      <c r="D2870" t="s">
        <v>69</v>
      </c>
      <c r="E2870">
        <v>15</v>
      </c>
      <c r="F2870">
        <v>3.8</v>
      </c>
      <c r="G2870">
        <v>0.25</v>
      </c>
      <c r="H2870">
        <v>4</v>
      </c>
      <c r="I2870">
        <v>30000</v>
      </c>
      <c r="J2870">
        <v>5000</v>
      </c>
      <c r="K2870" t="s">
        <v>95</v>
      </c>
      <c r="L2870" t="s">
        <v>100</v>
      </c>
      <c r="M2870" t="s">
        <v>42</v>
      </c>
      <c r="N2870" t="b">
        <v>0</v>
      </c>
      <c r="O2870" t="s">
        <v>97</v>
      </c>
    </row>
    <row r="2871" spans="1:15" ht="15" customHeight="1">
      <c r="A2871" t="s">
        <v>1054</v>
      </c>
      <c r="B2871" t="s">
        <v>3471</v>
      </c>
      <c r="C2871" t="s">
        <v>129</v>
      </c>
      <c r="D2871" t="s">
        <v>130</v>
      </c>
      <c r="E2871">
        <v>20</v>
      </c>
      <c r="F2871">
        <v>10.1</v>
      </c>
      <c r="G2871">
        <v>0.51</v>
      </c>
      <c r="H2871">
        <v>29</v>
      </c>
      <c r="I2871">
        <v>5000</v>
      </c>
      <c r="J2871">
        <v>1000</v>
      </c>
      <c r="K2871" t="s">
        <v>113</v>
      </c>
      <c r="L2871" t="s">
        <v>77</v>
      </c>
      <c r="M2871" t="s">
        <v>45</v>
      </c>
      <c r="N2871" t="b">
        <v>0</v>
      </c>
      <c r="O2871" t="s">
        <v>146</v>
      </c>
    </row>
    <row r="2872" spans="1:15" ht="15" customHeight="1">
      <c r="A2872" t="s">
        <v>734</v>
      </c>
      <c r="B2872" t="s">
        <v>3472</v>
      </c>
      <c r="C2872" t="s">
        <v>75</v>
      </c>
      <c r="D2872" t="s">
        <v>69</v>
      </c>
      <c r="E2872">
        <v>20</v>
      </c>
      <c r="F2872">
        <v>13.3</v>
      </c>
      <c r="G2872">
        <v>0.67</v>
      </c>
      <c r="H2872">
        <v>8</v>
      </c>
      <c r="I2872">
        <v>2000</v>
      </c>
      <c r="J2872">
        <v>1500</v>
      </c>
      <c r="K2872" t="s">
        <v>275</v>
      </c>
      <c r="L2872" t="s">
        <v>100</v>
      </c>
      <c r="M2872" t="s">
        <v>48</v>
      </c>
      <c r="N2872" t="b">
        <v>0</v>
      </c>
      <c r="O2872" t="s">
        <v>276</v>
      </c>
    </row>
    <row r="2873" spans="1:15" ht="15" customHeight="1">
      <c r="A2873" t="s">
        <v>1477</v>
      </c>
      <c r="B2873" t="s">
        <v>3473</v>
      </c>
      <c r="C2873" t="s">
        <v>68</v>
      </c>
      <c r="D2873" t="s">
        <v>69</v>
      </c>
      <c r="E2873">
        <v>12</v>
      </c>
      <c r="F2873">
        <v>2.2999999999999998</v>
      </c>
      <c r="G2873">
        <v>0.19</v>
      </c>
      <c r="H2873">
        <v>4</v>
      </c>
      <c r="I2873">
        <v>30000</v>
      </c>
      <c r="J2873">
        <v>5000</v>
      </c>
      <c r="K2873" t="s">
        <v>95</v>
      </c>
      <c r="L2873" t="s">
        <v>91</v>
      </c>
      <c r="M2873" t="s">
        <v>43</v>
      </c>
      <c r="N2873" t="b">
        <v>1</v>
      </c>
      <c r="O2873" t="s">
        <v>97</v>
      </c>
    </row>
    <row r="2874" spans="1:15" ht="15" customHeight="1">
      <c r="A2874" t="s">
        <v>857</v>
      </c>
      <c r="B2874" t="s">
        <v>3474</v>
      </c>
      <c r="C2874" t="s">
        <v>75</v>
      </c>
      <c r="D2874" t="s">
        <v>69</v>
      </c>
      <c r="E2874">
        <v>19</v>
      </c>
      <c r="F2874">
        <v>13.2</v>
      </c>
      <c r="G2874">
        <v>0.69</v>
      </c>
      <c r="H2874">
        <v>26</v>
      </c>
      <c r="I2874">
        <v>2000</v>
      </c>
      <c r="J2874">
        <v>1500</v>
      </c>
      <c r="K2874" t="s">
        <v>298</v>
      </c>
      <c r="L2874" t="s">
        <v>91</v>
      </c>
      <c r="M2874" t="s">
        <v>48</v>
      </c>
      <c r="N2874" t="b">
        <v>1</v>
      </c>
      <c r="O2874" t="s">
        <v>299</v>
      </c>
    </row>
    <row r="2875" spans="1:15" ht="15" customHeight="1">
      <c r="A2875" t="s">
        <v>260</v>
      </c>
      <c r="B2875" t="s">
        <v>3475</v>
      </c>
      <c r="C2875" t="s">
        <v>75</v>
      </c>
      <c r="D2875" t="s">
        <v>69</v>
      </c>
      <c r="E2875">
        <v>14</v>
      </c>
      <c r="F2875">
        <v>8.8000000000000007</v>
      </c>
      <c r="G2875">
        <v>0.63</v>
      </c>
      <c r="H2875">
        <v>6</v>
      </c>
      <c r="I2875">
        <v>2000</v>
      </c>
      <c r="J2875">
        <v>1500</v>
      </c>
      <c r="K2875" t="s">
        <v>269</v>
      </c>
      <c r="L2875" t="s">
        <v>96</v>
      </c>
      <c r="M2875" t="s">
        <v>49</v>
      </c>
      <c r="N2875" t="b">
        <v>0</v>
      </c>
      <c r="O2875" t="s">
        <v>270</v>
      </c>
    </row>
    <row r="2876" spans="1:15" ht="15" customHeight="1">
      <c r="A2876" t="s">
        <v>351</v>
      </c>
      <c r="B2876" t="s">
        <v>3476</v>
      </c>
      <c r="C2876" t="s">
        <v>68</v>
      </c>
      <c r="D2876" t="s">
        <v>69</v>
      </c>
      <c r="E2876">
        <v>15</v>
      </c>
      <c r="F2876">
        <v>1.3</v>
      </c>
      <c r="G2876">
        <v>0.09</v>
      </c>
      <c r="H2876">
        <v>5</v>
      </c>
      <c r="I2876">
        <v>30000</v>
      </c>
      <c r="J2876">
        <v>5000</v>
      </c>
      <c r="K2876" t="s">
        <v>112</v>
      </c>
      <c r="L2876" t="s">
        <v>71</v>
      </c>
      <c r="M2876" t="s">
        <v>45</v>
      </c>
      <c r="N2876" t="b">
        <v>0</v>
      </c>
      <c r="O2876" t="s">
        <v>113</v>
      </c>
    </row>
    <row r="2877" spans="1:15" ht="15" customHeight="1">
      <c r="A2877" t="s">
        <v>98</v>
      </c>
      <c r="B2877" t="s">
        <v>3477</v>
      </c>
      <c r="C2877" t="s">
        <v>81</v>
      </c>
      <c r="D2877" t="s">
        <v>69</v>
      </c>
      <c r="E2877">
        <v>9</v>
      </c>
      <c r="F2877">
        <v>7</v>
      </c>
      <c r="G2877">
        <v>0.78</v>
      </c>
      <c r="H2877">
        <v>29</v>
      </c>
      <c r="I2877">
        <v>10000</v>
      </c>
      <c r="J2877">
        <v>3000</v>
      </c>
      <c r="K2877" t="s">
        <v>603</v>
      </c>
      <c r="L2877" t="s">
        <v>100</v>
      </c>
      <c r="M2877" t="s">
        <v>47</v>
      </c>
      <c r="N2877" t="b">
        <v>0</v>
      </c>
      <c r="O2877" t="s">
        <v>604</v>
      </c>
    </row>
    <row r="2878" spans="1:15" ht="15" customHeight="1">
      <c r="A2878" t="s">
        <v>1389</v>
      </c>
      <c r="B2878" t="s">
        <v>3478</v>
      </c>
      <c r="C2878" t="s">
        <v>68</v>
      </c>
      <c r="D2878" t="s">
        <v>69</v>
      </c>
      <c r="E2878">
        <v>14</v>
      </c>
      <c r="F2878">
        <v>2.9</v>
      </c>
      <c r="G2878">
        <v>0.21</v>
      </c>
      <c r="H2878">
        <v>1</v>
      </c>
      <c r="I2878">
        <v>30000</v>
      </c>
      <c r="J2878">
        <v>5000</v>
      </c>
      <c r="K2878" t="s">
        <v>70</v>
      </c>
      <c r="L2878" t="s">
        <v>91</v>
      </c>
      <c r="M2878" t="s">
        <v>44</v>
      </c>
      <c r="N2878" t="b">
        <v>1</v>
      </c>
      <c r="O2878" t="s">
        <v>72</v>
      </c>
    </row>
    <row r="2879" spans="1:15" ht="15" customHeight="1">
      <c r="A2879" t="s">
        <v>378</v>
      </c>
      <c r="B2879" t="s">
        <v>3479</v>
      </c>
      <c r="C2879" t="s">
        <v>149</v>
      </c>
      <c r="D2879" t="s">
        <v>69</v>
      </c>
      <c r="E2879">
        <v>11</v>
      </c>
      <c r="F2879">
        <v>9.6</v>
      </c>
      <c r="G2879">
        <v>0.87</v>
      </c>
      <c r="H2879">
        <v>27</v>
      </c>
      <c r="I2879">
        <v>3000</v>
      </c>
      <c r="J2879">
        <v>1000</v>
      </c>
      <c r="K2879" t="s">
        <v>845</v>
      </c>
      <c r="L2879" t="s">
        <v>71</v>
      </c>
      <c r="M2879" t="s">
        <v>42</v>
      </c>
      <c r="N2879" t="b">
        <v>0</v>
      </c>
      <c r="O2879" t="s">
        <v>357</v>
      </c>
    </row>
    <row r="2880" spans="1:15" ht="15" customHeight="1">
      <c r="A2880" t="s">
        <v>1080</v>
      </c>
      <c r="B2880" t="s">
        <v>3480</v>
      </c>
      <c r="C2880" t="s">
        <v>81</v>
      </c>
      <c r="D2880" t="s">
        <v>69</v>
      </c>
      <c r="E2880">
        <v>18</v>
      </c>
      <c r="F2880">
        <v>15.1</v>
      </c>
      <c r="G2880">
        <v>0.84</v>
      </c>
      <c r="H2880">
        <v>11</v>
      </c>
      <c r="I2880">
        <v>10000</v>
      </c>
      <c r="J2880">
        <v>3000</v>
      </c>
      <c r="K2880" t="s">
        <v>134</v>
      </c>
      <c r="L2880" t="s">
        <v>117</v>
      </c>
      <c r="M2880" t="s">
        <v>49</v>
      </c>
      <c r="N2880" t="b">
        <v>1</v>
      </c>
      <c r="O2880" t="s">
        <v>155</v>
      </c>
    </row>
    <row r="2881" spans="1:15" ht="15" customHeight="1">
      <c r="A2881" t="s">
        <v>237</v>
      </c>
      <c r="B2881" t="s">
        <v>3481</v>
      </c>
      <c r="C2881" t="s">
        <v>81</v>
      </c>
      <c r="D2881" t="s">
        <v>69</v>
      </c>
      <c r="E2881">
        <v>8</v>
      </c>
      <c r="F2881">
        <v>5.7</v>
      </c>
      <c r="G2881">
        <v>0.71</v>
      </c>
      <c r="H2881">
        <v>27</v>
      </c>
      <c r="I2881">
        <v>10000</v>
      </c>
      <c r="J2881">
        <v>3000</v>
      </c>
      <c r="K2881" t="s">
        <v>125</v>
      </c>
      <c r="L2881" t="s">
        <v>77</v>
      </c>
      <c r="M2881" t="s">
        <v>49</v>
      </c>
      <c r="N2881" t="b">
        <v>0</v>
      </c>
      <c r="O2881" t="s">
        <v>126</v>
      </c>
    </row>
    <row r="2882" spans="1:15" ht="15" customHeight="1">
      <c r="A2882" t="s">
        <v>572</v>
      </c>
      <c r="B2882" t="s">
        <v>3482</v>
      </c>
      <c r="C2882" t="s">
        <v>75</v>
      </c>
      <c r="D2882" t="s">
        <v>69</v>
      </c>
      <c r="E2882">
        <v>20</v>
      </c>
      <c r="F2882">
        <v>16.2</v>
      </c>
      <c r="G2882">
        <v>0.81</v>
      </c>
      <c r="H2882">
        <v>15</v>
      </c>
      <c r="I2882">
        <v>2000</v>
      </c>
      <c r="J2882">
        <v>1500</v>
      </c>
      <c r="K2882" t="s">
        <v>70</v>
      </c>
      <c r="L2882" t="s">
        <v>100</v>
      </c>
      <c r="M2882" t="s">
        <v>46</v>
      </c>
      <c r="N2882" t="b">
        <v>0</v>
      </c>
      <c r="O2882" t="s">
        <v>598</v>
      </c>
    </row>
    <row r="2883" spans="1:15" ht="15" customHeight="1">
      <c r="A2883" t="s">
        <v>416</v>
      </c>
      <c r="B2883" t="s">
        <v>3483</v>
      </c>
      <c r="C2883" t="s">
        <v>68</v>
      </c>
      <c r="D2883" t="s">
        <v>69</v>
      </c>
      <c r="E2883">
        <v>14</v>
      </c>
      <c r="F2883">
        <v>3.3</v>
      </c>
      <c r="G2883">
        <v>0.24</v>
      </c>
      <c r="H2883">
        <v>3</v>
      </c>
      <c r="I2883">
        <v>30000</v>
      </c>
      <c r="J2883">
        <v>5000</v>
      </c>
      <c r="K2883" t="s">
        <v>108</v>
      </c>
      <c r="L2883" t="s">
        <v>77</v>
      </c>
      <c r="M2883" t="s">
        <v>44</v>
      </c>
      <c r="N2883" t="b">
        <v>0</v>
      </c>
      <c r="O2883" t="s">
        <v>109</v>
      </c>
    </row>
    <row r="2884" spans="1:15" ht="15" customHeight="1">
      <c r="A2884" t="s">
        <v>570</v>
      </c>
      <c r="B2884" t="s">
        <v>3484</v>
      </c>
      <c r="C2884" t="s">
        <v>129</v>
      </c>
      <c r="D2884" t="s">
        <v>130</v>
      </c>
      <c r="E2884">
        <v>15</v>
      </c>
      <c r="F2884">
        <v>11.8</v>
      </c>
      <c r="G2884">
        <v>0.79</v>
      </c>
      <c r="H2884">
        <v>14</v>
      </c>
      <c r="I2884">
        <v>5000</v>
      </c>
      <c r="J2884">
        <v>1000</v>
      </c>
      <c r="K2884" t="s">
        <v>82</v>
      </c>
      <c r="L2884" t="s">
        <v>96</v>
      </c>
      <c r="M2884" t="s">
        <v>44</v>
      </c>
      <c r="N2884" t="b">
        <v>0</v>
      </c>
      <c r="O2884" t="s">
        <v>229</v>
      </c>
    </row>
    <row r="2885" spans="1:15" ht="15" customHeight="1">
      <c r="A2885" t="s">
        <v>338</v>
      </c>
      <c r="B2885" t="s">
        <v>3485</v>
      </c>
      <c r="C2885" t="s">
        <v>81</v>
      </c>
      <c r="D2885" t="s">
        <v>69</v>
      </c>
      <c r="E2885">
        <v>8</v>
      </c>
      <c r="F2885">
        <v>6.2</v>
      </c>
      <c r="G2885">
        <v>0.78</v>
      </c>
      <c r="H2885">
        <v>28</v>
      </c>
      <c r="I2885">
        <v>10000</v>
      </c>
      <c r="J2885">
        <v>3000</v>
      </c>
      <c r="K2885" t="s">
        <v>966</v>
      </c>
      <c r="L2885" t="s">
        <v>117</v>
      </c>
      <c r="M2885" t="s">
        <v>40</v>
      </c>
      <c r="N2885" t="b">
        <v>1</v>
      </c>
      <c r="O2885" t="s">
        <v>967</v>
      </c>
    </row>
    <row r="2886" spans="1:15" ht="15" customHeight="1">
      <c r="A2886" t="s">
        <v>654</v>
      </c>
      <c r="B2886" t="s">
        <v>3486</v>
      </c>
      <c r="C2886" t="s">
        <v>81</v>
      </c>
      <c r="D2886" t="s">
        <v>69</v>
      </c>
      <c r="E2886">
        <v>14</v>
      </c>
      <c r="F2886">
        <v>13</v>
      </c>
      <c r="G2886">
        <v>0.93</v>
      </c>
      <c r="H2886">
        <v>27</v>
      </c>
      <c r="I2886">
        <v>10000</v>
      </c>
      <c r="J2886">
        <v>3000</v>
      </c>
      <c r="K2886" t="s">
        <v>125</v>
      </c>
      <c r="L2886" t="s">
        <v>117</v>
      </c>
      <c r="M2886" t="s">
        <v>48</v>
      </c>
      <c r="N2886" t="b">
        <v>1</v>
      </c>
      <c r="O2886" t="s">
        <v>126</v>
      </c>
    </row>
    <row r="2887" spans="1:15" ht="15" customHeight="1">
      <c r="A2887" t="s">
        <v>694</v>
      </c>
      <c r="B2887" t="s">
        <v>3487</v>
      </c>
      <c r="C2887" t="s">
        <v>129</v>
      </c>
      <c r="D2887" t="s">
        <v>130</v>
      </c>
      <c r="E2887">
        <v>16</v>
      </c>
      <c r="F2887">
        <v>6.8</v>
      </c>
      <c r="G2887">
        <v>0.42</v>
      </c>
      <c r="H2887">
        <v>7</v>
      </c>
      <c r="I2887">
        <v>5000</v>
      </c>
      <c r="J2887">
        <v>1000</v>
      </c>
      <c r="K2887" t="s">
        <v>1135</v>
      </c>
      <c r="L2887" t="s">
        <v>96</v>
      </c>
      <c r="M2887" t="s">
        <v>46</v>
      </c>
      <c r="N2887" t="b">
        <v>0</v>
      </c>
      <c r="O2887" t="s">
        <v>862</v>
      </c>
    </row>
    <row r="2888" spans="1:15" ht="15" customHeight="1">
      <c r="A2888" t="s">
        <v>441</v>
      </c>
      <c r="B2888" t="s">
        <v>3488</v>
      </c>
      <c r="C2888" t="s">
        <v>149</v>
      </c>
      <c r="D2888" t="s">
        <v>69</v>
      </c>
      <c r="E2888">
        <v>11</v>
      </c>
      <c r="F2888">
        <v>6.1</v>
      </c>
      <c r="G2888">
        <v>0.55000000000000004</v>
      </c>
      <c r="H2888">
        <v>15</v>
      </c>
      <c r="I2888">
        <v>3000</v>
      </c>
      <c r="J2888">
        <v>1000</v>
      </c>
      <c r="K2888" t="s">
        <v>438</v>
      </c>
      <c r="L2888" t="s">
        <v>77</v>
      </c>
      <c r="M2888" t="s">
        <v>43</v>
      </c>
      <c r="N2888" t="b">
        <v>0</v>
      </c>
      <c r="O2888" t="s">
        <v>90</v>
      </c>
    </row>
    <row r="2889" spans="1:15" ht="15" customHeight="1">
      <c r="A2889" t="s">
        <v>580</v>
      </c>
      <c r="B2889" t="s">
        <v>3489</v>
      </c>
      <c r="C2889" t="s">
        <v>68</v>
      </c>
      <c r="D2889" t="s">
        <v>69</v>
      </c>
      <c r="E2889">
        <v>10</v>
      </c>
      <c r="F2889">
        <v>0.8</v>
      </c>
      <c r="G2889">
        <v>0.08</v>
      </c>
      <c r="H2889">
        <v>1</v>
      </c>
      <c r="I2889">
        <v>30000</v>
      </c>
      <c r="J2889">
        <v>5000</v>
      </c>
      <c r="K2889" t="s">
        <v>70</v>
      </c>
      <c r="L2889" t="s">
        <v>96</v>
      </c>
      <c r="M2889" t="s">
        <v>43</v>
      </c>
      <c r="N2889" t="b">
        <v>0</v>
      </c>
      <c r="O2889" t="s">
        <v>72</v>
      </c>
    </row>
    <row r="2890" spans="1:15" ht="15" customHeight="1">
      <c r="A2890" t="s">
        <v>189</v>
      </c>
      <c r="B2890" t="s">
        <v>3490</v>
      </c>
      <c r="C2890" t="s">
        <v>68</v>
      </c>
      <c r="D2890" t="s">
        <v>69</v>
      </c>
      <c r="E2890">
        <v>11</v>
      </c>
      <c r="F2890">
        <v>1.7</v>
      </c>
      <c r="G2890">
        <v>0.15</v>
      </c>
      <c r="H2890">
        <v>3</v>
      </c>
      <c r="I2890">
        <v>30000</v>
      </c>
      <c r="J2890">
        <v>5000</v>
      </c>
      <c r="K2890" t="s">
        <v>108</v>
      </c>
      <c r="L2890" t="s">
        <v>104</v>
      </c>
      <c r="M2890" t="s">
        <v>51</v>
      </c>
      <c r="N2890" t="b">
        <v>0</v>
      </c>
      <c r="O2890" t="s">
        <v>109</v>
      </c>
    </row>
    <row r="2891" spans="1:15" ht="15" customHeight="1">
      <c r="A2891" t="s">
        <v>998</v>
      </c>
      <c r="B2891" t="s">
        <v>3491</v>
      </c>
      <c r="C2891" t="s">
        <v>129</v>
      </c>
      <c r="D2891" t="s">
        <v>130</v>
      </c>
      <c r="E2891">
        <v>16</v>
      </c>
      <c r="F2891">
        <v>14.5</v>
      </c>
      <c r="G2891">
        <v>0.91</v>
      </c>
      <c r="H2891">
        <v>15</v>
      </c>
      <c r="I2891">
        <v>5000</v>
      </c>
      <c r="J2891">
        <v>1000</v>
      </c>
      <c r="K2891" t="s">
        <v>479</v>
      </c>
      <c r="L2891" t="s">
        <v>96</v>
      </c>
      <c r="M2891" t="s">
        <v>44</v>
      </c>
      <c r="N2891" t="b">
        <v>0</v>
      </c>
      <c r="O2891" t="s">
        <v>480</v>
      </c>
    </row>
    <row r="2892" spans="1:15" ht="15" customHeight="1">
      <c r="A2892" t="s">
        <v>237</v>
      </c>
      <c r="B2892" t="s">
        <v>3492</v>
      </c>
      <c r="C2892" t="s">
        <v>81</v>
      </c>
      <c r="D2892" t="s">
        <v>69</v>
      </c>
      <c r="E2892">
        <v>8</v>
      </c>
      <c r="F2892">
        <v>3.2</v>
      </c>
      <c r="G2892">
        <v>0.4</v>
      </c>
      <c r="H2892">
        <v>21</v>
      </c>
      <c r="I2892">
        <v>10000</v>
      </c>
      <c r="J2892">
        <v>3000</v>
      </c>
      <c r="K2892" t="s">
        <v>279</v>
      </c>
      <c r="L2892" t="s">
        <v>77</v>
      </c>
      <c r="M2892" t="s">
        <v>49</v>
      </c>
      <c r="N2892" t="b">
        <v>0</v>
      </c>
      <c r="O2892" t="s">
        <v>280</v>
      </c>
    </row>
    <row r="2893" spans="1:15" ht="15" customHeight="1">
      <c r="A2893" t="s">
        <v>770</v>
      </c>
      <c r="B2893" t="s">
        <v>3493</v>
      </c>
      <c r="C2893" t="s">
        <v>129</v>
      </c>
      <c r="D2893" t="s">
        <v>130</v>
      </c>
      <c r="E2893">
        <v>20</v>
      </c>
      <c r="F2893">
        <v>6.9</v>
      </c>
      <c r="G2893">
        <v>0.35</v>
      </c>
      <c r="H2893">
        <v>7</v>
      </c>
      <c r="I2893">
        <v>5000</v>
      </c>
      <c r="J2893">
        <v>1000</v>
      </c>
      <c r="K2893" t="s">
        <v>1135</v>
      </c>
      <c r="L2893" t="s">
        <v>104</v>
      </c>
      <c r="M2893" t="s">
        <v>48</v>
      </c>
      <c r="N2893" t="b">
        <v>0</v>
      </c>
      <c r="O2893" t="s">
        <v>862</v>
      </c>
    </row>
    <row r="2894" spans="1:15" ht="15" customHeight="1">
      <c r="A2894" t="s">
        <v>342</v>
      </c>
      <c r="B2894" t="s">
        <v>3494</v>
      </c>
      <c r="C2894" t="s">
        <v>81</v>
      </c>
      <c r="D2894" t="s">
        <v>69</v>
      </c>
      <c r="E2894">
        <v>12</v>
      </c>
      <c r="F2894">
        <v>6.8</v>
      </c>
      <c r="G2894">
        <v>0.56999999999999995</v>
      </c>
      <c r="H2894">
        <v>24</v>
      </c>
      <c r="I2894">
        <v>10000</v>
      </c>
      <c r="J2894">
        <v>3000</v>
      </c>
      <c r="K2894" t="s">
        <v>306</v>
      </c>
      <c r="L2894" t="s">
        <v>71</v>
      </c>
      <c r="M2894" t="s">
        <v>46</v>
      </c>
      <c r="N2894" t="b">
        <v>0</v>
      </c>
      <c r="O2894" t="s">
        <v>307</v>
      </c>
    </row>
    <row r="2895" spans="1:15" ht="15" customHeight="1">
      <c r="A2895" t="s">
        <v>1117</v>
      </c>
      <c r="B2895" t="s">
        <v>3495</v>
      </c>
      <c r="C2895" t="s">
        <v>68</v>
      </c>
      <c r="D2895" t="s">
        <v>69</v>
      </c>
      <c r="E2895">
        <v>15</v>
      </c>
      <c r="F2895">
        <v>2.9</v>
      </c>
      <c r="G2895">
        <v>0.19</v>
      </c>
      <c r="H2895">
        <v>3</v>
      </c>
      <c r="I2895">
        <v>30000</v>
      </c>
      <c r="J2895">
        <v>5000</v>
      </c>
      <c r="K2895" t="s">
        <v>108</v>
      </c>
      <c r="L2895" t="s">
        <v>117</v>
      </c>
      <c r="M2895" t="s">
        <v>43</v>
      </c>
      <c r="N2895" t="b">
        <v>1</v>
      </c>
      <c r="O2895" t="s">
        <v>109</v>
      </c>
    </row>
    <row r="2896" spans="1:15" ht="15" customHeight="1">
      <c r="A2896" t="s">
        <v>503</v>
      </c>
      <c r="B2896" t="s">
        <v>3496</v>
      </c>
      <c r="C2896" t="s">
        <v>81</v>
      </c>
      <c r="D2896" t="s">
        <v>69</v>
      </c>
      <c r="E2896">
        <v>10</v>
      </c>
      <c r="F2896">
        <v>9.4</v>
      </c>
      <c r="G2896">
        <v>0.94</v>
      </c>
      <c r="H2896">
        <v>16</v>
      </c>
      <c r="I2896">
        <v>10000</v>
      </c>
      <c r="J2896">
        <v>3000</v>
      </c>
      <c r="K2896" t="s">
        <v>283</v>
      </c>
      <c r="L2896" t="s">
        <v>91</v>
      </c>
      <c r="M2896" t="s">
        <v>43</v>
      </c>
      <c r="N2896" t="b">
        <v>1</v>
      </c>
      <c r="O2896" t="s">
        <v>284</v>
      </c>
    </row>
    <row r="2897" spans="1:15" ht="15" customHeight="1">
      <c r="A2897" t="s">
        <v>621</v>
      </c>
      <c r="B2897" t="s">
        <v>3497</v>
      </c>
      <c r="C2897" t="s">
        <v>68</v>
      </c>
      <c r="D2897" t="s">
        <v>69</v>
      </c>
      <c r="E2897">
        <v>9</v>
      </c>
      <c r="F2897">
        <v>1.2</v>
      </c>
      <c r="G2897">
        <v>0.13</v>
      </c>
      <c r="H2897">
        <v>2</v>
      </c>
      <c r="I2897">
        <v>30000</v>
      </c>
      <c r="J2897">
        <v>5000</v>
      </c>
      <c r="K2897" t="s">
        <v>162</v>
      </c>
      <c r="L2897" t="s">
        <v>104</v>
      </c>
      <c r="M2897" t="s">
        <v>44</v>
      </c>
      <c r="N2897" t="b">
        <v>0</v>
      </c>
      <c r="O2897" t="s">
        <v>163</v>
      </c>
    </row>
    <row r="2898" spans="1:15" ht="15" customHeight="1">
      <c r="A2898" t="s">
        <v>1442</v>
      </c>
      <c r="B2898" t="s">
        <v>3498</v>
      </c>
      <c r="C2898" t="s">
        <v>81</v>
      </c>
      <c r="D2898" t="s">
        <v>69</v>
      </c>
      <c r="E2898">
        <v>12</v>
      </c>
      <c r="F2898">
        <v>8.9</v>
      </c>
      <c r="G2898">
        <v>0.74</v>
      </c>
      <c r="H2898">
        <v>28</v>
      </c>
      <c r="I2898">
        <v>10000</v>
      </c>
      <c r="J2898">
        <v>3000</v>
      </c>
      <c r="K2898" t="s">
        <v>966</v>
      </c>
      <c r="L2898" t="s">
        <v>104</v>
      </c>
      <c r="M2898" t="s">
        <v>47</v>
      </c>
      <c r="N2898" t="b">
        <v>0</v>
      </c>
      <c r="O2898" t="s">
        <v>967</v>
      </c>
    </row>
    <row r="2899" spans="1:15" ht="15" customHeight="1">
      <c r="A2899" t="s">
        <v>964</v>
      </c>
      <c r="B2899" t="s">
        <v>3499</v>
      </c>
      <c r="C2899" t="s">
        <v>149</v>
      </c>
      <c r="D2899" t="s">
        <v>69</v>
      </c>
      <c r="E2899">
        <v>12</v>
      </c>
      <c r="F2899">
        <v>6.5</v>
      </c>
      <c r="G2899">
        <v>0.54</v>
      </c>
      <c r="H2899">
        <v>15</v>
      </c>
      <c r="I2899">
        <v>3000</v>
      </c>
      <c r="J2899">
        <v>1000</v>
      </c>
      <c r="K2899" t="s">
        <v>438</v>
      </c>
      <c r="L2899" t="s">
        <v>96</v>
      </c>
      <c r="M2899" t="s">
        <v>48</v>
      </c>
      <c r="N2899" t="b">
        <v>0</v>
      </c>
      <c r="O2899" t="s">
        <v>90</v>
      </c>
    </row>
    <row r="2900" spans="1:15" ht="15" customHeight="1">
      <c r="A2900" t="s">
        <v>957</v>
      </c>
      <c r="B2900" t="s">
        <v>3500</v>
      </c>
      <c r="C2900" t="s">
        <v>81</v>
      </c>
      <c r="D2900" t="s">
        <v>69</v>
      </c>
      <c r="E2900">
        <v>18</v>
      </c>
      <c r="F2900">
        <v>7.8</v>
      </c>
      <c r="G2900">
        <v>0.43</v>
      </c>
      <c r="H2900">
        <v>11</v>
      </c>
      <c r="I2900">
        <v>10000</v>
      </c>
      <c r="J2900">
        <v>3000</v>
      </c>
      <c r="K2900" t="s">
        <v>134</v>
      </c>
      <c r="L2900" t="s">
        <v>96</v>
      </c>
      <c r="M2900" t="s">
        <v>48</v>
      </c>
      <c r="N2900" t="b">
        <v>0</v>
      </c>
      <c r="O2900" t="s">
        <v>155</v>
      </c>
    </row>
    <row r="2901" spans="1:15" ht="15" customHeight="1">
      <c r="A2901" t="s">
        <v>981</v>
      </c>
      <c r="B2901" t="s">
        <v>3501</v>
      </c>
      <c r="C2901" t="s">
        <v>81</v>
      </c>
      <c r="D2901" t="s">
        <v>69</v>
      </c>
      <c r="E2901">
        <v>9</v>
      </c>
      <c r="F2901">
        <v>7.3</v>
      </c>
      <c r="G2901">
        <v>0.81</v>
      </c>
      <c r="H2901">
        <v>6</v>
      </c>
      <c r="I2901">
        <v>10000</v>
      </c>
      <c r="J2901">
        <v>3000</v>
      </c>
      <c r="K2901" t="s">
        <v>162</v>
      </c>
      <c r="L2901" t="s">
        <v>104</v>
      </c>
      <c r="M2901" t="s">
        <v>48</v>
      </c>
      <c r="N2901" t="b">
        <v>0</v>
      </c>
      <c r="O2901" t="s">
        <v>198</v>
      </c>
    </row>
    <row r="2902" spans="1:15" ht="15" customHeight="1">
      <c r="A2902" t="s">
        <v>744</v>
      </c>
      <c r="B2902" t="s">
        <v>3502</v>
      </c>
      <c r="C2902" t="s">
        <v>68</v>
      </c>
      <c r="D2902" t="s">
        <v>69</v>
      </c>
      <c r="E2902">
        <v>10</v>
      </c>
      <c r="F2902">
        <v>0.8</v>
      </c>
      <c r="G2902">
        <v>0.08</v>
      </c>
      <c r="H2902">
        <v>3</v>
      </c>
      <c r="I2902">
        <v>30000</v>
      </c>
      <c r="J2902">
        <v>5000</v>
      </c>
      <c r="K2902" t="s">
        <v>108</v>
      </c>
      <c r="L2902" t="s">
        <v>117</v>
      </c>
      <c r="M2902" t="s">
        <v>42</v>
      </c>
      <c r="N2902" t="b">
        <v>1</v>
      </c>
      <c r="O2902" t="s">
        <v>109</v>
      </c>
    </row>
    <row r="2903" spans="1:15" ht="15" customHeight="1">
      <c r="A2903" t="s">
        <v>189</v>
      </c>
      <c r="B2903" t="s">
        <v>3503</v>
      </c>
      <c r="C2903" t="s">
        <v>81</v>
      </c>
      <c r="D2903" t="s">
        <v>69</v>
      </c>
      <c r="E2903">
        <v>10</v>
      </c>
      <c r="F2903">
        <v>6.8</v>
      </c>
      <c r="G2903">
        <v>0.68</v>
      </c>
      <c r="H2903">
        <v>27</v>
      </c>
      <c r="I2903">
        <v>10000</v>
      </c>
      <c r="J2903">
        <v>3000</v>
      </c>
      <c r="K2903" t="s">
        <v>125</v>
      </c>
      <c r="L2903" t="s">
        <v>104</v>
      </c>
      <c r="M2903" t="s">
        <v>51</v>
      </c>
      <c r="N2903" t="b">
        <v>0</v>
      </c>
      <c r="O2903" t="s">
        <v>126</v>
      </c>
    </row>
    <row r="2904" spans="1:15" ht="15" customHeight="1">
      <c r="A2904" t="s">
        <v>287</v>
      </c>
      <c r="B2904" t="s">
        <v>3504</v>
      </c>
      <c r="C2904" t="s">
        <v>149</v>
      </c>
      <c r="D2904" t="s">
        <v>69</v>
      </c>
      <c r="E2904">
        <v>10</v>
      </c>
      <c r="F2904">
        <v>7.2</v>
      </c>
      <c r="G2904">
        <v>0.72</v>
      </c>
      <c r="H2904">
        <v>17</v>
      </c>
      <c r="I2904">
        <v>3000</v>
      </c>
      <c r="J2904">
        <v>1000</v>
      </c>
      <c r="K2904" t="s">
        <v>634</v>
      </c>
      <c r="L2904" t="s">
        <v>104</v>
      </c>
      <c r="M2904" t="s">
        <v>41</v>
      </c>
      <c r="N2904" t="b">
        <v>0</v>
      </c>
      <c r="O2904" t="s">
        <v>158</v>
      </c>
    </row>
    <row r="2905" spans="1:15" ht="15" customHeight="1">
      <c r="A2905" t="s">
        <v>93</v>
      </c>
      <c r="B2905" t="s">
        <v>3505</v>
      </c>
      <c r="C2905" t="s">
        <v>149</v>
      </c>
      <c r="D2905" t="s">
        <v>69</v>
      </c>
      <c r="E2905">
        <v>9</v>
      </c>
      <c r="F2905">
        <v>7</v>
      </c>
      <c r="G2905">
        <v>0.78</v>
      </c>
      <c r="H2905">
        <v>16</v>
      </c>
      <c r="I2905">
        <v>3000</v>
      </c>
      <c r="J2905">
        <v>1000</v>
      </c>
      <c r="K2905" t="s">
        <v>361</v>
      </c>
      <c r="L2905" t="s">
        <v>96</v>
      </c>
      <c r="M2905" t="s">
        <v>40</v>
      </c>
      <c r="N2905" t="b">
        <v>0</v>
      </c>
      <c r="O2905" t="s">
        <v>870</v>
      </c>
    </row>
    <row r="2906" spans="1:15" ht="15" customHeight="1">
      <c r="A2906" t="s">
        <v>88</v>
      </c>
      <c r="B2906" t="s">
        <v>3506</v>
      </c>
      <c r="C2906" t="s">
        <v>75</v>
      </c>
      <c r="D2906" t="s">
        <v>69</v>
      </c>
      <c r="E2906">
        <v>14</v>
      </c>
      <c r="F2906">
        <v>8.3000000000000007</v>
      </c>
      <c r="G2906">
        <v>0.59</v>
      </c>
      <c r="H2906">
        <v>27</v>
      </c>
      <c r="I2906">
        <v>2000</v>
      </c>
      <c r="J2906">
        <v>1500</v>
      </c>
      <c r="K2906" t="s">
        <v>150</v>
      </c>
      <c r="L2906" t="s">
        <v>91</v>
      </c>
      <c r="M2906" t="s">
        <v>51</v>
      </c>
      <c r="N2906" t="b">
        <v>1</v>
      </c>
      <c r="O2906" t="s">
        <v>528</v>
      </c>
    </row>
    <row r="2907" spans="1:15" ht="15" customHeight="1">
      <c r="A2907" t="s">
        <v>495</v>
      </c>
      <c r="B2907" t="s">
        <v>3507</v>
      </c>
      <c r="C2907" t="s">
        <v>149</v>
      </c>
      <c r="D2907" t="s">
        <v>69</v>
      </c>
      <c r="E2907">
        <v>8</v>
      </c>
      <c r="F2907">
        <v>6.1</v>
      </c>
      <c r="G2907">
        <v>0.76</v>
      </c>
      <c r="H2907">
        <v>27</v>
      </c>
      <c r="I2907">
        <v>3000</v>
      </c>
      <c r="J2907">
        <v>1000</v>
      </c>
      <c r="K2907" t="s">
        <v>845</v>
      </c>
      <c r="L2907" t="s">
        <v>100</v>
      </c>
      <c r="M2907" t="s">
        <v>44</v>
      </c>
      <c r="N2907" t="b">
        <v>0</v>
      </c>
      <c r="O2907" t="s">
        <v>357</v>
      </c>
    </row>
    <row r="2908" spans="1:15" ht="15" customHeight="1">
      <c r="A2908" t="s">
        <v>468</v>
      </c>
      <c r="B2908" t="s">
        <v>3508</v>
      </c>
      <c r="C2908" t="s">
        <v>75</v>
      </c>
      <c r="D2908" t="s">
        <v>69</v>
      </c>
      <c r="E2908">
        <v>18</v>
      </c>
      <c r="F2908">
        <v>8.3000000000000007</v>
      </c>
      <c r="G2908">
        <v>0.46</v>
      </c>
      <c r="H2908">
        <v>8</v>
      </c>
      <c r="I2908">
        <v>2000</v>
      </c>
      <c r="J2908">
        <v>1500</v>
      </c>
      <c r="K2908" t="s">
        <v>275</v>
      </c>
      <c r="L2908" t="s">
        <v>117</v>
      </c>
      <c r="M2908" t="s">
        <v>49</v>
      </c>
      <c r="N2908" t="b">
        <v>1</v>
      </c>
      <c r="O2908" t="s">
        <v>276</v>
      </c>
    </row>
    <row r="2909" spans="1:15" ht="15" customHeight="1">
      <c r="A2909" t="s">
        <v>986</v>
      </c>
      <c r="B2909" t="s">
        <v>3509</v>
      </c>
      <c r="C2909" t="s">
        <v>149</v>
      </c>
      <c r="D2909" t="s">
        <v>69</v>
      </c>
      <c r="E2909">
        <v>10</v>
      </c>
      <c r="F2909">
        <v>7.4</v>
      </c>
      <c r="G2909">
        <v>0.74</v>
      </c>
      <c r="H2909">
        <v>23</v>
      </c>
      <c r="I2909">
        <v>3000</v>
      </c>
      <c r="J2909">
        <v>1000</v>
      </c>
      <c r="K2909" t="s">
        <v>229</v>
      </c>
      <c r="L2909" t="s">
        <v>104</v>
      </c>
      <c r="M2909" t="s">
        <v>47</v>
      </c>
      <c r="N2909" t="b">
        <v>0</v>
      </c>
      <c r="O2909" t="s">
        <v>249</v>
      </c>
    </row>
    <row r="2910" spans="1:15" ht="15" customHeight="1">
      <c r="A2910" t="s">
        <v>160</v>
      </c>
      <c r="B2910" t="s">
        <v>3510</v>
      </c>
      <c r="C2910" t="s">
        <v>81</v>
      </c>
      <c r="D2910" t="s">
        <v>69</v>
      </c>
      <c r="E2910">
        <v>18</v>
      </c>
      <c r="F2910">
        <v>13.5</v>
      </c>
      <c r="G2910">
        <v>0.75</v>
      </c>
      <c r="H2910">
        <v>29</v>
      </c>
      <c r="I2910">
        <v>10000</v>
      </c>
      <c r="J2910">
        <v>3000</v>
      </c>
      <c r="K2910" t="s">
        <v>603</v>
      </c>
      <c r="L2910" t="s">
        <v>71</v>
      </c>
      <c r="M2910" t="s">
        <v>45</v>
      </c>
      <c r="N2910" t="b">
        <v>0</v>
      </c>
      <c r="O2910" t="s">
        <v>604</v>
      </c>
    </row>
    <row r="2911" spans="1:15" ht="15" customHeight="1">
      <c r="A2911" t="s">
        <v>588</v>
      </c>
      <c r="B2911" t="s">
        <v>3511</v>
      </c>
      <c r="C2911" t="s">
        <v>81</v>
      </c>
      <c r="D2911" t="s">
        <v>69</v>
      </c>
      <c r="E2911">
        <v>20</v>
      </c>
      <c r="F2911">
        <v>5.5</v>
      </c>
      <c r="G2911">
        <v>0.28000000000000003</v>
      </c>
      <c r="H2911">
        <v>6</v>
      </c>
      <c r="I2911">
        <v>10000</v>
      </c>
      <c r="J2911">
        <v>3000</v>
      </c>
      <c r="K2911" t="s">
        <v>162</v>
      </c>
      <c r="L2911" t="s">
        <v>104</v>
      </c>
      <c r="M2911" t="s">
        <v>42</v>
      </c>
      <c r="N2911" t="b">
        <v>0</v>
      </c>
      <c r="O2911" t="s">
        <v>198</v>
      </c>
    </row>
    <row r="2912" spans="1:15" ht="15" customHeight="1">
      <c r="A2912" t="s">
        <v>811</v>
      </c>
      <c r="B2912" t="s">
        <v>3512</v>
      </c>
      <c r="C2912" t="s">
        <v>75</v>
      </c>
      <c r="D2912" t="s">
        <v>69</v>
      </c>
      <c r="E2912">
        <v>9</v>
      </c>
      <c r="F2912">
        <v>7.4</v>
      </c>
      <c r="G2912">
        <v>0.82</v>
      </c>
      <c r="H2912">
        <v>17</v>
      </c>
      <c r="I2912">
        <v>2000</v>
      </c>
      <c r="J2912">
        <v>1500</v>
      </c>
      <c r="K2912" t="s">
        <v>862</v>
      </c>
      <c r="L2912" t="s">
        <v>91</v>
      </c>
      <c r="M2912" t="s">
        <v>46</v>
      </c>
      <c r="N2912" t="b">
        <v>1</v>
      </c>
      <c r="O2912" t="s">
        <v>863</v>
      </c>
    </row>
    <row r="2913" spans="1:15" ht="15" customHeight="1">
      <c r="A2913" t="s">
        <v>487</v>
      </c>
      <c r="B2913" t="s">
        <v>3513</v>
      </c>
      <c r="C2913" t="s">
        <v>68</v>
      </c>
      <c r="D2913" t="s">
        <v>69</v>
      </c>
      <c r="E2913">
        <v>10</v>
      </c>
      <c r="F2913">
        <v>1.1000000000000001</v>
      </c>
      <c r="G2913">
        <v>0.11</v>
      </c>
      <c r="H2913">
        <v>1</v>
      </c>
      <c r="I2913">
        <v>30000</v>
      </c>
      <c r="J2913">
        <v>5000</v>
      </c>
      <c r="K2913" t="s">
        <v>70</v>
      </c>
      <c r="L2913" t="s">
        <v>96</v>
      </c>
      <c r="M2913" t="s">
        <v>43</v>
      </c>
      <c r="N2913" t="b">
        <v>0</v>
      </c>
      <c r="O2913" t="s">
        <v>72</v>
      </c>
    </row>
    <row r="2914" spans="1:15" ht="15" customHeight="1">
      <c r="A2914" t="s">
        <v>374</v>
      </c>
      <c r="B2914" t="s">
        <v>3514</v>
      </c>
      <c r="C2914" t="s">
        <v>149</v>
      </c>
      <c r="D2914" t="s">
        <v>69</v>
      </c>
      <c r="E2914">
        <v>11</v>
      </c>
      <c r="F2914">
        <v>10.8</v>
      </c>
      <c r="G2914">
        <v>0.98</v>
      </c>
      <c r="H2914">
        <v>24</v>
      </c>
      <c r="I2914">
        <v>3000</v>
      </c>
      <c r="J2914">
        <v>1000</v>
      </c>
      <c r="K2914" t="s">
        <v>490</v>
      </c>
      <c r="L2914" t="s">
        <v>104</v>
      </c>
      <c r="M2914" t="s">
        <v>42</v>
      </c>
      <c r="N2914" t="b">
        <v>0</v>
      </c>
      <c r="O2914" t="s">
        <v>491</v>
      </c>
    </row>
    <row r="2915" spans="1:15" ht="15" customHeight="1">
      <c r="A2915" t="s">
        <v>267</v>
      </c>
      <c r="B2915" t="s">
        <v>3515</v>
      </c>
      <c r="C2915" t="s">
        <v>75</v>
      </c>
      <c r="D2915" t="s">
        <v>69</v>
      </c>
      <c r="E2915">
        <v>20</v>
      </c>
      <c r="F2915">
        <v>13.7</v>
      </c>
      <c r="G2915">
        <v>0.68</v>
      </c>
      <c r="H2915">
        <v>9</v>
      </c>
      <c r="I2915">
        <v>2000</v>
      </c>
      <c r="J2915">
        <v>1500</v>
      </c>
      <c r="K2915" t="s">
        <v>740</v>
      </c>
      <c r="L2915" t="s">
        <v>104</v>
      </c>
      <c r="M2915" t="s">
        <v>48</v>
      </c>
      <c r="N2915" t="b">
        <v>0</v>
      </c>
      <c r="O2915" t="s">
        <v>741</v>
      </c>
    </row>
    <row r="2916" spans="1:15" ht="15" customHeight="1">
      <c r="A2916" t="s">
        <v>532</v>
      </c>
      <c r="B2916" t="s">
        <v>3516</v>
      </c>
      <c r="C2916" t="s">
        <v>75</v>
      </c>
      <c r="D2916" t="s">
        <v>69</v>
      </c>
      <c r="E2916">
        <v>16</v>
      </c>
      <c r="F2916">
        <v>11.4</v>
      </c>
      <c r="G2916">
        <v>0.71</v>
      </c>
      <c r="H2916">
        <v>11</v>
      </c>
      <c r="I2916">
        <v>2000</v>
      </c>
      <c r="J2916">
        <v>1500</v>
      </c>
      <c r="K2916" t="s">
        <v>689</v>
      </c>
      <c r="L2916" t="s">
        <v>71</v>
      </c>
      <c r="M2916" t="s">
        <v>43</v>
      </c>
      <c r="N2916" t="b">
        <v>0</v>
      </c>
      <c r="O2916" t="s">
        <v>690</v>
      </c>
    </row>
    <row r="2917" spans="1:15" ht="15" customHeight="1">
      <c r="A2917" t="s">
        <v>3180</v>
      </c>
      <c r="B2917" t="s">
        <v>3517</v>
      </c>
      <c r="C2917" t="s">
        <v>129</v>
      </c>
      <c r="D2917" t="s">
        <v>130</v>
      </c>
      <c r="E2917">
        <v>16</v>
      </c>
      <c r="F2917">
        <v>15.1</v>
      </c>
      <c r="G2917">
        <v>0.94</v>
      </c>
      <c r="H2917">
        <v>17</v>
      </c>
      <c r="I2917">
        <v>5000</v>
      </c>
      <c r="J2917">
        <v>1000</v>
      </c>
      <c r="K2917" t="s">
        <v>109</v>
      </c>
      <c r="L2917" t="s">
        <v>100</v>
      </c>
      <c r="M2917" t="s">
        <v>49</v>
      </c>
      <c r="N2917" t="b">
        <v>0</v>
      </c>
      <c r="O2917" t="s">
        <v>176</v>
      </c>
    </row>
    <row r="2918" spans="1:15" ht="15" customHeight="1">
      <c r="A2918" t="s">
        <v>458</v>
      </c>
      <c r="B2918" t="s">
        <v>3518</v>
      </c>
      <c r="C2918" t="s">
        <v>149</v>
      </c>
      <c r="D2918" t="s">
        <v>69</v>
      </c>
      <c r="E2918">
        <v>10</v>
      </c>
      <c r="F2918">
        <v>8.1999999999999993</v>
      </c>
      <c r="G2918">
        <v>0.82</v>
      </c>
      <c r="H2918">
        <v>16</v>
      </c>
      <c r="I2918">
        <v>3000</v>
      </c>
      <c r="J2918">
        <v>1000</v>
      </c>
      <c r="K2918" t="s">
        <v>361</v>
      </c>
      <c r="L2918" t="s">
        <v>77</v>
      </c>
      <c r="M2918" t="s">
        <v>41</v>
      </c>
      <c r="N2918" t="b">
        <v>0</v>
      </c>
      <c r="O2918" t="s">
        <v>870</v>
      </c>
    </row>
    <row r="2919" spans="1:15" ht="15" customHeight="1">
      <c r="A2919" t="s">
        <v>327</v>
      </c>
      <c r="B2919" t="s">
        <v>3519</v>
      </c>
      <c r="C2919" t="s">
        <v>68</v>
      </c>
      <c r="D2919" t="s">
        <v>69</v>
      </c>
      <c r="E2919">
        <v>14</v>
      </c>
      <c r="F2919">
        <v>2.5</v>
      </c>
      <c r="G2919">
        <v>0.18</v>
      </c>
      <c r="H2919">
        <v>2</v>
      </c>
      <c r="I2919">
        <v>30000</v>
      </c>
      <c r="J2919">
        <v>5000</v>
      </c>
      <c r="K2919" t="s">
        <v>162</v>
      </c>
      <c r="L2919" t="s">
        <v>77</v>
      </c>
      <c r="M2919" t="s">
        <v>49</v>
      </c>
      <c r="N2919" t="b">
        <v>0</v>
      </c>
      <c r="O2919" t="s">
        <v>163</v>
      </c>
    </row>
    <row r="2920" spans="1:15" ht="15" customHeight="1">
      <c r="A2920" t="s">
        <v>699</v>
      </c>
      <c r="B2920" t="s">
        <v>3520</v>
      </c>
      <c r="C2920" t="s">
        <v>149</v>
      </c>
      <c r="D2920" t="s">
        <v>69</v>
      </c>
      <c r="E2920">
        <v>12</v>
      </c>
      <c r="F2920">
        <v>6.4</v>
      </c>
      <c r="G2920">
        <v>0.53</v>
      </c>
      <c r="H2920">
        <v>25</v>
      </c>
      <c r="I2920">
        <v>3000</v>
      </c>
      <c r="J2920">
        <v>1000</v>
      </c>
      <c r="K2920" t="s">
        <v>479</v>
      </c>
      <c r="L2920" t="s">
        <v>77</v>
      </c>
      <c r="M2920" t="s">
        <v>40</v>
      </c>
      <c r="N2920" t="b">
        <v>0</v>
      </c>
      <c r="O2920" t="s">
        <v>480</v>
      </c>
    </row>
    <row r="2921" spans="1:15" ht="15" customHeight="1">
      <c r="A2921" t="s">
        <v>618</v>
      </c>
      <c r="B2921" t="s">
        <v>3521</v>
      </c>
      <c r="C2921" t="s">
        <v>68</v>
      </c>
      <c r="D2921" t="s">
        <v>69</v>
      </c>
      <c r="E2921">
        <v>11</v>
      </c>
      <c r="F2921">
        <v>2.6</v>
      </c>
      <c r="G2921">
        <v>0.24</v>
      </c>
      <c r="H2921">
        <v>1</v>
      </c>
      <c r="I2921">
        <v>30000</v>
      </c>
      <c r="J2921">
        <v>5000</v>
      </c>
      <c r="K2921" t="s">
        <v>70</v>
      </c>
      <c r="L2921" t="s">
        <v>117</v>
      </c>
      <c r="M2921" t="s">
        <v>46</v>
      </c>
      <c r="N2921" t="b">
        <v>1</v>
      </c>
      <c r="O2921" t="s">
        <v>72</v>
      </c>
    </row>
    <row r="2922" spans="1:15" ht="15" customHeight="1">
      <c r="A2922" t="s">
        <v>170</v>
      </c>
      <c r="B2922" t="s">
        <v>3522</v>
      </c>
      <c r="C2922" t="s">
        <v>68</v>
      </c>
      <c r="D2922" t="s">
        <v>69</v>
      </c>
      <c r="E2922">
        <v>14</v>
      </c>
      <c r="F2922">
        <v>4</v>
      </c>
      <c r="G2922">
        <v>0.28999999999999998</v>
      </c>
      <c r="H2922">
        <v>5</v>
      </c>
      <c r="I2922">
        <v>30000</v>
      </c>
      <c r="J2922">
        <v>5000</v>
      </c>
      <c r="K2922" t="s">
        <v>112</v>
      </c>
      <c r="L2922" t="s">
        <v>96</v>
      </c>
      <c r="M2922" t="s">
        <v>44</v>
      </c>
      <c r="N2922" t="b">
        <v>0</v>
      </c>
      <c r="O2922" t="s">
        <v>113</v>
      </c>
    </row>
    <row r="2923" spans="1:15" ht="15" customHeight="1">
      <c r="A2923" t="s">
        <v>1254</v>
      </c>
      <c r="B2923" t="s">
        <v>3523</v>
      </c>
      <c r="C2923" t="s">
        <v>149</v>
      </c>
      <c r="D2923" t="s">
        <v>69</v>
      </c>
      <c r="E2923">
        <v>12</v>
      </c>
      <c r="F2923">
        <v>8.1999999999999993</v>
      </c>
      <c r="G2923">
        <v>0.68</v>
      </c>
      <c r="H2923">
        <v>16</v>
      </c>
      <c r="I2923">
        <v>3000</v>
      </c>
      <c r="J2923">
        <v>1000</v>
      </c>
      <c r="K2923" t="s">
        <v>361</v>
      </c>
      <c r="L2923" t="s">
        <v>77</v>
      </c>
      <c r="M2923" t="s">
        <v>40</v>
      </c>
      <c r="N2923" t="b">
        <v>0</v>
      </c>
      <c r="O2923" t="s">
        <v>870</v>
      </c>
    </row>
    <row r="2924" spans="1:15" ht="15" customHeight="1">
      <c r="A2924" t="s">
        <v>483</v>
      </c>
      <c r="B2924" t="s">
        <v>3524</v>
      </c>
      <c r="C2924" t="s">
        <v>75</v>
      </c>
      <c r="D2924" t="s">
        <v>69</v>
      </c>
      <c r="E2924">
        <v>18</v>
      </c>
      <c r="F2924">
        <v>8.3000000000000007</v>
      </c>
      <c r="G2924">
        <v>0.46</v>
      </c>
      <c r="H2924">
        <v>14</v>
      </c>
      <c r="I2924">
        <v>2000</v>
      </c>
      <c r="J2924">
        <v>1500</v>
      </c>
      <c r="K2924" t="s">
        <v>396</v>
      </c>
      <c r="L2924" t="s">
        <v>91</v>
      </c>
      <c r="M2924" t="s">
        <v>44</v>
      </c>
      <c r="N2924" t="b">
        <v>1</v>
      </c>
      <c r="O2924" t="s">
        <v>397</v>
      </c>
    </row>
    <row r="2925" spans="1:15" ht="15" customHeight="1">
      <c r="A2925" t="s">
        <v>544</v>
      </c>
      <c r="B2925" t="s">
        <v>3525</v>
      </c>
      <c r="C2925" t="s">
        <v>75</v>
      </c>
      <c r="D2925" t="s">
        <v>69</v>
      </c>
      <c r="E2925">
        <v>11</v>
      </c>
      <c r="F2925">
        <v>7.7</v>
      </c>
      <c r="G2925">
        <v>0.7</v>
      </c>
      <c r="H2925">
        <v>21</v>
      </c>
      <c r="I2925">
        <v>2000</v>
      </c>
      <c r="J2925">
        <v>1500</v>
      </c>
      <c r="K2925" t="s">
        <v>365</v>
      </c>
      <c r="L2925" t="s">
        <v>100</v>
      </c>
      <c r="M2925" t="s">
        <v>42</v>
      </c>
      <c r="N2925" t="b">
        <v>0</v>
      </c>
      <c r="O2925" t="s">
        <v>366</v>
      </c>
    </row>
    <row r="2926" spans="1:15" ht="15" customHeight="1">
      <c r="A2926" t="s">
        <v>296</v>
      </c>
      <c r="B2926" t="s">
        <v>3526</v>
      </c>
      <c r="C2926" t="s">
        <v>81</v>
      </c>
      <c r="D2926" t="s">
        <v>69</v>
      </c>
      <c r="E2926">
        <v>20</v>
      </c>
      <c r="F2926">
        <v>3.6</v>
      </c>
      <c r="G2926">
        <v>0.18</v>
      </c>
      <c r="H2926">
        <v>18</v>
      </c>
      <c r="I2926">
        <v>10000</v>
      </c>
      <c r="J2926">
        <v>3000</v>
      </c>
      <c r="K2926" t="s">
        <v>142</v>
      </c>
      <c r="L2926" t="s">
        <v>100</v>
      </c>
      <c r="M2926" t="s">
        <v>50</v>
      </c>
      <c r="N2926" t="b">
        <v>0</v>
      </c>
      <c r="O2926" t="s">
        <v>143</v>
      </c>
    </row>
    <row r="2927" spans="1:15" ht="15" customHeight="1">
      <c r="A2927" t="s">
        <v>1672</v>
      </c>
      <c r="B2927" t="s">
        <v>3527</v>
      </c>
      <c r="C2927" t="s">
        <v>129</v>
      </c>
      <c r="D2927" t="s">
        <v>130</v>
      </c>
      <c r="E2927">
        <v>10</v>
      </c>
      <c r="F2927">
        <v>9.4</v>
      </c>
      <c r="G2927">
        <v>0.94</v>
      </c>
      <c r="H2927">
        <v>6</v>
      </c>
      <c r="I2927">
        <v>5000</v>
      </c>
      <c r="J2927">
        <v>1000</v>
      </c>
      <c r="K2927" t="s">
        <v>70</v>
      </c>
      <c r="L2927" t="s">
        <v>117</v>
      </c>
      <c r="M2927" t="s">
        <v>43</v>
      </c>
      <c r="N2927" t="b">
        <v>1</v>
      </c>
      <c r="O2927" t="s">
        <v>331</v>
      </c>
    </row>
    <row r="2928" spans="1:15" ht="15" customHeight="1">
      <c r="A2928" t="s">
        <v>891</v>
      </c>
      <c r="B2928" t="s">
        <v>3528</v>
      </c>
      <c r="C2928" t="s">
        <v>81</v>
      </c>
      <c r="D2928" t="s">
        <v>69</v>
      </c>
      <c r="E2928">
        <v>20</v>
      </c>
      <c r="F2928">
        <v>16.7</v>
      </c>
      <c r="G2928">
        <v>0.83</v>
      </c>
      <c r="H2928">
        <v>15</v>
      </c>
      <c r="I2928">
        <v>10000</v>
      </c>
      <c r="J2928">
        <v>3000</v>
      </c>
      <c r="K2928" t="s">
        <v>112</v>
      </c>
      <c r="L2928" t="s">
        <v>77</v>
      </c>
      <c r="M2928" t="s">
        <v>48</v>
      </c>
      <c r="N2928" t="b">
        <v>0</v>
      </c>
      <c r="O2928" t="s">
        <v>234</v>
      </c>
    </row>
    <row r="2929" spans="1:15" ht="15" customHeight="1">
      <c r="A2929" t="s">
        <v>1031</v>
      </c>
      <c r="B2929" t="s">
        <v>3529</v>
      </c>
      <c r="C2929" t="s">
        <v>81</v>
      </c>
      <c r="D2929" t="s">
        <v>69</v>
      </c>
      <c r="E2929">
        <v>16</v>
      </c>
      <c r="F2929">
        <v>8.6</v>
      </c>
      <c r="G2929">
        <v>0.54</v>
      </c>
      <c r="H2929">
        <v>25</v>
      </c>
      <c r="I2929">
        <v>10000</v>
      </c>
      <c r="J2929">
        <v>3000</v>
      </c>
      <c r="K2929" t="s">
        <v>138</v>
      </c>
      <c r="L2929" t="s">
        <v>91</v>
      </c>
      <c r="M2929" t="s">
        <v>45</v>
      </c>
      <c r="N2929" t="b">
        <v>1</v>
      </c>
      <c r="O2929" t="s">
        <v>139</v>
      </c>
    </row>
    <row r="2930" spans="1:15" ht="15" customHeight="1">
      <c r="A2930" t="s">
        <v>517</v>
      </c>
      <c r="B2930" t="s">
        <v>3530</v>
      </c>
      <c r="C2930" t="s">
        <v>68</v>
      </c>
      <c r="D2930" t="s">
        <v>69</v>
      </c>
      <c r="E2930">
        <v>10</v>
      </c>
      <c r="F2930">
        <v>2.5</v>
      </c>
      <c r="G2930">
        <v>0.25</v>
      </c>
      <c r="H2930">
        <v>3</v>
      </c>
      <c r="I2930">
        <v>30000</v>
      </c>
      <c r="J2930">
        <v>5000</v>
      </c>
      <c r="K2930" t="s">
        <v>108</v>
      </c>
      <c r="L2930" t="s">
        <v>100</v>
      </c>
      <c r="M2930" t="s">
        <v>46</v>
      </c>
      <c r="N2930" t="b">
        <v>0</v>
      </c>
      <c r="O2930" t="s">
        <v>109</v>
      </c>
    </row>
    <row r="2931" spans="1:15" ht="15" customHeight="1">
      <c r="A2931" t="s">
        <v>167</v>
      </c>
      <c r="B2931" t="s">
        <v>3531</v>
      </c>
      <c r="C2931" t="s">
        <v>81</v>
      </c>
      <c r="D2931" t="s">
        <v>69</v>
      </c>
      <c r="E2931">
        <v>9</v>
      </c>
      <c r="F2931">
        <v>3.1</v>
      </c>
      <c r="G2931">
        <v>0.34</v>
      </c>
      <c r="H2931">
        <v>11</v>
      </c>
      <c r="I2931">
        <v>10000</v>
      </c>
      <c r="J2931">
        <v>3000</v>
      </c>
      <c r="K2931" t="s">
        <v>134</v>
      </c>
      <c r="L2931" t="s">
        <v>104</v>
      </c>
      <c r="M2931" t="s">
        <v>49</v>
      </c>
      <c r="N2931" t="b">
        <v>0</v>
      </c>
      <c r="O2931" t="s">
        <v>155</v>
      </c>
    </row>
    <row r="2932" spans="1:15" ht="15" customHeight="1">
      <c r="A2932" t="s">
        <v>1213</v>
      </c>
      <c r="B2932" t="s">
        <v>3532</v>
      </c>
      <c r="C2932" t="s">
        <v>129</v>
      </c>
      <c r="D2932" t="s">
        <v>130</v>
      </c>
      <c r="E2932">
        <v>9</v>
      </c>
      <c r="F2932">
        <v>7.9</v>
      </c>
      <c r="G2932">
        <v>0.88</v>
      </c>
      <c r="H2932">
        <v>21</v>
      </c>
      <c r="I2932">
        <v>5000</v>
      </c>
      <c r="J2932">
        <v>1000</v>
      </c>
      <c r="K2932" t="s">
        <v>131</v>
      </c>
      <c r="L2932" t="s">
        <v>100</v>
      </c>
      <c r="M2932" t="s">
        <v>41</v>
      </c>
      <c r="N2932" t="b">
        <v>0</v>
      </c>
      <c r="O2932" t="s">
        <v>132</v>
      </c>
    </row>
    <row r="2933" spans="1:15" ht="15" customHeight="1">
      <c r="A2933" t="s">
        <v>462</v>
      </c>
      <c r="B2933" t="s">
        <v>3533</v>
      </c>
      <c r="C2933" t="s">
        <v>129</v>
      </c>
      <c r="D2933" t="s">
        <v>130</v>
      </c>
      <c r="E2933">
        <v>17</v>
      </c>
      <c r="F2933">
        <v>9.4</v>
      </c>
      <c r="G2933">
        <v>0.55000000000000004</v>
      </c>
      <c r="H2933">
        <v>13</v>
      </c>
      <c r="I2933">
        <v>5000</v>
      </c>
      <c r="J2933">
        <v>1000</v>
      </c>
      <c r="K2933" t="s">
        <v>313</v>
      </c>
      <c r="L2933" t="s">
        <v>71</v>
      </c>
      <c r="M2933" t="s">
        <v>43</v>
      </c>
      <c r="N2933" t="b">
        <v>0</v>
      </c>
      <c r="O2933" t="s">
        <v>314</v>
      </c>
    </row>
    <row r="2934" spans="1:15" ht="15" customHeight="1">
      <c r="A2934" t="s">
        <v>88</v>
      </c>
      <c r="B2934" t="s">
        <v>3534</v>
      </c>
      <c r="C2934" t="s">
        <v>75</v>
      </c>
      <c r="D2934" t="s">
        <v>69</v>
      </c>
      <c r="E2934">
        <v>9</v>
      </c>
      <c r="F2934">
        <v>4</v>
      </c>
      <c r="G2934">
        <v>0.44</v>
      </c>
      <c r="H2934">
        <v>14</v>
      </c>
      <c r="I2934">
        <v>2000</v>
      </c>
      <c r="J2934">
        <v>1500</v>
      </c>
      <c r="K2934" t="s">
        <v>396</v>
      </c>
      <c r="L2934" t="s">
        <v>91</v>
      </c>
      <c r="M2934" t="s">
        <v>51</v>
      </c>
      <c r="N2934" t="b">
        <v>1</v>
      </c>
      <c r="O2934" t="s">
        <v>397</v>
      </c>
    </row>
    <row r="2935" spans="1:15" ht="15" customHeight="1">
      <c r="A2935" t="s">
        <v>1250</v>
      </c>
      <c r="B2935" t="s">
        <v>3535</v>
      </c>
      <c r="C2935" t="s">
        <v>81</v>
      </c>
      <c r="D2935" t="s">
        <v>69</v>
      </c>
      <c r="E2935">
        <v>19</v>
      </c>
      <c r="F2935">
        <v>15.7</v>
      </c>
      <c r="G2935">
        <v>0.83</v>
      </c>
      <c r="H2935">
        <v>9</v>
      </c>
      <c r="I2935">
        <v>10000</v>
      </c>
      <c r="J2935">
        <v>3000</v>
      </c>
      <c r="K2935" t="s">
        <v>108</v>
      </c>
      <c r="L2935" t="s">
        <v>96</v>
      </c>
      <c r="M2935" t="s">
        <v>41</v>
      </c>
      <c r="N2935" t="b">
        <v>0</v>
      </c>
      <c r="O2935" t="s">
        <v>303</v>
      </c>
    </row>
    <row r="2936" spans="1:15" ht="15" customHeight="1">
      <c r="A2936" t="s">
        <v>471</v>
      </c>
      <c r="B2936" t="s">
        <v>3536</v>
      </c>
      <c r="C2936" t="s">
        <v>149</v>
      </c>
      <c r="D2936" t="s">
        <v>69</v>
      </c>
      <c r="E2936">
        <v>11</v>
      </c>
      <c r="F2936">
        <v>9.5</v>
      </c>
      <c r="G2936">
        <v>0.86</v>
      </c>
      <c r="H2936">
        <v>36</v>
      </c>
      <c r="I2936">
        <v>3000</v>
      </c>
      <c r="J2936">
        <v>1000</v>
      </c>
      <c r="K2936" t="s">
        <v>154</v>
      </c>
      <c r="L2936" t="s">
        <v>117</v>
      </c>
      <c r="M2936" t="s">
        <v>47</v>
      </c>
      <c r="N2936" t="b">
        <v>1</v>
      </c>
      <c r="O2936" t="s">
        <v>155</v>
      </c>
    </row>
    <row r="2937" spans="1:15" ht="15" customHeight="1">
      <c r="A2937" t="s">
        <v>2036</v>
      </c>
      <c r="B2937" t="s">
        <v>3537</v>
      </c>
      <c r="C2937" t="s">
        <v>75</v>
      </c>
      <c r="D2937" t="s">
        <v>69</v>
      </c>
      <c r="E2937">
        <v>15</v>
      </c>
      <c r="F2937">
        <v>13.3</v>
      </c>
      <c r="G2937">
        <v>0.89</v>
      </c>
      <c r="H2937">
        <v>16</v>
      </c>
      <c r="I2937">
        <v>2000</v>
      </c>
      <c r="J2937">
        <v>1500</v>
      </c>
      <c r="K2937" t="s">
        <v>938</v>
      </c>
      <c r="L2937" t="s">
        <v>117</v>
      </c>
      <c r="M2937" t="s">
        <v>48</v>
      </c>
      <c r="N2937" t="b">
        <v>1</v>
      </c>
      <c r="O2937" t="s">
        <v>939</v>
      </c>
    </row>
    <row r="2938" spans="1:15" ht="15" customHeight="1">
      <c r="A2938" t="s">
        <v>1254</v>
      </c>
      <c r="B2938" t="s">
        <v>3538</v>
      </c>
      <c r="C2938" t="s">
        <v>75</v>
      </c>
      <c r="D2938" t="s">
        <v>69</v>
      </c>
      <c r="E2938">
        <v>12</v>
      </c>
      <c r="F2938">
        <v>4.8</v>
      </c>
      <c r="G2938">
        <v>0.4</v>
      </c>
      <c r="H2938">
        <v>19</v>
      </c>
      <c r="I2938">
        <v>2000</v>
      </c>
      <c r="J2938">
        <v>1500</v>
      </c>
      <c r="K2938" t="s">
        <v>408</v>
      </c>
      <c r="L2938" t="s">
        <v>77</v>
      </c>
      <c r="M2938" t="s">
        <v>40</v>
      </c>
      <c r="N2938" t="b">
        <v>0</v>
      </c>
      <c r="O2938" t="s">
        <v>409</v>
      </c>
    </row>
    <row r="2939" spans="1:15" ht="15" customHeight="1">
      <c r="A2939" t="s">
        <v>1839</v>
      </c>
      <c r="B2939" t="s">
        <v>3539</v>
      </c>
      <c r="C2939" t="s">
        <v>129</v>
      </c>
      <c r="D2939" t="s">
        <v>130</v>
      </c>
      <c r="E2939">
        <v>9</v>
      </c>
      <c r="F2939">
        <v>4.7</v>
      </c>
      <c r="G2939">
        <v>0.52</v>
      </c>
      <c r="H2939">
        <v>16</v>
      </c>
      <c r="I2939">
        <v>5000</v>
      </c>
      <c r="J2939">
        <v>1000</v>
      </c>
      <c r="K2939" t="s">
        <v>357</v>
      </c>
      <c r="L2939" t="s">
        <v>91</v>
      </c>
      <c r="M2939" t="s">
        <v>43</v>
      </c>
      <c r="N2939" t="b">
        <v>1</v>
      </c>
      <c r="O2939" t="s">
        <v>456</v>
      </c>
    </row>
    <row r="2940" spans="1:15" ht="15" customHeight="1">
      <c r="A2940" t="s">
        <v>601</v>
      </c>
      <c r="B2940" t="s">
        <v>3540</v>
      </c>
      <c r="C2940" t="s">
        <v>129</v>
      </c>
      <c r="D2940" t="s">
        <v>130</v>
      </c>
      <c r="E2940">
        <v>18</v>
      </c>
      <c r="F2940">
        <v>4.2</v>
      </c>
      <c r="G2940">
        <v>0.23</v>
      </c>
      <c r="H2940">
        <v>6</v>
      </c>
      <c r="I2940">
        <v>5000</v>
      </c>
      <c r="J2940">
        <v>1000</v>
      </c>
      <c r="K2940" t="s">
        <v>70</v>
      </c>
      <c r="L2940" t="s">
        <v>117</v>
      </c>
      <c r="M2940" t="s">
        <v>40</v>
      </c>
      <c r="N2940" t="b">
        <v>1</v>
      </c>
      <c r="O2940" t="s">
        <v>331</v>
      </c>
    </row>
    <row r="2941" spans="1:15" ht="15" customHeight="1">
      <c r="A2941" t="s">
        <v>1672</v>
      </c>
      <c r="B2941" t="s">
        <v>3541</v>
      </c>
      <c r="C2941" t="s">
        <v>75</v>
      </c>
      <c r="D2941" t="s">
        <v>69</v>
      </c>
      <c r="E2941">
        <v>12</v>
      </c>
      <c r="F2941">
        <v>4.8</v>
      </c>
      <c r="G2941">
        <v>0.4</v>
      </c>
      <c r="H2941">
        <v>26</v>
      </c>
      <c r="I2941">
        <v>2000</v>
      </c>
      <c r="J2941">
        <v>1500</v>
      </c>
      <c r="K2941" t="s">
        <v>298</v>
      </c>
      <c r="L2941" t="s">
        <v>117</v>
      </c>
      <c r="M2941" t="s">
        <v>43</v>
      </c>
      <c r="N2941" t="b">
        <v>1</v>
      </c>
      <c r="O2941" t="s">
        <v>299</v>
      </c>
    </row>
    <row r="2942" spans="1:15" ht="15" customHeight="1">
      <c r="A2942" t="s">
        <v>756</v>
      </c>
      <c r="B2942" t="s">
        <v>3542</v>
      </c>
      <c r="C2942" t="s">
        <v>75</v>
      </c>
      <c r="D2942" t="s">
        <v>69</v>
      </c>
      <c r="E2942">
        <v>19</v>
      </c>
      <c r="F2942">
        <v>13</v>
      </c>
      <c r="G2942">
        <v>0.68</v>
      </c>
      <c r="H2942">
        <v>10</v>
      </c>
      <c r="I2942">
        <v>2000</v>
      </c>
      <c r="J2942">
        <v>1500</v>
      </c>
      <c r="K2942" t="s">
        <v>418</v>
      </c>
      <c r="L2942" t="s">
        <v>117</v>
      </c>
      <c r="M2942" t="s">
        <v>41</v>
      </c>
      <c r="N2942" t="b">
        <v>1</v>
      </c>
      <c r="O2942" t="s">
        <v>419</v>
      </c>
    </row>
    <row r="2943" spans="1:15" ht="15" customHeight="1">
      <c r="A2943" t="s">
        <v>445</v>
      </c>
      <c r="B2943" t="s">
        <v>3543</v>
      </c>
      <c r="C2943" t="s">
        <v>81</v>
      </c>
      <c r="D2943" t="s">
        <v>69</v>
      </c>
      <c r="E2943">
        <v>8</v>
      </c>
      <c r="F2943">
        <v>3.5</v>
      </c>
      <c r="G2943">
        <v>0.44</v>
      </c>
      <c r="H2943">
        <v>15</v>
      </c>
      <c r="I2943">
        <v>10000</v>
      </c>
      <c r="J2943">
        <v>3000</v>
      </c>
      <c r="K2943" t="s">
        <v>112</v>
      </c>
      <c r="L2943" t="s">
        <v>117</v>
      </c>
      <c r="M2943" t="s">
        <v>45</v>
      </c>
      <c r="N2943" t="b">
        <v>1</v>
      </c>
      <c r="O2943" t="s">
        <v>234</v>
      </c>
    </row>
    <row r="2944" spans="1:15" ht="15" customHeight="1">
      <c r="A2944" t="s">
        <v>563</v>
      </c>
      <c r="B2944" t="s">
        <v>3544</v>
      </c>
      <c r="C2944" t="s">
        <v>81</v>
      </c>
      <c r="D2944" t="s">
        <v>69</v>
      </c>
      <c r="E2944">
        <v>15</v>
      </c>
      <c r="F2944">
        <v>6.4</v>
      </c>
      <c r="G2944">
        <v>0.43</v>
      </c>
      <c r="H2944">
        <v>21</v>
      </c>
      <c r="I2944">
        <v>10000</v>
      </c>
      <c r="J2944">
        <v>3000</v>
      </c>
      <c r="K2944" t="s">
        <v>279</v>
      </c>
      <c r="L2944" t="s">
        <v>91</v>
      </c>
      <c r="M2944" t="s">
        <v>46</v>
      </c>
      <c r="N2944" t="b">
        <v>1</v>
      </c>
      <c r="O2944" t="s">
        <v>280</v>
      </c>
    </row>
    <row r="2945" spans="1:15" ht="15" customHeight="1">
      <c r="A2945" t="s">
        <v>790</v>
      </c>
      <c r="B2945" t="s">
        <v>3545</v>
      </c>
      <c r="C2945" t="s">
        <v>68</v>
      </c>
      <c r="D2945" t="s">
        <v>69</v>
      </c>
      <c r="E2945">
        <v>16</v>
      </c>
      <c r="F2945">
        <v>3</v>
      </c>
      <c r="G2945">
        <v>0.19</v>
      </c>
      <c r="H2945">
        <v>3</v>
      </c>
      <c r="I2945">
        <v>30000</v>
      </c>
      <c r="J2945">
        <v>5000</v>
      </c>
      <c r="K2945" t="s">
        <v>108</v>
      </c>
      <c r="L2945" t="s">
        <v>71</v>
      </c>
      <c r="M2945" t="s">
        <v>48</v>
      </c>
      <c r="N2945" t="b">
        <v>0</v>
      </c>
      <c r="O2945" t="s">
        <v>109</v>
      </c>
    </row>
    <row r="2946" spans="1:15" ht="15" customHeight="1">
      <c r="A2946" t="s">
        <v>183</v>
      </c>
      <c r="B2946" t="s">
        <v>3546</v>
      </c>
      <c r="C2946" t="s">
        <v>68</v>
      </c>
      <c r="D2946" t="s">
        <v>69</v>
      </c>
      <c r="E2946">
        <v>8</v>
      </c>
      <c r="F2946">
        <v>2.7</v>
      </c>
      <c r="G2946">
        <v>0.34</v>
      </c>
      <c r="H2946">
        <v>3</v>
      </c>
      <c r="I2946">
        <v>30000</v>
      </c>
      <c r="J2946">
        <v>5000</v>
      </c>
      <c r="K2946" t="s">
        <v>108</v>
      </c>
      <c r="L2946" t="s">
        <v>100</v>
      </c>
      <c r="M2946" t="s">
        <v>51</v>
      </c>
      <c r="N2946" t="b">
        <v>0</v>
      </c>
      <c r="O2946" t="s">
        <v>109</v>
      </c>
    </row>
    <row r="2947" spans="1:15" ht="15" customHeight="1">
      <c r="A2947" t="s">
        <v>860</v>
      </c>
      <c r="B2947" t="s">
        <v>3547</v>
      </c>
      <c r="C2947" t="s">
        <v>129</v>
      </c>
      <c r="D2947" t="s">
        <v>130</v>
      </c>
      <c r="E2947">
        <v>20</v>
      </c>
      <c r="F2947">
        <v>17.5</v>
      </c>
      <c r="G2947">
        <v>0.88</v>
      </c>
      <c r="H2947">
        <v>25</v>
      </c>
      <c r="I2947">
        <v>5000</v>
      </c>
      <c r="J2947">
        <v>1000</v>
      </c>
      <c r="K2947" t="s">
        <v>245</v>
      </c>
      <c r="L2947" t="s">
        <v>96</v>
      </c>
      <c r="M2947" t="s">
        <v>42</v>
      </c>
      <c r="N2947" t="b">
        <v>0</v>
      </c>
      <c r="O2947" t="s">
        <v>246</v>
      </c>
    </row>
    <row r="2948" spans="1:15" ht="15" customHeight="1">
      <c r="A2948" t="s">
        <v>920</v>
      </c>
      <c r="B2948" t="s">
        <v>3548</v>
      </c>
      <c r="C2948" t="s">
        <v>81</v>
      </c>
      <c r="D2948" t="s">
        <v>69</v>
      </c>
      <c r="E2948">
        <v>16</v>
      </c>
      <c r="F2948">
        <v>6.1</v>
      </c>
      <c r="G2948">
        <v>0.38</v>
      </c>
      <c r="H2948">
        <v>24</v>
      </c>
      <c r="I2948">
        <v>10000</v>
      </c>
      <c r="J2948">
        <v>3000</v>
      </c>
      <c r="K2948" t="s">
        <v>306</v>
      </c>
      <c r="L2948" t="s">
        <v>96</v>
      </c>
      <c r="M2948" t="s">
        <v>51</v>
      </c>
      <c r="N2948" t="b">
        <v>0</v>
      </c>
      <c r="O2948" t="s">
        <v>307</v>
      </c>
    </row>
    <row r="2949" spans="1:15" ht="15" customHeight="1">
      <c r="A2949" t="s">
        <v>964</v>
      </c>
      <c r="B2949" t="s">
        <v>3549</v>
      </c>
      <c r="C2949" t="s">
        <v>81</v>
      </c>
      <c r="D2949" t="s">
        <v>69</v>
      </c>
      <c r="E2949">
        <v>10</v>
      </c>
      <c r="F2949">
        <v>5.2</v>
      </c>
      <c r="G2949">
        <v>0.52</v>
      </c>
      <c r="H2949">
        <v>13</v>
      </c>
      <c r="I2949">
        <v>10000</v>
      </c>
      <c r="J2949">
        <v>3000</v>
      </c>
      <c r="K2949" t="s">
        <v>203</v>
      </c>
      <c r="L2949" t="s">
        <v>96</v>
      </c>
      <c r="M2949" t="s">
        <v>48</v>
      </c>
      <c r="N2949" t="b">
        <v>0</v>
      </c>
      <c r="O2949" t="s">
        <v>204</v>
      </c>
    </row>
    <row r="2950" spans="1:15" ht="15" customHeight="1">
      <c r="A2950" t="s">
        <v>144</v>
      </c>
      <c r="B2950" t="s">
        <v>3550</v>
      </c>
      <c r="C2950" t="s">
        <v>75</v>
      </c>
      <c r="D2950" t="s">
        <v>69</v>
      </c>
      <c r="E2950">
        <v>10</v>
      </c>
      <c r="F2950">
        <v>6.4</v>
      </c>
      <c r="G2950">
        <v>0.64</v>
      </c>
      <c r="H2950">
        <v>11</v>
      </c>
      <c r="I2950">
        <v>2000</v>
      </c>
      <c r="J2950">
        <v>1500</v>
      </c>
      <c r="K2950" t="s">
        <v>689</v>
      </c>
      <c r="L2950" t="s">
        <v>100</v>
      </c>
      <c r="M2950" t="s">
        <v>44</v>
      </c>
      <c r="N2950" t="b">
        <v>0</v>
      </c>
      <c r="O2950" t="s">
        <v>690</v>
      </c>
    </row>
    <row r="2951" spans="1:15" ht="15" customHeight="1">
      <c r="A2951" t="s">
        <v>946</v>
      </c>
      <c r="B2951" t="s">
        <v>3551</v>
      </c>
      <c r="C2951" t="s">
        <v>75</v>
      </c>
      <c r="D2951" t="s">
        <v>69</v>
      </c>
      <c r="E2951">
        <v>17</v>
      </c>
      <c r="F2951">
        <v>15.7</v>
      </c>
      <c r="G2951">
        <v>0.92</v>
      </c>
      <c r="H2951">
        <v>24</v>
      </c>
      <c r="I2951">
        <v>2000</v>
      </c>
      <c r="J2951">
        <v>1500</v>
      </c>
      <c r="K2951" t="s">
        <v>361</v>
      </c>
      <c r="L2951" t="s">
        <v>100</v>
      </c>
      <c r="M2951" t="s">
        <v>51</v>
      </c>
      <c r="N2951" t="b">
        <v>0</v>
      </c>
      <c r="O2951" t="s">
        <v>362</v>
      </c>
    </row>
    <row r="2952" spans="1:15" ht="15" customHeight="1">
      <c r="A2952" t="s">
        <v>654</v>
      </c>
      <c r="B2952" t="s">
        <v>3552</v>
      </c>
      <c r="C2952" t="s">
        <v>149</v>
      </c>
      <c r="D2952" t="s">
        <v>69</v>
      </c>
      <c r="E2952">
        <v>9</v>
      </c>
      <c r="F2952">
        <v>8.4</v>
      </c>
      <c r="G2952">
        <v>0.93</v>
      </c>
      <c r="H2952">
        <v>31</v>
      </c>
      <c r="I2952">
        <v>3000</v>
      </c>
      <c r="J2952">
        <v>1000</v>
      </c>
      <c r="K2952" t="s">
        <v>530</v>
      </c>
      <c r="L2952" t="s">
        <v>117</v>
      </c>
      <c r="M2952" t="s">
        <v>48</v>
      </c>
      <c r="N2952" t="b">
        <v>1</v>
      </c>
      <c r="O2952" t="s">
        <v>531</v>
      </c>
    </row>
    <row r="2953" spans="1:15" ht="15" customHeight="1">
      <c r="A2953" t="s">
        <v>1321</v>
      </c>
      <c r="B2953" t="s">
        <v>3553</v>
      </c>
      <c r="C2953" t="s">
        <v>68</v>
      </c>
      <c r="D2953" t="s">
        <v>69</v>
      </c>
      <c r="E2953">
        <v>8</v>
      </c>
      <c r="F2953">
        <v>3.9</v>
      </c>
      <c r="G2953">
        <v>0.49</v>
      </c>
      <c r="H2953">
        <v>5</v>
      </c>
      <c r="I2953">
        <v>30000</v>
      </c>
      <c r="J2953">
        <v>5000</v>
      </c>
      <c r="K2953" t="s">
        <v>112</v>
      </c>
      <c r="L2953" t="s">
        <v>71</v>
      </c>
      <c r="M2953" t="s">
        <v>40</v>
      </c>
      <c r="N2953" t="b">
        <v>0</v>
      </c>
      <c r="O2953" t="s">
        <v>113</v>
      </c>
    </row>
    <row r="2954" spans="1:15" ht="15" customHeight="1">
      <c r="A2954" t="s">
        <v>933</v>
      </c>
      <c r="B2954" t="s">
        <v>3554</v>
      </c>
      <c r="C2954" t="s">
        <v>81</v>
      </c>
      <c r="D2954" t="s">
        <v>69</v>
      </c>
      <c r="E2954">
        <v>13</v>
      </c>
      <c r="F2954">
        <v>3.4</v>
      </c>
      <c r="G2954">
        <v>0.26</v>
      </c>
      <c r="H2954">
        <v>24</v>
      </c>
      <c r="I2954">
        <v>10000</v>
      </c>
      <c r="J2954">
        <v>3000</v>
      </c>
      <c r="K2954" t="s">
        <v>306</v>
      </c>
      <c r="L2954" t="s">
        <v>71</v>
      </c>
      <c r="M2954" t="s">
        <v>46</v>
      </c>
      <c r="N2954" t="b">
        <v>0</v>
      </c>
      <c r="O2954" t="s">
        <v>307</v>
      </c>
    </row>
    <row r="2955" spans="1:15" ht="15" customHeight="1">
      <c r="A2955" t="s">
        <v>811</v>
      </c>
      <c r="B2955" t="s">
        <v>3555</v>
      </c>
      <c r="C2955" t="s">
        <v>129</v>
      </c>
      <c r="D2955" t="s">
        <v>130</v>
      </c>
      <c r="E2955">
        <v>16</v>
      </c>
      <c r="F2955">
        <v>3.8</v>
      </c>
      <c r="G2955">
        <v>0.24</v>
      </c>
      <c r="H2955">
        <v>27</v>
      </c>
      <c r="I2955">
        <v>5000</v>
      </c>
      <c r="J2955">
        <v>1000</v>
      </c>
      <c r="K2955" t="s">
        <v>172</v>
      </c>
      <c r="L2955" t="s">
        <v>91</v>
      </c>
      <c r="M2955" t="s">
        <v>46</v>
      </c>
      <c r="N2955" t="b">
        <v>1</v>
      </c>
      <c r="O2955" t="s">
        <v>173</v>
      </c>
    </row>
    <row r="2956" spans="1:15" ht="15" customHeight="1">
      <c r="A2956" t="s">
        <v>334</v>
      </c>
      <c r="B2956" t="s">
        <v>3556</v>
      </c>
      <c r="C2956" t="s">
        <v>68</v>
      </c>
      <c r="D2956" t="s">
        <v>69</v>
      </c>
      <c r="E2956">
        <v>16</v>
      </c>
      <c r="F2956">
        <v>3.6</v>
      </c>
      <c r="G2956">
        <v>0.23</v>
      </c>
      <c r="H2956">
        <v>1</v>
      </c>
      <c r="I2956">
        <v>30000</v>
      </c>
      <c r="J2956">
        <v>5000</v>
      </c>
      <c r="K2956" t="s">
        <v>70</v>
      </c>
      <c r="L2956" t="s">
        <v>77</v>
      </c>
      <c r="M2956" t="s">
        <v>43</v>
      </c>
      <c r="N2956" t="b">
        <v>0</v>
      </c>
      <c r="O2956" t="s">
        <v>72</v>
      </c>
    </row>
    <row r="2957" spans="1:15" ht="15" customHeight="1">
      <c r="A2957" t="s">
        <v>783</v>
      </c>
      <c r="B2957" t="s">
        <v>3557</v>
      </c>
      <c r="C2957" t="s">
        <v>129</v>
      </c>
      <c r="D2957" t="s">
        <v>130</v>
      </c>
      <c r="E2957">
        <v>18</v>
      </c>
      <c r="F2957">
        <v>10</v>
      </c>
      <c r="G2957">
        <v>0.56000000000000005</v>
      </c>
      <c r="H2957">
        <v>26</v>
      </c>
      <c r="I2957">
        <v>5000</v>
      </c>
      <c r="J2957">
        <v>1000</v>
      </c>
      <c r="K2957" t="s">
        <v>203</v>
      </c>
      <c r="L2957" t="s">
        <v>71</v>
      </c>
      <c r="M2957" t="s">
        <v>41</v>
      </c>
      <c r="N2957" t="b">
        <v>0</v>
      </c>
      <c r="O2957" t="s">
        <v>623</v>
      </c>
    </row>
    <row r="2958" spans="1:15" ht="15" customHeight="1">
      <c r="A2958" t="s">
        <v>1411</v>
      </c>
      <c r="B2958" t="s">
        <v>3558</v>
      </c>
      <c r="C2958" t="s">
        <v>149</v>
      </c>
      <c r="D2958" t="s">
        <v>69</v>
      </c>
      <c r="E2958">
        <v>9</v>
      </c>
      <c r="F2958">
        <v>6.4</v>
      </c>
      <c r="G2958">
        <v>0.71</v>
      </c>
      <c r="H2958">
        <v>27</v>
      </c>
      <c r="I2958">
        <v>3000</v>
      </c>
      <c r="J2958">
        <v>1000</v>
      </c>
      <c r="K2958" t="s">
        <v>845</v>
      </c>
      <c r="L2958" t="s">
        <v>77</v>
      </c>
      <c r="M2958" t="s">
        <v>48</v>
      </c>
      <c r="N2958" t="b">
        <v>0</v>
      </c>
      <c r="O2958" t="s">
        <v>357</v>
      </c>
    </row>
    <row r="2959" spans="1:15" ht="15" customHeight="1">
      <c r="A2959" t="s">
        <v>590</v>
      </c>
      <c r="B2959" t="s">
        <v>3559</v>
      </c>
      <c r="C2959" t="s">
        <v>129</v>
      </c>
      <c r="D2959" t="s">
        <v>130</v>
      </c>
      <c r="E2959">
        <v>11</v>
      </c>
      <c r="F2959">
        <v>5.6</v>
      </c>
      <c r="G2959">
        <v>0.51</v>
      </c>
      <c r="H2959">
        <v>19</v>
      </c>
      <c r="I2959">
        <v>5000</v>
      </c>
      <c r="J2959">
        <v>1000</v>
      </c>
      <c r="K2959" t="s">
        <v>336</v>
      </c>
      <c r="L2959" t="s">
        <v>77</v>
      </c>
      <c r="M2959" t="s">
        <v>49</v>
      </c>
      <c r="N2959" t="b">
        <v>0</v>
      </c>
      <c r="O2959" t="s">
        <v>337</v>
      </c>
    </row>
    <row r="2960" spans="1:15" ht="15" customHeight="1">
      <c r="A2960" t="s">
        <v>311</v>
      </c>
      <c r="B2960" t="s">
        <v>3560</v>
      </c>
      <c r="C2960" t="s">
        <v>81</v>
      </c>
      <c r="D2960" t="s">
        <v>69</v>
      </c>
      <c r="E2960">
        <v>18</v>
      </c>
      <c r="F2960">
        <v>7.3</v>
      </c>
      <c r="G2960">
        <v>0.41</v>
      </c>
      <c r="H2960">
        <v>11</v>
      </c>
      <c r="I2960">
        <v>10000</v>
      </c>
      <c r="J2960">
        <v>3000</v>
      </c>
      <c r="K2960" t="s">
        <v>134</v>
      </c>
      <c r="L2960" t="s">
        <v>91</v>
      </c>
      <c r="M2960" t="s">
        <v>41</v>
      </c>
      <c r="N2960" t="b">
        <v>1</v>
      </c>
      <c r="O2960" t="s">
        <v>155</v>
      </c>
    </row>
    <row r="2961" spans="1:15" ht="15" customHeight="1">
      <c r="A2961" t="s">
        <v>666</v>
      </c>
      <c r="B2961" t="s">
        <v>3561</v>
      </c>
      <c r="C2961" t="s">
        <v>129</v>
      </c>
      <c r="D2961" t="s">
        <v>130</v>
      </c>
      <c r="E2961">
        <v>8</v>
      </c>
      <c r="F2961">
        <v>7.2</v>
      </c>
      <c r="G2961">
        <v>0.9</v>
      </c>
      <c r="H2961">
        <v>9</v>
      </c>
      <c r="I2961">
        <v>5000</v>
      </c>
      <c r="J2961">
        <v>1000</v>
      </c>
      <c r="K2961" t="s">
        <v>438</v>
      </c>
      <c r="L2961" t="s">
        <v>77</v>
      </c>
      <c r="M2961" t="s">
        <v>44</v>
      </c>
      <c r="N2961" t="b">
        <v>0</v>
      </c>
      <c r="O2961" t="s">
        <v>90</v>
      </c>
    </row>
    <row r="2962" spans="1:15" ht="15" customHeight="1">
      <c r="A2962" t="s">
        <v>557</v>
      </c>
      <c r="B2962" t="s">
        <v>3562</v>
      </c>
      <c r="C2962" t="s">
        <v>68</v>
      </c>
      <c r="D2962" t="s">
        <v>69</v>
      </c>
      <c r="E2962">
        <v>8</v>
      </c>
      <c r="F2962">
        <v>2.2999999999999998</v>
      </c>
      <c r="G2962">
        <v>0.28999999999999998</v>
      </c>
      <c r="H2962">
        <v>2</v>
      </c>
      <c r="I2962">
        <v>30000</v>
      </c>
      <c r="J2962">
        <v>5000</v>
      </c>
      <c r="K2962" t="s">
        <v>162</v>
      </c>
      <c r="L2962" t="s">
        <v>91</v>
      </c>
      <c r="M2962" t="s">
        <v>50</v>
      </c>
      <c r="N2962" t="b">
        <v>1</v>
      </c>
      <c r="O2962" t="s">
        <v>163</v>
      </c>
    </row>
    <row r="2963" spans="1:15" ht="15" customHeight="1">
      <c r="A2963" t="s">
        <v>267</v>
      </c>
      <c r="B2963" t="s">
        <v>3563</v>
      </c>
      <c r="C2963" t="s">
        <v>81</v>
      </c>
      <c r="D2963" t="s">
        <v>69</v>
      </c>
      <c r="E2963">
        <v>17</v>
      </c>
      <c r="F2963">
        <v>4.0999999999999996</v>
      </c>
      <c r="G2963">
        <v>0.24</v>
      </c>
      <c r="H2963">
        <v>24</v>
      </c>
      <c r="I2963">
        <v>10000</v>
      </c>
      <c r="J2963">
        <v>3000</v>
      </c>
      <c r="K2963" t="s">
        <v>306</v>
      </c>
      <c r="L2963" t="s">
        <v>104</v>
      </c>
      <c r="M2963" t="s">
        <v>48</v>
      </c>
      <c r="N2963" t="b">
        <v>0</v>
      </c>
      <c r="O2963" t="s">
        <v>307</v>
      </c>
    </row>
    <row r="2964" spans="1:15" ht="15" customHeight="1">
      <c r="A2964" t="s">
        <v>742</v>
      </c>
      <c r="B2964" t="s">
        <v>3564</v>
      </c>
      <c r="C2964" t="s">
        <v>68</v>
      </c>
      <c r="D2964" t="s">
        <v>69</v>
      </c>
      <c r="E2964">
        <v>16</v>
      </c>
      <c r="F2964">
        <v>2.6</v>
      </c>
      <c r="G2964">
        <v>0.16</v>
      </c>
      <c r="H2964">
        <v>1</v>
      </c>
      <c r="I2964">
        <v>30000</v>
      </c>
      <c r="J2964">
        <v>5000</v>
      </c>
      <c r="K2964" t="s">
        <v>70</v>
      </c>
      <c r="L2964" t="s">
        <v>117</v>
      </c>
      <c r="M2964" t="s">
        <v>48</v>
      </c>
      <c r="N2964" t="b">
        <v>1</v>
      </c>
      <c r="O2964" t="s">
        <v>72</v>
      </c>
    </row>
    <row r="2965" spans="1:15" ht="15" customHeight="1">
      <c r="A2965" t="s">
        <v>952</v>
      </c>
      <c r="B2965" t="s">
        <v>3565</v>
      </c>
      <c r="C2965" t="s">
        <v>129</v>
      </c>
      <c r="D2965" t="s">
        <v>130</v>
      </c>
      <c r="E2965">
        <v>15</v>
      </c>
      <c r="F2965">
        <v>4.7</v>
      </c>
      <c r="G2965">
        <v>0.31</v>
      </c>
      <c r="H2965">
        <v>12</v>
      </c>
      <c r="I2965">
        <v>5000</v>
      </c>
      <c r="J2965">
        <v>1000</v>
      </c>
      <c r="K2965" t="s">
        <v>162</v>
      </c>
      <c r="L2965" t="s">
        <v>100</v>
      </c>
      <c r="M2965" t="s">
        <v>45</v>
      </c>
      <c r="N2965" t="b">
        <v>0</v>
      </c>
      <c r="O2965" t="s">
        <v>180</v>
      </c>
    </row>
    <row r="2966" spans="1:15" ht="15" customHeight="1">
      <c r="A2966" t="s">
        <v>66</v>
      </c>
      <c r="B2966" t="s">
        <v>3566</v>
      </c>
      <c r="C2966" t="s">
        <v>81</v>
      </c>
      <c r="D2966" t="s">
        <v>69</v>
      </c>
      <c r="E2966">
        <v>18</v>
      </c>
      <c r="F2966">
        <v>9.3000000000000007</v>
      </c>
      <c r="G2966">
        <v>0.52</v>
      </c>
      <c r="H2966">
        <v>30</v>
      </c>
      <c r="I2966">
        <v>10000</v>
      </c>
      <c r="J2966">
        <v>3000</v>
      </c>
      <c r="K2966" t="s">
        <v>185</v>
      </c>
      <c r="L2966" t="s">
        <v>71</v>
      </c>
      <c r="M2966" t="s">
        <v>51</v>
      </c>
      <c r="N2966" t="b">
        <v>0</v>
      </c>
      <c r="O2966" t="s">
        <v>186</v>
      </c>
    </row>
    <row r="2967" spans="1:15" ht="15" customHeight="1">
      <c r="A2967" t="s">
        <v>503</v>
      </c>
      <c r="B2967" t="s">
        <v>3567</v>
      </c>
      <c r="C2967" t="s">
        <v>129</v>
      </c>
      <c r="D2967" t="s">
        <v>130</v>
      </c>
      <c r="E2967">
        <v>19</v>
      </c>
      <c r="F2967">
        <v>7.7</v>
      </c>
      <c r="G2967">
        <v>0.41</v>
      </c>
      <c r="H2967">
        <v>16</v>
      </c>
      <c r="I2967">
        <v>5000</v>
      </c>
      <c r="J2967">
        <v>1000</v>
      </c>
      <c r="K2967" t="s">
        <v>357</v>
      </c>
      <c r="L2967" t="s">
        <v>91</v>
      </c>
      <c r="M2967" t="s">
        <v>43</v>
      </c>
      <c r="N2967" t="b">
        <v>1</v>
      </c>
      <c r="O2967" t="s">
        <v>456</v>
      </c>
    </row>
    <row r="2968" spans="1:15" ht="15" customHeight="1">
      <c r="A2968" t="s">
        <v>580</v>
      </c>
      <c r="B2968" t="s">
        <v>3568</v>
      </c>
      <c r="C2968" t="s">
        <v>129</v>
      </c>
      <c r="D2968" t="s">
        <v>130</v>
      </c>
      <c r="E2968">
        <v>8</v>
      </c>
      <c r="F2968">
        <v>7.5</v>
      </c>
      <c r="G2968">
        <v>0.94</v>
      </c>
      <c r="H2968">
        <v>9</v>
      </c>
      <c r="I2968">
        <v>5000</v>
      </c>
      <c r="J2968">
        <v>1000</v>
      </c>
      <c r="K2968" t="s">
        <v>438</v>
      </c>
      <c r="L2968" t="s">
        <v>96</v>
      </c>
      <c r="M2968" t="s">
        <v>43</v>
      </c>
      <c r="N2968" t="b">
        <v>0</v>
      </c>
      <c r="O2968" t="s">
        <v>90</v>
      </c>
    </row>
    <row r="2969" spans="1:15" ht="15" customHeight="1">
      <c r="A2969" t="s">
        <v>1480</v>
      </c>
      <c r="B2969" t="s">
        <v>3569</v>
      </c>
      <c r="C2969" t="s">
        <v>68</v>
      </c>
      <c r="D2969" t="s">
        <v>69</v>
      </c>
      <c r="E2969">
        <v>15</v>
      </c>
      <c r="F2969">
        <v>3.1</v>
      </c>
      <c r="G2969">
        <v>0.21</v>
      </c>
      <c r="H2969">
        <v>2</v>
      </c>
      <c r="I2969">
        <v>30000</v>
      </c>
      <c r="J2969">
        <v>5000</v>
      </c>
      <c r="K2969" t="s">
        <v>162</v>
      </c>
      <c r="L2969" t="s">
        <v>96</v>
      </c>
      <c r="M2969" t="s">
        <v>43</v>
      </c>
      <c r="N2969" t="b">
        <v>0</v>
      </c>
      <c r="O2969" t="s">
        <v>163</v>
      </c>
    </row>
    <row r="2970" spans="1:15" ht="15" customHeight="1">
      <c r="A2970" t="s">
        <v>170</v>
      </c>
      <c r="B2970" t="s">
        <v>3570</v>
      </c>
      <c r="C2970" t="s">
        <v>75</v>
      </c>
      <c r="D2970" t="s">
        <v>69</v>
      </c>
      <c r="E2970">
        <v>9</v>
      </c>
      <c r="F2970">
        <v>4.5</v>
      </c>
      <c r="G2970">
        <v>0.5</v>
      </c>
      <c r="H2970">
        <v>7</v>
      </c>
      <c r="I2970">
        <v>2000</v>
      </c>
      <c r="J2970">
        <v>1500</v>
      </c>
      <c r="K2970" t="s">
        <v>241</v>
      </c>
      <c r="L2970" t="s">
        <v>96</v>
      </c>
      <c r="M2970" t="s">
        <v>44</v>
      </c>
      <c r="N2970" t="b">
        <v>0</v>
      </c>
      <c r="O2970" t="s">
        <v>242</v>
      </c>
    </row>
    <row r="2971" spans="1:15" ht="15" customHeight="1">
      <c r="A2971" t="s">
        <v>110</v>
      </c>
      <c r="B2971" t="s">
        <v>3571</v>
      </c>
      <c r="C2971" t="s">
        <v>75</v>
      </c>
      <c r="D2971" t="s">
        <v>69</v>
      </c>
      <c r="E2971">
        <v>9</v>
      </c>
      <c r="F2971">
        <v>5.7</v>
      </c>
      <c r="G2971">
        <v>0.63</v>
      </c>
      <c r="H2971">
        <v>9</v>
      </c>
      <c r="I2971">
        <v>2000</v>
      </c>
      <c r="J2971">
        <v>1500</v>
      </c>
      <c r="K2971" t="s">
        <v>740</v>
      </c>
      <c r="L2971" t="s">
        <v>100</v>
      </c>
      <c r="M2971" t="s">
        <v>43</v>
      </c>
      <c r="N2971" t="b">
        <v>0</v>
      </c>
      <c r="O2971" t="s">
        <v>741</v>
      </c>
    </row>
    <row r="2972" spans="1:15" ht="15" customHeight="1">
      <c r="A2972" t="s">
        <v>986</v>
      </c>
      <c r="B2972" t="s">
        <v>3572</v>
      </c>
      <c r="C2972" t="s">
        <v>68</v>
      </c>
      <c r="D2972" t="s">
        <v>69</v>
      </c>
      <c r="E2972">
        <v>10</v>
      </c>
      <c r="F2972">
        <v>0.6</v>
      </c>
      <c r="G2972">
        <v>0.06</v>
      </c>
      <c r="H2972">
        <v>3</v>
      </c>
      <c r="I2972">
        <v>30000</v>
      </c>
      <c r="J2972">
        <v>5000</v>
      </c>
      <c r="K2972" t="s">
        <v>108</v>
      </c>
      <c r="L2972" t="s">
        <v>104</v>
      </c>
      <c r="M2972" t="s">
        <v>47</v>
      </c>
      <c r="N2972" t="b">
        <v>0</v>
      </c>
      <c r="O2972" t="s">
        <v>109</v>
      </c>
    </row>
    <row r="2973" spans="1:15" ht="15" customHeight="1">
      <c r="A2973" t="s">
        <v>957</v>
      </c>
      <c r="B2973" t="s">
        <v>3573</v>
      </c>
      <c r="C2973" t="s">
        <v>75</v>
      </c>
      <c r="D2973" t="s">
        <v>69</v>
      </c>
      <c r="E2973">
        <v>11</v>
      </c>
      <c r="F2973">
        <v>3.6</v>
      </c>
      <c r="G2973">
        <v>0.33</v>
      </c>
      <c r="H2973">
        <v>14</v>
      </c>
      <c r="I2973">
        <v>2000</v>
      </c>
      <c r="J2973">
        <v>1500</v>
      </c>
      <c r="K2973" t="s">
        <v>396</v>
      </c>
      <c r="L2973" t="s">
        <v>96</v>
      </c>
      <c r="M2973" t="s">
        <v>48</v>
      </c>
      <c r="N2973" t="b">
        <v>0</v>
      </c>
      <c r="O2973" t="s">
        <v>397</v>
      </c>
    </row>
    <row r="2974" spans="1:15" ht="15" customHeight="1">
      <c r="A2974" t="s">
        <v>209</v>
      </c>
      <c r="B2974" t="s">
        <v>3574</v>
      </c>
      <c r="C2974" t="s">
        <v>129</v>
      </c>
      <c r="D2974" t="s">
        <v>130</v>
      </c>
      <c r="E2974">
        <v>14</v>
      </c>
      <c r="F2974">
        <v>5</v>
      </c>
      <c r="G2974">
        <v>0.36</v>
      </c>
      <c r="H2974">
        <v>27</v>
      </c>
      <c r="I2974">
        <v>5000</v>
      </c>
      <c r="J2974">
        <v>1000</v>
      </c>
      <c r="K2974" t="s">
        <v>172</v>
      </c>
      <c r="L2974" t="s">
        <v>104</v>
      </c>
      <c r="M2974" t="s">
        <v>49</v>
      </c>
      <c r="N2974" t="b">
        <v>0</v>
      </c>
      <c r="O2974" t="s">
        <v>173</v>
      </c>
    </row>
    <row r="2975" spans="1:15" ht="15" customHeight="1">
      <c r="A2975" t="s">
        <v>588</v>
      </c>
      <c r="B2975" t="s">
        <v>3575</v>
      </c>
      <c r="C2975" t="s">
        <v>81</v>
      </c>
      <c r="D2975" t="s">
        <v>69</v>
      </c>
      <c r="E2975">
        <v>14</v>
      </c>
      <c r="F2975">
        <v>8.5</v>
      </c>
      <c r="G2975">
        <v>0.61</v>
      </c>
      <c r="H2975">
        <v>16</v>
      </c>
      <c r="I2975">
        <v>10000</v>
      </c>
      <c r="J2975">
        <v>3000</v>
      </c>
      <c r="K2975" t="s">
        <v>283</v>
      </c>
      <c r="L2975" t="s">
        <v>104</v>
      </c>
      <c r="M2975" t="s">
        <v>42</v>
      </c>
      <c r="N2975" t="b">
        <v>0</v>
      </c>
      <c r="O2975" t="s">
        <v>284</v>
      </c>
    </row>
    <row r="2976" spans="1:15" ht="15" customHeight="1">
      <c r="A2976" t="s">
        <v>201</v>
      </c>
      <c r="B2976" t="s">
        <v>3576</v>
      </c>
      <c r="C2976" t="s">
        <v>129</v>
      </c>
      <c r="D2976" t="s">
        <v>130</v>
      </c>
      <c r="E2976">
        <v>18</v>
      </c>
      <c r="F2976">
        <v>6.1</v>
      </c>
      <c r="G2976">
        <v>0.34</v>
      </c>
      <c r="H2976">
        <v>25</v>
      </c>
      <c r="I2976">
        <v>5000</v>
      </c>
      <c r="J2976">
        <v>1000</v>
      </c>
      <c r="K2976" t="s">
        <v>245</v>
      </c>
      <c r="L2976" t="s">
        <v>77</v>
      </c>
      <c r="M2976" t="s">
        <v>50</v>
      </c>
      <c r="N2976" t="b">
        <v>0</v>
      </c>
      <c r="O2976" t="s">
        <v>246</v>
      </c>
    </row>
    <row r="2977" spans="1:15" ht="15" customHeight="1">
      <c r="A2977" t="s">
        <v>691</v>
      </c>
      <c r="B2977" t="s">
        <v>3577</v>
      </c>
      <c r="C2977" t="s">
        <v>81</v>
      </c>
      <c r="D2977" t="s">
        <v>69</v>
      </c>
      <c r="E2977">
        <v>10</v>
      </c>
      <c r="F2977">
        <v>4.5</v>
      </c>
      <c r="G2977">
        <v>0.45</v>
      </c>
      <c r="H2977">
        <v>6</v>
      </c>
      <c r="I2977">
        <v>10000</v>
      </c>
      <c r="J2977">
        <v>3000</v>
      </c>
      <c r="K2977" t="s">
        <v>162</v>
      </c>
      <c r="L2977" t="s">
        <v>100</v>
      </c>
      <c r="M2977" t="s">
        <v>47</v>
      </c>
      <c r="N2977" t="b">
        <v>0</v>
      </c>
      <c r="O2977" t="s">
        <v>198</v>
      </c>
    </row>
    <row r="2978" spans="1:15" ht="15" customHeight="1">
      <c r="A2978" t="s">
        <v>1106</v>
      </c>
      <c r="B2978" t="s">
        <v>3578</v>
      </c>
      <c r="C2978" t="s">
        <v>68</v>
      </c>
      <c r="D2978" t="s">
        <v>69</v>
      </c>
      <c r="E2978">
        <v>16</v>
      </c>
      <c r="F2978">
        <v>2.7</v>
      </c>
      <c r="G2978">
        <v>0.17</v>
      </c>
      <c r="H2978">
        <v>5</v>
      </c>
      <c r="I2978">
        <v>30000</v>
      </c>
      <c r="J2978">
        <v>5000</v>
      </c>
      <c r="K2978" t="s">
        <v>112</v>
      </c>
      <c r="L2978" t="s">
        <v>71</v>
      </c>
      <c r="M2978" t="s">
        <v>47</v>
      </c>
      <c r="N2978" t="b">
        <v>0</v>
      </c>
      <c r="O2978" t="s">
        <v>113</v>
      </c>
    </row>
    <row r="2979" spans="1:15" ht="15" customHeight="1">
      <c r="A2979" t="s">
        <v>340</v>
      </c>
      <c r="B2979" t="s">
        <v>3579</v>
      </c>
      <c r="C2979" t="s">
        <v>129</v>
      </c>
      <c r="D2979" t="s">
        <v>130</v>
      </c>
      <c r="E2979">
        <v>9</v>
      </c>
      <c r="F2979">
        <v>6.9</v>
      </c>
      <c r="G2979">
        <v>0.77</v>
      </c>
      <c r="H2979">
        <v>28</v>
      </c>
      <c r="I2979">
        <v>5000</v>
      </c>
      <c r="J2979">
        <v>1000</v>
      </c>
      <c r="K2979" t="s">
        <v>116</v>
      </c>
      <c r="L2979" t="s">
        <v>117</v>
      </c>
      <c r="M2979" t="s">
        <v>45</v>
      </c>
      <c r="N2979" t="b">
        <v>1</v>
      </c>
      <c r="O2979" t="s">
        <v>470</v>
      </c>
    </row>
    <row r="2980" spans="1:15" ht="15" customHeight="1">
      <c r="A2980" t="s">
        <v>609</v>
      </c>
      <c r="B2980" t="s">
        <v>3580</v>
      </c>
      <c r="C2980" t="s">
        <v>149</v>
      </c>
      <c r="D2980" t="s">
        <v>69</v>
      </c>
      <c r="E2980">
        <v>9</v>
      </c>
      <c r="F2980">
        <v>8.4</v>
      </c>
      <c r="G2980">
        <v>0.93</v>
      </c>
      <c r="H2980">
        <v>17</v>
      </c>
      <c r="I2980">
        <v>3000</v>
      </c>
      <c r="J2980">
        <v>1000</v>
      </c>
      <c r="K2980" t="s">
        <v>634</v>
      </c>
      <c r="L2980" t="s">
        <v>91</v>
      </c>
      <c r="M2980" t="s">
        <v>40</v>
      </c>
      <c r="N2980" t="b">
        <v>1</v>
      </c>
      <c r="O2980" t="s">
        <v>158</v>
      </c>
    </row>
    <row r="2981" spans="1:15" ht="15" customHeight="1">
      <c r="A2981" t="s">
        <v>1009</v>
      </c>
      <c r="B2981" t="s">
        <v>3581</v>
      </c>
      <c r="C2981" t="s">
        <v>68</v>
      </c>
      <c r="D2981" t="s">
        <v>69</v>
      </c>
      <c r="E2981">
        <v>16</v>
      </c>
      <c r="F2981">
        <v>2.8</v>
      </c>
      <c r="G2981">
        <v>0.17</v>
      </c>
      <c r="H2981">
        <v>5</v>
      </c>
      <c r="I2981">
        <v>30000</v>
      </c>
      <c r="J2981">
        <v>5000</v>
      </c>
      <c r="K2981" t="s">
        <v>112</v>
      </c>
      <c r="L2981" t="s">
        <v>117</v>
      </c>
      <c r="M2981" t="s">
        <v>42</v>
      </c>
      <c r="N2981" t="b">
        <v>1</v>
      </c>
      <c r="O2981" t="s">
        <v>113</v>
      </c>
    </row>
    <row r="2982" spans="1:15" ht="15" customHeight="1">
      <c r="A2982" t="s">
        <v>1310</v>
      </c>
      <c r="B2982" t="s">
        <v>3582</v>
      </c>
      <c r="C2982" t="s">
        <v>129</v>
      </c>
      <c r="D2982" t="s">
        <v>130</v>
      </c>
      <c r="E2982">
        <v>14</v>
      </c>
      <c r="F2982">
        <v>4</v>
      </c>
      <c r="G2982">
        <v>0.28999999999999998</v>
      </c>
      <c r="H2982">
        <v>7</v>
      </c>
      <c r="I2982">
        <v>5000</v>
      </c>
      <c r="J2982">
        <v>1000</v>
      </c>
      <c r="K2982" t="s">
        <v>1135</v>
      </c>
      <c r="L2982" t="s">
        <v>117</v>
      </c>
      <c r="M2982" t="s">
        <v>47</v>
      </c>
      <c r="N2982" t="b">
        <v>1</v>
      </c>
      <c r="O2982" t="s">
        <v>862</v>
      </c>
    </row>
    <row r="2983" spans="1:15" ht="15" customHeight="1">
      <c r="A2983" t="s">
        <v>696</v>
      </c>
      <c r="B2983" t="s">
        <v>3583</v>
      </c>
      <c r="C2983" t="s">
        <v>81</v>
      </c>
      <c r="D2983" t="s">
        <v>69</v>
      </c>
      <c r="E2983">
        <v>9</v>
      </c>
      <c r="F2983">
        <v>3.6</v>
      </c>
      <c r="G2983">
        <v>0.4</v>
      </c>
      <c r="H2983">
        <v>8</v>
      </c>
      <c r="I2983">
        <v>10000</v>
      </c>
      <c r="J2983">
        <v>3000</v>
      </c>
      <c r="K2983" t="s">
        <v>357</v>
      </c>
      <c r="L2983" t="s">
        <v>96</v>
      </c>
      <c r="M2983" t="s">
        <v>47</v>
      </c>
      <c r="N2983" t="b">
        <v>0</v>
      </c>
      <c r="O2983" t="s">
        <v>295</v>
      </c>
    </row>
    <row r="2984" spans="1:15" ht="15" customHeight="1">
      <c r="A2984" t="s">
        <v>1329</v>
      </c>
      <c r="B2984" t="s">
        <v>3584</v>
      </c>
      <c r="C2984" t="s">
        <v>68</v>
      </c>
      <c r="D2984" t="s">
        <v>69</v>
      </c>
      <c r="E2984">
        <v>13</v>
      </c>
      <c r="F2984">
        <v>3.1</v>
      </c>
      <c r="G2984">
        <v>0.24</v>
      </c>
      <c r="H2984">
        <v>1</v>
      </c>
      <c r="I2984">
        <v>30000</v>
      </c>
      <c r="J2984">
        <v>5000</v>
      </c>
      <c r="K2984" t="s">
        <v>70</v>
      </c>
      <c r="L2984" t="s">
        <v>104</v>
      </c>
      <c r="M2984" t="s">
        <v>51</v>
      </c>
      <c r="N2984" t="b">
        <v>0</v>
      </c>
      <c r="O2984" t="s">
        <v>72</v>
      </c>
    </row>
    <row r="2985" spans="1:15" ht="15" customHeight="1">
      <c r="A2985" t="s">
        <v>811</v>
      </c>
      <c r="B2985" t="s">
        <v>3585</v>
      </c>
      <c r="C2985" t="s">
        <v>149</v>
      </c>
      <c r="D2985" t="s">
        <v>69</v>
      </c>
      <c r="E2985">
        <v>12</v>
      </c>
      <c r="F2985">
        <v>9.6</v>
      </c>
      <c r="G2985">
        <v>0.8</v>
      </c>
      <c r="H2985">
        <v>21</v>
      </c>
      <c r="I2985">
        <v>3000</v>
      </c>
      <c r="J2985">
        <v>1000</v>
      </c>
      <c r="K2985" t="s">
        <v>380</v>
      </c>
      <c r="L2985" t="s">
        <v>91</v>
      </c>
      <c r="M2985" t="s">
        <v>46</v>
      </c>
      <c r="N2985" t="b">
        <v>1</v>
      </c>
      <c r="O2985" t="s">
        <v>381</v>
      </c>
    </row>
    <row r="2986" spans="1:15" ht="15" customHeight="1">
      <c r="A2986" t="s">
        <v>191</v>
      </c>
      <c r="B2986" t="s">
        <v>3586</v>
      </c>
      <c r="C2986" t="s">
        <v>75</v>
      </c>
      <c r="D2986" t="s">
        <v>69</v>
      </c>
      <c r="E2986">
        <v>9</v>
      </c>
      <c r="F2986">
        <v>3.8</v>
      </c>
      <c r="G2986">
        <v>0.42</v>
      </c>
      <c r="H2986">
        <v>20</v>
      </c>
      <c r="I2986">
        <v>2000</v>
      </c>
      <c r="J2986">
        <v>1500</v>
      </c>
      <c r="K2986" t="s">
        <v>76</v>
      </c>
      <c r="L2986" t="s">
        <v>71</v>
      </c>
      <c r="M2986" t="s">
        <v>49</v>
      </c>
      <c r="N2986" t="b">
        <v>0</v>
      </c>
      <c r="O2986" t="s">
        <v>78</v>
      </c>
    </row>
    <row r="2987" spans="1:15" ht="15" customHeight="1">
      <c r="A2987" t="s">
        <v>596</v>
      </c>
      <c r="B2987" t="s">
        <v>3587</v>
      </c>
      <c r="C2987" t="s">
        <v>68</v>
      </c>
      <c r="D2987" t="s">
        <v>69</v>
      </c>
      <c r="E2987">
        <v>14</v>
      </c>
      <c r="F2987">
        <v>0.5</v>
      </c>
      <c r="G2987">
        <v>0.04</v>
      </c>
      <c r="H2987">
        <v>3</v>
      </c>
      <c r="I2987">
        <v>30000</v>
      </c>
      <c r="J2987">
        <v>5000</v>
      </c>
      <c r="K2987" t="s">
        <v>108</v>
      </c>
      <c r="L2987" t="s">
        <v>96</v>
      </c>
      <c r="M2987" t="s">
        <v>46</v>
      </c>
      <c r="N2987" t="b">
        <v>0</v>
      </c>
      <c r="O2987" t="s">
        <v>109</v>
      </c>
    </row>
    <row r="2988" spans="1:15" ht="15" customHeight="1">
      <c r="A2988" t="s">
        <v>781</v>
      </c>
      <c r="B2988" t="s">
        <v>3588</v>
      </c>
      <c r="C2988" t="s">
        <v>68</v>
      </c>
      <c r="D2988" t="s">
        <v>69</v>
      </c>
      <c r="E2988">
        <v>13</v>
      </c>
      <c r="F2988">
        <v>0.6</v>
      </c>
      <c r="G2988">
        <v>0.05</v>
      </c>
      <c r="H2988">
        <v>4</v>
      </c>
      <c r="I2988">
        <v>30000</v>
      </c>
      <c r="J2988">
        <v>5000</v>
      </c>
      <c r="K2988" t="s">
        <v>95</v>
      </c>
      <c r="L2988" t="s">
        <v>96</v>
      </c>
      <c r="M2988" t="s">
        <v>45</v>
      </c>
      <c r="N2988" t="b">
        <v>0</v>
      </c>
      <c r="O2988" t="s">
        <v>97</v>
      </c>
    </row>
    <row r="2989" spans="1:15" ht="15" customHeight="1">
      <c r="A2989" t="s">
        <v>84</v>
      </c>
      <c r="B2989" t="s">
        <v>3589</v>
      </c>
      <c r="C2989" t="s">
        <v>149</v>
      </c>
      <c r="D2989" t="s">
        <v>69</v>
      </c>
      <c r="E2989">
        <v>8</v>
      </c>
      <c r="F2989">
        <v>6.8</v>
      </c>
      <c r="G2989">
        <v>0.85</v>
      </c>
      <c r="H2989">
        <v>20</v>
      </c>
      <c r="I2989">
        <v>3000</v>
      </c>
      <c r="J2989">
        <v>1000</v>
      </c>
      <c r="K2989" t="s">
        <v>162</v>
      </c>
      <c r="L2989" t="s">
        <v>77</v>
      </c>
      <c r="M2989" t="s">
        <v>51</v>
      </c>
      <c r="N2989" t="b">
        <v>0</v>
      </c>
      <c r="O2989" t="s">
        <v>180</v>
      </c>
    </row>
    <row r="2990" spans="1:15" ht="15" customHeight="1">
      <c r="A2990" t="s">
        <v>183</v>
      </c>
      <c r="B2990" t="s">
        <v>3590</v>
      </c>
      <c r="C2990" t="s">
        <v>81</v>
      </c>
      <c r="D2990" t="s">
        <v>69</v>
      </c>
      <c r="E2990">
        <v>15</v>
      </c>
      <c r="F2990">
        <v>4.0999999999999996</v>
      </c>
      <c r="G2990">
        <v>0.27</v>
      </c>
      <c r="H2990">
        <v>20</v>
      </c>
      <c r="I2990">
        <v>10000</v>
      </c>
      <c r="J2990">
        <v>3000</v>
      </c>
      <c r="K2990" t="s">
        <v>86</v>
      </c>
      <c r="L2990" t="s">
        <v>100</v>
      </c>
      <c r="M2990" t="s">
        <v>51</v>
      </c>
      <c r="N2990" t="b">
        <v>0</v>
      </c>
      <c r="O2990" t="s">
        <v>87</v>
      </c>
    </row>
    <row r="2991" spans="1:15" ht="15" customHeight="1">
      <c r="A2991" t="s">
        <v>570</v>
      </c>
      <c r="B2991" t="s">
        <v>3591</v>
      </c>
      <c r="C2991" t="s">
        <v>68</v>
      </c>
      <c r="D2991" t="s">
        <v>69</v>
      </c>
      <c r="E2991">
        <v>13</v>
      </c>
      <c r="F2991">
        <v>2.2000000000000002</v>
      </c>
      <c r="G2991">
        <v>0.17</v>
      </c>
      <c r="H2991">
        <v>1</v>
      </c>
      <c r="I2991">
        <v>30000</v>
      </c>
      <c r="J2991">
        <v>5000</v>
      </c>
      <c r="K2991" t="s">
        <v>70</v>
      </c>
      <c r="L2991" t="s">
        <v>96</v>
      </c>
      <c r="M2991" t="s">
        <v>44</v>
      </c>
      <c r="N2991" t="b">
        <v>0</v>
      </c>
      <c r="O2991" t="s">
        <v>72</v>
      </c>
    </row>
    <row r="2992" spans="1:15" ht="15" customHeight="1">
      <c r="A2992" t="s">
        <v>554</v>
      </c>
      <c r="B2992" t="s">
        <v>3592</v>
      </c>
      <c r="C2992" t="s">
        <v>149</v>
      </c>
      <c r="D2992" t="s">
        <v>69</v>
      </c>
      <c r="E2992">
        <v>8</v>
      </c>
      <c r="F2992">
        <v>6.1</v>
      </c>
      <c r="G2992">
        <v>0.76</v>
      </c>
      <c r="H2992">
        <v>17</v>
      </c>
      <c r="I2992">
        <v>3000</v>
      </c>
      <c r="J2992">
        <v>1000</v>
      </c>
      <c r="K2992" t="s">
        <v>634</v>
      </c>
      <c r="L2992" t="s">
        <v>71</v>
      </c>
      <c r="M2992" t="s">
        <v>40</v>
      </c>
      <c r="N2992" t="b">
        <v>0</v>
      </c>
      <c r="O2992" t="s">
        <v>158</v>
      </c>
    </row>
    <row r="2993" spans="1:15" ht="15" customHeight="1">
      <c r="A2993" t="s">
        <v>1106</v>
      </c>
      <c r="B2993" t="s">
        <v>3593</v>
      </c>
      <c r="C2993" t="s">
        <v>81</v>
      </c>
      <c r="D2993" t="s">
        <v>69</v>
      </c>
      <c r="E2993">
        <v>19</v>
      </c>
      <c r="F2993">
        <v>7.1</v>
      </c>
      <c r="G2993">
        <v>0.37</v>
      </c>
      <c r="H2993">
        <v>9</v>
      </c>
      <c r="I2993">
        <v>10000</v>
      </c>
      <c r="J2993">
        <v>3000</v>
      </c>
      <c r="K2993" t="s">
        <v>108</v>
      </c>
      <c r="L2993" t="s">
        <v>71</v>
      </c>
      <c r="M2993" t="s">
        <v>47</v>
      </c>
      <c r="N2993" t="b">
        <v>0</v>
      </c>
      <c r="O2993" t="s">
        <v>303</v>
      </c>
    </row>
    <row r="2994" spans="1:15" ht="15" customHeight="1">
      <c r="A2994" t="s">
        <v>218</v>
      </c>
      <c r="B2994" t="s">
        <v>3594</v>
      </c>
      <c r="C2994" t="s">
        <v>68</v>
      </c>
      <c r="D2994" t="s">
        <v>69</v>
      </c>
      <c r="E2994">
        <v>15</v>
      </c>
      <c r="F2994">
        <v>1.3</v>
      </c>
      <c r="G2994">
        <v>0.09</v>
      </c>
      <c r="H2994">
        <v>3</v>
      </c>
      <c r="I2994">
        <v>30000</v>
      </c>
      <c r="J2994">
        <v>5000</v>
      </c>
      <c r="K2994" t="s">
        <v>108</v>
      </c>
      <c r="L2994" t="s">
        <v>77</v>
      </c>
      <c r="M2994" t="s">
        <v>45</v>
      </c>
      <c r="N2994" t="b">
        <v>0</v>
      </c>
      <c r="O2994" t="s">
        <v>109</v>
      </c>
    </row>
    <row r="2995" spans="1:15" ht="15" customHeight="1">
      <c r="A2995" t="s">
        <v>287</v>
      </c>
      <c r="B2995" t="s">
        <v>3595</v>
      </c>
      <c r="C2995" t="s">
        <v>68</v>
      </c>
      <c r="D2995" t="s">
        <v>69</v>
      </c>
      <c r="E2995">
        <v>8</v>
      </c>
      <c r="F2995">
        <v>2</v>
      </c>
      <c r="G2995">
        <v>0.25</v>
      </c>
      <c r="H2995">
        <v>4</v>
      </c>
      <c r="I2995">
        <v>30000</v>
      </c>
      <c r="J2995">
        <v>5000</v>
      </c>
      <c r="K2995" t="s">
        <v>95</v>
      </c>
      <c r="L2995" t="s">
        <v>104</v>
      </c>
      <c r="M2995" t="s">
        <v>41</v>
      </c>
      <c r="N2995" t="b">
        <v>0</v>
      </c>
      <c r="O2995" t="s">
        <v>97</v>
      </c>
    </row>
    <row r="2996" spans="1:15" ht="15" customHeight="1">
      <c r="A2996" t="s">
        <v>742</v>
      </c>
      <c r="B2996" t="s">
        <v>3596</v>
      </c>
      <c r="C2996" t="s">
        <v>81</v>
      </c>
      <c r="D2996" t="s">
        <v>69</v>
      </c>
      <c r="E2996">
        <v>11</v>
      </c>
      <c r="F2996">
        <v>3.5</v>
      </c>
      <c r="G2996">
        <v>0.32</v>
      </c>
      <c r="H2996">
        <v>19</v>
      </c>
      <c r="I2996">
        <v>10000</v>
      </c>
      <c r="J2996">
        <v>3000</v>
      </c>
      <c r="K2996" t="s">
        <v>309</v>
      </c>
      <c r="L2996" t="s">
        <v>117</v>
      </c>
      <c r="M2996" t="s">
        <v>48</v>
      </c>
      <c r="N2996" t="b">
        <v>1</v>
      </c>
      <c r="O2996" t="s">
        <v>310</v>
      </c>
    </row>
    <row r="2997" spans="1:15" ht="15" customHeight="1">
      <c r="A2997" t="s">
        <v>475</v>
      </c>
      <c r="B2997" t="s">
        <v>3597</v>
      </c>
      <c r="C2997" t="s">
        <v>68</v>
      </c>
      <c r="D2997" t="s">
        <v>69</v>
      </c>
      <c r="E2997">
        <v>12</v>
      </c>
      <c r="F2997">
        <v>1.8</v>
      </c>
      <c r="G2997">
        <v>0.15</v>
      </c>
      <c r="H2997">
        <v>5</v>
      </c>
      <c r="I2997">
        <v>30000</v>
      </c>
      <c r="J2997">
        <v>5000</v>
      </c>
      <c r="K2997" t="s">
        <v>112</v>
      </c>
      <c r="L2997" t="s">
        <v>91</v>
      </c>
      <c r="M2997" t="s">
        <v>47</v>
      </c>
      <c r="N2997" t="b">
        <v>1</v>
      </c>
      <c r="O2997" t="s">
        <v>113</v>
      </c>
    </row>
    <row r="2998" spans="1:15" ht="15" customHeight="1">
      <c r="A2998" t="s">
        <v>762</v>
      </c>
      <c r="B2998" t="s">
        <v>3598</v>
      </c>
      <c r="C2998" t="s">
        <v>68</v>
      </c>
      <c r="D2998" t="s">
        <v>69</v>
      </c>
      <c r="E2998">
        <v>12</v>
      </c>
      <c r="F2998">
        <v>3.4</v>
      </c>
      <c r="G2998">
        <v>0.28000000000000003</v>
      </c>
      <c r="H2998">
        <v>5</v>
      </c>
      <c r="I2998">
        <v>30000</v>
      </c>
      <c r="J2998">
        <v>5000</v>
      </c>
      <c r="K2998" t="s">
        <v>112</v>
      </c>
      <c r="L2998" t="s">
        <v>100</v>
      </c>
      <c r="M2998" t="s">
        <v>44</v>
      </c>
      <c r="N2998" t="b">
        <v>0</v>
      </c>
      <c r="O2998" t="s">
        <v>113</v>
      </c>
    </row>
    <row r="2999" spans="1:15" ht="15" customHeight="1">
      <c r="A2999" t="s">
        <v>441</v>
      </c>
      <c r="B2999" t="s">
        <v>3599</v>
      </c>
      <c r="C2999" t="s">
        <v>81</v>
      </c>
      <c r="D2999" t="s">
        <v>69</v>
      </c>
      <c r="E2999">
        <v>8</v>
      </c>
      <c r="F2999">
        <v>6.1</v>
      </c>
      <c r="G2999">
        <v>0.76</v>
      </c>
      <c r="H2999">
        <v>14</v>
      </c>
      <c r="I2999">
        <v>10000</v>
      </c>
      <c r="J2999">
        <v>3000</v>
      </c>
      <c r="K2999" t="s">
        <v>116</v>
      </c>
      <c r="L2999" t="s">
        <v>77</v>
      </c>
      <c r="M2999" t="s">
        <v>43</v>
      </c>
      <c r="N2999" t="b">
        <v>0</v>
      </c>
      <c r="O2999" t="s">
        <v>118</v>
      </c>
    </row>
    <row r="3000" spans="1:15" ht="15" customHeight="1">
      <c r="A3000" t="s">
        <v>156</v>
      </c>
      <c r="B3000" t="s">
        <v>3600</v>
      </c>
      <c r="C3000" t="s">
        <v>81</v>
      </c>
      <c r="D3000" t="s">
        <v>69</v>
      </c>
      <c r="E3000">
        <v>15</v>
      </c>
      <c r="F3000">
        <v>5.5</v>
      </c>
      <c r="G3000">
        <v>0.37</v>
      </c>
      <c r="H3000">
        <v>11</v>
      </c>
      <c r="I3000">
        <v>10000</v>
      </c>
      <c r="J3000">
        <v>3000</v>
      </c>
      <c r="K3000" t="s">
        <v>134</v>
      </c>
      <c r="L3000" t="s">
        <v>77</v>
      </c>
      <c r="M3000" t="s">
        <v>47</v>
      </c>
      <c r="N3000" t="b">
        <v>0</v>
      </c>
      <c r="O3000" t="s">
        <v>155</v>
      </c>
    </row>
    <row r="3001" spans="1:15" ht="15" customHeight="1">
      <c r="A3001" t="s">
        <v>596</v>
      </c>
      <c r="B3001" t="s">
        <v>3601</v>
      </c>
      <c r="C3001" t="s">
        <v>129</v>
      </c>
      <c r="D3001" t="s">
        <v>130</v>
      </c>
      <c r="E3001">
        <v>18</v>
      </c>
      <c r="F3001">
        <v>9.1999999999999993</v>
      </c>
      <c r="G3001">
        <v>0.51</v>
      </c>
      <c r="H3001">
        <v>25</v>
      </c>
      <c r="I3001">
        <v>5000</v>
      </c>
      <c r="J3001">
        <v>1000</v>
      </c>
      <c r="K3001" t="s">
        <v>245</v>
      </c>
      <c r="L3001" t="s">
        <v>96</v>
      </c>
      <c r="M3001" t="s">
        <v>46</v>
      </c>
      <c r="N3001" t="b">
        <v>0</v>
      </c>
      <c r="O3001" t="s">
        <v>246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Executive_Summary</vt:lpstr>
      <vt:lpstr>Monthly_Trends</vt:lpstr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USER</cp:lastModifiedBy>
  <dcterms:created xsi:type="dcterms:W3CDTF">2025-11-02T19:45:02Z</dcterms:created>
  <dcterms:modified xsi:type="dcterms:W3CDTF">2025-11-04T08:33:59Z</dcterms:modified>
</cp:coreProperties>
</file>